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4D7CE46D-E3AD-48F4-9E25-492D05C5D4A3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device_all" sheetId="15" r:id="rId1"/>
    <sheet name="device_wheel" sheetId="13" r:id="rId2"/>
    <sheet name="device_tag" sheetId="18" r:id="rId3"/>
    <sheet name="device_cubicles" sheetId="19" r:id="rId4"/>
    <sheet name="device_rank" sheetId="21" r:id="rId5"/>
    <sheet name="-投放筛选及l10n配置辅助" sheetId="22" r:id="rId6"/>
    <sheet name="-id 配置说明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3" l="1" a="1"/>
  <c r="U13" i="13" s="1"/>
  <c r="U12" i="13" a="1"/>
  <c r="U12" i="13" s="1"/>
  <c r="U11" i="13" a="1"/>
  <c r="U11" i="13" s="1"/>
  <c r="U10" i="13" a="1"/>
  <c r="U10" i="13" s="1"/>
  <c r="U4" i="13" a="1"/>
  <c r="U4" i="13" s="1"/>
  <c r="U8" i="13" a="1"/>
  <c r="U8" i="13" s="1"/>
  <c r="U7" i="13" a="1"/>
  <c r="U7" i="13" s="1"/>
  <c r="U6" i="13" a="1"/>
  <c r="U6" i="13" s="1"/>
  <c r="U5" i="13" a="1"/>
  <c r="U5" i="13" s="1"/>
  <c r="W7" i="13"/>
  <c r="W6" i="13"/>
  <c r="W5" i="13"/>
  <c r="W8" i="13"/>
  <c r="M6" i="13"/>
  <c r="K6" i="13"/>
  <c r="M5" i="13"/>
  <c r="K5" i="13"/>
  <c r="AB13" i="13"/>
  <c r="AD13" i="13" s="1"/>
  <c r="M13" i="13"/>
  <c r="K13" i="13"/>
  <c r="AB12" i="13"/>
  <c r="AD12" i="13" s="1"/>
  <c r="M12" i="13"/>
  <c r="K12" i="13"/>
  <c r="AB11" i="13"/>
  <c r="AD11" i="13" s="1"/>
  <c r="M11" i="13"/>
  <c r="K11" i="13"/>
  <c r="AB8" i="13"/>
  <c r="AD8" i="13" s="1"/>
  <c r="M8" i="13"/>
  <c r="K8" i="13"/>
  <c r="E10" i="15"/>
  <c r="BE10" i="15" a="1"/>
  <c r="BE10" i="15" s="1"/>
  <c r="AE10" i="15"/>
  <c r="AC10" i="15" s="1"/>
  <c r="P10" i="15" a="1"/>
  <c r="P10" i="15" s="1"/>
  <c r="K10" i="15" a="1"/>
  <c r="K10" i="15" s="1"/>
  <c r="J10" i="15"/>
  <c r="AD14" i="15" l="1"/>
  <c r="AD13" i="15"/>
  <c r="AD12" i="15"/>
  <c r="AE14" i="15"/>
  <c r="AE13" i="15"/>
  <c r="AE12" i="15"/>
  <c r="E14" i="15"/>
  <c r="E13" i="15"/>
  <c r="E12" i="15"/>
  <c r="E9" i="15"/>
  <c r="E8" i="15"/>
  <c r="E7" i="15"/>
  <c r="BE14" i="15" a="1"/>
  <c r="BE14" i="15" s="1"/>
  <c r="P14" i="15" a="1"/>
  <c r="P14" i="15" s="1"/>
  <c r="K14" i="15" a="1"/>
  <c r="K14" i="15" s="1"/>
  <c r="J14" i="15"/>
  <c r="BE13" i="15" a="1"/>
  <c r="BE13" i="15" s="1"/>
  <c r="P13" i="15" a="1"/>
  <c r="P13" i="15" s="1"/>
  <c r="K13" i="15" a="1"/>
  <c r="K13" i="15" s="1"/>
  <c r="J13" i="15"/>
  <c r="BE12" i="15" a="1"/>
  <c r="BE12" i="15" s="1"/>
  <c r="P12" i="15" a="1"/>
  <c r="P12" i="15" s="1"/>
  <c r="K12" i="15" a="1"/>
  <c r="K12" i="15" s="1"/>
  <c r="J12" i="15"/>
  <c r="K148" i="15" a="1"/>
  <c r="K148" i="15" s="1"/>
  <c r="K149" i="15" a="1"/>
  <c r="K149" i="15" s="1"/>
  <c r="K150" i="15" a="1"/>
  <c r="K150" i="15" s="1"/>
  <c r="K151" i="15" a="1"/>
  <c r="K151" i="15" s="1"/>
  <c r="K152" i="15" a="1"/>
  <c r="K152" i="15" s="1"/>
  <c r="K153" i="15" a="1"/>
  <c r="K153" i="15" s="1"/>
  <c r="K154" i="15" a="1"/>
  <c r="K154" i="15" s="1"/>
  <c r="K155" i="15" a="1"/>
  <c r="K155" i="15" s="1"/>
  <c r="K156" i="15" a="1"/>
  <c r="K156" i="15" s="1"/>
  <c r="K157" i="15" a="1"/>
  <c r="K157" i="15" s="1"/>
  <c r="K158" i="15" a="1"/>
  <c r="K158" i="15" s="1"/>
  <c r="K159" i="15" a="1"/>
  <c r="K159" i="15" s="1"/>
  <c r="K160" i="15" a="1"/>
  <c r="K160" i="15" s="1"/>
  <c r="K161" i="15" a="1"/>
  <c r="K161" i="15" s="1"/>
  <c r="K162" i="15" a="1"/>
  <c r="K162" i="15" s="1"/>
  <c r="K163" i="15" a="1"/>
  <c r="K163" i="15" s="1"/>
  <c r="K164" i="15" a="1"/>
  <c r="K164" i="15" s="1"/>
  <c r="K165" i="15" a="1"/>
  <c r="K165" i="15" s="1"/>
  <c r="K166" i="15" a="1"/>
  <c r="K166" i="15" s="1"/>
  <c r="K167" i="15" a="1"/>
  <c r="K167" i="15" s="1"/>
  <c r="K168" i="15" a="1"/>
  <c r="K168" i="15" s="1"/>
  <c r="K169" i="15" a="1"/>
  <c r="K169" i="15" s="1"/>
  <c r="K170" i="15" a="1"/>
  <c r="K170" i="15" s="1"/>
  <c r="BE55" i="15" a="1"/>
  <c r="BE55" i="15" s="1"/>
  <c r="AY55" i="15"/>
  <c r="AT55" i="15"/>
  <c r="AH55" i="15"/>
  <c r="AE55" i="15"/>
  <c r="AC55" i="15" s="1"/>
  <c r="AB55" i="15"/>
  <c r="P55" i="15" a="1"/>
  <c r="P55" i="15" s="1"/>
  <c r="K55" i="15" a="1"/>
  <c r="K55" i="15" s="1"/>
  <c r="J55" i="15"/>
  <c r="AC13" i="15" l="1"/>
  <c r="AC12" i="15"/>
  <c r="AC14" i="15"/>
  <c r="A2" i="22" a="1"/>
  <c r="A2" i="22" l="1"/>
  <c r="C2" i="22" s="1"/>
  <c r="C10" i="22"/>
  <c r="C18" i="22"/>
  <c r="C26" i="22"/>
  <c r="C34" i="22"/>
  <c r="C42" i="22"/>
  <c r="C50" i="22"/>
  <c r="C58" i="22"/>
  <c r="C66" i="22"/>
  <c r="C98" i="22"/>
  <c r="C106" i="22"/>
  <c r="C114" i="22"/>
  <c r="C122" i="22"/>
  <c r="C130" i="22"/>
  <c r="C138" i="22"/>
  <c r="C146" i="22"/>
  <c r="C144" i="22"/>
  <c r="C40" i="22"/>
  <c r="C145" i="22"/>
  <c r="C137" i="22"/>
  <c r="C129" i="22"/>
  <c r="C121" i="22"/>
  <c r="C113" i="22"/>
  <c r="C105" i="22"/>
  <c r="C97" i="22"/>
  <c r="C73" i="22"/>
  <c r="C65" i="22"/>
  <c r="C57" i="22"/>
  <c r="C49" i="22"/>
  <c r="C41" i="22"/>
  <c r="C33" i="22"/>
  <c r="C25" i="22"/>
  <c r="C17" i="22"/>
  <c r="C9" i="22"/>
  <c r="C136" i="22"/>
  <c r="C8" i="22"/>
  <c r="C151" i="22"/>
  <c r="C143" i="22"/>
  <c r="C135" i="22"/>
  <c r="C127" i="22"/>
  <c r="C119" i="22"/>
  <c r="C111" i="22"/>
  <c r="C103" i="22"/>
  <c r="C95" i="22"/>
  <c r="C71" i="22"/>
  <c r="C63" i="22"/>
  <c r="C55" i="22"/>
  <c r="C47" i="22"/>
  <c r="C39" i="22"/>
  <c r="C31" i="22"/>
  <c r="C23" i="22"/>
  <c r="C15" i="22"/>
  <c r="C7" i="22"/>
  <c r="C104" i="22"/>
  <c r="C64" i="22"/>
  <c r="C16" i="22"/>
  <c r="C150" i="22"/>
  <c r="C142" i="22"/>
  <c r="C134" i="22"/>
  <c r="C126" i="22"/>
  <c r="C118" i="22"/>
  <c r="C110" i="22"/>
  <c r="C102" i="22"/>
  <c r="C94" i="22"/>
  <c r="C70" i="22"/>
  <c r="C62" i="22"/>
  <c r="C54" i="22"/>
  <c r="C46" i="22"/>
  <c r="C38" i="22"/>
  <c r="C30" i="22"/>
  <c r="C22" i="22"/>
  <c r="C14" i="22"/>
  <c r="C6" i="22"/>
  <c r="C128" i="22"/>
  <c r="C24" i="22"/>
  <c r="C149" i="22"/>
  <c r="C141" i="22"/>
  <c r="C133" i="22"/>
  <c r="C125" i="22"/>
  <c r="C117" i="22"/>
  <c r="C109" i="22"/>
  <c r="C101" i="22"/>
  <c r="C93" i="22"/>
  <c r="C69" i="22"/>
  <c r="C61" i="22"/>
  <c r="C53" i="22"/>
  <c r="C45" i="22"/>
  <c r="C37" i="22"/>
  <c r="C29" i="22"/>
  <c r="C21" i="22"/>
  <c r="C13" i="22"/>
  <c r="C120" i="22"/>
  <c r="C112" i="22"/>
  <c r="C96" i="22"/>
  <c r="C72" i="22"/>
  <c r="C56" i="22"/>
  <c r="C32" i="22"/>
  <c r="C148" i="22"/>
  <c r="C140" i="22"/>
  <c r="C132" i="22"/>
  <c r="C124" i="22"/>
  <c r="C116" i="22"/>
  <c r="C108" i="22"/>
  <c r="C100" i="22"/>
  <c r="C92" i="22"/>
  <c r="C68" i="22"/>
  <c r="C60" i="22"/>
  <c r="C52" i="22"/>
  <c r="C44" i="22"/>
  <c r="C36" i="22"/>
  <c r="C28" i="22"/>
  <c r="C20" i="22"/>
  <c r="C12" i="22"/>
  <c r="C48" i="22"/>
  <c r="C147" i="22"/>
  <c r="C139" i="22"/>
  <c r="C131" i="22"/>
  <c r="C123" i="22"/>
  <c r="C115" i="22"/>
  <c r="C107" i="22"/>
  <c r="C99" i="22"/>
  <c r="C67" i="22"/>
  <c r="C59" i="22"/>
  <c r="C51" i="22"/>
  <c r="C43" i="22"/>
  <c r="C35" i="22"/>
  <c r="C27" i="22"/>
  <c r="C19" i="22"/>
  <c r="C11" i="22"/>
  <c r="Z145" i="15" a="1"/>
  <c r="Z145" i="15" s="1"/>
  <c r="Z146" i="15" s="1" a="1"/>
  <c r="Z146" i="15" s="1"/>
  <c r="Z147" i="15" s="1" a="1"/>
  <c r="Z147" i="15" s="1"/>
  <c r="Z148" i="15" s="1" a="1"/>
  <c r="Z148" i="15" s="1"/>
  <c r="Z142" i="15" a="1"/>
  <c r="Z142" i="15" s="1"/>
  <c r="Z143" i="15" s="1" a="1"/>
  <c r="Z143" i="15" s="1"/>
  <c r="Z144" i="15" s="1" a="1"/>
  <c r="Z144" i="15" s="1"/>
  <c r="Z139" i="15" a="1"/>
  <c r="Z139" i="15" s="1"/>
  <c r="Z140" i="15" s="1" a="1"/>
  <c r="Z140" i="15" s="1"/>
  <c r="Z141" i="15" s="1" a="1"/>
  <c r="Z141" i="15" s="1"/>
  <c r="Z135" i="15" a="1"/>
  <c r="Z135" i="15" s="1"/>
  <c r="Z136" i="15" s="1" a="1"/>
  <c r="Z136" i="15" s="1"/>
  <c r="Z137" i="15" s="1" a="1"/>
  <c r="Z137" i="15" s="1"/>
  <c r="Z138" i="15" s="1" a="1"/>
  <c r="Z138" i="15" s="1"/>
  <c r="Z118" i="15" a="1"/>
  <c r="Z118" i="15" s="1"/>
  <c r="Z119" i="15" a="1"/>
  <c r="Z119" i="15" s="1"/>
  <c r="Z120" i="15" a="1"/>
  <c r="Z120" i="15" s="1"/>
  <c r="Z121" i="15" a="1"/>
  <c r="Z121" i="15" s="1"/>
  <c r="Z122" i="15" a="1"/>
  <c r="Z122" i="15" s="1"/>
  <c r="Z123" i="15" a="1"/>
  <c r="Z123" i="15" s="1"/>
  <c r="Z124" i="15" a="1"/>
  <c r="Z124" i="15" s="1"/>
  <c r="Z125" i="15" a="1"/>
  <c r="Z125" i="15" s="1"/>
  <c r="Z117" i="15" a="1"/>
  <c r="Z117" i="15" s="1"/>
  <c r="Z111" i="15" a="1"/>
  <c r="Z111" i="15" s="1"/>
  <c r="Z112" i="15" a="1"/>
  <c r="Z112" i="15" s="1"/>
  <c r="Z113" i="15" a="1"/>
  <c r="Z113" i="15" s="1"/>
  <c r="Z114" i="15" a="1"/>
  <c r="Z114" i="15" s="1"/>
  <c r="Z115" i="15" a="1"/>
  <c r="Z115" i="15" s="1"/>
  <c r="Z107" i="15" a="1"/>
  <c r="Z107" i="15" s="1"/>
  <c r="Z108" i="15" s="1" a="1"/>
  <c r="Z108" i="15" s="1"/>
  <c r="Z109" i="15" s="1" a="1"/>
  <c r="Z109" i="15" s="1"/>
  <c r="Z110" i="15" s="1" a="1"/>
  <c r="Z110" i="15" s="1"/>
  <c r="Z92" i="15" a="1"/>
  <c r="Z92" i="15" s="1"/>
  <c r="Z93" i="15" s="1" a="1"/>
  <c r="Z93" i="15" s="1"/>
  <c r="Z94" i="15" s="1" a="1"/>
  <c r="Z94" i="15" s="1"/>
  <c r="Z95" i="15" s="1" a="1"/>
  <c r="Z95" i="15" s="1"/>
  <c r="Z96" i="15" s="1" a="1"/>
  <c r="Z96" i="15" s="1"/>
  <c r="Z97" i="15" s="1" a="1"/>
  <c r="Z97" i="15" s="1"/>
  <c r="Z91" i="15" a="1"/>
  <c r="Z91" i="15" s="1"/>
  <c r="Z90" i="15" a="1"/>
  <c r="Z90" i="15" s="1"/>
  <c r="Z89" i="15" a="1"/>
  <c r="Z89" i="15" s="1"/>
  <c r="Z88" i="15" a="1"/>
  <c r="Z88" i="15" s="1"/>
  <c r="Z84" i="15" a="1"/>
  <c r="Z84" i="15" s="1"/>
  <c r="Z85" i="15" s="1" a="1"/>
  <c r="Z85" i="15" s="1"/>
  <c r="Z86" i="15" s="1" a="1"/>
  <c r="Z86" i="15" s="1"/>
  <c r="Z87" i="15" s="1" a="1"/>
  <c r="Z87" i="15" s="1"/>
  <c r="Z75" i="15" a="1"/>
  <c r="Z75" i="15" s="1"/>
  <c r="Z76" i="15" a="1"/>
  <c r="Z76" i="15" s="1"/>
  <c r="Z77" i="15" a="1"/>
  <c r="Z77" i="15" s="1"/>
  <c r="Z78" i="15" a="1"/>
  <c r="Z78" i="15" s="1"/>
  <c r="Z79" i="15" a="1"/>
  <c r="Z79" i="15" s="1"/>
  <c r="Z72" i="15" a="1"/>
  <c r="Z72" i="15" s="1"/>
  <c r="Z73" i="15" s="1" a="1"/>
  <c r="Z73" i="15" s="1"/>
  <c r="Z74" i="15" s="1" a="1"/>
  <c r="Z74" i="15" s="1"/>
  <c r="Z48" i="15" a="1"/>
  <c r="Z48" i="15" s="1"/>
  <c r="Z49" i="15" a="1"/>
  <c r="Z49" i="15" s="1"/>
  <c r="Z50" i="15" a="1"/>
  <c r="Z50" i="15" s="1"/>
  <c r="Z51" i="15" a="1"/>
  <c r="Z51" i="15" s="1"/>
  <c r="Z56" i="15" a="1"/>
  <c r="Z56" i="15" s="1"/>
  <c r="Z57" i="15" s="1" a="1"/>
  <c r="Z57" i="15" s="1"/>
  <c r="Z58" i="15" s="1" a="1"/>
  <c r="Z58" i="15" s="1"/>
  <c r="Z59" i="15" s="1" a="1"/>
  <c r="Z59" i="15" s="1"/>
  <c r="Z60" i="15" s="1" a="1"/>
  <c r="Z60" i="15" s="1"/>
  <c r="Z61" i="15" a="1"/>
  <c r="Z61" i="15" s="1"/>
  <c r="Z62" i="15" s="1" a="1"/>
  <c r="Z62" i="15" s="1"/>
  <c r="Z63" i="15" s="1" a="1"/>
  <c r="Z63" i="15" s="1"/>
  <c r="Z64" i="15" a="1"/>
  <c r="Z64" i="15" s="1"/>
  <c r="Z65" i="15" a="1"/>
  <c r="Z65" i="15" s="1"/>
  <c r="Z66" i="15" a="1"/>
  <c r="Z66" i="15" s="1"/>
  <c r="Z67" i="15" a="1"/>
  <c r="Z67" i="15" s="1"/>
  <c r="Z68" i="15" a="1"/>
  <c r="Z68" i="15" s="1"/>
  <c r="Z69" i="15" a="1"/>
  <c r="Z69" i="15" s="1"/>
  <c r="Z70" i="15" a="1"/>
  <c r="Z70" i="15" s="1"/>
  <c r="Z47" i="15" a="1"/>
  <c r="Z47" i="15" s="1"/>
  <c r="Z24" i="15" a="1"/>
  <c r="Z24" i="15" s="1"/>
  <c r="Z25" i="15" a="1"/>
  <c r="Z25" i="15" s="1"/>
  <c r="Z26" i="15" a="1"/>
  <c r="Z26" i="15" s="1"/>
  <c r="Z27" i="15" a="1"/>
  <c r="Z27" i="15" s="1"/>
  <c r="Z28" i="15" s="1" a="1"/>
  <c r="Z28" i="15" s="1"/>
  <c r="Z29" i="15" s="1" a="1"/>
  <c r="Z29" i="15" s="1"/>
  <c r="Z30" i="15" a="1"/>
  <c r="Z30" i="15" s="1"/>
  <c r="Z31" i="15" s="1" a="1"/>
  <c r="Z31" i="15" s="1"/>
  <c r="Z32" i="15" s="1" a="1"/>
  <c r="Z32" i="15" s="1"/>
  <c r="Z33" i="15" s="1" a="1"/>
  <c r="Z33" i="15" s="1"/>
  <c r="Z34" i="15" s="1" a="1"/>
  <c r="Z34" i="15" s="1"/>
  <c r="Z35" i="15" a="1"/>
  <c r="Z35" i="15" s="1"/>
  <c r="Z36" i="15" s="1" a="1"/>
  <c r="Z36" i="15" s="1"/>
  <c r="Z37" i="15" s="1" a="1"/>
  <c r="Z37" i="15" s="1"/>
  <c r="Z38" i="15" s="1" a="1"/>
  <c r="Z38" i="15" s="1"/>
  <c r="Z39" i="15" s="1" a="1"/>
  <c r="Z39" i="15" s="1"/>
  <c r="Z40" i="15" a="1"/>
  <c r="Z40" i="15" s="1"/>
  <c r="Z41" i="15" a="1"/>
  <c r="Z41" i="15" s="1"/>
  <c r="Z42" i="15" a="1"/>
  <c r="Z42" i="15" s="1"/>
  <c r="Z43" i="15" a="1"/>
  <c r="Z43" i="15" s="1"/>
  <c r="Z44" i="15" a="1"/>
  <c r="Z44" i="15" s="1"/>
  <c r="Z23" i="15" a="1"/>
  <c r="Z23" i="15" s="1"/>
  <c r="Z21" i="15" a="1"/>
  <c r="Z21" i="15" s="1"/>
  <c r="Z20" i="15" a="1"/>
  <c r="Z20" i="15" s="1"/>
  <c r="Z19" i="15" a="1"/>
  <c r="Z19" i="15" s="1"/>
  <c r="Z18" i="15" a="1"/>
  <c r="Z18" i="15" s="1"/>
  <c r="Z17" i="15" a="1"/>
  <c r="Z17" i="15" s="1"/>
  <c r="Z16" i="15" a="1"/>
  <c r="Z16" i="15" s="1"/>
  <c r="Z11" i="15" a="1"/>
  <c r="Z11" i="15" s="1"/>
  <c r="Z12" i="15" s="1" a="1"/>
  <c r="Z12" i="15" s="1"/>
  <c r="Z13" i="15" s="1" a="1"/>
  <c r="Z13" i="15" s="1"/>
  <c r="Z14" i="15" s="1" a="1"/>
  <c r="Z14" i="15" s="1"/>
  <c r="Z15" i="15" a="1"/>
  <c r="Z15" i="15" s="1"/>
  <c r="H139" i="15" a="1"/>
  <c r="H139" i="15" s="1"/>
  <c r="H142" i="15" a="1"/>
  <c r="H142" i="15" s="1"/>
  <c r="H145" i="15" a="1"/>
  <c r="H145" i="15" s="1"/>
  <c r="H135" i="15" a="1"/>
  <c r="H135" i="15" s="1"/>
  <c r="H88" i="15" a="1"/>
  <c r="H88" i="15" s="1"/>
  <c r="H89" i="15" a="1"/>
  <c r="H89" i="15" s="1"/>
  <c r="H90" i="15" a="1"/>
  <c r="H90" i="15" s="1"/>
  <c r="H91" i="15" a="1"/>
  <c r="H91" i="15" s="1"/>
  <c r="H92" i="15" a="1"/>
  <c r="H92" i="15" s="1"/>
  <c r="H98" i="15" a="1"/>
  <c r="H98" i="15" s="1"/>
  <c r="H99" i="15" a="1"/>
  <c r="H99" i="15" s="1"/>
  <c r="H100" i="15" a="1"/>
  <c r="H100" i="15" s="1"/>
  <c r="H101" i="15" a="1"/>
  <c r="H101" i="15" s="1"/>
  <c r="H102" i="15" a="1"/>
  <c r="H102" i="15" s="1"/>
  <c r="H103" i="15" a="1"/>
  <c r="H103" i="15" s="1"/>
  <c r="H104" i="15" a="1"/>
  <c r="H104" i="15" s="1"/>
  <c r="H105" i="15" a="1"/>
  <c r="H105" i="15" s="1"/>
  <c r="H106" i="15" a="1"/>
  <c r="H106" i="15" s="1"/>
  <c r="H107" i="15" a="1"/>
  <c r="H107" i="15" s="1"/>
  <c r="H84" i="15" a="1"/>
  <c r="H84" i="15" s="1"/>
  <c r="H82" i="15" a="1"/>
  <c r="H82" i="15" s="1"/>
  <c r="H51" i="15" a="1"/>
  <c r="H51" i="15" s="1"/>
  <c r="H56" i="15" a="1"/>
  <c r="H56" i="15" s="1"/>
  <c r="H61" i="15" a="1"/>
  <c r="H61" i="15" s="1"/>
  <c r="H64" i="15" a="1"/>
  <c r="H64" i="15" s="1"/>
  <c r="H65" i="15" a="1"/>
  <c r="H65" i="15" s="1"/>
  <c r="H66" i="15" a="1"/>
  <c r="H66" i="15" s="1"/>
  <c r="H67" i="15" a="1"/>
  <c r="H67" i="15" s="1"/>
  <c r="H68" i="15" a="1"/>
  <c r="H68" i="15" s="1"/>
  <c r="H69" i="15" a="1"/>
  <c r="H69" i="15" s="1"/>
  <c r="H70" i="15" a="1"/>
  <c r="H70" i="15" s="1"/>
  <c r="H71" i="15" a="1"/>
  <c r="H71" i="15" s="1"/>
  <c r="H75" i="15" a="1"/>
  <c r="H75" i="15" s="1"/>
  <c r="H76" i="15" a="1"/>
  <c r="H76" i="15" s="1"/>
  <c r="H77" i="15" a="1"/>
  <c r="H77" i="15" s="1"/>
  <c r="H78" i="15" a="1"/>
  <c r="H78" i="15" s="1"/>
  <c r="H79" i="15" a="1"/>
  <c r="H79" i="15" s="1"/>
  <c r="H50" i="15" a="1"/>
  <c r="H50" i="15" s="1"/>
  <c r="H48" i="15" a="1"/>
  <c r="H48" i="15" s="1"/>
  <c r="H47" i="15" a="1"/>
  <c r="H47" i="15" s="1"/>
  <c r="H45" i="15" a="1"/>
  <c r="H45" i="15" s="1"/>
  <c r="H24" i="15" a="1"/>
  <c r="H24" i="15" s="1"/>
  <c r="H25" i="15" a="1"/>
  <c r="H25" i="15" s="1"/>
  <c r="H26" i="15" a="1"/>
  <c r="H26" i="15" s="1"/>
  <c r="H27" i="15" a="1"/>
  <c r="H27" i="15" s="1"/>
  <c r="H30" i="15" a="1"/>
  <c r="H30" i="15" s="1"/>
  <c r="H35" i="15" a="1"/>
  <c r="H35" i="15" s="1"/>
  <c r="H40" i="15" a="1"/>
  <c r="H40" i="15" s="1"/>
  <c r="H41" i="15" a="1"/>
  <c r="H41" i="15" s="1"/>
  <c r="H42" i="15" a="1"/>
  <c r="H42" i="15" s="1"/>
  <c r="H43" i="15" a="1"/>
  <c r="H43" i="15" s="1"/>
  <c r="H23" i="15" a="1"/>
  <c r="H23" i="15" s="1"/>
  <c r="H21" i="15" a="1"/>
  <c r="H21" i="15" s="1"/>
  <c r="H20" i="15" a="1"/>
  <c r="H20" i="15" s="1"/>
  <c r="H19" i="15" a="1"/>
  <c r="H19" i="15" s="1"/>
  <c r="H18" i="15" a="1"/>
  <c r="H18" i="15" s="1"/>
  <c r="H17" i="15" a="1"/>
  <c r="H17" i="15" s="1"/>
  <c r="H16" i="15" a="1"/>
  <c r="H16" i="15" s="1"/>
  <c r="H11" i="15" a="1"/>
  <c r="H11" i="15" s="1"/>
  <c r="H15" i="15" a="1"/>
  <c r="H15" i="15" s="1"/>
  <c r="H6" i="15" a="1"/>
  <c r="H6" i="15" s="1"/>
  <c r="Z6" i="15" a="1"/>
  <c r="Z6" i="15" s="1"/>
  <c r="Z7" i="15" s="1" a="1"/>
  <c r="Z7" i="15" s="1"/>
  <c r="Z8" i="15" s="1" a="1"/>
  <c r="Z8" i="15" s="1"/>
  <c r="Z9" i="15" s="1" a="1"/>
  <c r="Z9" i="15" s="1"/>
  <c r="Z10" i="15" s="1" a="1"/>
  <c r="Z10" i="15" s="1"/>
  <c r="AD9" i="15"/>
  <c r="AD8" i="15"/>
  <c r="AD7" i="15"/>
  <c r="AB7" i="13"/>
  <c r="AD7" i="13" s="1"/>
  <c r="M7" i="13"/>
  <c r="K7" i="13"/>
  <c r="AB6" i="13"/>
  <c r="AD6" i="13" s="1"/>
  <c r="AB5" i="13"/>
  <c r="AD5" i="13" s="1"/>
  <c r="K15" i="15" a="1"/>
  <c r="K15" i="15" s="1"/>
  <c r="K16" i="15" a="1"/>
  <c r="K16" i="15" s="1"/>
  <c r="K17" i="15" a="1"/>
  <c r="K17" i="15" s="1"/>
  <c r="K18" i="15" a="1"/>
  <c r="K18" i="15" s="1"/>
  <c r="K19" i="15" a="1"/>
  <c r="K19" i="15" s="1"/>
  <c r="K20" i="15" a="1"/>
  <c r="K20" i="15" s="1"/>
  <c r="K21" i="15" a="1"/>
  <c r="K21" i="15" s="1"/>
  <c r="K11" i="15" a="1"/>
  <c r="K11" i="15" s="1"/>
  <c r="K9" i="15" a="1"/>
  <c r="K9" i="15" s="1"/>
  <c r="K8" i="15" a="1"/>
  <c r="K8" i="15" s="1"/>
  <c r="K7" i="15" a="1"/>
  <c r="K7" i="15" s="1"/>
  <c r="K6" i="15" a="1"/>
  <c r="K6" i="15" s="1"/>
  <c r="C5" i="22"/>
  <c r="C4" i="22"/>
  <c r="C3" i="22"/>
  <c r="AE9" i="15"/>
  <c r="AE8" i="15"/>
  <c r="AE7" i="15"/>
  <c r="BE9" i="15" a="1"/>
  <c r="BE9" i="15" s="1"/>
  <c r="P9" i="15" a="1"/>
  <c r="P9" i="15" s="1"/>
  <c r="J9" i="15"/>
  <c r="BE8" i="15" a="1"/>
  <c r="BE8" i="15" s="1"/>
  <c r="P8" i="15" a="1"/>
  <c r="P8" i="15" s="1"/>
  <c r="J8" i="15"/>
  <c r="BE7" i="15" a="1"/>
  <c r="BE7" i="15" s="1"/>
  <c r="P7" i="15" a="1"/>
  <c r="P7" i="15" s="1"/>
  <c r="J7" i="15"/>
  <c r="P97" i="15" a="1"/>
  <c r="P97" i="15" s="1"/>
  <c r="P96" i="15" a="1"/>
  <c r="P96" i="15" s="1"/>
  <c r="P95" i="15" a="1"/>
  <c r="P95" i="15" s="1"/>
  <c r="P94" i="15" a="1"/>
  <c r="P94" i="15" s="1"/>
  <c r="P93" i="15" a="1"/>
  <c r="P93" i="15" s="1"/>
  <c r="P92" i="15" a="1"/>
  <c r="P92" i="15" s="1"/>
  <c r="AX97" i="15"/>
  <c r="AX96" i="15"/>
  <c r="AX95" i="15"/>
  <c r="AX94" i="15"/>
  <c r="AX93" i="15"/>
  <c r="AX92" i="15"/>
  <c r="AD97" i="15"/>
  <c r="AD96" i="15"/>
  <c r="AD95" i="15"/>
  <c r="AD94" i="15"/>
  <c r="AE97" i="15"/>
  <c r="AE96" i="15"/>
  <c r="AE95" i="15"/>
  <c r="AE94" i="15"/>
  <c r="AE93" i="15"/>
  <c r="AC93" i="15" s="1"/>
  <c r="E94" i="15"/>
  <c r="E95" i="15"/>
  <c r="E96" i="15"/>
  <c r="E97" i="15"/>
  <c r="C91" i="22" s="1"/>
  <c r="E93" i="15"/>
  <c r="BE97" i="15" a="1"/>
  <c r="BE97" i="15" s="1"/>
  <c r="AY97" i="15"/>
  <c r="AH97" i="15"/>
  <c r="AB97" i="15"/>
  <c r="K97" i="15" a="1"/>
  <c r="K97" i="15" s="1"/>
  <c r="J97" i="15"/>
  <c r="BE96" i="15" a="1"/>
  <c r="BE96" i="15" s="1"/>
  <c r="AY96" i="15"/>
  <c r="AH96" i="15"/>
  <c r="AB96" i="15"/>
  <c r="K96" i="15" a="1"/>
  <c r="K96" i="15" s="1"/>
  <c r="J96" i="15"/>
  <c r="BE95" i="15" a="1"/>
  <c r="BE95" i="15" s="1"/>
  <c r="AY95" i="15"/>
  <c r="AH95" i="15"/>
  <c r="AB95" i="15"/>
  <c r="K95" i="15" a="1"/>
  <c r="K95" i="15" s="1"/>
  <c r="J95" i="15"/>
  <c r="BE94" i="15" a="1"/>
  <c r="BE94" i="15" s="1"/>
  <c r="AY94" i="15"/>
  <c r="AH94" i="15"/>
  <c r="AB94" i="15"/>
  <c r="K94" i="15" a="1"/>
  <c r="K94" i="15" s="1"/>
  <c r="J94" i="15"/>
  <c r="BE93" i="15" a="1"/>
  <c r="BE93" i="15" s="1"/>
  <c r="AY93" i="15"/>
  <c r="AH93" i="15"/>
  <c r="AB93" i="15"/>
  <c r="K93" i="15" a="1"/>
  <c r="K93" i="15" s="1"/>
  <c r="J93" i="15"/>
  <c r="BE92" i="15" a="1"/>
  <c r="BE92" i="15" s="1"/>
  <c r="AY92" i="15"/>
  <c r="AH92" i="15"/>
  <c r="AB92" i="15"/>
  <c r="K92" i="15" a="1"/>
  <c r="K92" i="15" s="1"/>
  <c r="J92" i="15"/>
  <c r="K84" i="15" a="1"/>
  <c r="K84" i="15" s="1"/>
  <c r="AE87" i="15"/>
  <c r="AC87" i="15" s="1"/>
  <c r="AE86" i="15"/>
  <c r="AC86" i="15" s="1"/>
  <c r="AE85" i="15"/>
  <c r="AC85" i="15" s="1"/>
  <c r="AB87" i="15"/>
  <c r="AB84" i="15"/>
  <c r="AB86" i="15"/>
  <c r="AB85" i="15"/>
  <c r="E86" i="15"/>
  <c r="E87" i="15"/>
  <c r="C80" i="22" s="1"/>
  <c r="E85" i="15"/>
  <c r="C75" i="22" s="1"/>
  <c r="BE87" i="15" a="1"/>
  <c r="BE87" i="15" s="1"/>
  <c r="AY87" i="15"/>
  <c r="AX87" i="15"/>
  <c r="AH87" i="15"/>
  <c r="P87" i="15" a="1"/>
  <c r="P87" i="15" s="1"/>
  <c r="K87" i="15" a="1"/>
  <c r="K87" i="15" s="1"/>
  <c r="J87" i="15"/>
  <c r="BE86" i="15" a="1"/>
  <c r="BE86" i="15" s="1"/>
  <c r="AY86" i="15"/>
  <c r="AX86" i="15"/>
  <c r="AH86" i="15"/>
  <c r="P86" i="15" a="1"/>
  <c r="P86" i="15" s="1"/>
  <c r="K86" i="15" a="1"/>
  <c r="K86" i="15" s="1"/>
  <c r="J86" i="15"/>
  <c r="BE85" i="15" a="1"/>
  <c r="BE85" i="15" s="1"/>
  <c r="AY85" i="15"/>
  <c r="AX85" i="15"/>
  <c r="AH85" i="15"/>
  <c r="P85" i="15" a="1"/>
  <c r="P85" i="15" s="1"/>
  <c r="K85" i="15" a="1"/>
  <c r="K85" i="15" s="1"/>
  <c r="J85" i="15"/>
  <c r="B36" i="22" l="1"/>
  <c r="C81" i="22"/>
  <c r="C87" i="22"/>
  <c r="H12" i="15" a="1"/>
  <c r="H12" i="15" s="1"/>
  <c r="H13" i="15" s="1" a="1"/>
  <c r="H13" i="15" s="1"/>
  <c r="H14" i="15" s="1" a="1"/>
  <c r="H14" i="15" s="1"/>
  <c r="B9" i="22" s="1"/>
  <c r="C79" i="22"/>
  <c r="C90" i="22"/>
  <c r="B71" i="22"/>
  <c r="B37" i="22"/>
  <c r="B11" i="22"/>
  <c r="B39" i="22"/>
  <c r="B14" i="22"/>
  <c r="B72" i="22"/>
  <c r="C89" i="22"/>
  <c r="B15" i="22"/>
  <c r="B16" i="22"/>
  <c r="B12" i="22"/>
  <c r="B40" i="22"/>
  <c r="C77" i="22"/>
  <c r="B13" i="22"/>
  <c r="B41" i="22"/>
  <c r="B42" i="22"/>
  <c r="B19" i="22"/>
  <c r="C88" i="22"/>
  <c r="C84" i="22"/>
  <c r="B18" i="22"/>
  <c r="B17" i="22"/>
  <c r="B38" i="22"/>
  <c r="C78" i="22"/>
  <c r="B59" i="22"/>
  <c r="B60" i="22"/>
  <c r="B61" i="22"/>
  <c r="B93" i="22"/>
  <c r="B70" i="22"/>
  <c r="C86" i="22"/>
  <c r="C76" i="22"/>
  <c r="C85" i="22"/>
  <c r="C83" i="22"/>
  <c r="B95" i="22"/>
  <c r="C82" i="22"/>
  <c r="C74" i="22"/>
  <c r="B2" i="22"/>
  <c r="B92" i="22"/>
  <c r="AC7" i="15"/>
  <c r="B96" i="22"/>
  <c r="B73" i="22"/>
  <c r="AC8" i="15"/>
  <c r="AC9" i="15"/>
  <c r="B94" i="22"/>
  <c r="H7" i="15" a="1"/>
  <c r="H7" i="15" s="1"/>
  <c r="B3" i="22" s="1"/>
  <c r="H31" i="15" a="1"/>
  <c r="H31" i="15" s="1"/>
  <c r="H85" i="15" a="1"/>
  <c r="H85" i="15" s="1"/>
  <c r="B74" i="22" s="1"/>
  <c r="H136" i="15" a="1"/>
  <c r="H136" i="15" s="1"/>
  <c r="H108" i="15" a="1"/>
  <c r="H108" i="15" s="1"/>
  <c r="B97" i="22" s="1"/>
  <c r="H146" i="15" a="1"/>
  <c r="H146" i="15" s="1"/>
  <c r="H28" i="15" a="1"/>
  <c r="H28" i="15" s="1"/>
  <c r="B20" i="22" s="1"/>
  <c r="H143" i="15" a="1"/>
  <c r="H143" i="15" s="1"/>
  <c r="H93" i="15" a="1"/>
  <c r="H93" i="15" s="1"/>
  <c r="B82" i="22" s="1"/>
  <c r="H140" i="15" a="1"/>
  <c r="H140" i="15" s="1"/>
  <c r="H72" i="15" a="1"/>
  <c r="H72" i="15" s="1"/>
  <c r="B62" i="22" s="1"/>
  <c r="H62" i="15" a="1"/>
  <c r="H62" i="15" s="1"/>
  <c r="H36" i="15" a="1"/>
  <c r="H36" i="15" s="1"/>
  <c r="H57" i="15" a="1"/>
  <c r="H57" i="15" s="1"/>
  <c r="AC97" i="15"/>
  <c r="AC94" i="15"/>
  <c r="AC95" i="15"/>
  <c r="AX84" i="15"/>
  <c r="BE84" i="15" a="1"/>
  <c r="BE84" i="15" s="1"/>
  <c r="AY84" i="15"/>
  <c r="AH84" i="15"/>
  <c r="P84" i="15" a="1"/>
  <c r="P84" i="15" s="1"/>
  <c r="J84" i="15"/>
  <c r="B10" i="22" l="1"/>
  <c r="B7" i="22"/>
  <c r="B8" i="22"/>
  <c r="H86" i="15" a="1"/>
  <c r="H86" i="15" s="1"/>
  <c r="B75" i="22" s="1"/>
  <c r="H58" i="15" a="1"/>
  <c r="H58" i="15" s="1"/>
  <c r="H141" i="15" a="1"/>
  <c r="H141" i="15" s="1"/>
  <c r="H147" i="15" a="1"/>
  <c r="H147" i="15" s="1"/>
  <c r="H37" i="15" a="1"/>
  <c r="H37" i="15" s="1"/>
  <c r="H94" i="15" a="1"/>
  <c r="H94" i="15" s="1"/>
  <c r="H109" i="15" a="1"/>
  <c r="H109" i="15" s="1"/>
  <c r="B98" i="22" s="1"/>
  <c r="H32" i="15" a="1"/>
  <c r="H32" i="15" s="1"/>
  <c r="H29" i="15" a="1"/>
  <c r="H29" i="15" s="1"/>
  <c r="B23" i="22" s="1"/>
  <c r="H73" i="15" a="1"/>
  <c r="H73" i="15" s="1"/>
  <c r="B63" i="22" s="1"/>
  <c r="H63" i="15" a="1"/>
  <c r="H63" i="15" s="1"/>
  <c r="H144" i="15" a="1"/>
  <c r="H144" i="15" s="1"/>
  <c r="H137" i="15" a="1"/>
  <c r="H137" i="15" s="1"/>
  <c r="H8" i="15" a="1"/>
  <c r="H8" i="15" s="1"/>
  <c r="B4" i="22" s="1"/>
  <c r="AC96" i="15"/>
  <c r="BE141" i="15" a="1"/>
  <c r="BE141" i="15" s="1"/>
  <c r="AY141" i="15"/>
  <c r="AW141" i="15"/>
  <c r="AE141" i="15"/>
  <c r="AC141" i="15" s="1"/>
  <c r="AB141" i="15"/>
  <c r="P141" i="15" a="1"/>
  <c r="P141" i="15" s="1"/>
  <c r="K141" i="15" a="1"/>
  <c r="K141" i="15" s="1"/>
  <c r="J141" i="15"/>
  <c r="BE147" i="15" a="1"/>
  <c r="BE147" i="15" s="1"/>
  <c r="AY147" i="15"/>
  <c r="AW147" i="15"/>
  <c r="AE147" i="15"/>
  <c r="AC147" i="15" s="1"/>
  <c r="AB147" i="15"/>
  <c r="P147" i="15" a="1"/>
  <c r="P147" i="15" s="1"/>
  <c r="K147" i="15" a="1"/>
  <c r="K147" i="15" s="1"/>
  <c r="J147" i="15"/>
  <c r="AE140" i="15"/>
  <c r="AC140" i="15" s="1"/>
  <c r="AB140" i="15"/>
  <c r="AB139" i="15"/>
  <c r="BE140" i="15" a="1"/>
  <c r="BE140" i="15" s="1"/>
  <c r="AY140" i="15"/>
  <c r="AW140" i="15"/>
  <c r="P140" i="15" a="1"/>
  <c r="P140" i="15" s="1"/>
  <c r="K140" i="15" a="1"/>
  <c r="K140" i="15" s="1"/>
  <c r="J140" i="15"/>
  <c r="AB148" i="15"/>
  <c r="AE148" i="15"/>
  <c r="AC148" i="15" s="1"/>
  <c r="AE146" i="15"/>
  <c r="AC146" i="15" s="1"/>
  <c r="AB146" i="15"/>
  <c r="AB145" i="15"/>
  <c r="BE146" i="15" a="1"/>
  <c r="BE146" i="15" s="1"/>
  <c r="AY146" i="15"/>
  <c r="AW146" i="15"/>
  <c r="P146" i="15" a="1"/>
  <c r="P146" i="15" s="1"/>
  <c r="K146" i="15" a="1"/>
  <c r="K146" i="15" s="1"/>
  <c r="J146" i="15"/>
  <c r="BE148" i="15" a="1"/>
  <c r="BE148" i="15" s="1"/>
  <c r="AY148" i="15"/>
  <c r="AW148" i="15"/>
  <c r="P148" i="15" a="1"/>
  <c r="P148" i="15" s="1"/>
  <c r="J148" i="15"/>
  <c r="B132" i="22" l="1"/>
  <c r="B57" i="22"/>
  <c r="B58" i="22"/>
  <c r="B24" i="22"/>
  <c r="B133" i="22"/>
  <c r="B56" i="22"/>
  <c r="B21" i="22"/>
  <c r="B22" i="22"/>
  <c r="B130" i="22"/>
  <c r="B83" i="22"/>
  <c r="B131" i="22"/>
  <c r="H74" i="15" a="1"/>
  <c r="H74" i="15" s="1"/>
  <c r="H95" i="15" a="1"/>
  <c r="H95" i="15" s="1"/>
  <c r="B84" i="22" s="1"/>
  <c r="H9" i="15" a="1"/>
  <c r="H9" i="15" s="1"/>
  <c r="H138" i="15" a="1"/>
  <c r="H138" i="15" s="1"/>
  <c r="B126" i="22" s="1"/>
  <c r="H38" i="15" a="1"/>
  <c r="H38" i="15" s="1"/>
  <c r="H59" i="15" a="1"/>
  <c r="H59" i="15" s="1"/>
  <c r="H148" i="15" a="1"/>
  <c r="H148" i="15" s="1"/>
  <c r="H110" i="15" a="1"/>
  <c r="H110" i="15" s="1"/>
  <c r="B99" i="22" s="1"/>
  <c r="H33" i="15" a="1"/>
  <c r="H33" i="15" s="1"/>
  <c r="B25" i="22" s="1"/>
  <c r="H87" i="15" a="1"/>
  <c r="H87" i="15" s="1"/>
  <c r="BE170" i="15" a="1"/>
  <c r="BE170" i="15" s="1"/>
  <c r="AY170" i="15"/>
  <c r="AH170" i="15"/>
  <c r="AB170" i="15"/>
  <c r="Z170" i="15"/>
  <c r="P170" i="15" a="1"/>
  <c r="P170" i="15" s="1"/>
  <c r="J170" i="15"/>
  <c r="H170" i="15"/>
  <c r="B129" i="22" l="1"/>
  <c r="B5" i="22"/>
  <c r="B6" i="22"/>
  <c r="B68" i="22"/>
  <c r="B69" i="22"/>
  <c r="B80" i="22"/>
  <c r="B81" i="22"/>
  <c r="B128" i="22"/>
  <c r="B78" i="22"/>
  <c r="B79" i="22"/>
  <c r="B66" i="22"/>
  <c r="B67" i="22"/>
  <c r="B127" i="22"/>
  <c r="B64" i="22"/>
  <c r="B65" i="22"/>
  <c r="B134" i="22"/>
  <c r="B76" i="22"/>
  <c r="B77" i="22"/>
  <c r="B135" i="22"/>
  <c r="H60" i="15" a="1"/>
  <c r="H60" i="15" s="1"/>
  <c r="H96" i="15" a="1"/>
  <c r="H96" i="15" s="1"/>
  <c r="B85" i="22" s="1"/>
  <c r="H34" i="15" a="1"/>
  <c r="H34" i="15" s="1"/>
  <c r="B30" i="22" s="1"/>
  <c r="H39" i="15" a="1"/>
  <c r="H39" i="15" s="1"/>
  <c r="B35" i="22" s="1"/>
  <c r="AE138" i="15"/>
  <c r="AC138" i="15" s="1"/>
  <c r="AB138" i="15"/>
  <c r="AE137" i="15"/>
  <c r="AC137" i="15" s="1"/>
  <c r="AB137" i="15"/>
  <c r="AE136" i="15"/>
  <c r="AC136" i="15" s="1"/>
  <c r="AB136" i="15"/>
  <c r="BE138" i="15" a="1"/>
  <c r="BE138" i="15" s="1"/>
  <c r="AY138" i="15"/>
  <c r="AW138" i="15"/>
  <c r="P138" i="15" a="1"/>
  <c r="P138" i="15" s="1"/>
  <c r="K138" i="15" a="1"/>
  <c r="K138" i="15" s="1"/>
  <c r="J138" i="15"/>
  <c r="BE137" i="15" a="1"/>
  <c r="BE137" i="15" s="1"/>
  <c r="AY137" i="15"/>
  <c r="AW137" i="15"/>
  <c r="P137" i="15" a="1"/>
  <c r="P137" i="15" s="1"/>
  <c r="K137" i="15" a="1"/>
  <c r="K137" i="15" s="1"/>
  <c r="J137" i="15"/>
  <c r="AE144" i="15"/>
  <c r="AC144" i="15" s="1"/>
  <c r="AE143" i="15"/>
  <c r="AC143" i="15" s="1"/>
  <c r="AB144" i="15"/>
  <c r="AB143" i="15"/>
  <c r="BE144" i="15" a="1"/>
  <c r="BE144" i="15" s="1"/>
  <c r="AY144" i="15"/>
  <c r="AW144" i="15"/>
  <c r="P144" i="15" a="1"/>
  <c r="P144" i="15" s="1"/>
  <c r="K144" i="15" a="1"/>
  <c r="K144" i="15" s="1"/>
  <c r="J144" i="15"/>
  <c r="BE143" i="15" a="1"/>
  <c r="BE143" i="15" s="1"/>
  <c r="AY143" i="15"/>
  <c r="AW143" i="15"/>
  <c r="P143" i="15" a="1"/>
  <c r="P143" i="15" s="1"/>
  <c r="K143" i="15" a="1"/>
  <c r="K143" i="15" s="1"/>
  <c r="J143" i="15"/>
  <c r="BE136" i="15" a="1"/>
  <c r="BE136" i="15" s="1"/>
  <c r="AY136" i="15"/>
  <c r="AW136" i="15"/>
  <c r="P136" i="15" a="1"/>
  <c r="P136" i="15" s="1"/>
  <c r="K136" i="15" a="1"/>
  <c r="K136" i="15" s="1"/>
  <c r="J136" i="15"/>
  <c r="AB142" i="15"/>
  <c r="B54" i="22" l="1"/>
  <c r="B55" i="22"/>
  <c r="B28" i="22"/>
  <c r="B29" i="22"/>
  <c r="B33" i="22"/>
  <c r="B34" i="22"/>
  <c r="B52" i="22"/>
  <c r="B53" i="22"/>
  <c r="B31" i="22"/>
  <c r="B32" i="22"/>
  <c r="B26" i="22"/>
  <c r="B27" i="22"/>
  <c r="H52" i="15" a="1"/>
  <c r="H52" i="15" s="1"/>
  <c r="B51" i="22"/>
  <c r="H97" i="15" a="1"/>
  <c r="H97" i="15" s="1"/>
  <c r="AB135" i="15"/>
  <c r="AB31" i="15"/>
  <c r="AB32" i="15"/>
  <c r="AB33" i="15"/>
  <c r="AB34" i="15"/>
  <c r="AB35" i="15"/>
  <c r="AB36" i="15"/>
  <c r="AB37" i="15"/>
  <c r="AB38" i="15"/>
  <c r="AB39" i="15"/>
  <c r="AB30" i="15"/>
  <c r="AB29" i="15"/>
  <c r="AB28" i="15"/>
  <c r="AB27" i="15"/>
  <c r="AB109" i="15"/>
  <c r="AB110" i="15"/>
  <c r="AB108" i="15"/>
  <c r="AB107" i="15"/>
  <c r="AB81" i="15"/>
  <c r="AB74" i="15"/>
  <c r="AB73" i="15"/>
  <c r="AB72" i="15"/>
  <c r="AB71" i="15"/>
  <c r="AB61" i="15"/>
  <c r="AB62" i="15"/>
  <c r="AB63" i="15"/>
  <c r="AB56" i="15"/>
  <c r="AB57" i="15"/>
  <c r="AB58" i="15"/>
  <c r="AB59" i="15"/>
  <c r="AB60" i="15"/>
  <c r="AB52" i="15"/>
  <c r="AB53" i="15"/>
  <c r="AB54" i="15"/>
  <c r="AB51" i="15"/>
  <c r="B90" i="22" l="1"/>
  <c r="B91" i="22"/>
  <c r="B88" i="22"/>
  <c r="B89" i="22"/>
  <c r="B43" i="22"/>
  <c r="H53" i="15" a="1"/>
  <c r="H53" i="15" s="1"/>
  <c r="B86" i="22"/>
  <c r="B87" i="22"/>
  <c r="AE39" i="15"/>
  <c r="AC39" i="15" s="1"/>
  <c r="AE38" i="15"/>
  <c r="AC38" i="15" s="1"/>
  <c r="AE37" i="15"/>
  <c r="AC37" i="15" s="1"/>
  <c r="AE34" i="15"/>
  <c r="AE33" i="15"/>
  <c r="AE32" i="15"/>
  <c r="AE36" i="15"/>
  <c r="AC36" i="15" s="1"/>
  <c r="B44" i="22" l="1"/>
  <c r="H54" i="15" a="1"/>
  <c r="H54" i="15" s="1"/>
  <c r="B45" i="22" s="1"/>
  <c r="BE39" i="15" a="1"/>
  <c r="BE39" i="15" s="1"/>
  <c r="AY39" i="15"/>
  <c r="AS39" i="15"/>
  <c r="AH39" i="15"/>
  <c r="P39" i="15" a="1"/>
  <c r="P39" i="15" s="1"/>
  <c r="K39" i="15" a="1"/>
  <c r="K39" i="15" s="1"/>
  <c r="J39" i="15"/>
  <c r="BE38" i="15" a="1"/>
  <c r="BE38" i="15" s="1"/>
  <c r="AY38" i="15"/>
  <c r="AS38" i="15"/>
  <c r="AH38" i="15"/>
  <c r="P38" i="15" a="1"/>
  <c r="P38" i="15" s="1"/>
  <c r="K38" i="15" a="1"/>
  <c r="K38" i="15" s="1"/>
  <c r="J38" i="15"/>
  <c r="BE37" i="15" a="1"/>
  <c r="BE37" i="15" s="1"/>
  <c r="AY37" i="15"/>
  <c r="AS37" i="15"/>
  <c r="AH37" i="15"/>
  <c r="P37" i="15" a="1"/>
  <c r="P37" i="15" s="1"/>
  <c r="K37" i="15" a="1"/>
  <c r="K37" i="15" s="1"/>
  <c r="J37" i="15"/>
  <c r="BE36" i="15" a="1"/>
  <c r="BE36" i="15" s="1"/>
  <c r="AY36" i="15"/>
  <c r="AS36" i="15"/>
  <c r="AH36" i="15"/>
  <c r="P36" i="15" a="1"/>
  <c r="P36" i="15" s="1"/>
  <c r="K36" i="15" a="1"/>
  <c r="K36" i="15" s="1"/>
  <c r="J36" i="15"/>
  <c r="BE35" i="15" a="1"/>
  <c r="BE35" i="15" s="1"/>
  <c r="AY35" i="15"/>
  <c r="AS35" i="15"/>
  <c r="AH35" i="15"/>
  <c r="P35" i="15" a="1"/>
  <c r="P35" i="15" s="1"/>
  <c r="K35" i="15" a="1"/>
  <c r="K35" i="15" s="1"/>
  <c r="J35" i="15"/>
  <c r="AC34" i="15"/>
  <c r="AC33" i="15"/>
  <c r="AC32" i="15"/>
  <c r="AE31" i="15"/>
  <c r="AC31" i="15" s="1"/>
  <c r="BE34" i="15" a="1"/>
  <c r="BE34" i="15" s="1"/>
  <c r="AY34" i="15"/>
  <c r="AX34" i="15"/>
  <c r="AH34" i="15"/>
  <c r="P34" i="15" a="1"/>
  <c r="P34" i="15" s="1"/>
  <c r="K34" i="15" a="1"/>
  <c r="K34" i="15" s="1"/>
  <c r="J34" i="15"/>
  <c r="BE33" i="15" a="1"/>
  <c r="BE33" i="15" s="1"/>
  <c r="AY33" i="15"/>
  <c r="AX33" i="15"/>
  <c r="AH33" i="15"/>
  <c r="P33" i="15" a="1"/>
  <c r="P33" i="15" s="1"/>
  <c r="K33" i="15" a="1"/>
  <c r="K33" i="15" s="1"/>
  <c r="J33" i="15"/>
  <c r="BE32" i="15" a="1"/>
  <c r="BE32" i="15" s="1"/>
  <c r="AY32" i="15"/>
  <c r="AX32" i="15"/>
  <c r="AH32" i="15"/>
  <c r="P32" i="15" a="1"/>
  <c r="P32" i="15" s="1"/>
  <c r="K32" i="15" a="1"/>
  <c r="K32" i="15" s="1"/>
  <c r="J32" i="15"/>
  <c r="BE31" i="15" a="1"/>
  <c r="BE31" i="15" s="1"/>
  <c r="AY31" i="15"/>
  <c r="AX31" i="15"/>
  <c r="AH31" i="15"/>
  <c r="P31" i="15" a="1"/>
  <c r="P31" i="15" s="1"/>
  <c r="K31" i="15" a="1"/>
  <c r="K31" i="15" s="1"/>
  <c r="J31" i="15"/>
  <c r="BE30" i="15" a="1"/>
  <c r="BE30" i="15" s="1"/>
  <c r="AY30" i="15"/>
  <c r="AX30" i="15"/>
  <c r="AH30" i="15"/>
  <c r="P30" i="15" a="1"/>
  <c r="P30" i="15" s="1"/>
  <c r="K30" i="15" a="1"/>
  <c r="K30" i="15" s="1"/>
  <c r="J30" i="15"/>
  <c r="B50" i="22" l="1"/>
  <c r="AE110" i="15"/>
  <c r="AC110" i="15" s="1"/>
  <c r="AE109" i="15"/>
  <c r="AC109" i="15" s="1"/>
  <c r="AE108" i="15"/>
  <c r="AC108" i="15" s="1"/>
  <c r="BE110" i="15" a="1"/>
  <c r="BE110" i="15" s="1"/>
  <c r="AY110" i="15"/>
  <c r="AX110" i="15"/>
  <c r="AH110" i="15"/>
  <c r="P110" i="15" a="1"/>
  <c r="P110" i="15" s="1"/>
  <c r="K110" i="15" a="1"/>
  <c r="K110" i="15" s="1"/>
  <c r="J110" i="15"/>
  <c r="BE109" i="15" a="1"/>
  <c r="BE109" i="15" s="1"/>
  <c r="AY109" i="15"/>
  <c r="AX109" i="15"/>
  <c r="AH109" i="15"/>
  <c r="P109" i="15" a="1"/>
  <c r="P109" i="15" s="1"/>
  <c r="K109" i="15" a="1"/>
  <c r="K109" i="15" s="1"/>
  <c r="J109" i="15"/>
  <c r="BE108" i="15" a="1"/>
  <c r="BE108" i="15" s="1"/>
  <c r="AY108" i="15"/>
  <c r="AX108" i="15"/>
  <c r="AH108" i="15"/>
  <c r="P108" i="15" a="1"/>
  <c r="P108" i="15" s="1"/>
  <c r="K108" i="15" a="1"/>
  <c r="K108" i="15" s="1"/>
  <c r="J108" i="15"/>
  <c r="B48" i="22" l="1"/>
  <c r="B49" i="22"/>
  <c r="B46" i="22"/>
  <c r="B47" i="22"/>
  <c r="AE63" i="15"/>
  <c r="AC63" i="15" s="1"/>
  <c r="AE62" i="15"/>
  <c r="AC62" i="15" s="1"/>
  <c r="BE63" i="15" a="1"/>
  <c r="BE63" i="15" s="1"/>
  <c r="AY63" i="15"/>
  <c r="AT63" i="15"/>
  <c r="AH63" i="15"/>
  <c r="P63" i="15" a="1"/>
  <c r="P63" i="15" s="1"/>
  <c r="K63" i="15" a="1"/>
  <c r="K63" i="15" s="1"/>
  <c r="J63" i="15"/>
  <c r="BE62" i="15" a="1"/>
  <c r="BE62" i="15" s="1"/>
  <c r="AY62" i="15"/>
  <c r="AT62" i="15"/>
  <c r="AH62" i="15"/>
  <c r="P62" i="15" a="1"/>
  <c r="P62" i="15" s="1"/>
  <c r="K62" i="15" a="1"/>
  <c r="K62" i="15" s="1"/>
  <c r="J62" i="15"/>
  <c r="AE29" i="15"/>
  <c r="AC29" i="15" s="1"/>
  <c r="AE28" i="15"/>
  <c r="AC28" i="15" s="1"/>
  <c r="Z22" i="15" a="1"/>
  <c r="Z22" i="15" s="1"/>
  <c r="BE29" i="15" a="1"/>
  <c r="BE29" i="15" s="1"/>
  <c r="AY29" i="15"/>
  <c r="AS29" i="15"/>
  <c r="AH29" i="15"/>
  <c r="P29" i="15" a="1"/>
  <c r="P29" i="15" s="1"/>
  <c r="K29" i="15" a="1"/>
  <c r="K29" i="15" s="1"/>
  <c r="J29" i="15"/>
  <c r="BE28" i="15" a="1"/>
  <c r="BE28" i="15" s="1"/>
  <c r="AY28" i="15"/>
  <c r="AS28" i="15"/>
  <c r="AH28" i="15"/>
  <c r="P28" i="15" a="1"/>
  <c r="P28" i="15" s="1"/>
  <c r="K28" i="15" a="1"/>
  <c r="K28" i="15" s="1"/>
  <c r="J28" i="15"/>
  <c r="BE27" i="15" a="1"/>
  <c r="BE27" i="15" s="1"/>
  <c r="AY27" i="15"/>
  <c r="AS27" i="15"/>
  <c r="AH27" i="15"/>
  <c r="P27" i="15" a="1"/>
  <c r="P27" i="15" s="1"/>
  <c r="K27" i="15" a="1"/>
  <c r="K27" i="15" s="1"/>
  <c r="J27" i="15"/>
  <c r="AE74" i="15" l="1"/>
  <c r="AC74" i="15" s="1"/>
  <c r="AE73" i="15"/>
  <c r="AC73" i="15" s="1"/>
  <c r="AE72" i="15"/>
  <c r="AC72" i="15" s="1"/>
  <c r="AE60" i="15"/>
  <c r="AC60" i="15" s="1"/>
  <c r="AE59" i="15"/>
  <c r="AC59" i="15" s="1"/>
  <c r="AE58" i="15"/>
  <c r="AC58" i="15" s="1"/>
  <c r="AE57" i="15"/>
  <c r="AC57" i="15" s="1"/>
  <c r="AE54" i="15"/>
  <c r="AC54" i="15" s="1"/>
  <c r="AE53" i="15"/>
  <c r="AC53" i="15" s="1"/>
  <c r="AE52" i="15"/>
  <c r="AC52" i="15" s="1"/>
  <c r="Z98" i="15" l="1"/>
  <c r="Z99" i="15"/>
  <c r="Z100" i="15"/>
  <c r="Z101" i="15"/>
  <c r="Z102" i="15"/>
  <c r="Z103" i="15"/>
  <c r="Z104" i="15"/>
  <c r="P149" i="15" a="1"/>
  <c r="P149" i="15" s="1"/>
  <c r="J149" i="15"/>
  <c r="BE54" i="15" a="1"/>
  <c r="BE54" i="15" s="1"/>
  <c r="AY54" i="15"/>
  <c r="AT54" i="15"/>
  <c r="AH54" i="15"/>
  <c r="P54" i="15" a="1"/>
  <c r="P54" i="15" s="1"/>
  <c r="K54" i="15" a="1"/>
  <c r="K54" i="15" s="1"/>
  <c r="J54" i="15"/>
  <c r="BE53" i="15" a="1"/>
  <c r="BE53" i="15" s="1"/>
  <c r="AY53" i="15"/>
  <c r="AT53" i="15"/>
  <c r="AH53" i="15"/>
  <c r="P53" i="15" a="1"/>
  <c r="P53" i="15" s="1"/>
  <c r="K53" i="15" a="1"/>
  <c r="K53" i="15" s="1"/>
  <c r="J53" i="15"/>
  <c r="BE52" i="15" a="1"/>
  <c r="BE52" i="15" s="1"/>
  <c r="AY52" i="15"/>
  <c r="AT52" i="15"/>
  <c r="AH52" i="15"/>
  <c r="P52" i="15" a="1"/>
  <c r="P52" i="15" s="1"/>
  <c r="K52" i="15" a="1"/>
  <c r="K52" i="15" s="1"/>
  <c r="J52" i="15"/>
  <c r="BE74" i="15" l="1" a="1"/>
  <c r="BE74" i="15" s="1"/>
  <c r="AY74" i="15"/>
  <c r="AT74" i="15"/>
  <c r="AH74" i="15"/>
  <c r="P74" i="15" a="1"/>
  <c r="P74" i="15" s="1"/>
  <c r="K74" i="15" a="1"/>
  <c r="K74" i="15" s="1"/>
  <c r="J74" i="15"/>
  <c r="BE73" i="15" a="1"/>
  <c r="BE73" i="15" s="1"/>
  <c r="AY73" i="15"/>
  <c r="AT73" i="15"/>
  <c r="AH73" i="15"/>
  <c r="P73" i="15" a="1"/>
  <c r="P73" i="15" s="1"/>
  <c r="K73" i="15" a="1"/>
  <c r="K73" i="15" s="1"/>
  <c r="J73" i="15"/>
  <c r="BE72" i="15" a="1"/>
  <c r="BE72" i="15" s="1"/>
  <c r="AY72" i="15"/>
  <c r="AT72" i="15"/>
  <c r="AH72" i="15"/>
  <c r="P72" i="15" a="1"/>
  <c r="P72" i="15" s="1"/>
  <c r="K72" i="15" a="1"/>
  <c r="K72" i="15" s="1"/>
  <c r="J72" i="15"/>
  <c r="BE107" i="15" a="1"/>
  <c r="BE107" i="15" s="1"/>
  <c r="H16" i="19"/>
  <c r="G16" i="19"/>
  <c r="BE60" i="15" a="1"/>
  <c r="BE60" i="15" s="1"/>
  <c r="AY60" i="15"/>
  <c r="AT60" i="15"/>
  <c r="AH60" i="15"/>
  <c r="P60" i="15" a="1"/>
  <c r="P60" i="15" s="1"/>
  <c r="K60" i="15" a="1"/>
  <c r="K60" i="15" s="1"/>
  <c r="J60" i="15"/>
  <c r="BE59" i="15" a="1"/>
  <c r="BE59" i="15" s="1"/>
  <c r="AY59" i="15"/>
  <c r="AT59" i="15"/>
  <c r="AH59" i="15"/>
  <c r="P59" i="15" a="1"/>
  <c r="P59" i="15" s="1"/>
  <c r="K59" i="15" a="1"/>
  <c r="K59" i="15" s="1"/>
  <c r="J59" i="15"/>
  <c r="BE58" i="15" a="1"/>
  <c r="BE58" i="15" s="1"/>
  <c r="AY58" i="15"/>
  <c r="AT58" i="15"/>
  <c r="AH58" i="15"/>
  <c r="P58" i="15" a="1"/>
  <c r="P58" i="15" s="1"/>
  <c r="K58" i="15" a="1"/>
  <c r="K58" i="15" s="1"/>
  <c r="J58" i="15"/>
  <c r="BE57" i="15" a="1"/>
  <c r="BE57" i="15" s="1"/>
  <c r="AY57" i="15"/>
  <c r="AT57" i="15"/>
  <c r="AH57" i="15"/>
  <c r="P57" i="15" a="1"/>
  <c r="P57" i="15" s="1"/>
  <c r="K57" i="15" a="1"/>
  <c r="K57" i="15" s="1"/>
  <c r="J57" i="15"/>
  <c r="AY107" i="15"/>
  <c r="AX107" i="15"/>
  <c r="AH107" i="15"/>
  <c r="P107" i="15" a="1"/>
  <c r="P107" i="15" s="1"/>
  <c r="K107" i="15" a="1"/>
  <c r="K107" i="15" s="1"/>
  <c r="J107" i="15"/>
  <c r="AS46" i="15" l="1"/>
  <c r="AS45" i="15"/>
  <c r="H15" i="19"/>
  <c r="G15" i="19"/>
  <c r="BE44" i="15" a="1"/>
  <c r="BE44" i="15" s="1"/>
  <c r="BB44" i="15"/>
  <c r="AY44" i="15"/>
  <c r="AH44" i="15"/>
  <c r="P44" i="15" a="1"/>
  <c r="P44" i="15" s="1"/>
  <c r="K44" i="15" a="1"/>
  <c r="K44" i="15" s="1"/>
  <c r="J44" i="15"/>
  <c r="BE46" i="15" a="1"/>
  <c r="BE46" i="15" s="1"/>
  <c r="BB46" i="15"/>
  <c r="AY46" i="15"/>
  <c r="AH46" i="15"/>
  <c r="P46" i="15" a="1"/>
  <c r="P46" i="15" s="1"/>
  <c r="K46" i="15" a="1"/>
  <c r="K46" i="15" s="1"/>
  <c r="J46" i="15"/>
  <c r="BE45" i="15" a="1"/>
  <c r="BE45" i="15" s="1"/>
  <c r="BB45" i="15"/>
  <c r="AY45" i="15"/>
  <c r="AH45" i="15"/>
  <c r="P45" i="15" a="1"/>
  <c r="P45" i="15" s="1"/>
  <c r="K45" i="15" a="1"/>
  <c r="K45" i="15" s="1"/>
  <c r="J45" i="15"/>
  <c r="AT81" i="15" l="1"/>
  <c r="BE80" i="15" l="1" a="1"/>
  <c r="BE80" i="15" s="1"/>
  <c r="AY80" i="15"/>
  <c r="AH80" i="15"/>
  <c r="P80" i="15" a="1"/>
  <c r="P80" i="15" s="1"/>
  <c r="K80" i="15" a="1"/>
  <c r="K80" i="15" s="1"/>
  <c r="J80" i="15"/>
  <c r="BE81" i="15" a="1"/>
  <c r="BE81" i="15" s="1"/>
  <c r="AY81" i="15"/>
  <c r="AH81" i="15"/>
  <c r="P81" i="15" a="1"/>
  <c r="P81" i="15" s="1"/>
  <c r="K81" i="15" a="1"/>
  <c r="K81" i="15" s="1"/>
  <c r="J81" i="15"/>
  <c r="K24" i="15" a="1"/>
  <c r="K24" i="15" s="1"/>
  <c r="K25" i="15" a="1"/>
  <c r="K25" i="15" s="1"/>
  <c r="K26" i="15" a="1"/>
  <c r="K26" i="15" s="1"/>
  <c r="K40" i="15" a="1"/>
  <c r="K40" i="15" s="1"/>
  <c r="K41" i="15" a="1"/>
  <c r="K41" i="15" s="1"/>
  <c r="K42" i="15" a="1"/>
  <c r="K42" i="15" s="1"/>
  <c r="K43" i="15" a="1"/>
  <c r="K43" i="15" s="1"/>
  <c r="K47" i="15" a="1"/>
  <c r="K47" i="15" s="1"/>
  <c r="K48" i="15" a="1"/>
  <c r="K48" i="15" s="1"/>
  <c r="K49" i="15" a="1"/>
  <c r="K49" i="15" s="1"/>
  <c r="K50" i="15" a="1"/>
  <c r="K50" i="15" s="1"/>
  <c r="K51" i="15" a="1"/>
  <c r="K51" i="15" s="1"/>
  <c r="K56" i="15" a="1"/>
  <c r="K56" i="15" s="1"/>
  <c r="K61" i="15" a="1"/>
  <c r="K61" i="15" s="1"/>
  <c r="K64" i="15" a="1"/>
  <c r="K64" i="15" s="1"/>
  <c r="K65" i="15" a="1"/>
  <c r="K65" i="15" s="1"/>
  <c r="K66" i="15" a="1"/>
  <c r="K66" i="15" s="1"/>
  <c r="K67" i="15" a="1"/>
  <c r="K67" i="15" s="1"/>
  <c r="K68" i="15" a="1"/>
  <c r="K68" i="15" s="1"/>
  <c r="K69" i="15" a="1"/>
  <c r="K69" i="15" s="1"/>
  <c r="K70" i="15" a="1"/>
  <c r="K70" i="15" s="1"/>
  <c r="K71" i="15" a="1"/>
  <c r="K71" i="15" s="1"/>
  <c r="K75" i="15" a="1"/>
  <c r="K75" i="15" s="1"/>
  <c r="K76" i="15" a="1"/>
  <c r="K76" i="15" s="1"/>
  <c r="K77" i="15" a="1"/>
  <c r="K77" i="15" s="1"/>
  <c r="K78" i="15" a="1"/>
  <c r="K78" i="15" s="1"/>
  <c r="K79" i="15" a="1"/>
  <c r="K79" i="15" s="1"/>
  <c r="K82" i="15" a="1"/>
  <c r="K82" i="15" s="1"/>
  <c r="K83" i="15" a="1"/>
  <c r="K83" i="15" s="1"/>
  <c r="K88" i="15" a="1"/>
  <c r="K88" i="15" s="1"/>
  <c r="K89" i="15" a="1"/>
  <c r="K89" i="15" s="1"/>
  <c r="K90" i="15" a="1"/>
  <c r="K90" i="15" s="1"/>
  <c r="K91" i="15" a="1"/>
  <c r="K91" i="15" s="1"/>
  <c r="K98" i="15" a="1"/>
  <c r="K98" i="15" s="1"/>
  <c r="K99" i="15" a="1"/>
  <c r="K99" i="15" s="1"/>
  <c r="K100" i="15" a="1"/>
  <c r="K100" i="15" s="1"/>
  <c r="K101" i="15" a="1"/>
  <c r="K101" i="15" s="1"/>
  <c r="K102" i="15" a="1"/>
  <c r="K102" i="15" s="1"/>
  <c r="K103" i="15" a="1"/>
  <c r="K103" i="15" s="1"/>
  <c r="K104" i="15" a="1"/>
  <c r="K104" i="15" s="1"/>
  <c r="K105" i="15" a="1"/>
  <c r="K105" i="15" s="1"/>
  <c r="K106" i="15" a="1"/>
  <c r="K106" i="15" s="1"/>
  <c r="K111" i="15" a="1"/>
  <c r="K111" i="15" s="1"/>
  <c r="K112" i="15" a="1"/>
  <c r="K112" i="15" s="1"/>
  <c r="K113" i="15" a="1"/>
  <c r="K113" i="15" s="1"/>
  <c r="K114" i="15" a="1"/>
  <c r="K114" i="15" s="1"/>
  <c r="K115" i="15" a="1"/>
  <c r="K115" i="15" s="1"/>
  <c r="K116" i="15" a="1"/>
  <c r="K116" i="15" s="1"/>
  <c r="K117" i="15" a="1"/>
  <c r="K117" i="15" s="1"/>
  <c r="K118" i="15" a="1"/>
  <c r="K118" i="15" s="1"/>
  <c r="K119" i="15" a="1"/>
  <c r="K119" i="15" s="1"/>
  <c r="K120" i="15" a="1"/>
  <c r="K120" i="15" s="1"/>
  <c r="K121" i="15" a="1"/>
  <c r="K121" i="15" s="1"/>
  <c r="K122" i="15" a="1"/>
  <c r="K122" i="15" s="1"/>
  <c r="K123" i="15" a="1"/>
  <c r="K123" i="15" s="1"/>
  <c r="K124" i="15" a="1"/>
  <c r="K124" i="15" s="1"/>
  <c r="K125" i="15" a="1"/>
  <c r="K125" i="15" s="1"/>
  <c r="K126" i="15" a="1"/>
  <c r="K126" i="15" s="1"/>
  <c r="K127" i="15" a="1"/>
  <c r="K127" i="15" s="1"/>
  <c r="K128" i="15" a="1"/>
  <c r="K128" i="15" s="1"/>
  <c r="K129" i="15" a="1"/>
  <c r="K129" i="15" s="1"/>
  <c r="K130" i="15" a="1"/>
  <c r="K130" i="15" s="1"/>
  <c r="K131" i="15" a="1"/>
  <c r="K131" i="15" s="1"/>
  <c r="K132" i="15" a="1"/>
  <c r="K132" i="15" s="1"/>
  <c r="K133" i="15" a="1"/>
  <c r="K133" i="15" s="1"/>
  <c r="K134" i="15" a="1"/>
  <c r="K134" i="15" s="1"/>
  <c r="K135" i="15" a="1"/>
  <c r="K135" i="15" s="1"/>
  <c r="K139" i="15" a="1"/>
  <c r="K139" i="15" s="1"/>
  <c r="K142" i="15" a="1"/>
  <c r="K142" i="15" s="1"/>
  <c r="K145" i="15" a="1"/>
  <c r="K145" i="15" s="1"/>
  <c r="K22" i="15" a="1"/>
  <c r="K22" i="15" s="1"/>
  <c r="K23" i="15" a="1"/>
  <c r="K23" i="15" s="1"/>
  <c r="K10" i="13"/>
  <c r="K4" i="13"/>
  <c r="K15" i="13"/>
  <c r="K20" i="13"/>
  <c r="K21" i="13"/>
  <c r="K22" i="13"/>
  <c r="M20" i="13"/>
  <c r="M10" i="13"/>
  <c r="M15" i="13"/>
  <c r="M21" i="13"/>
  <c r="M22" i="13"/>
  <c r="M4" i="13"/>
  <c r="H12" i="19"/>
  <c r="G12" i="19"/>
  <c r="BE132" i="15" a="1"/>
  <c r="BE132" i="15" s="1"/>
  <c r="AY132" i="15"/>
  <c r="AV132" i="15"/>
  <c r="AH132" i="15"/>
  <c r="Z132" i="15"/>
  <c r="P132" i="15" a="1"/>
  <c r="P132" i="15" s="1"/>
  <c r="J132" i="15"/>
  <c r="H132" i="15"/>
  <c r="BE133" i="15" a="1"/>
  <c r="BE133" i="15" s="1"/>
  <c r="AY133" i="15"/>
  <c r="AV133" i="15"/>
  <c r="AH133" i="15"/>
  <c r="Z133" i="15"/>
  <c r="P133" i="15" a="1"/>
  <c r="P133" i="15" s="1"/>
  <c r="J133" i="15"/>
  <c r="H133" i="15"/>
  <c r="B125" i="22" s="1"/>
  <c r="BE43" i="15" a="1"/>
  <c r="BE43" i="15" s="1"/>
  <c r="AY43" i="15"/>
  <c r="AS43" i="15"/>
  <c r="AH43" i="15"/>
  <c r="P43" i="15" a="1"/>
  <c r="P43" i="15" s="1"/>
  <c r="J43" i="15"/>
  <c r="BE145" i="15" a="1"/>
  <c r="BE145" i="15" s="1"/>
  <c r="AY145" i="15"/>
  <c r="AW145" i="15"/>
  <c r="P145" i="15" a="1"/>
  <c r="P145" i="15" s="1"/>
  <c r="J145" i="15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3" i="19"/>
  <c r="H13" i="19"/>
  <c r="G14" i="19"/>
  <c r="H14" i="19"/>
  <c r="G17" i="19"/>
  <c r="H17" i="19"/>
  <c r="G18" i="19"/>
  <c r="H18" i="19"/>
  <c r="H4" i="19"/>
  <c r="G4" i="19"/>
  <c r="C29" i="18"/>
  <c r="C28" i="18"/>
  <c r="C26" i="18"/>
  <c r="C24" i="18"/>
  <c r="C22" i="18"/>
  <c r="C20" i="18"/>
  <c r="C18" i="18"/>
  <c r="C17" i="18"/>
  <c r="C16" i="18"/>
  <c r="C15" i="18"/>
  <c r="C14" i="18"/>
  <c r="C13" i="18"/>
  <c r="C12" i="18"/>
  <c r="C10" i="18"/>
  <c r="C9" i="18"/>
  <c r="C8" i="18"/>
  <c r="C7" i="18"/>
  <c r="C6" i="18"/>
  <c r="C4" i="18"/>
  <c r="AB22" i="13"/>
  <c r="AD22" i="13" s="1"/>
  <c r="AB21" i="13"/>
  <c r="AD21" i="13" s="1"/>
  <c r="AB20" i="13"/>
  <c r="AD20" i="13" s="1"/>
  <c r="AB19" i="13"/>
  <c r="AD19" i="13" s="1"/>
  <c r="AB18" i="13"/>
  <c r="AD18" i="13" s="1"/>
  <c r="AB17" i="13"/>
  <c r="AD17" i="13" s="1"/>
  <c r="AB15" i="13"/>
  <c r="AD15" i="13" s="1"/>
  <c r="AB10" i="13"/>
  <c r="AD10" i="13" s="1"/>
  <c r="AB4" i="13"/>
  <c r="AD4" i="13" s="1"/>
  <c r="Z167" i="15"/>
  <c r="P167" i="15" a="1"/>
  <c r="P167" i="15" s="1"/>
  <c r="J167" i="15"/>
  <c r="H167" i="15"/>
  <c r="Z166" i="15"/>
  <c r="P166" i="15" a="1"/>
  <c r="P166" i="15" s="1"/>
  <c r="J166" i="15"/>
  <c r="H166" i="15"/>
  <c r="Z165" i="15"/>
  <c r="P165" i="15" a="1"/>
  <c r="P165" i="15" s="1"/>
  <c r="J165" i="15"/>
  <c r="H165" i="15"/>
  <c r="Z164" i="15"/>
  <c r="P164" i="15" a="1"/>
  <c r="P164" i="15" s="1"/>
  <c r="J164" i="15"/>
  <c r="H164" i="15"/>
  <c r="Z163" i="15"/>
  <c r="P163" i="15" a="1"/>
  <c r="P163" i="15" s="1"/>
  <c r="J163" i="15"/>
  <c r="H163" i="15"/>
  <c r="Z162" i="15"/>
  <c r="P162" i="15" a="1"/>
  <c r="P162" i="15" s="1"/>
  <c r="J162" i="15"/>
  <c r="H162" i="15"/>
  <c r="Z161" i="15"/>
  <c r="P161" i="15" a="1"/>
  <c r="P161" i="15" s="1"/>
  <c r="J161" i="15"/>
  <c r="H161" i="15"/>
  <c r="Z160" i="15"/>
  <c r="P160" i="15" a="1"/>
  <c r="P160" i="15" s="1"/>
  <c r="J160" i="15"/>
  <c r="H160" i="15"/>
  <c r="Z159" i="15"/>
  <c r="P159" i="15" a="1"/>
  <c r="P159" i="15" s="1"/>
  <c r="J159" i="15"/>
  <c r="H159" i="15"/>
  <c r="Z158" i="15"/>
  <c r="P158" i="15" a="1"/>
  <c r="P158" i="15" s="1"/>
  <c r="J158" i="15"/>
  <c r="H158" i="15"/>
  <c r="Z157" i="15"/>
  <c r="P157" i="15" a="1"/>
  <c r="P157" i="15" s="1"/>
  <c r="J157" i="15"/>
  <c r="H157" i="15"/>
  <c r="Z156" i="15"/>
  <c r="P156" i="15" a="1"/>
  <c r="P156" i="15" s="1"/>
  <c r="J156" i="15"/>
  <c r="H156" i="15"/>
  <c r="Z155" i="15"/>
  <c r="P155" i="15" a="1"/>
  <c r="P155" i="15" s="1"/>
  <c r="J155" i="15"/>
  <c r="H155" i="15"/>
  <c r="Z154" i="15"/>
  <c r="P154" i="15" a="1"/>
  <c r="P154" i="15" s="1"/>
  <c r="J154" i="15"/>
  <c r="H154" i="15"/>
  <c r="P153" i="15" a="1"/>
  <c r="P153" i="15" s="1"/>
  <c r="J153" i="15"/>
  <c r="AY151" i="15"/>
  <c r="AH151" i="15"/>
  <c r="P151" i="15" a="1"/>
  <c r="P151" i="15" s="1"/>
  <c r="J151" i="15"/>
  <c r="BE150" i="15" a="1"/>
  <c r="BE150" i="15" s="1"/>
  <c r="Z150" i="15"/>
  <c r="P150" i="15" a="1"/>
  <c r="P150" i="15" s="1"/>
  <c r="J150" i="15"/>
  <c r="H150" i="15"/>
  <c r="BE142" i="15" a="1"/>
  <c r="BE142" i="15" s="1"/>
  <c r="BB142" i="15"/>
  <c r="AY142" i="15"/>
  <c r="AW142" i="15"/>
  <c r="P142" i="15" a="1"/>
  <c r="P142" i="15" s="1"/>
  <c r="J142" i="15"/>
  <c r="BE139" i="15" a="1"/>
  <c r="BE139" i="15" s="1"/>
  <c r="BB139" i="15"/>
  <c r="AY139" i="15"/>
  <c r="AW139" i="15"/>
  <c r="P139" i="15" a="1"/>
  <c r="P139" i="15" s="1"/>
  <c r="J139" i="15"/>
  <c r="BE135" i="15" a="1"/>
  <c r="BE135" i="15" s="1"/>
  <c r="BB135" i="15"/>
  <c r="AY135" i="15"/>
  <c r="AW135" i="15"/>
  <c r="P135" i="15" a="1"/>
  <c r="P135" i="15" s="1"/>
  <c r="J135" i="15"/>
  <c r="BE134" i="15" a="1"/>
  <c r="BE134" i="15" s="1"/>
  <c r="Z134" i="15"/>
  <c r="P134" i="15" a="1"/>
  <c r="P134" i="15" s="1"/>
  <c r="J134" i="15"/>
  <c r="H134" i="15"/>
  <c r="BE131" i="15" a="1"/>
  <c r="BE131" i="15" s="1"/>
  <c r="BB131" i="15"/>
  <c r="AY131" i="15"/>
  <c r="AV131" i="15"/>
  <c r="AH131" i="15"/>
  <c r="Z131" i="15"/>
  <c r="P131" i="15" a="1"/>
  <c r="P131" i="15" s="1"/>
  <c r="J131" i="15"/>
  <c r="H131" i="15"/>
  <c r="BE130" i="15" a="1"/>
  <c r="BE130" i="15" s="1"/>
  <c r="BB130" i="15"/>
  <c r="AY130" i="15"/>
  <c r="AV130" i="15"/>
  <c r="AH130" i="15"/>
  <c r="Z130" i="15"/>
  <c r="P130" i="15" a="1"/>
  <c r="P130" i="15" s="1"/>
  <c r="J130" i="15"/>
  <c r="H130" i="15"/>
  <c r="BE129" i="15" a="1"/>
  <c r="BE129" i="15" s="1"/>
  <c r="BB129" i="15"/>
  <c r="AY129" i="15"/>
  <c r="AV129" i="15"/>
  <c r="AH129" i="15"/>
  <c r="Z129" i="15"/>
  <c r="P129" i="15" a="1"/>
  <c r="P129" i="15" s="1"/>
  <c r="J129" i="15"/>
  <c r="H129" i="15"/>
  <c r="BE128" i="15" a="1"/>
  <c r="BE128" i="15" s="1"/>
  <c r="BB128" i="15"/>
  <c r="AY128" i="15"/>
  <c r="AV128" i="15"/>
  <c r="AH128" i="15"/>
  <c r="Z128" i="15"/>
  <c r="P128" i="15" a="1"/>
  <c r="P128" i="15" s="1"/>
  <c r="J128" i="15"/>
  <c r="H128" i="15"/>
  <c r="BE127" i="15" a="1"/>
  <c r="BE127" i="15" s="1"/>
  <c r="BB127" i="15"/>
  <c r="AY127" i="15"/>
  <c r="AV127" i="15"/>
  <c r="AH127" i="15"/>
  <c r="Z127" i="15"/>
  <c r="P127" i="15" a="1"/>
  <c r="P127" i="15" s="1"/>
  <c r="J127" i="15"/>
  <c r="H127" i="15"/>
  <c r="BE126" i="15" a="1"/>
  <c r="BE126" i="15" s="1"/>
  <c r="Z126" i="15"/>
  <c r="P126" i="15" a="1"/>
  <c r="P126" i="15" s="1"/>
  <c r="J126" i="15"/>
  <c r="H126" i="15"/>
  <c r="BE125" i="15" a="1"/>
  <c r="BE125" i="15" s="1"/>
  <c r="AY125" i="15"/>
  <c r="AH125" i="15"/>
  <c r="P125" i="15" a="1"/>
  <c r="P125" i="15" s="1"/>
  <c r="J125" i="15"/>
  <c r="H125" i="15"/>
  <c r="BE124" i="15" a="1"/>
  <c r="BE124" i="15" s="1"/>
  <c r="AY124" i="15"/>
  <c r="AU124" i="15"/>
  <c r="AH124" i="15"/>
  <c r="P124" i="15" a="1"/>
  <c r="P124" i="15" s="1"/>
  <c r="J124" i="15"/>
  <c r="H124" i="15"/>
  <c r="BE123" i="15" a="1"/>
  <c r="BE123" i="15" s="1"/>
  <c r="AY123" i="15"/>
  <c r="AU123" i="15"/>
  <c r="AH123" i="15"/>
  <c r="P123" i="15" a="1"/>
  <c r="P123" i="15" s="1"/>
  <c r="J123" i="15"/>
  <c r="H123" i="15"/>
  <c r="BE122" i="15" a="1"/>
  <c r="BE122" i="15" s="1"/>
  <c r="AY122" i="15"/>
  <c r="AU122" i="15"/>
  <c r="AH122" i="15"/>
  <c r="P122" i="15" a="1"/>
  <c r="P122" i="15" s="1"/>
  <c r="J122" i="15"/>
  <c r="H122" i="15"/>
  <c r="BE121" i="15" a="1"/>
  <c r="BE121" i="15" s="1"/>
  <c r="AY121" i="15"/>
  <c r="AU121" i="15"/>
  <c r="AH121" i="15"/>
  <c r="P121" i="15" a="1"/>
  <c r="P121" i="15" s="1"/>
  <c r="J121" i="15"/>
  <c r="H121" i="15"/>
  <c r="BE120" i="15" a="1"/>
  <c r="BE120" i="15" s="1"/>
  <c r="AY120" i="15"/>
  <c r="AU120" i="15"/>
  <c r="AH120" i="15"/>
  <c r="P120" i="15" a="1"/>
  <c r="P120" i="15" s="1"/>
  <c r="J120" i="15"/>
  <c r="H120" i="15"/>
  <c r="BE119" i="15" a="1"/>
  <c r="BE119" i="15" s="1"/>
  <c r="AY119" i="15"/>
  <c r="AU119" i="15"/>
  <c r="AH119" i="15"/>
  <c r="P119" i="15" a="1"/>
  <c r="P119" i="15" s="1"/>
  <c r="J119" i="15"/>
  <c r="H119" i="15"/>
  <c r="BE118" i="15" a="1"/>
  <c r="BE118" i="15" s="1"/>
  <c r="AY118" i="15"/>
  <c r="AU118" i="15"/>
  <c r="AH118" i="15"/>
  <c r="P118" i="15" a="1"/>
  <c r="P118" i="15" s="1"/>
  <c r="J118" i="15"/>
  <c r="H118" i="15"/>
  <c r="BE117" i="15" a="1"/>
  <c r="BE117" i="15" s="1"/>
  <c r="BB117" i="15"/>
  <c r="AY117" i="15"/>
  <c r="AU117" i="15"/>
  <c r="AH117" i="15"/>
  <c r="P117" i="15" a="1"/>
  <c r="P117" i="15" s="1"/>
  <c r="J117" i="15"/>
  <c r="H117" i="15"/>
  <c r="BE116" i="15" a="1"/>
  <c r="BE116" i="15" s="1"/>
  <c r="P116" i="15" a="1"/>
  <c r="P116" i="15" s="1"/>
  <c r="J116" i="15"/>
  <c r="BE115" i="15" a="1"/>
  <c r="BE115" i="15" s="1"/>
  <c r="P115" i="15" a="1"/>
  <c r="P115" i="15" s="1"/>
  <c r="J115" i="15"/>
  <c r="H115" i="15"/>
  <c r="BE114" i="15" a="1"/>
  <c r="BE114" i="15" s="1"/>
  <c r="P114" i="15" a="1"/>
  <c r="P114" i="15" s="1"/>
  <c r="J114" i="15"/>
  <c r="H114" i="15"/>
  <c r="BE113" i="15" a="1"/>
  <c r="BE113" i="15" s="1"/>
  <c r="P113" i="15" a="1"/>
  <c r="P113" i="15" s="1"/>
  <c r="J113" i="15"/>
  <c r="H113" i="15"/>
  <c r="BE112" i="15" a="1"/>
  <c r="BE112" i="15" s="1"/>
  <c r="P112" i="15" a="1"/>
  <c r="P112" i="15" s="1"/>
  <c r="J112" i="15"/>
  <c r="H112" i="15"/>
  <c r="BE111" i="15" a="1"/>
  <c r="BE111" i="15" s="1"/>
  <c r="P111" i="15" a="1"/>
  <c r="P111" i="15" s="1"/>
  <c r="J111" i="15"/>
  <c r="H111" i="15"/>
  <c r="BE106" i="15" a="1"/>
  <c r="BE106" i="15" s="1"/>
  <c r="AY106" i="15"/>
  <c r="AH106" i="15"/>
  <c r="P106" i="15" a="1"/>
  <c r="P106" i="15" s="1"/>
  <c r="J106" i="15"/>
  <c r="BE105" i="15" a="1"/>
  <c r="BE105" i="15" s="1"/>
  <c r="AY105" i="15"/>
  <c r="AH105" i="15"/>
  <c r="P105" i="15" a="1"/>
  <c r="P105" i="15" s="1"/>
  <c r="J105" i="15"/>
  <c r="BE104" i="15" a="1"/>
  <c r="BE104" i="15" s="1"/>
  <c r="AY104" i="15"/>
  <c r="AH104" i="15"/>
  <c r="P104" i="15" a="1"/>
  <c r="P104" i="15" s="1"/>
  <c r="J104" i="15"/>
  <c r="BE103" i="15" a="1"/>
  <c r="BE103" i="15" s="1"/>
  <c r="AY103" i="15"/>
  <c r="AH103" i="15"/>
  <c r="P103" i="15" a="1"/>
  <c r="P103" i="15" s="1"/>
  <c r="J103" i="15"/>
  <c r="BE102" i="15" a="1"/>
  <c r="BE102" i="15" s="1"/>
  <c r="AY102" i="15"/>
  <c r="AH102" i="15"/>
  <c r="P102" i="15" a="1"/>
  <c r="P102" i="15" s="1"/>
  <c r="J102" i="15"/>
  <c r="BE101" i="15" a="1"/>
  <c r="BE101" i="15" s="1"/>
  <c r="AY101" i="15"/>
  <c r="AH101" i="15"/>
  <c r="P101" i="15" a="1"/>
  <c r="P101" i="15" s="1"/>
  <c r="J101" i="15"/>
  <c r="BE100" i="15" a="1"/>
  <c r="BE100" i="15" s="1"/>
  <c r="AY100" i="15"/>
  <c r="AH100" i="15"/>
  <c r="P100" i="15" a="1"/>
  <c r="P100" i="15" s="1"/>
  <c r="J100" i="15"/>
  <c r="BE99" i="15" a="1"/>
  <c r="BE99" i="15" s="1"/>
  <c r="AY99" i="15"/>
  <c r="AH99" i="15"/>
  <c r="P99" i="15" a="1"/>
  <c r="P99" i="15" s="1"/>
  <c r="J99" i="15"/>
  <c r="BE98" i="15" a="1"/>
  <c r="BE98" i="15" s="1"/>
  <c r="AY98" i="15"/>
  <c r="AH98" i="15"/>
  <c r="P98" i="15" a="1"/>
  <c r="P98" i="15" s="1"/>
  <c r="J98" i="15"/>
  <c r="BE91" i="15" a="1"/>
  <c r="BE91" i="15" s="1"/>
  <c r="P91" i="15" a="1"/>
  <c r="P91" i="15" s="1"/>
  <c r="J91" i="15"/>
  <c r="BE90" i="15" a="1"/>
  <c r="BE90" i="15" s="1"/>
  <c r="AT90" i="15"/>
  <c r="P90" i="15" a="1"/>
  <c r="P90" i="15" s="1"/>
  <c r="J90" i="15"/>
  <c r="BE89" i="15" a="1"/>
  <c r="BE89" i="15" s="1"/>
  <c r="AY89" i="15"/>
  <c r="AH89" i="15"/>
  <c r="P89" i="15" a="1"/>
  <c r="P89" i="15" s="1"/>
  <c r="J89" i="15"/>
  <c r="BE88" i="15" a="1"/>
  <c r="BE88" i="15" s="1"/>
  <c r="BB88" i="15"/>
  <c r="AX88" i="15"/>
  <c r="AH88" i="15"/>
  <c r="P88" i="15" a="1"/>
  <c r="P88" i="15" s="1"/>
  <c r="J88" i="15"/>
  <c r="BE83" i="15" a="1"/>
  <c r="BE83" i="15" s="1"/>
  <c r="Z83" i="15"/>
  <c r="P83" i="15" a="1"/>
  <c r="P83" i="15" s="1"/>
  <c r="J83" i="15"/>
  <c r="H83" i="15"/>
  <c r="BE82" i="15" a="1"/>
  <c r="BE82" i="15" s="1"/>
  <c r="Z82" i="15"/>
  <c r="P82" i="15" a="1"/>
  <c r="P82" i="15" s="1"/>
  <c r="J82" i="15"/>
  <c r="BE79" i="15" a="1"/>
  <c r="BE79" i="15" s="1"/>
  <c r="BB79" i="15"/>
  <c r="AY79" i="15"/>
  <c r="AT79" i="15"/>
  <c r="AH79" i="15"/>
  <c r="P79" i="15" a="1"/>
  <c r="P79" i="15" s="1"/>
  <c r="J79" i="15"/>
  <c r="BE78" i="15" a="1"/>
  <c r="BE78" i="15" s="1"/>
  <c r="BB78" i="15"/>
  <c r="AY78" i="15"/>
  <c r="AT78" i="15"/>
  <c r="AH78" i="15"/>
  <c r="P78" i="15" a="1"/>
  <c r="P78" i="15" s="1"/>
  <c r="J78" i="15"/>
  <c r="BE77" i="15" a="1"/>
  <c r="BE77" i="15" s="1"/>
  <c r="AY77" i="15"/>
  <c r="AT77" i="15"/>
  <c r="AH77" i="15"/>
  <c r="P77" i="15" a="1"/>
  <c r="P77" i="15" s="1"/>
  <c r="J77" i="15"/>
  <c r="BE76" i="15" a="1"/>
  <c r="BE76" i="15" s="1"/>
  <c r="BB76" i="15"/>
  <c r="AY76" i="15"/>
  <c r="AT76" i="15"/>
  <c r="AH76" i="15"/>
  <c r="P76" i="15" a="1"/>
  <c r="P76" i="15" s="1"/>
  <c r="J76" i="15"/>
  <c r="BE75" i="15" a="1"/>
  <c r="BE75" i="15" s="1"/>
  <c r="AT75" i="15"/>
  <c r="AH75" i="15"/>
  <c r="P75" i="15" a="1"/>
  <c r="P75" i="15" s="1"/>
  <c r="J75" i="15"/>
  <c r="BE71" i="15" a="1"/>
  <c r="BE71" i="15" s="1"/>
  <c r="AY71" i="15"/>
  <c r="AT71" i="15"/>
  <c r="AH71" i="15"/>
  <c r="P71" i="15" a="1"/>
  <c r="P71" i="15" s="1"/>
  <c r="J71" i="15"/>
  <c r="BE70" i="15" a="1"/>
  <c r="BE70" i="15" s="1"/>
  <c r="AY70" i="15"/>
  <c r="AT70" i="15"/>
  <c r="AH70" i="15"/>
  <c r="P70" i="15" a="1"/>
  <c r="P70" i="15" s="1"/>
  <c r="J70" i="15"/>
  <c r="BE69" i="15" a="1"/>
  <c r="BE69" i="15" s="1"/>
  <c r="AY69" i="15"/>
  <c r="AT69" i="15"/>
  <c r="AH69" i="15"/>
  <c r="P69" i="15" a="1"/>
  <c r="P69" i="15" s="1"/>
  <c r="J69" i="15"/>
  <c r="BE68" i="15" a="1"/>
  <c r="BE68" i="15" s="1"/>
  <c r="BB68" i="15"/>
  <c r="AY68" i="15"/>
  <c r="AT68" i="15"/>
  <c r="AH68" i="15"/>
  <c r="P68" i="15" a="1"/>
  <c r="P68" i="15" s="1"/>
  <c r="J68" i="15"/>
  <c r="BE67" i="15" a="1"/>
  <c r="BE67" i="15" s="1"/>
  <c r="BB67" i="15"/>
  <c r="AY67" i="15"/>
  <c r="AT67" i="15"/>
  <c r="AH67" i="15"/>
  <c r="P67" i="15" a="1"/>
  <c r="P67" i="15" s="1"/>
  <c r="J67" i="15"/>
  <c r="BE66" i="15" a="1"/>
  <c r="BE66" i="15" s="1"/>
  <c r="AY66" i="15"/>
  <c r="AT66" i="15"/>
  <c r="AH66" i="15"/>
  <c r="P66" i="15" a="1"/>
  <c r="P66" i="15" s="1"/>
  <c r="J66" i="15"/>
  <c r="BE65" i="15" a="1"/>
  <c r="BE65" i="15" s="1"/>
  <c r="BB65" i="15"/>
  <c r="AY65" i="15"/>
  <c r="AT65" i="15"/>
  <c r="AH65" i="15"/>
  <c r="P65" i="15" a="1"/>
  <c r="P65" i="15" s="1"/>
  <c r="J65" i="15"/>
  <c r="BE64" i="15" a="1"/>
  <c r="BE64" i="15" s="1"/>
  <c r="BB64" i="15"/>
  <c r="AY64" i="15"/>
  <c r="AT64" i="15"/>
  <c r="AH64" i="15"/>
  <c r="P64" i="15" a="1"/>
  <c r="P64" i="15" s="1"/>
  <c r="J64" i="15"/>
  <c r="BE61" i="15" a="1"/>
  <c r="BE61" i="15" s="1"/>
  <c r="BB61" i="15"/>
  <c r="AY61" i="15"/>
  <c r="AT61" i="15"/>
  <c r="AH61" i="15"/>
  <c r="P61" i="15" a="1"/>
  <c r="P61" i="15" s="1"/>
  <c r="J61" i="15"/>
  <c r="BE56" i="15" a="1"/>
  <c r="BE56" i="15" s="1"/>
  <c r="BB56" i="15"/>
  <c r="AY56" i="15"/>
  <c r="AT56" i="15"/>
  <c r="AH56" i="15"/>
  <c r="P56" i="15" a="1"/>
  <c r="P56" i="15" s="1"/>
  <c r="J56" i="15"/>
  <c r="BE51" i="15" a="1"/>
  <c r="BE51" i="15" s="1"/>
  <c r="BB51" i="15"/>
  <c r="AY51" i="15"/>
  <c r="AT51" i="15"/>
  <c r="AH51" i="15"/>
  <c r="P51" i="15" a="1"/>
  <c r="P51" i="15" s="1"/>
  <c r="J51" i="15"/>
  <c r="BE50" i="15" a="1"/>
  <c r="BE50" i="15" s="1"/>
  <c r="BB50" i="15"/>
  <c r="AY50" i="15"/>
  <c r="AT50" i="15"/>
  <c r="AH50" i="15"/>
  <c r="P50" i="15" a="1"/>
  <c r="P50" i="15" s="1"/>
  <c r="J50" i="15"/>
  <c r="BE49" i="15" a="1"/>
  <c r="BE49" i="15" s="1"/>
  <c r="P49" i="15" a="1"/>
  <c r="P49" i="15" s="1"/>
  <c r="J49" i="15"/>
  <c r="BE48" i="15" a="1"/>
  <c r="BE48" i="15" s="1"/>
  <c r="P48" i="15" a="1"/>
  <c r="P48" i="15" s="1"/>
  <c r="J48" i="15"/>
  <c r="BE47" i="15" a="1"/>
  <c r="BE47" i="15" s="1"/>
  <c r="P47" i="15" a="1"/>
  <c r="P47" i="15" s="1"/>
  <c r="J47" i="15"/>
  <c r="BE42" i="15" a="1"/>
  <c r="BE42" i="15" s="1"/>
  <c r="AY42" i="15"/>
  <c r="AS42" i="15"/>
  <c r="AH42" i="15"/>
  <c r="P42" i="15" a="1"/>
  <c r="P42" i="15" s="1"/>
  <c r="J42" i="15"/>
  <c r="BE41" i="15" a="1"/>
  <c r="BE41" i="15" s="1"/>
  <c r="BB41" i="15"/>
  <c r="AY41" i="15"/>
  <c r="AS41" i="15"/>
  <c r="AH41" i="15"/>
  <c r="P41" i="15" a="1"/>
  <c r="P41" i="15" s="1"/>
  <c r="J41" i="15"/>
  <c r="BE40" i="15" a="1"/>
  <c r="BE40" i="15" s="1"/>
  <c r="BB40" i="15"/>
  <c r="AY40" i="15"/>
  <c r="AS40" i="15"/>
  <c r="AH40" i="15"/>
  <c r="P40" i="15" a="1"/>
  <c r="P40" i="15" s="1"/>
  <c r="J40" i="15"/>
  <c r="BE26" i="15" a="1"/>
  <c r="BE26" i="15" s="1"/>
  <c r="BB26" i="15"/>
  <c r="AY26" i="15"/>
  <c r="AS26" i="15"/>
  <c r="AH26" i="15"/>
  <c r="P26" i="15" a="1"/>
  <c r="P26" i="15" s="1"/>
  <c r="J26" i="15"/>
  <c r="BE25" i="15" a="1"/>
  <c r="BE25" i="15" s="1"/>
  <c r="BB25" i="15"/>
  <c r="AY25" i="15"/>
  <c r="AS25" i="15"/>
  <c r="AH25" i="15"/>
  <c r="P25" i="15" a="1"/>
  <c r="P25" i="15" s="1"/>
  <c r="J25" i="15"/>
  <c r="BE24" i="15" a="1"/>
  <c r="BE24" i="15" s="1"/>
  <c r="BB24" i="15"/>
  <c r="AY24" i="15"/>
  <c r="AS24" i="15"/>
  <c r="AH24" i="15"/>
  <c r="P24" i="15" a="1"/>
  <c r="P24" i="15" s="1"/>
  <c r="J24" i="15"/>
  <c r="BE23" i="15" a="1"/>
  <c r="BE23" i="15" s="1"/>
  <c r="BB23" i="15"/>
  <c r="AY23" i="15"/>
  <c r="AS23" i="15"/>
  <c r="AH23" i="15"/>
  <c r="P23" i="15" a="1"/>
  <c r="P23" i="15" s="1"/>
  <c r="J23" i="15"/>
  <c r="BE22" i="15" a="1"/>
  <c r="BE22" i="15" s="1"/>
  <c r="P22" i="15" a="1"/>
  <c r="P22" i="15" s="1"/>
  <c r="J22" i="15"/>
  <c r="BE21" i="15" a="1"/>
  <c r="BE21" i="15" s="1"/>
  <c r="P21" i="15" a="1"/>
  <c r="P21" i="15" s="1"/>
  <c r="J21" i="15"/>
  <c r="BE20" i="15" a="1"/>
  <c r="BE20" i="15" s="1"/>
  <c r="P20" i="15" a="1"/>
  <c r="P20" i="15" s="1"/>
  <c r="J20" i="15"/>
  <c r="BE19" i="15" a="1"/>
  <c r="BE19" i="15" s="1"/>
  <c r="P19" i="15" a="1"/>
  <c r="P19" i="15" s="1"/>
  <c r="J19" i="15"/>
  <c r="BE18" i="15" a="1"/>
  <c r="BE18" i="15" s="1"/>
  <c r="P18" i="15" a="1"/>
  <c r="P18" i="15" s="1"/>
  <c r="J18" i="15"/>
  <c r="BE17" i="15" a="1"/>
  <c r="BE17" i="15" s="1"/>
  <c r="P17" i="15" a="1"/>
  <c r="P17" i="15" s="1"/>
  <c r="J17" i="15"/>
  <c r="BE16" i="15" a="1"/>
  <c r="BE16" i="15" s="1"/>
  <c r="P16" i="15" a="1"/>
  <c r="P16" i="15" s="1"/>
  <c r="J16" i="15"/>
  <c r="BE15" i="15" a="1"/>
  <c r="BE15" i="15" s="1"/>
  <c r="P15" i="15" a="1"/>
  <c r="P15" i="15" s="1"/>
  <c r="J15" i="15"/>
  <c r="BE11" i="15" a="1"/>
  <c r="BE11" i="15" s="1"/>
  <c r="BB11" i="15"/>
  <c r="P11" i="15" a="1"/>
  <c r="P11" i="15" s="1"/>
  <c r="J11" i="15"/>
  <c r="BE6" i="15" a="1"/>
  <c r="BE6" i="15" s="1"/>
  <c r="BB6" i="15"/>
  <c r="P6" i="15" a="1"/>
  <c r="P6" i="15" s="1"/>
  <c r="J6" i="15"/>
  <c r="B151" i="22" l="1"/>
  <c r="B123" i="22"/>
  <c r="B124" i="22"/>
  <c r="B144" i="22"/>
  <c r="B117" i="22"/>
  <c r="B139" i="22"/>
  <c r="B141" i="22"/>
  <c r="B146" i="22"/>
  <c r="B148" i="22"/>
  <c r="B111" i="22"/>
  <c r="B119" i="22"/>
  <c r="B105" i="22"/>
  <c r="B121" i="22"/>
  <c r="B122" i="22"/>
  <c r="B115" i="22"/>
  <c r="B142" i="22"/>
  <c r="B149" i="22"/>
  <c r="B150" i="22"/>
  <c r="B106" i="22"/>
  <c r="B109" i="22"/>
  <c r="B103" i="22"/>
  <c r="B112" i="22"/>
  <c r="B118" i="22"/>
  <c r="B120" i="22"/>
  <c r="B102" i="22"/>
  <c r="B104" i="22"/>
  <c r="B110" i="22"/>
  <c r="B116" i="22"/>
  <c r="B108" i="22"/>
  <c r="B107" i="22"/>
  <c r="B138" i="22"/>
  <c r="B140" i="22"/>
  <c r="B143" i="22"/>
  <c r="B145" i="22"/>
  <c r="B147" i="22"/>
  <c r="B101" i="22"/>
  <c r="B100" i="22"/>
  <c r="B114" i="22"/>
  <c r="B137" i="22"/>
  <c r="B136" i="22"/>
  <c r="B113" i="22"/>
  <c r="Z52" i="15" a="1"/>
  <c r="Z52" i="15" s="1"/>
  <c r="Z53" i="15" s="1" a="1"/>
  <c r="Z53" i="15" s="1"/>
  <c r="Z54" i="15" s="1" a="1"/>
  <c r="Z54" i="15" s="1"/>
  <c r="Z55" i="15" s="1" a="1"/>
  <c r="Z55" i="15" s="1"/>
  <c r="G2" i="22" l="1" a="1"/>
  <c r="G2" i="2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<sst xmlns="http://schemas.openxmlformats.org/spreadsheetml/2006/main" count="2055" uniqueCount="752">
  <si>
    <t>#enum slotType: int {车轮 = 0, 顶部 = 1,前 = 2,后 = 3 , 前上 = 4, 后上 = 5}</t>
  </si>
  <si>
    <t>#enum deviceType: int {Core = 1, Wheel = 2, Common = 3}</t>
  </si>
  <si>
    <t>id</t>
  </si>
  <si>
    <t>sub_id</t>
  </si>
  <si>
    <t>name</t>
  </si>
  <si>
    <t>alt_info</t>
  </si>
  <si>
    <t>icon_photo</t>
  </si>
  <si>
    <t>se_broken</t>
  </si>
  <si>
    <t>se_be_hit</t>
  </si>
  <si>
    <t>device_tag</t>
  </si>
  <si>
    <t>device_type</t>
  </si>
  <si>
    <t>prefeb</t>
  </si>
  <si>
    <t>weight</t>
  </si>
  <si>
    <t>target_counts</t>
  </si>
  <si>
    <t>unlock_target_ticks</t>
  </si>
  <si>
    <t>rotate_by_car</t>
  </si>
  <si>
    <t>behavior_script</t>
  </si>
  <si>
    <t>basic_damage</t>
  </si>
  <si>
    <t>melee_logic</t>
  </si>
  <si>
    <t>fire_logic</t>
  </si>
  <si>
    <t>shield_logic</t>
  </si>
  <si>
    <t>hook_logic</t>
  </si>
  <si>
    <t>ram_logic</t>
  </si>
  <si>
    <t>other_logic</t>
  </si>
  <si>
    <t>rotate_speed</t>
  </si>
  <si>
    <t>device_upgrade</t>
  </si>
  <si>
    <t>ui_prefab</t>
  </si>
  <si>
    <t>cubicles</t>
  </si>
  <si>
    <t>uint key</t>
  </si>
  <si>
    <t>string</t>
  </si>
  <si>
    <t>uint[]</t>
  </si>
  <si>
    <t>deviceType</t>
  </si>
  <si>
    <t>int</t>
  </si>
  <si>
    <t>(float,float)</t>
  </si>
  <si>
    <t>bool</t>
  </si>
  <si>
    <t>uint</t>
  </si>
  <si>
    <t>设备种类
ID</t>
  </si>
  <si>
    <t>设备变种
ID</t>
  </si>
  <si>
    <t>备注</t>
  </si>
  <si>
    <t>版本</t>
  </si>
  <si>
    <t>Spine
文件名称</t>
  </si>
  <si>
    <t>设备名称</t>
  </si>
  <si>
    <t>设备alt信息</t>
  </si>
  <si>
    <t>配置辅助列
icon编号</t>
  </si>
  <si>
    <r>
      <rPr>
        <b/>
        <sz val="11"/>
        <color theme="1"/>
        <rFont val="等线"/>
        <family val="3"/>
        <charset val="134"/>
        <scheme val="minor"/>
      </rPr>
      <t xml:space="preserve">音效- 设备损坏
</t>
    </r>
    <r>
      <rPr>
        <sz val="11"/>
        <color theme="1"/>
        <rFont val="等线"/>
        <family val="3"/>
        <charset val="134"/>
        <scheme val="minor"/>
      </rPr>
      <t>设备损坏时
播放的音效</t>
    </r>
  </si>
  <si>
    <r>
      <rPr>
        <b/>
        <sz val="11"/>
        <color theme="1"/>
        <rFont val="等线"/>
        <family val="3"/>
        <charset val="134"/>
        <scheme val="minor"/>
      </rPr>
      <t xml:space="preserve">音效- 设备受击
</t>
    </r>
    <r>
      <rPr>
        <sz val="11"/>
        <color theme="1"/>
        <rFont val="等线"/>
        <family val="3"/>
        <charset val="134"/>
        <scheme val="minor"/>
      </rPr>
      <t>设备受击时
播放的音效</t>
    </r>
  </si>
  <si>
    <t>设备标签</t>
  </si>
  <si>
    <t>标签翻译</t>
  </si>
  <si>
    <t>设备分类</t>
  </si>
  <si>
    <t>车轮</t>
  </si>
  <si>
    <t>顶部</t>
  </si>
  <si>
    <t>前</t>
  </si>
  <si>
    <t>后</t>
  </si>
  <si>
    <t>前上</t>
  </si>
  <si>
    <t>后上</t>
  </si>
  <si>
    <t>prefix</t>
  </si>
  <si>
    <r>
      <rPr>
        <b/>
        <sz val="11"/>
        <color theme="1"/>
        <rFont val="等线"/>
        <family val="3"/>
        <charset val="134"/>
        <scheme val="minor"/>
      </rPr>
      <t xml:space="preserve">suffix
</t>
    </r>
    <r>
      <rPr>
        <i/>
        <sz val="11"/>
        <color theme="1"/>
        <rFont val="等线"/>
        <family val="3"/>
        <charset val="134"/>
        <scheme val="minor"/>
      </rPr>
      <t>device
main name</t>
    </r>
  </si>
  <si>
    <r>
      <rPr>
        <b/>
        <sz val="11"/>
        <rFont val="等线"/>
        <family val="3"/>
        <charset val="134"/>
        <scheme val="minor"/>
      </rPr>
      <t>预制体的 path</t>
    </r>
    <r>
      <rPr>
        <sz val="11"/>
        <rFont val="等线"/>
        <family val="3"/>
        <charset val="134"/>
        <scheme val="minor"/>
      </rPr>
      <t xml:space="preserve">
（配置值是公式生成的，不要手填）
dp_xxxxxxxxx_x</t>
    </r>
  </si>
  <si>
    <r>
      <rPr>
        <b/>
        <sz val="11"/>
        <color theme="1"/>
        <rFont val="等线"/>
        <family val="3"/>
        <charset val="134"/>
        <scheme val="minor"/>
      </rPr>
      <t xml:space="preserve">重量
</t>
    </r>
    <r>
      <rPr>
        <i/>
        <sz val="9"/>
        <color theme="1"/>
        <rFont val="等线"/>
        <family val="3"/>
        <charset val="134"/>
        <scheme val="minor"/>
      </rPr>
      <t>单位: kg</t>
    </r>
  </si>
  <si>
    <t>最大
目标数</t>
  </si>
  <si>
    <r>
      <rPr>
        <b/>
        <sz val="11"/>
        <color theme="1"/>
        <rFont val="等线"/>
        <family val="3"/>
        <charset val="134"/>
        <scheme val="minor"/>
      </rPr>
      <t xml:space="preserve">取消目标所需帧数
</t>
    </r>
    <r>
      <rPr>
        <i/>
        <sz val="9"/>
        <color theme="1"/>
        <rFont val="等线"/>
        <family val="3"/>
        <charset val="134"/>
        <scheme val="minor"/>
      </rPr>
      <t>当目标超出攻击范围时开始计时</t>
    </r>
  </si>
  <si>
    <t>攻击范围</t>
  </si>
  <si>
    <t>攻击范围
min</t>
  </si>
  <si>
    <t>攻击范围
max</t>
  </si>
  <si>
    <t>预制体会跟随车体进行旋转</t>
  </si>
  <si>
    <t>设备行为脚本</t>
  </si>
  <si>
    <r>
      <rPr>
        <b/>
        <sz val="11"/>
        <color theme="1"/>
        <rFont val="等线"/>
        <family val="3"/>
        <charset val="134"/>
        <scheme val="minor"/>
      </rPr>
      <t xml:space="preserve">特殊设备伤害
</t>
    </r>
    <r>
      <rPr>
        <i/>
        <sz val="10"/>
        <color theme="1"/>
        <rFont val="等线"/>
        <family val="3"/>
        <charset val="134"/>
        <scheme val="minor"/>
      </rPr>
      <t>其他设备伤害不放在这里是为了方便在配置表中计算dps</t>
    </r>
  </si>
  <si>
    <r>
      <rPr>
        <b/>
        <sz val="11"/>
        <color theme="1"/>
        <rFont val="等线"/>
        <family val="3"/>
        <charset val="134"/>
        <scheme val="minor"/>
      </rPr>
      <t xml:space="preserve">近战逻辑
</t>
    </r>
    <r>
      <rPr>
        <i/>
        <sz val="11"/>
        <color theme="1"/>
        <rFont val="等线"/>
        <family val="3"/>
        <charset val="134"/>
        <scheme val="minor"/>
      </rPr>
      <t>近战设备用。引用melee_logic表id</t>
    </r>
  </si>
  <si>
    <r>
      <rPr>
        <b/>
        <sz val="11"/>
        <color theme="1"/>
        <rFont val="等线"/>
        <family val="3"/>
        <charset val="134"/>
        <scheme val="minor"/>
      </rPr>
      <t xml:space="preserve">开火逻辑
</t>
    </r>
    <r>
      <rPr>
        <i/>
        <sz val="11"/>
        <color theme="1"/>
        <rFont val="等线"/>
        <family val="3"/>
        <charset val="134"/>
        <scheme val="minor"/>
      </rPr>
      <t>远程设备用。引用fire_logic表id</t>
    </r>
  </si>
  <si>
    <r>
      <rPr>
        <b/>
        <sz val="11"/>
        <color theme="1"/>
        <rFont val="等线"/>
        <family val="3"/>
        <charset val="134"/>
        <scheme val="minor"/>
      </rPr>
      <t xml:space="preserve">护盾逻辑
</t>
    </r>
    <r>
      <rPr>
        <i/>
        <sz val="11"/>
        <color theme="1"/>
        <rFont val="等线"/>
        <family val="3"/>
        <charset val="134"/>
        <scheme val="minor"/>
      </rPr>
      <t>盾牌设备用。引用shield_logic表id</t>
    </r>
  </si>
  <si>
    <r>
      <rPr>
        <b/>
        <sz val="11"/>
        <color theme="1"/>
        <rFont val="等线"/>
        <family val="3"/>
        <charset val="134"/>
        <scheme val="minor"/>
      </rPr>
      <t xml:space="preserve">钩索逻辑
</t>
    </r>
    <r>
      <rPr>
        <i/>
        <sz val="11"/>
        <color theme="1"/>
        <rFont val="等线"/>
        <family val="3"/>
        <charset val="134"/>
        <scheme val="minor"/>
      </rPr>
      <t>钩索设备用。引用hook_logic表id</t>
    </r>
  </si>
  <si>
    <r>
      <rPr>
        <b/>
        <sz val="11"/>
        <color theme="1"/>
        <rFont val="等线"/>
        <family val="3"/>
        <charset val="134"/>
        <scheme val="minor"/>
      </rPr>
      <t xml:space="preserve">撞角逻辑
</t>
    </r>
    <r>
      <rPr>
        <i/>
        <sz val="11"/>
        <color theme="1"/>
        <rFont val="等线"/>
        <family val="3"/>
        <charset val="134"/>
        <scheme val="minor"/>
      </rPr>
      <t>撞角设备用。引用ram_logic表id</t>
    </r>
  </si>
  <si>
    <r>
      <rPr>
        <b/>
        <sz val="11"/>
        <color theme="1"/>
        <rFont val="等线"/>
        <family val="3"/>
        <charset val="134"/>
        <scheme val="minor"/>
      </rPr>
      <t xml:space="preserve">其他逻辑
</t>
    </r>
    <r>
      <rPr>
        <i/>
        <sz val="11"/>
        <color theme="1"/>
        <rFont val="等线"/>
        <family val="3"/>
        <charset val="134"/>
        <scheme val="minor"/>
      </rPr>
      <t>其他设备用。引用other_logic表id</t>
    </r>
  </si>
  <si>
    <t>设备升级选项id</t>
  </si>
  <si>
    <t>设备UI面板的path</t>
  </si>
  <si>
    <t>设备工位</t>
  </si>
  <si>
    <t>硬木车轮</t>
  </si>
  <si>
    <t>YH</t>
  </si>
  <si>
    <t>wheel_wooden</t>
  </si>
  <si>
    <t>se_ag_device_broken</t>
  </si>
  <si>
    <t>se_ag_device_be_hit</t>
  </si>
  <si>
    <t>Wheel</t>
  </si>
  <si>
    <t>device</t>
  </si>
  <si>
    <t>BasicWheel</t>
  </si>
  <si>
    <t>BasicWheel_Panel</t>
  </si>
  <si>
    <t>履带</t>
  </si>
  <si>
    <t>wheel_track</t>
  </si>
  <si>
    <t>Wheel_Track</t>
  </si>
  <si>
    <t>救生圈</t>
  </si>
  <si>
    <t>wheel_lifebuoy</t>
  </si>
  <si>
    <t>笨重石轮</t>
  </si>
  <si>
    <t>dp</t>
  </si>
  <si>
    <t>wheel_stone</t>
  </si>
  <si>
    <t>Base_Device_Panel</t>
  </si>
  <si>
    <t>坚固铁轮</t>
  </si>
  <si>
    <t>wheel_iron</t>
  </si>
  <si>
    <t>凝胶车轮</t>
  </si>
  <si>
    <t>wheel_gem</t>
  </si>
  <si>
    <t>废弃轮胎</t>
  </si>
  <si>
    <t>wheel_tyre</t>
  </si>
  <si>
    <t>推进车轮</t>
  </si>
  <si>
    <t>JetWheel</t>
  </si>
  <si>
    <t>JetWheel_Panel</t>
  </si>
  <si>
    <t>喷火车轮</t>
  </si>
  <si>
    <t>fire_wheel</t>
  </si>
  <si>
    <t>FireWheel</t>
  </si>
  <si>
    <t>短匕</t>
  </si>
  <si>
    <t>device_dagger</t>
  </si>
  <si>
    <t>1420100;1420101</t>
  </si>
  <si>
    <t>Common</t>
  </si>
  <si>
    <t>dagger</t>
  </si>
  <si>
    <t>BasicMelee_Click</t>
  </si>
  <si>
    <t>DevicePanel_Click_Melee</t>
  </si>
  <si>
    <t>201;301</t>
  </si>
  <si>
    <t>砍刀</t>
  </si>
  <si>
    <t>device_machete</t>
  </si>
  <si>
    <t>machete</t>
  </si>
  <si>
    <t>DevicePanel_Click_Melee_Resharpenable_Machete</t>
  </si>
  <si>
    <t>大剑</t>
  </si>
  <si>
    <t>device_claymore</t>
  </si>
  <si>
    <t>claymore</t>
  </si>
  <si>
    <t>长矛</t>
  </si>
  <si>
    <t>device_spear</t>
  </si>
  <si>
    <t>1420100;1420102</t>
  </si>
  <si>
    <t>spear</t>
  </si>
  <si>
    <t>DevicePanel_Click_Melee_Resharpenable_Spear</t>
  </si>
  <si>
    <t>执刑钉棍</t>
  </si>
  <si>
    <t>DG</t>
  </si>
  <si>
    <t>device_executioner_baton</t>
  </si>
  <si>
    <t>1420100;1420103</t>
  </si>
  <si>
    <t>executioner_baton</t>
  </si>
  <si>
    <t>DevicePanel_Click_Melee_Unresharpenable_Executioner_Baton</t>
  </si>
  <si>
    <t>执刑斧钺</t>
  </si>
  <si>
    <t>device_executioner_halberd</t>
  </si>
  <si>
    <t>1420100;1420104</t>
  </si>
  <si>
    <t>executioner_halberd</t>
  </si>
  <si>
    <t>短柄渔叉</t>
  </si>
  <si>
    <t>device_short_harpoon</t>
  </si>
  <si>
    <t>short_harpoon</t>
  </si>
  <si>
    <t>DevicePanel_Click_Melee_Resharpenable_Short_Harpoon</t>
  </si>
  <si>
    <t>巨斧</t>
  </si>
  <si>
    <t>ax</t>
  </si>
  <si>
    <t>钉锤</t>
  </si>
  <si>
    <t>mace</t>
  </si>
  <si>
    <t>弓</t>
  </si>
  <si>
    <t>device_crossbow</t>
  </si>
  <si>
    <t>1420200;1420221</t>
  </si>
  <si>
    <t>bow</t>
  </si>
  <si>
    <t>Shooter_Bow</t>
  </si>
  <si>
    <t>DevicePanel_Click_Shooter_Bow</t>
  </si>
  <si>
    <t>101;202</t>
  </si>
  <si>
    <t>防身手枪</t>
  </si>
  <si>
    <t>device_pistol</t>
  </si>
  <si>
    <t>1420200;1420210;1420211</t>
  </si>
  <si>
    <t>pistol</t>
  </si>
  <si>
    <t>喇叭霰弹枪</t>
  </si>
  <si>
    <t>device_shotgun</t>
  </si>
  <si>
    <t>1420200;1420210;1420212</t>
  </si>
  <si>
    <t>shotgun</t>
  </si>
  <si>
    <t>device_volley_gun</t>
  </si>
  <si>
    <t>极大弹匣，极长装填时间</t>
  </si>
  <si>
    <t>1420200;1420210;1420213</t>
  </si>
  <si>
    <t>volley_gun</t>
  </si>
  <si>
    <t>机关箭匣</t>
  </si>
  <si>
    <t>device_rapid_fire_quiver</t>
  </si>
  <si>
    <t>1420200;1420222</t>
  </si>
  <si>
    <t>rapid_fire_quiver</t>
  </si>
  <si>
    <t>Shooter_Quiver</t>
  </si>
  <si>
    <t>DevicePanel_Click_Shooter_Quiver</t>
  </si>
  <si>
    <t>火箭爆弹</t>
  </si>
  <si>
    <t>device_rocket_bomb</t>
  </si>
  <si>
    <t>rocket_bomb</t>
  </si>
  <si>
    <t>Shooter_Rocket</t>
  </si>
  <si>
    <t>DevicePanel_Click_Shooter_Rocket</t>
  </si>
  <si>
    <t>土制火箭爆弹</t>
  </si>
  <si>
    <t>homemade_rocket_bomb</t>
  </si>
  <si>
    <t>102;202</t>
  </si>
  <si>
    <t>单发火枪</t>
  </si>
  <si>
    <t>device_musket</t>
  </si>
  <si>
    <t>musket</t>
  </si>
  <si>
    <t>Shooter_AutoGun_Rifle</t>
  </si>
  <si>
    <t>DevicePanel_Click_Shooter_Musket</t>
  </si>
  <si>
    <t>命运手枪</t>
  </si>
  <si>
    <t>低伤害，高暴率，高暴伤</t>
  </si>
  <si>
    <t>fortune_pistol</t>
  </si>
  <si>
    <t>NewBasicShooter</t>
  </si>
  <si>
    <t>BasicShooter_Panel</t>
  </si>
  <si>
    <t>静心猎人火枪</t>
  </si>
  <si>
    <t>暴击率随攻击间隔上升</t>
  </si>
  <si>
    <t>patience_musket</t>
  </si>
  <si>
    <t>轻机枪</t>
  </si>
  <si>
    <t>device_machine_gun</t>
  </si>
  <si>
    <t>machine_gun</t>
  </si>
  <si>
    <t>DevicePanel_Click_Shooter_Machine_Gun</t>
  </si>
  <si>
    <t>device_anti_riot_revolver</t>
  </si>
  <si>
    <t>anti_riot_revolver</t>
  </si>
  <si>
    <t>device_1321101_anti_riot_revolver</t>
  </si>
  <si>
    <t>Shooter_Revolver</t>
  </si>
  <si>
    <t>DevicePanel_Click_Shooter_Revolver</t>
  </si>
  <si>
    <t>猎龙弩炮</t>
  </si>
  <si>
    <t>device_huge_ballistic</t>
  </si>
  <si>
    <t>huge_ballista</t>
  </si>
  <si>
    <t>Shooter_Huge_Ballista</t>
  </si>
  <si>
    <t>DevicePanel_Click_Shooter_Huge_Ballista</t>
  </si>
  <si>
    <t>103;202;401</t>
  </si>
  <si>
    <t>车载投石器</t>
  </si>
  <si>
    <t>device_catapult</t>
  </si>
  <si>
    <t>catapult</t>
  </si>
  <si>
    <t>Shooter_Trebuchet</t>
  </si>
  <si>
    <t>103;202</t>
  </si>
  <si>
    <t>滚木</t>
  </si>
  <si>
    <t>XY</t>
  </si>
  <si>
    <t>roll_wood</t>
  </si>
  <si>
    <t>镇暴左轮</t>
  </si>
  <si>
    <t>镇暴霰弹枪</t>
  </si>
  <si>
    <t>device_anti_riot_shotgun</t>
  </si>
  <si>
    <t>anti_riot_shotgun</t>
  </si>
  <si>
    <t>弩</t>
  </si>
  <si>
    <t>heave_crossbow</t>
  </si>
  <si>
    <t>慑敌战鼓</t>
  </si>
  <si>
    <t>device_war_drum</t>
  </si>
  <si>
    <t>war_drum</t>
  </si>
  <si>
    <t>War_Drum</t>
  </si>
  <si>
    <t>Unique_Drum_Panel</t>
  </si>
  <si>
    <t>捕兽草</t>
  </si>
  <si>
    <t>FT</t>
  </si>
  <si>
    <t>device_9999_hua</t>
  </si>
  <si>
    <t>catching_flower</t>
  </si>
  <si>
    <t>Catching_Flower</t>
  </si>
  <si>
    <t>BasicMelee_Panel</t>
  </si>
  <si>
    <t>飞针陀螺</t>
  </si>
  <si>
    <t>device_gyroscope</t>
  </si>
  <si>
    <t>gyroscope</t>
  </si>
  <si>
    <t>Shooter_Gyroscope</t>
  </si>
  <si>
    <t>Shooter_Gyroscope_Panel</t>
  </si>
  <si>
    <t>小鸟弹弓</t>
  </si>
  <si>
    <t>bird_slingshot</t>
  </si>
  <si>
    <t>黑洞发射器</t>
  </si>
  <si>
    <t>JC</t>
  </si>
  <si>
    <t>BlackHole</t>
  </si>
  <si>
    <t>Unique_BlackHole_Panel</t>
  </si>
  <si>
    <t>磁铁</t>
  </si>
  <si>
    <t>Magnet</t>
  </si>
  <si>
    <t>Unique_Magnet_Panel</t>
  </si>
  <si>
    <t>回收者</t>
  </si>
  <si>
    <t>Recycler</t>
  </si>
  <si>
    <t>Unique_Recycler_Panel</t>
  </si>
  <si>
    <t>大百变怪</t>
  </si>
  <si>
    <t>BigDitto</t>
  </si>
  <si>
    <t>Unique_Ditto_Panel</t>
  </si>
  <si>
    <t>小百变怪</t>
  </si>
  <si>
    <t>SmallDitto</t>
  </si>
  <si>
    <t>气球枪</t>
  </si>
  <si>
    <t>Shooter_Balloon</t>
  </si>
  <si>
    <t>Shooter_Gravity_Panel</t>
  </si>
  <si>
    <t>铅球枪</t>
  </si>
  <si>
    <t>Shooter_IronBall</t>
  </si>
  <si>
    <t>仙人掌</t>
  </si>
  <si>
    <t>device_1330128_cactus</t>
  </si>
  <si>
    <t>Unique_Cactus</t>
  </si>
  <si>
    <t>Base_Cactus_Panel</t>
  </si>
  <si>
    <t>拨浪鼓</t>
  </si>
  <si>
    <t>device_1310103_claymore</t>
  </si>
  <si>
    <t>Rattle</t>
  </si>
  <si>
    <t>Rattle_Panel</t>
  </si>
  <si>
    <t>水龙</t>
  </si>
  <si>
    <t>waterthrower</t>
  </si>
  <si>
    <t>铜炮</t>
  </si>
  <si>
    <t>bronze cannon</t>
  </si>
  <si>
    <t>千钧战槊</t>
  </si>
  <si>
    <t>giant_lance</t>
  </si>
  <si>
    <t>龙首火箭</t>
  </si>
  <si>
    <t>dragon_rocket</t>
  </si>
  <si>
    <t>一窝蜂</t>
  </si>
  <si>
    <t>cluster_rocket</t>
  </si>
  <si>
    <t>小圆盾</t>
  </si>
  <si>
    <t>device_buckler</t>
  </si>
  <si>
    <t>buckler</t>
  </si>
  <si>
    <t>BasicShield_Click</t>
  </si>
  <si>
    <t>DevicePanel_Click_Shield</t>
  </si>
  <si>
    <t>木盾</t>
  </si>
  <si>
    <t>device_wooden_shield</t>
  </si>
  <si>
    <t>wooden_shield</t>
  </si>
  <si>
    <t>长阔盾</t>
  </si>
  <si>
    <t>device_testudo</t>
  </si>
  <si>
    <t>testudo</t>
  </si>
  <si>
    <t>硬皮盾</t>
  </si>
  <si>
    <t>device_lether_shield</t>
  </si>
  <si>
    <t>leather_shield</t>
  </si>
  <si>
    <t>金属板</t>
  </si>
  <si>
    <t>device_metal_plate</t>
  </si>
  <si>
    <t>metal_plate</t>
  </si>
  <si>
    <t>尖刺格斗盾</t>
  </si>
  <si>
    <t>device_spiked_shield</t>
  </si>
  <si>
    <t>spiked_shield</t>
  </si>
  <si>
    <t>藤牌</t>
  </si>
  <si>
    <t>device_vine_shield</t>
  </si>
  <si>
    <t>vine_shield</t>
  </si>
  <si>
    <t>格斗短剑</t>
  </si>
  <si>
    <t>device_protective_short_sword</t>
  </si>
  <si>
    <t>protective_short_sword</t>
  </si>
  <si>
    <t>未来科技护盾生成器</t>
  </si>
  <si>
    <t>device_shield_generator</t>
  </si>
  <si>
    <t>shield_generator</t>
  </si>
  <si>
    <t>Shield_Generator</t>
  </si>
  <si>
    <t>Shield_Generator_Panel</t>
  </si>
  <si>
    <t>拖曳钩索</t>
  </si>
  <si>
    <t>device_hookrope</t>
  </si>
  <si>
    <t>hookrope</t>
  </si>
  <si>
    <t>NewBasicHook</t>
  </si>
  <si>
    <t>BasicHook_Panel</t>
  </si>
  <si>
    <t>货运吊臂</t>
  </si>
  <si>
    <t>device_merchant_crane</t>
  </si>
  <si>
    <t>merchant_crane</t>
  </si>
  <si>
    <t>商队塔吊</t>
  </si>
  <si>
    <t>device_merchant_tower_crane</t>
  </si>
  <si>
    <t>merchant_tower_crane</t>
  </si>
  <si>
    <t>捕奴肉钩</t>
  </si>
  <si>
    <t>device_slave_hookrope</t>
  </si>
  <si>
    <t>slave_hookrope</t>
  </si>
  <si>
    <t>device_executioner_hookrope</t>
  </si>
  <si>
    <t>executioner_hookrope</t>
  </si>
  <si>
    <t>刺矛撞角</t>
  </si>
  <si>
    <t>device_spear_ram</t>
  </si>
  <si>
    <t>spear_ram</t>
  </si>
  <si>
    <t>金属铲斗</t>
  </si>
  <si>
    <t>device_metal_ram</t>
  </si>
  <si>
    <t>metal_ram</t>
  </si>
  <si>
    <t>device_bouncing_mushroom</t>
  </si>
  <si>
    <t>bouncing_mushroom</t>
  </si>
  <si>
    <t>弓箭</t>
  </si>
  <si>
    <t>device_name_1320102_pistol</t>
  </si>
  <si>
    <t>device_1320102_pistol</t>
  </si>
  <si>
    <t>未来科技激光炮</t>
  </si>
  <si>
    <t>device_lasergun</t>
  </si>
  <si>
    <t>device_name_1321103_lasergun</t>
  </si>
  <si>
    <t>lasergun</t>
  </si>
  <si>
    <t>LaserGun</t>
  </si>
  <si>
    <t>LaserGun_Panel</t>
  </si>
  <si>
    <t>刀斧傀儡</t>
  </si>
  <si>
    <t>puppet_blade</t>
  </si>
  <si>
    <t>火药傀儡</t>
  </si>
  <si>
    <t>puppet_gunpowder</t>
  </si>
  <si>
    <t>弧光傀儡</t>
  </si>
  <si>
    <t>puppet_arc</t>
  </si>
  <si>
    <t>弩箭傀儡</t>
  </si>
  <si>
    <t>puppet_crossbow</t>
  </si>
  <si>
    <t>投石傀儡</t>
  </si>
  <si>
    <t>puppet_sling</t>
  </si>
  <si>
    <t>火铳傀儡</t>
  </si>
  <si>
    <t>puppet_musket</t>
  </si>
  <si>
    <t>魔力方块</t>
  </si>
  <si>
    <t>Core</t>
  </si>
  <si>
    <t>core_magic</t>
  </si>
  <si>
    <t>电池</t>
  </si>
  <si>
    <t>core_battery</t>
  </si>
  <si>
    <t>火热熔炉</t>
  </si>
  <si>
    <t>core_furnace</t>
  </si>
  <si>
    <t>蒸汽轮机</t>
  </si>
  <si>
    <t>core_steam</t>
  </si>
  <si>
    <t>风车轮轴</t>
  </si>
  <si>
    <t>core_windmill</t>
  </si>
  <si>
    <t>仓鼠轮</t>
  </si>
  <si>
    <t>core_mice</t>
  </si>
  <si>
    <t>人力轮</t>
  </si>
  <si>
    <t>core_human</t>
  </si>
  <si>
    <t>wheel_height</t>
  </si>
  <si>
    <t>wheel_radius_visual</t>
  </si>
  <si>
    <t>tractive_force_max</t>
  </si>
  <si>
    <t>feedback_0</t>
  </si>
  <si>
    <t>feedback_1</t>
  </si>
  <si>
    <t>bounce_loss</t>
  </si>
  <si>
    <t>bounce_coef</t>
  </si>
  <si>
    <t>crush_level</t>
  </si>
  <si>
    <t>crush_v_mod</t>
  </si>
  <si>
    <t>sprint_charge_speed</t>
  </si>
  <si>
    <t>sprint_charge_speed_bonus</t>
  </si>
  <si>
    <t>sprint_charge_point</t>
  </si>
  <si>
    <t>sprint_lever_loss</t>
  </si>
  <si>
    <t>float?</t>
  </si>
  <si>
    <t>float</t>
  </si>
  <si>
    <r>
      <rPr>
        <b/>
        <sz val="11"/>
        <color theme="1"/>
        <rFont val="等线"/>
        <family val="3"/>
        <charset val="134"/>
        <scheme val="minor"/>
      </rPr>
      <t xml:space="preserve">车轮高度
</t>
    </r>
    <r>
      <rPr>
        <i/>
        <sz val="10"/>
        <color theme="1"/>
        <rFont val="等线"/>
        <family val="3"/>
        <charset val="134"/>
        <scheme val="minor"/>
      </rPr>
      <t>圆形车轮直接找Collider半径，非圆形车轮手动测量高度。
用于调整车体到地面的距离</t>
    </r>
  </si>
  <si>
    <r>
      <rPr>
        <b/>
        <sz val="11"/>
        <color theme="1"/>
        <rFont val="等线"/>
        <family val="3"/>
        <charset val="134"/>
        <scheme val="minor"/>
      </rPr>
      <t xml:space="preserve">车轮视觉半径
</t>
    </r>
    <r>
      <rPr>
        <i/>
        <sz val="10"/>
        <color theme="1"/>
        <rFont val="等线"/>
        <family val="3"/>
        <charset val="134"/>
        <scheme val="minor"/>
      </rPr>
      <t>(用于调整脚本控制的转动表现)
视觉转速=车速/视觉半径</t>
    </r>
  </si>
  <si>
    <r>
      <rPr>
        <b/>
        <sz val="11"/>
        <color theme="1"/>
        <rFont val="等线"/>
        <family val="3"/>
        <charset val="134"/>
        <scheme val="minor"/>
      </rPr>
      <t xml:space="preserve">阻力系数0
</t>
    </r>
    <r>
      <rPr>
        <i/>
        <sz val="11"/>
        <color theme="1"/>
        <rFont val="等线"/>
        <family val="3"/>
        <charset val="134"/>
        <scheme val="minor"/>
      </rPr>
      <t>正相关于v^0
绝对值越低，承重性能越好</t>
    </r>
  </si>
  <si>
    <r>
      <rPr>
        <b/>
        <sz val="11"/>
        <color theme="1"/>
        <rFont val="等线"/>
        <family val="3"/>
        <charset val="134"/>
        <scheme val="minor"/>
      </rPr>
      <t xml:space="preserve">阻力系数1
</t>
    </r>
    <r>
      <rPr>
        <i/>
        <sz val="11"/>
        <color theme="1"/>
        <rFont val="等线"/>
        <family val="3"/>
        <charset val="134"/>
        <scheme val="minor"/>
      </rPr>
      <t>正相关于v^1
绝对值越低，高速性能越好</t>
    </r>
  </si>
  <si>
    <r>
      <rPr>
        <b/>
        <sz val="11"/>
        <color theme="1"/>
        <rFont val="等线"/>
        <family val="3"/>
        <charset val="134"/>
        <scheme val="minor"/>
      </rPr>
      <t xml:space="preserve">弹跳损失
</t>
    </r>
    <r>
      <rPr>
        <i/>
        <sz val="10"/>
        <color theme="1"/>
        <rFont val="等线"/>
        <family val="3"/>
        <charset val="134"/>
        <scheme val="minor"/>
      </rPr>
      <t>小车着陆时的绝对能量损失。不超过这一数值时，小车无法弹跳。</t>
    </r>
  </si>
  <si>
    <r>
      <rPr>
        <b/>
        <sz val="11"/>
        <color theme="1"/>
        <rFont val="等线"/>
        <family val="3"/>
        <charset val="134"/>
        <scheme val="minor"/>
      </rPr>
      <t xml:space="preserve">弹跳系数
</t>
    </r>
    <r>
      <rPr>
        <i/>
        <sz val="10"/>
        <color theme="1"/>
        <rFont val="等线"/>
        <family val="3"/>
        <charset val="134"/>
        <scheme val="minor"/>
      </rPr>
      <t>扣除弹跳损失后，小车的法向碰撞系数。
在设计上，配置值范围为 [0,1)</t>
    </r>
  </si>
  <si>
    <t>碾压
判定半径</t>
  </si>
  <si>
    <t>碾压
等级</t>
  </si>
  <si>
    <t>碾压
速度修正</t>
  </si>
  <si>
    <r>
      <rPr>
        <b/>
        <sz val="11"/>
        <color theme="1"/>
        <rFont val="等线"/>
        <family val="3"/>
        <charset val="134"/>
        <scheme val="minor"/>
      </rPr>
      <t xml:space="preserve">冲刺.充能速率
</t>
    </r>
    <r>
      <rPr>
        <i/>
        <sz val="11"/>
        <color theme="1"/>
        <rFont val="等线"/>
        <family val="3"/>
        <charset val="134"/>
        <scheme val="minor"/>
      </rPr>
      <t>每帧速率</t>
    </r>
  </si>
  <si>
    <t>配置辅助列
充能完成时长
（秒）</t>
  </si>
  <si>
    <r>
      <rPr>
        <b/>
        <sz val="11"/>
        <color theme="1"/>
        <rFont val="等线"/>
        <family val="3"/>
        <charset val="134"/>
        <scheme val="minor"/>
      </rPr>
      <t xml:space="preserve">冲刺.额外充能速率
</t>
    </r>
    <r>
      <rPr>
        <i/>
        <sz val="11"/>
        <color theme="1"/>
        <rFont val="等线"/>
        <family val="3"/>
        <charset val="134"/>
        <scheme val="minor"/>
      </rPr>
      <t>当角色位于工位时，提供的额外每帧速率加成</t>
    </r>
  </si>
  <si>
    <r>
      <rPr>
        <b/>
        <sz val="11"/>
        <color theme="1"/>
        <rFont val="等线"/>
        <family val="3"/>
        <charset val="134"/>
        <scheme val="minor"/>
      </rPr>
      <t xml:space="preserve">冲刺.最大充能次数
</t>
    </r>
    <r>
      <rPr>
        <i/>
        <sz val="11"/>
        <color theme="1"/>
        <rFont val="等线"/>
        <family val="3"/>
        <charset val="134"/>
        <scheme val="minor"/>
      </rPr>
      <t>无法小于1</t>
    </r>
  </si>
  <si>
    <t>冲刺.动力消耗</t>
  </si>
  <si>
    <t xml:space="preserve"> </t>
  </si>
  <si>
    <t>tag_name</t>
  </si>
  <si>
    <t>设备标签
ID</t>
  </si>
  <si>
    <r>
      <rPr>
        <b/>
        <sz val="11"/>
        <color theme="1"/>
        <rFont val="等线"/>
        <family val="3"/>
        <charset val="134"/>
        <scheme val="minor"/>
      </rPr>
      <t xml:space="preserve">设备标签名称
</t>
    </r>
    <r>
      <rPr>
        <i/>
        <sz val="10"/>
        <color theme="1"/>
        <rFont val="等线"/>
        <family val="3"/>
        <charset val="134"/>
        <scheme val="minor"/>
      </rPr>
      <t>翻译表key</t>
    </r>
  </si>
  <si>
    <t>近战武器</t>
  </si>
  <si>
    <t>刀剑</t>
  </si>
  <si>
    <t>棍棒</t>
  </si>
  <si>
    <t>斧钺</t>
  </si>
  <si>
    <t>远程武器</t>
  </si>
  <si>
    <t>枪械</t>
  </si>
  <si>
    <t>手枪</t>
  </si>
  <si>
    <t>霰弹枪</t>
  </si>
  <si>
    <t>大型枪械</t>
  </si>
  <si>
    <t>独特设备</t>
  </si>
  <si>
    <t>盾牌</t>
  </si>
  <si>
    <t>钩索</t>
  </si>
  <si>
    <t>撞角</t>
  </si>
  <si>
    <t>冷兵器</t>
  </si>
  <si>
    <t>热兵器</t>
  </si>
  <si>
    <t>cubicle_behaviour</t>
  </si>
  <si>
    <t>工位ID</t>
  </si>
  <si>
    <t>备注1</t>
  </si>
  <si>
    <t>备注2</t>
  </si>
  <si>
    <t>备注3</t>
  </si>
  <si>
    <t>工位脚本</t>
  </si>
  <si>
    <t>弹匣装填</t>
  </si>
  <si>
    <t>IReload</t>
  </si>
  <si>
    <t>装填</t>
  </si>
  <si>
    <t>DeviceLoadCubicle</t>
  </si>
  <si>
    <t>弹药箱子</t>
  </si>
  <si>
    <t>上紧绞盘</t>
  </si>
  <si>
    <t>近战攻击</t>
  </si>
  <si>
    <t>IAttack</t>
  </si>
  <si>
    <t>攻击</t>
  </si>
  <si>
    <t>DeviceAttackCubicle</t>
  </si>
  <si>
    <t>瞄准射击</t>
  </si>
  <si>
    <t>转轮射击</t>
  </si>
  <si>
    <t xml:space="preserve">鼓攻击 </t>
  </si>
  <si>
    <t>磨砺刀刃</t>
  </si>
  <si>
    <t>ISharp</t>
  </si>
  <si>
    <t>DeviceSharpCubicle</t>
  </si>
  <si>
    <t>调整朝向</t>
  </si>
  <si>
    <t>IRotate</t>
  </si>
  <si>
    <t>旋转</t>
  </si>
  <si>
    <t>DeviceRotateCubicle</t>
  </si>
  <si>
    <t>第1位</t>
  </si>
  <si>
    <t>第2位</t>
  </si>
  <si>
    <t>第3位</t>
  </si>
  <si>
    <t>第4位</t>
  </si>
  <si>
    <t>第5位</t>
  </si>
  <si>
    <t>第6位</t>
  </si>
  <si>
    <t>第7位</t>
  </si>
  <si>
    <t>12 = wheel</t>
  </si>
  <si>
    <t>1 = 车轮</t>
  </si>
  <si>
    <t>01 = 玩家基础/未分类</t>
  </si>
  <si>
    <t>编号</t>
  </si>
  <si>
    <t>2 = 滑橇</t>
  </si>
  <si>
    <t>11 = 地宫设备</t>
  </si>
  <si>
    <t>18 = 大湖设备</t>
  </si>
  <si>
    <t>12 ~19 = 其他关卡设备</t>
  </si>
  <si>
    <t>13 = other_device</t>
  </si>
  <si>
    <t>1 = 近战</t>
  </si>
  <si>
    <t>01~99 编号</t>
  </si>
  <si>
    <t>2 = 远程</t>
  </si>
  <si>
    <t>02 = 进阶特化设备</t>
  </si>
  <si>
    <t>type</t>
  </si>
  <si>
    <t>3 = 特殊</t>
  </si>
  <si>
    <t xml:space="preserve"> 近战</t>
  </si>
  <si>
    <t>melee</t>
  </si>
  <si>
    <t>4 = 盾牌</t>
  </si>
  <si>
    <t>12 = 云间设备</t>
  </si>
  <si>
    <t xml:space="preserve"> 远程</t>
  </si>
  <si>
    <t>ranged</t>
  </si>
  <si>
    <t>5 = 钩索</t>
  </si>
  <si>
    <t>15 = 田间设备</t>
  </si>
  <si>
    <t xml:space="preserve"> 特殊</t>
  </si>
  <si>
    <t>unique</t>
  </si>
  <si>
    <t>6 = 撞角</t>
  </si>
  <si>
    <t xml:space="preserve"> 盾牌</t>
  </si>
  <si>
    <t>shield</t>
  </si>
  <si>
    <t>7 = 手瞄远程</t>
  </si>
  <si>
    <t xml:space="preserve"> 钩索</t>
  </si>
  <si>
    <t>hook</t>
  </si>
  <si>
    <t>8 = 傀儡</t>
  </si>
  <si>
    <t xml:space="preserve"> 撞角</t>
  </si>
  <si>
    <t>ram</t>
  </si>
  <si>
    <t>笨重，但通过性极佳。碾碎一切弱小的敌人。</t>
    <phoneticPr fontId="25" type="noConversion"/>
  </si>
  <si>
    <t>动力强劲又灵活，但总是会不受控地弹起…</t>
    <phoneticPr fontId="25" type="noConversion"/>
  </si>
  <si>
    <t>平平无奇的木质车轮。</t>
    <phoneticPr fontId="25" type="noConversion"/>
  </si>
  <si>
    <t>说明/备注</t>
    <phoneticPr fontId="25" type="noConversion"/>
  </si>
  <si>
    <t>icon_idle</t>
    <phoneticPr fontId="25" type="noConversion"/>
  </si>
  <si>
    <t>icon_working</t>
    <phoneticPr fontId="25" type="noConversion"/>
  </si>
  <si>
    <t>辅助列
图集序号</t>
    <phoneticPr fontId="25" type="noConversion"/>
  </si>
  <si>
    <t>设备原价</t>
    <phoneticPr fontId="25" type="noConversion"/>
  </si>
  <si>
    <t>int</t>
    <phoneticPr fontId="25" type="noConversion"/>
  </si>
  <si>
    <t>base_value</t>
    <phoneticPr fontId="25" type="noConversion"/>
  </si>
  <si>
    <t>碾压
弹跳系数</t>
    <phoneticPr fontId="25" type="noConversion"/>
  </si>
  <si>
    <t>crush_radius</t>
    <phoneticPr fontId="25" type="noConversion"/>
  </si>
  <si>
    <t>碾压
基础击退</t>
    <phoneticPr fontId="25" type="noConversion"/>
  </si>
  <si>
    <t>crush_ft</t>
    <phoneticPr fontId="25" type="noConversion"/>
  </si>
  <si>
    <t>crush_jump_coef</t>
    <phoneticPr fontId="25" type="noConversion"/>
  </si>
  <si>
    <t>长柄鱼叉</t>
    <phoneticPr fontId="25" type="noConversion"/>
  </si>
  <si>
    <t>long_harpoon</t>
    <phoneticPr fontId="25" type="noConversion"/>
  </si>
  <si>
    <t>device_long_harpoon</t>
    <phoneticPr fontId="25" type="noConversion"/>
  </si>
  <si>
    <t>海妖触手</t>
    <phoneticPr fontId="25" type="noConversion"/>
  </si>
  <si>
    <t>device_tentacle</t>
    <phoneticPr fontId="25" type="noConversion"/>
  </si>
  <si>
    <t>tentacle</t>
    <phoneticPr fontId="25" type="noConversion"/>
  </si>
  <si>
    <t>DevicePanel_Click_Shooter_Trebuchet</t>
    <phoneticPr fontId="25" type="noConversion"/>
  </si>
  <si>
    <t>DevicePanel_Click_Shooter_Roll_Wood</t>
    <phoneticPr fontId="25" type="noConversion"/>
  </si>
  <si>
    <t>Shooter_Roll_Wood</t>
    <phoneticPr fontId="25" type="noConversion"/>
  </si>
  <si>
    <t>大湖</t>
    <phoneticPr fontId="25" type="noConversion"/>
  </si>
  <si>
    <t>地宫</t>
    <phoneticPr fontId="25" type="noConversion"/>
  </si>
  <si>
    <t>普通</t>
    <phoneticPr fontId="25" type="noConversion"/>
  </si>
  <si>
    <t>鱼叉绳枪</t>
    <phoneticPr fontId="25" type="noConversion"/>
  </si>
  <si>
    <t>行刑挂钩</t>
    <phoneticPr fontId="25" type="noConversion"/>
  </si>
  <si>
    <t>树梢</t>
    <phoneticPr fontId="25" type="noConversion"/>
  </si>
  <si>
    <t>缚灵索</t>
    <phoneticPr fontId="25" type="noConversion"/>
  </si>
  <si>
    <t>Melee_Tentacle</t>
    <phoneticPr fontId="25" type="noConversion"/>
  </si>
  <si>
    <t>dict&lt;string,float&gt;</t>
    <phoneticPr fontId="25" type="noConversion"/>
  </si>
  <si>
    <t>crush_atk</t>
    <phoneticPr fontId="25" type="noConversion"/>
  </si>
  <si>
    <t>碾压
基础伤害</t>
    <phoneticPr fontId="25" type="noConversion"/>
  </si>
  <si>
    <t>钩爪收放</t>
    <phoneticPr fontId="25" type="noConversion"/>
  </si>
  <si>
    <t>device_harpoon_gun</t>
    <phoneticPr fontId="25" type="noConversion"/>
  </si>
  <si>
    <t>harpoon_gun</t>
    <phoneticPr fontId="25" type="noConversion"/>
  </si>
  <si>
    <t>float</t>
    <phoneticPr fontId="25" type="noConversion"/>
  </si>
  <si>
    <t>blower_decline</t>
    <phoneticPr fontId="25" type="noConversion"/>
  </si>
  <si>
    <r>
      <t xml:space="preserve">100%牵引力
</t>
    </r>
    <r>
      <rPr>
        <i/>
        <sz val="11"/>
        <color theme="1"/>
        <rFont val="等线"/>
        <family val="3"/>
        <charset val="134"/>
        <scheme val="minor"/>
      </rPr>
      <t>（N）</t>
    </r>
    <phoneticPr fontId="25" type="noConversion"/>
  </si>
  <si>
    <t>配置
辅助</t>
    <phoneticPr fontId="25" type="noConversion"/>
  </si>
  <si>
    <t>blower_charge</t>
    <phoneticPr fontId="25" type="noConversion"/>
  </si>
  <si>
    <r>
      <t xml:space="preserve">油门减速率
</t>
    </r>
    <r>
      <rPr>
        <i/>
        <sz val="10"/>
        <color theme="1"/>
        <rFont val="等线"/>
        <family val="3"/>
        <charset val="134"/>
        <scheme val="minor"/>
      </rPr>
      <t>风箱油门数值大于1后，会缓缓下降。
该配置值越大，油门下降速率越快。</t>
    </r>
    <phoneticPr fontId="25" type="noConversion"/>
  </si>
  <si>
    <r>
      <t xml:space="preserve">油门加速效率
</t>
    </r>
    <r>
      <rPr>
        <i/>
        <sz val="10"/>
        <color theme="1"/>
        <rFont val="等线"/>
        <family val="3"/>
        <charset val="134"/>
        <scheme val="minor"/>
      </rPr>
      <t>使用风箱鼓风时，油门的加速速率。</t>
    </r>
    <phoneticPr fontId="25" type="noConversion"/>
  </si>
  <si>
    <t/>
  </si>
  <si>
    <t>size</t>
    <phoneticPr fontId="25" type="noConversion"/>
  </si>
  <si>
    <t>设备
面板
宽度</t>
    <phoneticPr fontId="25" type="noConversion"/>
  </si>
  <si>
    <t>basic_range</t>
    <phoneticPr fontId="25" type="noConversion"/>
  </si>
  <si>
    <t>AMY左轮</t>
    <phoneticPr fontId="25" type="noConversion"/>
  </si>
  <si>
    <t>device_name_1320112_anti_riot_revolver</t>
  </si>
  <si>
    <t>【远程模板】</t>
    <phoneticPr fontId="25" type="noConversion"/>
  </si>
  <si>
    <t>DScript_Shooter</t>
    <phoneticPr fontId="25" type="noConversion"/>
  </si>
  <si>
    <t>DPanel_Shooter</t>
    <phoneticPr fontId="25" type="noConversion"/>
  </si>
  <si>
    <t>DScript_Shooter_Revolver</t>
    <phoneticPr fontId="25" type="noConversion"/>
  </si>
  <si>
    <t>DPanel_Shooter_Pistol</t>
    <phoneticPr fontId="25" type="noConversion"/>
  </si>
  <si>
    <t>DPanel_Shooter_Gatlin</t>
    <phoneticPr fontId="25" type="noConversion"/>
  </si>
  <si>
    <t>DScript_Shooter_Gatlin</t>
    <phoneticPr fontId="25" type="noConversion"/>
  </si>
  <si>
    <t>【近战模板】</t>
    <phoneticPr fontId="25" type="noConversion"/>
  </si>
  <si>
    <t>device_name_1311101_executioner_baton</t>
  </si>
  <si>
    <t>device_name_1310103_claymore</t>
  </si>
  <si>
    <t>DScript_Melee</t>
    <phoneticPr fontId="25" type="noConversion"/>
  </si>
  <si>
    <t>DScript_Melee_Baton</t>
    <phoneticPr fontId="25" type="noConversion"/>
  </si>
  <si>
    <t>DScript_Melee_Claymore</t>
    <phoneticPr fontId="25" type="noConversion"/>
  </si>
  <si>
    <t>DPanel_Melee</t>
    <phoneticPr fontId="25" type="noConversion"/>
  </si>
  <si>
    <t>DPanel_Melee_Claymore</t>
    <phoneticPr fontId="25" type="noConversion"/>
  </si>
  <si>
    <t>AMY棍棒</t>
    <phoneticPr fontId="25" type="noConversion"/>
  </si>
  <si>
    <t>AMY大剑</t>
    <phoneticPr fontId="25" type="noConversion"/>
  </si>
  <si>
    <t>ICarry</t>
    <phoneticPr fontId="25" type="noConversion"/>
  </si>
  <si>
    <t>搬运弹药</t>
    <phoneticPr fontId="25" type="noConversion"/>
  </si>
  <si>
    <t>DeviceCarryCubicle</t>
    <phoneticPr fontId="25" type="noConversion"/>
  </si>
  <si>
    <t>DPanel_Melee_Baton</t>
    <phoneticPr fontId="25" type="noConversion"/>
  </si>
  <si>
    <t>device_1311101_executioner_baton</t>
  </si>
  <si>
    <t>DPanel_Ram_Spear</t>
    <phoneticPr fontId="25" type="noConversion"/>
  </si>
  <si>
    <t>DScript_Ram</t>
    <phoneticPr fontId="25" type="noConversion"/>
  </si>
  <si>
    <t>等级</t>
    <phoneticPr fontId="25" type="noConversion"/>
  </si>
  <si>
    <t>Amy</t>
    <phoneticPr fontId="25" type="noConversion"/>
  </si>
  <si>
    <t>绿</t>
    <phoneticPr fontId="25" type="noConversion"/>
  </si>
  <si>
    <t>名称</t>
    <phoneticPr fontId="25" type="noConversion"/>
  </si>
  <si>
    <t>锈铁左轮</t>
    <phoneticPr fontId="25" type="noConversion"/>
  </si>
  <si>
    <t>民用左轮</t>
    <phoneticPr fontId="25" type="noConversion"/>
  </si>
  <si>
    <t>防身手枪</t>
    <phoneticPr fontId="25" type="noConversion"/>
  </si>
  <si>
    <t>前线手枪</t>
    <phoneticPr fontId="25" type="noConversion"/>
  </si>
  <si>
    <t>爆破者左轮</t>
    <phoneticPr fontId="25" type="noConversion"/>
  </si>
  <si>
    <t>军士长手枪</t>
    <phoneticPr fontId="25" type="noConversion"/>
  </si>
  <si>
    <t>ui_device_nametag_1</t>
    <phoneticPr fontId="25" type="noConversion"/>
  </si>
  <si>
    <t>灰白</t>
    <phoneticPr fontId="25" type="noConversion"/>
  </si>
  <si>
    <t>蓝</t>
    <phoneticPr fontId="25" type="noConversion"/>
  </si>
  <si>
    <t>紫</t>
    <phoneticPr fontId="25" type="noConversion"/>
  </si>
  <si>
    <t>橙</t>
    <phoneticPr fontId="25" type="noConversion"/>
  </si>
  <si>
    <t>grey</t>
  </si>
  <si>
    <t>black</t>
  </si>
  <si>
    <t>#007328</t>
  </si>
  <si>
    <t>#999900</t>
  </si>
  <si>
    <t>red</t>
  </si>
  <si>
    <t>富文本字号</t>
    <phoneticPr fontId="25" type="noConversion"/>
  </si>
  <si>
    <t>img_name_bar</t>
    <phoneticPr fontId="25" type="noConversion"/>
  </si>
  <si>
    <t>名称条 图片路径</t>
    <phoneticPr fontId="25" type="noConversion"/>
  </si>
  <si>
    <t>ui_device_nametag_3</t>
  </si>
  <si>
    <t>ui_device_nametag_4</t>
  </si>
  <si>
    <t>ui_device_nametag_5</t>
  </si>
  <si>
    <t>ui_device_shop_shopboard_1</t>
    <phoneticPr fontId="25" type="noConversion"/>
  </si>
  <si>
    <t>ui_device_shop_shopboard_2</t>
  </si>
  <si>
    <t>ui_device_shop_shopboard_3</t>
  </si>
  <si>
    <t>ui_device_shop_shopboard_4</t>
  </si>
  <si>
    <t>ui_device_shop_shopboard_5</t>
  </si>
  <si>
    <t>img_info_board</t>
    <phoneticPr fontId="25" type="noConversion"/>
  </si>
  <si>
    <t>商店资料图 背景板</t>
    <phoneticPr fontId="25" type="noConversion"/>
  </si>
  <si>
    <t>rank</t>
    <phoneticPr fontId="25" type="noConversion"/>
  </si>
  <si>
    <t>设备等级</t>
    <phoneticPr fontId="25" type="noConversion"/>
  </si>
  <si>
    <t>DPanel_Melee_Blade</t>
    <phoneticPr fontId="25" type="noConversion"/>
  </si>
  <si>
    <t>DScript_Melee_Blade</t>
    <phoneticPr fontId="25" type="noConversion"/>
  </si>
  <si>
    <t>DScript_Shooter_Shotgun</t>
    <phoneticPr fontId="25" type="noConversion"/>
  </si>
  <si>
    <t>特斯拉电极</t>
    <phoneticPr fontId="25" type="noConversion"/>
  </si>
  <si>
    <t>device_tesla</t>
  </si>
  <si>
    <t>DScript_Melee_Charge</t>
    <phoneticPr fontId="25" type="noConversion"/>
  </si>
  <si>
    <t>DPanel_Charge_Tesla</t>
  </si>
  <si>
    <t>圆锯</t>
    <phoneticPr fontId="25" type="noConversion"/>
  </si>
  <si>
    <r>
      <t xml:space="preserve">空闲时icon
</t>
    </r>
    <r>
      <rPr>
        <sz val="11"/>
        <color theme="1"/>
        <rFont val="等线"/>
        <family val="3"/>
        <charset val="134"/>
        <scheme val="minor"/>
      </rPr>
      <t>|ui_battle_work_icon|</t>
    </r>
    <phoneticPr fontId="25" type="noConversion"/>
  </si>
  <si>
    <r>
      <t xml:space="preserve">工位占据时icon
</t>
    </r>
    <r>
      <rPr>
        <sz val="11"/>
        <color theme="1"/>
        <rFont val="等线"/>
        <family val="3"/>
        <charset val="134"/>
        <scheme val="minor"/>
      </rPr>
      <t>|ui_battle_work_icon_npc|</t>
    </r>
    <phoneticPr fontId="25" type="noConversion"/>
  </si>
  <si>
    <t>喇叭霰弹枪</t>
    <phoneticPr fontId="25" type="noConversion"/>
  </si>
  <si>
    <t>黄铜喇叭枪</t>
    <phoneticPr fontId="25" type="noConversion"/>
  </si>
  <si>
    <t>精钢喇叭枪</t>
    <phoneticPr fontId="25" type="noConversion"/>
  </si>
  <si>
    <t>废旧喇叭枪</t>
    <phoneticPr fontId="25" type="noConversion"/>
  </si>
  <si>
    <t>钨金喇叭枪</t>
    <phoneticPr fontId="25" type="noConversion"/>
  </si>
  <si>
    <t>ICharge</t>
    <phoneticPr fontId="25" type="noConversion"/>
  </si>
  <si>
    <t>电磁充能</t>
    <phoneticPr fontId="25" type="noConversion"/>
  </si>
  <si>
    <t>后勤</t>
    <phoneticPr fontId="25" type="noConversion"/>
  </si>
  <si>
    <t>DeviceChargeCubicle</t>
    <phoneticPr fontId="25" type="noConversion"/>
  </si>
  <si>
    <t>201;303</t>
    <phoneticPr fontId="25" type="noConversion"/>
  </si>
  <si>
    <t>102;203;302</t>
    <phoneticPr fontId="25" type="noConversion"/>
  </si>
  <si>
    <t>tesla</t>
    <phoneticPr fontId="25" type="noConversion"/>
  </si>
  <si>
    <t>DPanel_Shooter_Shotgun_Lv0</t>
    <phoneticPr fontId="25" type="noConversion"/>
  </si>
  <si>
    <t>DPanel_Shooter_Shotgun_Lv1</t>
  </si>
  <si>
    <t>DPanel_Shooter_Shotgun_Lv2</t>
  </si>
  <si>
    <t>DPanel_Shooter_Shotgun_Lv3</t>
  </si>
  <si>
    <t>左轮手枪</t>
    <phoneticPr fontId="25" type="noConversion"/>
  </si>
  <si>
    <t>AMY左轮</t>
  </si>
  <si>
    <t>DScript_Shooter_Revolver_AMY</t>
    <phoneticPr fontId="25" type="noConversion"/>
  </si>
  <si>
    <t>(Base)</t>
    <phoneticPr fontId="25" type="noConversion"/>
  </si>
  <si>
    <t>前线手枪</t>
  </si>
  <si>
    <t>军士长手枪</t>
  </si>
  <si>
    <t>辅助列
价格
基准价格</t>
    <phoneticPr fontId="25" type="noConversion"/>
  </si>
  <si>
    <t>辅助列
价格
等级梯度</t>
    <phoneticPr fontId="25" type="noConversion"/>
  </si>
  <si>
    <t>XY</t>
    <phoneticPr fontId="25" type="noConversion"/>
  </si>
  <si>
    <t>充气球棍</t>
    <phoneticPr fontId="25" type="noConversion"/>
  </si>
  <si>
    <t>inflatable_stick</t>
    <phoneticPr fontId="25" type="noConversion"/>
  </si>
  <si>
    <t>充气球棍 Lv.0</t>
    <phoneticPr fontId="25" type="noConversion"/>
  </si>
  <si>
    <t>充气球棍 Lv.1</t>
    <phoneticPr fontId="25" type="noConversion"/>
  </si>
  <si>
    <t>DPanel_Melee_Inflatable_Stick_Lv0</t>
    <phoneticPr fontId="25" type="noConversion"/>
  </si>
  <si>
    <t>DPanel_Melee_Inflatable_Stick_Lv1</t>
    <phoneticPr fontId="25" type="noConversion"/>
  </si>
  <si>
    <t>DScript_Melee_Charge_CircularSaw</t>
    <phoneticPr fontId="25" type="noConversion"/>
  </si>
  <si>
    <t>DPanel_Charge_CircularSaw</t>
    <phoneticPr fontId="25" type="noConversion"/>
  </si>
  <si>
    <t>YH</t>
    <phoneticPr fontId="25" type="noConversion"/>
  </si>
  <si>
    <t>img_panel_rank</t>
    <phoneticPr fontId="25" type="noConversion"/>
  </si>
  <si>
    <t>string</t>
    <phoneticPr fontId="25" type="noConversion"/>
  </si>
  <si>
    <t>等级面板中的品质</t>
    <phoneticPr fontId="25" type="noConversion"/>
  </si>
  <si>
    <t>ui_battle_device_level_1</t>
    <phoneticPr fontId="25" type="noConversion"/>
  </si>
  <si>
    <t>ui_battle_device_level_2</t>
  </si>
  <si>
    <t>ui_battle_device_level_5</t>
  </si>
  <si>
    <t>ui_battle_device_level_3</t>
  </si>
  <si>
    <t>ui_battle_device_level_4</t>
  </si>
  <si>
    <t>转轮机枪</t>
    <phoneticPr fontId="25" type="noConversion"/>
  </si>
  <si>
    <t>转轮机枪 Lv4</t>
    <phoneticPr fontId="25" type="noConversion"/>
  </si>
  <si>
    <t>转轮机枪 Lv3</t>
    <phoneticPr fontId="25" type="noConversion"/>
  </si>
  <si>
    <t>特斯拉电极 Lv2</t>
  </si>
  <si>
    <t>特斯拉电极 Lv2</t>
    <phoneticPr fontId="25" type="noConversion"/>
  </si>
  <si>
    <t>特斯拉电极 Lv3</t>
  </si>
  <si>
    <t>特斯拉电极 Lv3</t>
    <phoneticPr fontId="25" type="noConversion"/>
  </si>
  <si>
    <t>特斯拉电极 Lv4</t>
  </si>
  <si>
    <t>特斯拉电极 Lv4</t>
    <phoneticPr fontId="25" type="noConversion"/>
  </si>
  <si>
    <t>DPanel_Shooter_Revolver</t>
    <phoneticPr fontId="25" type="noConversion"/>
  </si>
  <si>
    <t>circlesaw</t>
    <phoneticPr fontId="25" type="noConversion"/>
  </si>
  <si>
    <t>Null</t>
    <phoneticPr fontId="25" type="noConversion"/>
  </si>
  <si>
    <t>圆锯 Lv.1</t>
    <phoneticPr fontId="25" type="noConversion"/>
  </si>
  <si>
    <t>圆锯 Lv.2</t>
  </si>
  <si>
    <t>圆锯 Lv.3</t>
  </si>
  <si>
    <t>圆锯 Lv.4</t>
  </si>
  <si>
    <t>ui_device_nametag_2</t>
    <phoneticPr fontId="25" type="noConversion"/>
  </si>
  <si>
    <t>amy_baton</t>
    <phoneticPr fontId="25" type="noConversion"/>
  </si>
  <si>
    <r>
      <t xml:space="preserve">设备形象图
</t>
    </r>
    <r>
      <rPr>
        <i/>
        <sz val="10"/>
        <color theme="1"/>
        <rFont val="等线"/>
        <family val="3"/>
        <charset val="134"/>
        <scheme val="minor"/>
      </rPr>
      <t>会显示在商店信息面板中，与设备的spine形象保持一致</t>
    </r>
    <phoneticPr fontId="25" type="noConversion"/>
  </si>
  <si>
    <t>劣质钉棍</t>
    <phoneticPr fontId="25" type="noConversion"/>
  </si>
  <si>
    <t>双刃铡刀</t>
    <phoneticPr fontId="25" type="noConversion"/>
  </si>
  <si>
    <t>双刃铡刀 Lv.0</t>
    <phoneticPr fontId="25" type="noConversion"/>
  </si>
  <si>
    <t>双刃铡刀 Lv.1</t>
  </si>
  <si>
    <t>双刃铡刀 Lv.2</t>
  </si>
  <si>
    <t>双刃铡刀 Lv.3</t>
  </si>
  <si>
    <t>double_edged_cutter</t>
    <phoneticPr fontId="25" type="noConversion"/>
  </si>
  <si>
    <t>蘑菇挡板 Lv.0</t>
    <phoneticPr fontId="25" type="noConversion"/>
  </si>
  <si>
    <t>蘑菇挡板 Lv.1</t>
    <phoneticPr fontId="25" type="noConversion"/>
  </si>
  <si>
    <t>刺矛撞角 Lv.0</t>
    <phoneticPr fontId="25" type="noConversion"/>
  </si>
  <si>
    <t>刺矛撞角 Lv.1</t>
    <phoneticPr fontId="25" type="noConversion"/>
  </si>
  <si>
    <t>刺矛撞角 Lv.2</t>
    <phoneticPr fontId="25" type="noConversion"/>
  </si>
  <si>
    <t>蘑菇挡板</t>
    <phoneticPr fontId="25" type="noConversion"/>
  </si>
  <si>
    <t>14 = temp_device，用于测试</t>
    <phoneticPr fontId="25" type="noConversion"/>
  </si>
  <si>
    <t>solid_rocket</t>
    <phoneticPr fontId="25" type="noConversion"/>
  </si>
  <si>
    <t>temp</t>
    <phoneticPr fontId="25" type="noConversion"/>
  </si>
  <si>
    <t>none</t>
    <phoneticPr fontId="25" type="noConversion"/>
  </si>
  <si>
    <t>DScript_XXXX</t>
    <phoneticPr fontId="25" type="noConversion"/>
  </si>
  <si>
    <t>DPanel_XXXX</t>
    <phoneticPr fontId="25" type="noConversion"/>
  </si>
  <si>
    <t>临时设备模板（便于复制）</t>
    <phoneticPr fontId="25" type="noConversion"/>
  </si>
  <si>
    <t>DScript_Melee_Charge_Rocket</t>
    <phoneticPr fontId="25" type="noConversion"/>
  </si>
  <si>
    <t>DPanel_Charge_SolidRocket</t>
    <phoneticPr fontId="25" type="noConversion"/>
  </si>
  <si>
    <t>刺矛撞角 Lv.0</t>
  </si>
  <si>
    <t>刺矛撞角 Lv.1</t>
  </si>
  <si>
    <t>刺矛撞角 Lv.2</t>
  </si>
  <si>
    <t>长柄鱼叉 Lv.3</t>
  </si>
  <si>
    <t>长柄鱼叉 Lv.3</t>
    <phoneticPr fontId="25" type="noConversion"/>
  </si>
  <si>
    <t>金属铲斗 Lv.2</t>
    <phoneticPr fontId="25" type="noConversion"/>
  </si>
  <si>
    <t>长柄鱼叉 Lv.1</t>
  </si>
  <si>
    <t>长柄鱼叉 Lv.1</t>
    <phoneticPr fontId="25" type="noConversion"/>
  </si>
  <si>
    <t>长柄鱼叉 Lv.2</t>
  </si>
  <si>
    <t>长柄鱼叉 Lv.2</t>
    <phoneticPr fontId="25" type="noConversion"/>
  </si>
  <si>
    <t>廉价，稳定，耐久低</t>
    <phoneticPr fontId="25" type="noConversion"/>
  </si>
  <si>
    <t>金属铲斗 Lv.3</t>
    <phoneticPr fontId="25" type="noConversion"/>
  </si>
  <si>
    <t>car_bomb</t>
    <phoneticPr fontId="25" type="noConversion"/>
  </si>
  <si>
    <t>DScript_Special_CarBomb</t>
    <phoneticPr fontId="25" type="noConversion"/>
  </si>
  <si>
    <t>DPanel_Special_CarBomb</t>
    <phoneticPr fontId="25" type="noConversion"/>
  </si>
  <si>
    <t>火焰喷射器</t>
    <phoneticPr fontId="25" type="noConversion"/>
  </si>
  <si>
    <t>火焰喷射器 Lv.2</t>
    <phoneticPr fontId="25" type="noConversion"/>
  </si>
  <si>
    <t>火焰喷射器 Lv.3</t>
    <phoneticPr fontId="25" type="noConversion"/>
  </si>
  <si>
    <t>火焰喷射器 Lv.4</t>
    <phoneticPr fontId="25" type="noConversion"/>
  </si>
  <si>
    <t>采矿炸弹</t>
    <phoneticPr fontId="25" type="noConversion"/>
  </si>
  <si>
    <t>采矿炸弹 Lv.0</t>
    <phoneticPr fontId="25" type="noConversion"/>
  </si>
  <si>
    <t>采矿炸弹 Lv.1</t>
    <phoneticPr fontId="25" type="noConversion"/>
  </si>
  <si>
    <t>采矿炸弹 Lv.2</t>
    <phoneticPr fontId="25" type="noConversion"/>
  </si>
  <si>
    <t>采矿炸弹 Lv.3</t>
    <phoneticPr fontId="25" type="noConversion"/>
  </si>
  <si>
    <t>采矿炸弹 Lv.4</t>
    <phoneticPr fontId="25" type="noConversion"/>
  </si>
  <si>
    <t>硬木车轮 Lv.2</t>
  </si>
  <si>
    <t>车轮</t>
    <phoneticPr fontId="25" type="noConversion"/>
  </si>
  <si>
    <t>车轮模板</t>
    <phoneticPr fontId="25" type="noConversion"/>
  </si>
  <si>
    <t>ui_device_nametag_wheel_bag</t>
    <phoneticPr fontId="25" type="noConversion"/>
  </si>
  <si>
    <t>device_id</t>
    <phoneticPr fontId="25" type="noConversion"/>
  </si>
  <si>
    <t>name_key</t>
    <phoneticPr fontId="25" type="noConversion"/>
  </si>
  <si>
    <t>name</t>
    <phoneticPr fontId="25" type="noConversion"/>
  </si>
  <si>
    <t>picked</t>
    <phoneticPr fontId="25" type="noConversion"/>
  </si>
  <si>
    <t>模板</t>
    <phoneticPr fontId="25" type="noConversion"/>
  </si>
  <si>
    <t>picked_name</t>
    <phoneticPr fontId="25" type="noConversion"/>
  </si>
  <si>
    <r>
      <t xml:space="preserve">旋转速度
</t>
    </r>
    <r>
      <rPr>
        <i/>
        <sz val="9"/>
        <color theme="1"/>
        <rFont val="等线"/>
        <family val="3"/>
        <charset val="134"/>
        <scheme val="minor"/>
      </rPr>
      <t>单位 = deg/tick
近战: idle~atk
远程: idle~shoot
钩索: 索敌~Null</t>
    </r>
    <phoneticPr fontId="25" type="noConversion"/>
  </si>
  <si>
    <t>旋转
速度
1</t>
    <phoneticPr fontId="25" type="noConversion"/>
  </si>
  <si>
    <t>旋转
速度
2</t>
    <phoneticPr fontId="25" type="noConversion"/>
  </si>
  <si>
    <t>老舅的手枪</t>
  </si>
  <si>
    <t>新手初始手枪</t>
    <phoneticPr fontId="25" type="noConversion"/>
  </si>
  <si>
    <t>DPanel_Shooter_Pistol_Init</t>
    <phoneticPr fontId="25" type="noConversion"/>
  </si>
  <si>
    <t>履带 Lv.2</t>
  </si>
  <si>
    <t>履带 Lv.2</t>
    <phoneticPr fontId="25" type="noConversion"/>
  </si>
  <si>
    <t>履带 Lv.3</t>
  </si>
  <si>
    <t>履带 Lv.4</t>
  </si>
  <si>
    <t>无需配置，车轮没有操作面板</t>
    <phoneticPr fontId="25" type="noConversion"/>
  </si>
  <si>
    <t>硬木车轮 Lv.1</t>
    <phoneticPr fontId="25" type="noConversion"/>
  </si>
  <si>
    <t>硬木车轮 Lv.2</t>
    <phoneticPr fontId="25" type="noConversion"/>
  </si>
  <si>
    <t>硬木车轮 Lv.3</t>
  </si>
  <si>
    <t>硬木车轮 Lv.3</t>
    <phoneticPr fontId="25" type="noConversion"/>
  </si>
  <si>
    <t>sharp</t>
  </si>
  <si>
    <t>blunt</t>
  </si>
  <si>
    <t>fire</t>
  </si>
  <si>
    <t>acid</t>
  </si>
  <si>
    <t>wrap</t>
    <phoneticPr fontId="25" type="noConversion"/>
  </si>
  <si>
    <t>device_name_12101019_wheel_wooden</t>
  </si>
  <si>
    <t>旧木轮</t>
    <phoneticPr fontId="25" type="noConversion"/>
  </si>
  <si>
    <t>device_name_13201029_pistol</t>
  </si>
  <si>
    <t>init_angle_front</t>
    <phoneticPr fontId="25" type="noConversion"/>
  </si>
  <si>
    <t>init_angle_front_top</t>
  </si>
  <si>
    <t>init_angle_top</t>
    <phoneticPr fontId="25" type="noConversion"/>
  </si>
  <si>
    <t>init_angle_back_top</t>
    <phoneticPr fontId="25" type="noConversion"/>
  </si>
  <si>
    <t>init_angle_back</t>
    <phoneticPr fontId="25" type="noConversion"/>
  </si>
  <si>
    <r>
      <t xml:space="preserve">初始
角度
</t>
    </r>
    <r>
      <rPr>
        <sz val="11"/>
        <rFont val="等线"/>
        <family val="3"/>
        <charset val="134"/>
        <scheme val="minor"/>
      </rPr>
      <t>前方</t>
    </r>
    <phoneticPr fontId="25" type="noConversion"/>
  </si>
  <si>
    <r>
      <t xml:space="preserve">初始
角度
</t>
    </r>
    <r>
      <rPr>
        <sz val="11"/>
        <rFont val="等线"/>
        <family val="3"/>
        <charset val="134"/>
        <scheme val="minor"/>
      </rPr>
      <t>前上</t>
    </r>
    <phoneticPr fontId="25" type="noConversion"/>
  </si>
  <si>
    <r>
      <t xml:space="preserve">初始
角度
</t>
    </r>
    <r>
      <rPr>
        <sz val="11"/>
        <rFont val="等线"/>
        <family val="3"/>
        <charset val="134"/>
        <scheme val="minor"/>
      </rPr>
      <t>正上</t>
    </r>
    <phoneticPr fontId="25" type="noConversion"/>
  </si>
  <si>
    <r>
      <t xml:space="preserve">初始
角度
</t>
    </r>
    <r>
      <rPr>
        <sz val="11"/>
        <rFont val="等线"/>
        <family val="3"/>
        <charset val="134"/>
        <scheme val="minor"/>
      </rPr>
      <t>后上</t>
    </r>
    <phoneticPr fontId="25" type="noConversion"/>
  </si>
  <si>
    <r>
      <t xml:space="preserve">初始
角度
</t>
    </r>
    <r>
      <rPr>
        <sz val="11"/>
        <rFont val="等线"/>
        <family val="3"/>
        <charset val="134"/>
        <scheme val="minor"/>
      </rPr>
      <t>后方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</si>
</sst>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color theme="0"/>
      <name val="等线"/>
      <family val="3"/>
      <charset val="134"/>
      <scheme val="minor"/>
    </font>
    <font>
      <sz val="12"/>
      <color theme="5" tint="0.3987853633228553"/>
      <name val="等线"/>
      <family val="3"/>
      <charset val="134"/>
      <scheme val="minor"/>
    </font>
    <font>
      <i/>
      <sz val="12"/>
      <color theme="6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12"/>
      <color theme="9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0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2"/>
      <color theme="5"/>
      <name val="等线"/>
      <family val="3"/>
      <charset val="134"/>
      <scheme val="minor"/>
    </font>
    <font>
      <i/>
      <sz val="12"/>
      <color theme="1" tint="0.49998474074526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b/>
      <sz val="12"/>
      <color theme="9"/>
      <name val="等线"/>
      <family val="3"/>
      <charset val="134"/>
      <scheme val="minor"/>
    </font>
    <font>
      <b/>
      <sz val="11"/>
      <color theme="9"/>
      <name val="等线"/>
      <family val="3"/>
      <charset val="134"/>
      <scheme val="minor"/>
    </font>
    <font>
      <i/>
      <sz val="11"/>
      <color rgb="FF7030A0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  <font>
      <i/>
      <sz val="12"/>
      <color theme="1"/>
      <name val="等线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A5E9"/>
        <bgColor indexed="64"/>
      </patternFill>
    </fill>
    <fill>
      <patternFill patternType="solid">
        <fgColor theme="9" tint="0.79943235572374649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39924314096499525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C2767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6" tint="0.39936521500289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24" fillId="0" borderId="0"/>
    <xf numFmtId="0" fontId="24" fillId="0" borderId="0"/>
    <xf numFmtId="0" fontId="24" fillId="0" borderId="0"/>
  </cellStyleXfs>
  <cellXfs count="114">
    <xf numFmtId="0" fontId="0" fillId="0" borderId="0" xfId="0"/>
    <xf numFmtId="0" fontId="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24" fillId="3" borderId="0" xfId="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 wrapText="1"/>
    </xf>
    <xf numFmtId="0" fontId="7" fillId="3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24" fillId="0" borderId="0" xfId="2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24" fillId="4" borderId="0" xfId="2" applyFill="1" applyAlignment="1">
      <alignment horizontal="center" vertical="center"/>
    </xf>
    <xf numFmtId="0" fontId="24" fillId="0" borderId="0" xfId="2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horizontal="center" vertical="center"/>
    </xf>
    <xf numFmtId="0" fontId="7" fillId="3" borderId="0" xfId="2" applyFont="1" applyFill="1" applyAlignment="1">
      <alignment horizontal="center" vertical="center" wrapText="1"/>
    </xf>
    <xf numFmtId="0" fontId="24" fillId="5" borderId="0" xfId="2" applyFill="1" applyAlignment="1">
      <alignment horizontal="center" vertical="center" wrapText="1"/>
    </xf>
    <xf numFmtId="0" fontId="24" fillId="3" borderId="0" xfId="2" applyFill="1" applyAlignment="1">
      <alignment horizontal="center" vertical="center" wrapText="1"/>
    </xf>
    <xf numFmtId="0" fontId="9" fillId="2" borderId="0" xfId="2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24" fillId="6" borderId="1" xfId="2" applyFill="1" applyBorder="1" applyAlignment="1">
      <alignment horizontal="center" vertical="center"/>
    </xf>
    <xf numFmtId="0" fontId="11" fillId="7" borderId="0" xfId="2" applyFont="1" applyFill="1" applyAlignment="1">
      <alignment vertical="center"/>
    </xf>
    <xf numFmtId="49" fontId="24" fillId="0" borderId="0" xfId="2" applyNumberForma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6" fillId="8" borderId="0" xfId="2" applyFont="1" applyFill="1" applyAlignment="1">
      <alignment horizontal="center" vertical="center" wrapText="1"/>
    </xf>
    <xf numFmtId="0" fontId="7" fillId="9" borderId="0" xfId="2" applyFont="1" applyFill="1" applyAlignment="1">
      <alignment vertical="center"/>
    </xf>
    <xf numFmtId="0" fontId="7" fillId="10" borderId="0" xfId="2" applyFont="1" applyFill="1" applyAlignment="1">
      <alignment vertical="center"/>
    </xf>
    <xf numFmtId="0" fontId="7" fillId="11" borderId="0" xfId="2" applyFont="1" applyFill="1" applyAlignment="1">
      <alignment vertical="center"/>
    </xf>
    <xf numFmtId="0" fontId="7" fillId="12" borderId="0" xfId="2" applyFont="1" applyFill="1" applyAlignment="1">
      <alignment vertical="center"/>
    </xf>
    <xf numFmtId="0" fontId="8" fillId="13" borderId="0" xfId="2" applyFont="1" applyFill="1" applyAlignment="1">
      <alignment horizontal="center" vertical="center"/>
    </xf>
    <xf numFmtId="0" fontId="15" fillId="3" borderId="0" xfId="2" applyFont="1" applyFill="1" applyAlignment="1">
      <alignment horizontal="center" vertical="center" wrapText="1"/>
    </xf>
    <xf numFmtId="0" fontId="24" fillId="0" borderId="0" xfId="2" applyAlignment="1">
      <alignment horizontal="left" vertical="center"/>
    </xf>
    <xf numFmtId="0" fontId="16" fillId="3" borderId="0" xfId="2" applyFont="1" applyFill="1" applyAlignment="1">
      <alignment horizontal="center" vertical="center" wrapText="1"/>
    </xf>
    <xf numFmtId="0" fontId="24" fillId="14" borderId="0" xfId="2" applyFill="1" applyAlignment="1">
      <alignment horizontal="center" vertical="center"/>
    </xf>
    <xf numFmtId="0" fontId="17" fillId="7" borderId="0" xfId="2" applyFont="1" applyFill="1" applyAlignment="1">
      <alignment vertical="center"/>
    </xf>
    <xf numFmtId="49" fontId="24" fillId="14" borderId="0" xfId="2" applyNumberFormat="1" applyFill="1" applyAlignment="1">
      <alignment horizontal="center" vertical="center"/>
    </xf>
    <xf numFmtId="49" fontId="3" fillId="2" borderId="0" xfId="2" applyNumberFormat="1" applyFont="1" applyFill="1" applyAlignment="1">
      <alignment horizontal="center" vertical="center"/>
    </xf>
    <xf numFmtId="0" fontId="18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49" fontId="6" fillId="3" borderId="0" xfId="2" applyNumberFormat="1" applyFont="1" applyFill="1" applyAlignment="1">
      <alignment horizontal="center" vertical="center" wrapText="1"/>
    </xf>
    <xf numFmtId="0" fontId="10" fillId="3" borderId="0" xfId="2" applyFont="1" applyFill="1" applyAlignment="1">
      <alignment horizontal="center" vertical="center" wrapText="1"/>
    </xf>
    <xf numFmtId="0" fontId="24" fillId="15" borderId="0" xfId="2" applyFill="1" applyAlignment="1">
      <alignment vertical="center"/>
    </xf>
    <xf numFmtId="0" fontId="24" fillId="8" borderId="0" xfId="2" applyFill="1" applyAlignment="1">
      <alignment horizontal="center" vertical="center"/>
    </xf>
    <xf numFmtId="0" fontId="19" fillId="2" borderId="0" xfId="2" applyFont="1" applyFill="1" applyAlignment="1">
      <alignment horizontal="center" vertical="center"/>
    </xf>
    <xf numFmtId="0" fontId="13" fillId="3" borderId="0" xfId="2" applyFont="1" applyFill="1" applyAlignment="1">
      <alignment horizontal="center" vertical="center"/>
    </xf>
    <xf numFmtId="0" fontId="24" fillId="16" borderId="0" xfId="2" applyFill="1" applyAlignment="1">
      <alignment horizontal="center" vertical="center"/>
    </xf>
    <xf numFmtId="0" fontId="24" fillId="17" borderId="0" xfId="2" applyFill="1" applyAlignment="1">
      <alignment vertical="center"/>
    </xf>
    <xf numFmtId="0" fontId="24" fillId="8" borderId="0" xfId="2" applyFill="1" applyAlignment="1">
      <alignment vertical="center"/>
    </xf>
    <xf numFmtId="9" fontId="24" fillId="0" borderId="0" xfId="2" applyNumberForma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2" borderId="0" xfId="2" applyFont="1" applyFill="1" applyAlignment="1">
      <alignment horizontal="center" vertical="center"/>
    </xf>
    <xf numFmtId="0" fontId="28" fillId="3" borderId="0" xfId="2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6" fillId="18" borderId="0" xfId="2" applyFont="1" applyFill="1" applyAlignment="1">
      <alignment horizontal="center" vertical="center" wrapText="1"/>
    </xf>
    <xf numFmtId="0" fontId="29" fillId="4" borderId="0" xfId="2" applyFont="1" applyFill="1" applyAlignment="1">
      <alignment horizontal="center" vertical="center"/>
    </xf>
    <xf numFmtId="0" fontId="20" fillId="6" borderId="1" xfId="2" applyFont="1" applyFill="1" applyBorder="1" applyAlignment="1">
      <alignment horizontal="center" vertical="center"/>
    </xf>
    <xf numFmtId="0" fontId="20" fillId="15" borderId="0" xfId="2" applyFont="1" applyFill="1" applyAlignment="1">
      <alignment vertical="center"/>
    </xf>
    <xf numFmtId="0" fontId="7" fillId="19" borderId="0" xfId="2" applyFont="1" applyFill="1" applyAlignment="1">
      <alignment vertical="center"/>
    </xf>
    <xf numFmtId="0" fontId="24" fillId="4" borderId="0" xfId="2" applyFill="1" applyAlignment="1">
      <alignment vertical="center"/>
    </xf>
    <xf numFmtId="0" fontId="20" fillId="17" borderId="0" xfId="2" applyFont="1" applyFill="1" applyAlignment="1">
      <alignment vertical="center"/>
    </xf>
    <xf numFmtId="0" fontId="6" fillId="4" borderId="0" xfId="2" applyFont="1" applyFill="1" applyAlignment="1">
      <alignment horizontal="center" vertical="center" wrapText="1"/>
    </xf>
    <xf numFmtId="0" fontId="30" fillId="3" borderId="0" xfId="2" applyFont="1" applyFill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6" fillId="20" borderId="0" xfId="2" applyFont="1" applyFill="1" applyAlignment="1">
      <alignment horizontal="center" vertical="center" wrapText="1"/>
    </xf>
    <xf numFmtId="0" fontId="8" fillId="20" borderId="0" xfId="2" applyFont="1" applyFill="1" applyAlignment="1">
      <alignment horizontal="center" vertical="center" wrapText="1"/>
    </xf>
    <xf numFmtId="0" fontId="20" fillId="0" borderId="0" xfId="2" applyFont="1" applyAlignment="1">
      <alignment vertical="center"/>
    </xf>
    <xf numFmtId="0" fontId="17" fillId="4" borderId="0" xfId="2" applyFont="1" applyFill="1" applyAlignment="1">
      <alignment vertical="center"/>
    </xf>
    <xf numFmtId="0" fontId="20" fillId="21" borderId="0" xfId="2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18" borderId="0" xfId="2" applyFont="1" applyFill="1" applyAlignment="1">
      <alignment horizontal="center" vertical="center"/>
    </xf>
    <xf numFmtId="0" fontId="24" fillId="19" borderId="0" xfId="2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" borderId="0" xfId="2" applyFont="1" applyFill="1" applyAlignment="1">
      <alignment horizontal="center" vertical="center"/>
    </xf>
    <xf numFmtId="0" fontId="14" fillId="3" borderId="0" xfId="2" applyFont="1" applyFill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6" fillId="18" borderId="0" xfId="2" applyFont="1" applyFill="1" applyAlignment="1">
      <alignment horizontal="center" vertical="center"/>
    </xf>
    <xf numFmtId="0" fontId="24" fillId="21" borderId="0" xfId="2" applyFill="1" applyAlignment="1">
      <alignment vertical="center"/>
    </xf>
    <xf numFmtId="0" fontId="11" fillId="22" borderId="0" xfId="2" applyFont="1" applyFill="1" applyAlignment="1">
      <alignment vertical="center"/>
    </xf>
    <xf numFmtId="0" fontId="24" fillId="23" borderId="0" xfId="2" applyFill="1" applyAlignment="1">
      <alignment horizontal="center" vertical="center"/>
    </xf>
    <xf numFmtId="0" fontId="14" fillId="24" borderId="0" xfId="2" applyFont="1" applyFill="1" applyAlignment="1">
      <alignment vertical="center"/>
    </xf>
    <xf numFmtId="0" fontId="20" fillId="21" borderId="0" xfId="0" applyFont="1" applyFill="1"/>
    <xf numFmtId="0" fontId="7" fillId="25" borderId="0" xfId="2" applyFont="1" applyFill="1" applyAlignment="1">
      <alignment vertical="center"/>
    </xf>
    <xf numFmtId="0" fontId="16" fillId="18" borderId="0" xfId="2" applyFont="1" applyFill="1" applyAlignment="1">
      <alignment horizontal="center" vertical="center"/>
    </xf>
    <xf numFmtId="0" fontId="24" fillId="18" borderId="0" xfId="2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6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2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26" borderId="0" xfId="2" applyFill="1" applyAlignment="1">
      <alignment horizontal="center" vertical="center"/>
    </xf>
    <xf numFmtId="0" fontId="14" fillId="26" borderId="0" xfId="2" applyFont="1" applyFill="1" applyAlignment="1">
      <alignment horizontal="center" vertical="center"/>
    </xf>
    <xf numFmtId="0" fontId="24" fillId="21" borderId="0" xfId="2" applyFill="1" applyAlignment="1">
      <alignment horizontal="center" vertical="center"/>
    </xf>
    <xf numFmtId="0" fontId="8" fillId="21" borderId="0" xfId="2" applyFont="1" applyFill="1" applyAlignment="1">
      <alignment horizontal="center" vertical="center"/>
    </xf>
    <xf numFmtId="0" fontId="20" fillId="21" borderId="0" xfId="2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27" borderId="0" xfId="0" applyFont="1" applyFill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8" fillId="18" borderId="0" xfId="2" applyFont="1" applyFill="1" applyAlignment="1">
      <alignment horizontal="center" vertical="center"/>
    </xf>
    <xf numFmtId="0" fontId="24" fillId="28" borderId="0" xfId="2" applyFill="1" applyAlignment="1">
      <alignment vertical="center"/>
    </xf>
    <xf numFmtId="0" fontId="16" fillId="0" borderId="0" xfId="2" applyFont="1" applyAlignment="1">
      <alignment horizontal="center" vertical="center"/>
    </xf>
    <xf numFmtId="0" fontId="23" fillId="3" borderId="0" xfId="2" applyFont="1" applyFill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0" xfId="3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8">
    <dxf>
      <font>
        <b val="0"/>
        <i val="0"/>
        <strike val="0"/>
        <u val="none"/>
        <sz val="11"/>
        <color theme="1"/>
        <name val="等线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11"/>
        <color theme="1"/>
        <name val="等线"/>
        <family val="3"/>
        <charset val="134"/>
        <scheme val="none"/>
      </font>
      <alignment horizontal="center" vertical="center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A5E9"/>
      <color rgb="FFFCAC88"/>
      <color rgb="FF5C2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133350</xdr:colOff>
      <xdr:row>24</xdr:row>
      <xdr:rowOff>0</xdr:rowOff>
    </xdr:from>
    <xdr:to>
      <xdr:col>20</xdr:col>
      <xdr:colOff>53796</xdr:colOff>
      <xdr:row>47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8150" y="3838575"/>
          <a:ext cx="1377315" cy="43338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82C83-3964-4D9C-BDC9-92F6879738AD}" name="表3" displayName="表3" ref="B1:D151" totalsRowShown="0" headerRowDxfId="7" dataDxfId="6">
  <autoFilter ref="B1:D151" xr:uid="{B2082C83-3964-4D9C-BDC9-92F6879738AD}"/>
  <tableColumns count="3">
    <tableColumn id="1" xr3:uid="{59614B6D-D3CA-4720-A3DF-F990967A6B2C}" name="name_key" dataDxfId="5">
      <calculatedColumnFormula>_xlfn.XLOOKUP($A2,device_all!$A:$A,device_all!H:H)</calculatedColumnFormula>
    </tableColumn>
    <tableColumn id="2" xr3:uid="{C556F82D-CD1B-4A8D-8F0E-2C698BD058F8}" name="name" dataDxfId="4">
      <calculatedColumnFormula>_xlfn.XLOOKUP($A2,device_all!$A:$A,device_all!E:E)</calculatedColumnFormula>
    </tableColumn>
    <tableColumn id="5" xr3:uid="{FF74983B-E287-4B16-A89A-CF9D71330E3F}" name="picked" dataDxfId="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device_info_type" displayName="tb_device_info_type" ref="K10:M16" totalsRowShown="0">
  <autoFilter ref="K10:M16" xr:uid="{00000000-0009-0000-0100-000001000000}"/>
  <tableColumns count="3">
    <tableColumn id="1" xr3:uid="{00000000-0010-0000-0000-000001000000}" name="id" dataDxfId="2"/>
    <tableColumn id="2" xr3:uid="{00000000-0010-0000-0000-000002000000}" name="type" dataDxfId="1"/>
    <tableColumn id="3" xr3:uid="{00000000-0010-0000-0000-000003000000}" name="alt_inf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208"/>
  <sheetViews>
    <sheetView tabSelected="1" workbookViewId="0">
      <pane xSplit="7" ySplit="5" topLeftCell="AG129" activePane="bottomRight" state="frozen"/>
      <selection pane="topRight"/>
      <selection pane="bottomLeft"/>
      <selection pane="bottomRight" activeCell="E142" sqref="E142"/>
    </sheetView>
  </sheetViews>
  <sheetFormatPr defaultColWidth="9" defaultRowHeight="14.25"/>
  <cols>
    <col min="1" max="1" width="10.625" style="14" customWidth="1"/>
    <col min="2" max="2" width="9" style="11" customWidth="1"/>
    <col min="3" max="3" width="15.5" style="15" customWidth="1"/>
    <col min="4" max="4" width="5.75" style="15" customWidth="1"/>
    <col min="5" max="5" width="15.5" style="12" bestFit="1" customWidth="1"/>
    <col min="6" max="6" width="9" style="11" bestFit="1" customWidth="1"/>
    <col min="7" max="7" width="26.75" style="15" customWidth="1"/>
    <col min="8" max="8" width="41" style="14" customWidth="1"/>
    <col min="9" max="9" width="21.5" style="15" customWidth="1"/>
    <col min="10" max="10" width="15.75" style="14" customWidth="1"/>
    <col min="11" max="11" width="27.25" style="22" customWidth="1"/>
    <col min="12" max="12" width="13" style="16" customWidth="1"/>
    <col min="13" max="13" width="19.5" style="22" customWidth="1"/>
    <col min="14" max="14" width="18.625" style="22" customWidth="1"/>
    <col min="15" max="15" width="24.75" style="23" customWidth="1"/>
    <col min="16" max="16" width="22.25" style="15" customWidth="1"/>
    <col min="17" max="17" width="11.625" style="22" customWidth="1"/>
    <col min="18" max="23" width="2.5" style="24" customWidth="1"/>
    <col min="24" max="24" width="7.875" style="24" customWidth="1"/>
    <col min="25" max="25" width="24" style="24" customWidth="1"/>
    <col min="26" max="26" width="32.625" style="25" customWidth="1"/>
    <col min="27" max="27" width="7" style="11" customWidth="1"/>
    <col min="28" max="28" width="5.25" style="11" bestFit="1" customWidth="1"/>
    <col min="29" max="29" width="11.375" style="11" customWidth="1"/>
    <col min="30" max="31" width="9" style="16"/>
    <col min="32" max="32" width="6.5" style="14" customWidth="1"/>
    <col min="33" max="33" width="11.625" style="11" customWidth="1"/>
    <col min="34" max="34" width="11.625" style="26" customWidth="1"/>
    <col min="35" max="36" width="9" style="27"/>
    <col min="37" max="41" width="6.5" style="27" customWidth="1"/>
    <col min="42" max="42" width="13" style="14" customWidth="1"/>
    <col min="43" max="43" width="32" style="14" bestFit="1" customWidth="1"/>
    <col min="44" max="44" width="14" style="11" customWidth="1"/>
    <col min="45" max="50" width="10.25" style="11" customWidth="1"/>
    <col min="51" max="51" width="12.375" style="26" customWidth="1"/>
    <col min="52" max="53" width="4.625" style="27" customWidth="1"/>
    <col min="54" max="54" width="12.875" style="11" customWidth="1"/>
    <col min="55" max="55" width="56.25" style="11" customWidth="1"/>
    <col min="56" max="56" width="11.375" style="11" customWidth="1"/>
    <col min="57" max="57" width="28" style="28" customWidth="1"/>
    <col min="58" max="16384" width="9" style="14"/>
  </cols>
  <sheetData>
    <row r="1" spans="1:57">
      <c r="A1" s="14" t="s">
        <v>0</v>
      </c>
      <c r="H1" s="11"/>
      <c r="J1" s="11"/>
      <c r="K1" s="11"/>
      <c r="M1" s="11"/>
      <c r="N1" s="11"/>
      <c r="O1" s="11"/>
      <c r="Q1" s="11"/>
      <c r="R1" s="11"/>
      <c r="S1" s="11"/>
      <c r="T1" s="11"/>
      <c r="U1" s="11"/>
      <c r="V1" s="11"/>
      <c r="W1" s="11"/>
      <c r="X1" s="11"/>
      <c r="Y1" s="11"/>
      <c r="Z1" s="14"/>
    </row>
    <row r="2" spans="1:57">
      <c r="A2" s="14" t="s">
        <v>1</v>
      </c>
      <c r="H2" s="11"/>
      <c r="J2" s="11"/>
      <c r="K2" s="11"/>
      <c r="M2" s="11"/>
      <c r="N2" s="11"/>
      <c r="O2" s="11"/>
      <c r="Q2" s="11"/>
      <c r="R2" s="11"/>
      <c r="S2" s="11"/>
      <c r="T2" s="11"/>
      <c r="U2" s="11"/>
      <c r="V2" s="11"/>
      <c r="W2" s="11"/>
      <c r="X2" s="11"/>
      <c r="Y2" s="11"/>
      <c r="Z2" s="14"/>
    </row>
    <row r="3" spans="1:57" s="3" customFormat="1" ht="15.75">
      <c r="A3" s="3" t="s">
        <v>2</v>
      </c>
      <c r="B3" s="3" t="s">
        <v>3</v>
      </c>
      <c r="C3" s="7"/>
      <c r="D3" s="7"/>
      <c r="E3" s="7"/>
      <c r="F3" s="3" t="s">
        <v>589</v>
      </c>
      <c r="G3" s="7"/>
      <c r="H3" s="3" t="s">
        <v>4</v>
      </c>
      <c r="I3" s="7"/>
      <c r="J3" s="3" t="s">
        <v>5</v>
      </c>
      <c r="K3" s="3" t="s">
        <v>6</v>
      </c>
      <c r="L3" s="20"/>
      <c r="M3" s="3" t="s">
        <v>7</v>
      </c>
      <c r="N3" s="3" t="s">
        <v>8</v>
      </c>
      <c r="O3" s="3" t="s">
        <v>9</v>
      </c>
      <c r="P3" s="7"/>
      <c r="Q3" s="3" t="s">
        <v>10</v>
      </c>
      <c r="Z3" s="3" t="s">
        <v>11</v>
      </c>
      <c r="AA3" s="3" t="s">
        <v>12</v>
      </c>
      <c r="AB3" s="3" t="s">
        <v>527</v>
      </c>
      <c r="AC3" s="3" t="s">
        <v>490</v>
      </c>
      <c r="AD3" s="20"/>
      <c r="AE3" s="20"/>
      <c r="AF3" s="3" t="s">
        <v>13</v>
      </c>
      <c r="AG3" s="3" t="s">
        <v>14</v>
      </c>
      <c r="AH3" s="41" t="s">
        <v>529</v>
      </c>
      <c r="AI3" s="42"/>
      <c r="AJ3" s="42"/>
      <c r="AK3" s="41" t="s">
        <v>742</v>
      </c>
      <c r="AL3" s="41" t="s">
        <v>743</v>
      </c>
      <c r="AM3" s="41" t="s">
        <v>744</v>
      </c>
      <c r="AN3" s="41" t="s">
        <v>745</v>
      </c>
      <c r="AO3" s="41" t="s">
        <v>746</v>
      </c>
      <c r="AP3" s="3" t="s">
        <v>15</v>
      </c>
      <c r="AQ3" s="3" t="s">
        <v>16</v>
      </c>
      <c r="AR3" s="3" t="s">
        <v>17</v>
      </c>
      <c r="AS3" s="3" t="s">
        <v>18</v>
      </c>
      <c r="AT3" s="3" t="s">
        <v>19</v>
      </c>
      <c r="AU3" s="3" t="s">
        <v>20</v>
      </c>
      <c r="AV3" s="3" t="s">
        <v>21</v>
      </c>
      <c r="AW3" s="3" t="s">
        <v>22</v>
      </c>
      <c r="AX3" s="3" t="s">
        <v>23</v>
      </c>
      <c r="AY3" s="41" t="s">
        <v>24</v>
      </c>
      <c r="AZ3" s="42"/>
      <c r="BA3" s="42"/>
      <c r="BB3" s="3" t="s">
        <v>25</v>
      </c>
      <c r="BC3" s="3" t="s">
        <v>26</v>
      </c>
      <c r="BD3" s="3" t="s">
        <v>27</v>
      </c>
      <c r="BE3" s="48"/>
    </row>
    <row r="4" spans="1:57" s="4" customFormat="1" ht="15.75">
      <c r="A4" s="4" t="s">
        <v>28</v>
      </c>
      <c r="B4" s="4" t="s">
        <v>28</v>
      </c>
      <c r="C4" s="7"/>
      <c r="D4" s="7"/>
      <c r="E4" s="7"/>
      <c r="F4" s="4" t="s">
        <v>489</v>
      </c>
      <c r="G4" s="7"/>
      <c r="H4" s="4" t="s">
        <v>29</v>
      </c>
      <c r="I4" s="7"/>
      <c r="J4" s="4" t="s">
        <v>29</v>
      </c>
      <c r="K4" s="4" t="s">
        <v>29</v>
      </c>
      <c r="L4" s="20"/>
      <c r="M4" s="4" t="s">
        <v>29</v>
      </c>
      <c r="N4" s="4" t="s">
        <v>29</v>
      </c>
      <c r="O4" s="4" t="s">
        <v>30</v>
      </c>
      <c r="P4" s="7"/>
      <c r="Q4" s="4" t="s">
        <v>31</v>
      </c>
      <c r="Z4" s="4" t="s">
        <v>29</v>
      </c>
      <c r="AA4" s="4" t="s">
        <v>32</v>
      </c>
      <c r="AB4" s="4" t="s">
        <v>32</v>
      </c>
      <c r="AC4" s="4" t="s">
        <v>489</v>
      </c>
      <c r="AD4" s="20"/>
      <c r="AE4" s="20"/>
      <c r="AF4" s="4" t="s">
        <v>32</v>
      </c>
      <c r="AG4" s="4" t="s">
        <v>32</v>
      </c>
      <c r="AH4" s="43" t="s">
        <v>33</v>
      </c>
      <c r="AI4" s="42"/>
      <c r="AJ4" s="42"/>
      <c r="AK4" s="42" t="s">
        <v>519</v>
      </c>
      <c r="AL4" s="42" t="s">
        <v>519</v>
      </c>
      <c r="AM4" s="42" t="s">
        <v>519</v>
      </c>
      <c r="AN4" s="42" t="s">
        <v>519</v>
      </c>
      <c r="AO4" s="42" t="s">
        <v>519</v>
      </c>
      <c r="AP4" s="4" t="s">
        <v>34</v>
      </c>
      <c r="AQ4" s="4" t="s">
        <v>29</v>
      </c>
      <c r="AR4" s="4" t="s">
        <v>32</v>
      </c>
      <c r="AS4" s="4" t="s">
        <v>32</v>
      </c>
      <c r="AT4" s="4" t="s">
        <v>32</v>
      </c>
      <c r="AU4" s="4" t="s">
        <v>32</v>
      </c>
      <c r="AV4" s="4" t="s">
        <v>32</v>
      </c>
      <c r="AW4" s="4" t="s">
        <v>32</v>
      </c>
      <c r="AX4" s="4" t="s">
        <v>32</v>
      </c>
      <c r="AY4" s="43" t="s">
        <v>33</v>
      </c>
      <c r="AZ4" s="42"/>
      <c r="BA4" s="42"/>
      <c r="BB4" s="4" t="s">
        <v>35</v>
      </c>
      <c r="BC4" s="4" t="s">
        <v>29</v>
      </c>
      <c r="BD4" s="4" t="s">
        <v>30</v>
      </c>
      <c r="BE4" s="48"/>
    </row>
    <row r="5" spans="1:57" s="5" customFormat="1" ht="71.25">
      <c r="A5" s="8" t="s">
        <v>36</v>
      </c>
      <c r="B5" s="29" t="s">
        <v>37</v>
      </c>
      <c r="C5" s="9" t="s">
        <v>38</v>
      </c>
      <c r="D5" s="17" t="s">
        <v>39</v>
      </c>
      <c r="E5" s="17" t="s">
        <v>559</v>
      </c>
      <c r="F5" s="83" t="s">
        <v>590</v>
      </c>
      <c r="G5" s="17" t="s">
        <v>40</v>
      </c>
      <c r="H5" s="10" t="s">
        <v>41</v>
      </c>
      <c r="I5" s="17" t="s">
        <v>484</v>
      </c>
      <c r="J5" s="10" t="s">
        <v>42</v>
      </c>
      <c r="K5" s="8" t="s">
        <v>661</v>
      </c>
      <c r="L5" s="21" t="s">
        <v>43</v>
      </c>
      <c r="M5" s="8" t="s">
        <v>44</v>
      </c>
      <c r="N5" s="8" t="s">
        <v>45</v>
      </c>
      <c r="O5" s="8" t="s">
        <v>46</v>
      </c>
      <c r="P5" s="17" t="s">
        <v>47</v>
      </c>
      <c r="Q5" s="10" t="s">
        <v>48</v>
      </c>
      <c r="R5" s="35" t="s">
        <v>49</v>
      </c>
      <c r="S5" s="35" t="s">
        <v>50</v>
      </c>
      <c r="T5" s="35" t="s">
        <v>51</v>
      </c>
      <c r="U5" s="35" t="s">
        <v>52</v>
      </c>
      <c r="V5" s="35" t="s">
        <v>53</v>
      </c>
      <c r="W5" s="35" t="s">
        <v>54</v>
      </c>
      <c r="X5" s="8" t="s">
        <v>55</v>
      </c>
      <c r="Y5" s="8" t="s">
        <v>56</v>
      </c>
      <c r="Z5" s="37" t="s">
        <v>57</v>
      </c>
      <c r="AA5" s="8" t="s">
        <v>58</v>
      </c>
      <c r="AB5" s="60" t="s">
        <v>528</v>
      </c>
      <c r="AC5" s="10" t="s">
        <v>488</v>
      </c>
      <c r="AD5" s="21" t="s">
        <v>623</v>
      </c>
      <c r="AE5" s="21" t="s">
        <v>624</v>
      </c>
      <c r="AF5" s="8" t="s">
        <v>59</v>
      </c>
      <c r="AG5" s="8" t="s">
        <v>60</v>
      </c>
      <c r="AH5" s="44" t="s">
        <v>61</v>
      </c>
      <c r="AI5" s="45" t="s">
        <v>62</v>
      </c>
      <c r="AJ5" s="45" t="s">
        <v>63</v>
      </c>
      <c r="AK5" s="111" t="s">
        <v>747</v>
      </c>
      <c r="AL5" s="111" t="s">
        <v>748</v>
      </c>
      <c r="AM5" s="111" t="s">
        <v>749</v>
      </c>
      <c r="AN5" s="111" t="s">
        <v>750</v>
      </c>
      <c r="AO5" s="111" t="s">
        <v>751</v>
      </c>
      <c r="AP5" s="8" t="s">
        <v>64</v>
      </c>
      <c r="AQ5" s="8" t="s">
        <v>65</v>
      </c>
      <c r="AR5" s="67" t="s">
        <v>66</v>
      </c>
      <c r="AS5" s="8" t="s">
        <v>67</v>
      </c>
      <c r="AT5" s="8" t="s">
        <v>68</v>
      </c>
      <c r="AU5" s="8" t="s">
        <v>69</v>
      </c>
      <c r="AV5" s="8" t="s">
        <v>70</v>
      </c>
      <c r="AW5" s="8" t="s">
        <v>71</v>
      </c>
      <c r="AX5" s="8" t="s">
        <v>72</v>
      </c>
      <c r="AY5" s="44" t="s">
        <v>719</v>
      </c>
      <c r="AZ5" s="45" t="s">
        <v>720</v>
      </c>
      <c r="BA5" s="45" t="s">
        <v>721</v>
      </c>
      <c r="BB5" s="10" t="s">
        <v>73</v>
      </c>
      <c r="BC5" s="5" t="s">
        <v>74</v>
      </c>
      <c r="BD5" s="5" t="s">
        <v>75</v>
      </c>
      <c r="BE5" s="49" t="s">
        <v>38</v>
      </c>
    </row>
    <row r="6" spans="1:57">
      <c r="A6" s="14">
        <v>1210101</v>
      </c>
      <c r="B6" s="11">
        <v>0</v>
      </c>
      <c r="C6" s="15" t="s">
        <v>76</v>
      </c>
      <c r="D6" s="15" t="s">
        <v>77</v>
      </c>
      <c r="F6" s="86">
        <v>99</v>
      </c>
      <c r="G6" s="15" t="s">
        <v>78</v>
      </c>
      <c r="H6" s="84" t="str" cm="1">
        <f t="array" aca="1" ref="H6" ca="1">_xlfn.IFS($A6="","",OR($F6=99,$F6=""),_xlfn.TEXTJOIN("_",1,"device_name",$A6,$Y6),TRUE,OFFSET(H6,-1,0))</f>
        <v>device_name_1210101_wheel_wooden</v>
      </c>
      <c r="I6" s="15" t="s">
        <v>483</v>
      </c>
      <c r="J6" s="14" t="str">
        <f>_xlfn.LET(_xlpm.get_device_type,VLOOKUP(VALUE(MID(A6,3,1)),tb_device_info_type[#All],3,0),_xlpm.check_if_wheel,IF(LEFT(A6,2)="12","wheel",_xlpm.get_device_type),_xlpm.raw_output,IF($A6&lt;&gt;"",_xlfn.TEXTJOIN("_",1,"device_alt",_xlpm.check_if_wheel),""),IFERROR(_xlpm.raw_output,"information missing"))</f>
        <v>device_alt_wheel</v>
      </c>
      <c r="K6" s="14" t="str" cm="1">
        <f t="array" ref="K6">_xlfn.IFS($A6="","",Q6="Wheel",_xlfn.CONCAT("dwt","[device_wheel_thumbnail_",IF($L6&lt;&gt;"",$L6,0),"]"),TRUE,_xlfn.CONCAT("dt","[device_thumbnail_",IF($L6&lt;&gt;"",$L6,0),"]"))</f>
        <v>dwt[device_wheel_thumbnail_0]</v>
      </c>
      <c r="L6" s="34">
        <v>0</v>
      </c>
      <c r="M6" s="14" t="s">
        <v>79</v>
      </c>
      <c r="N6" s="14" t="s">
        <v>80</v>
      </c>
      <c r="O6" s="36">
        <v>1410100</v>
      </c>
      <c r="P6" s="15" t="str" cm="1">
        <f t="array" ref="P6">IFERROR(_xlfn.TEXTJOIN(";",1,_xlfn.MAP(_xlfn.TEXTSPLIT(O6,";"),_xlfn.LAMBDA(_xlpm.x,IFERROR(VLOOKUP(VALUE(_xlpm.x),device_tag!A:B,2,0),"error")))),"")</f>
        <v>车轮</v>
      </c>
      <c r="Q6" s="11" t="s">
        <v>81</v>
      </c>
      <c r="R6" s="24">
        <v>0</v>
      </c>
      <c r="X6" s="24" t="s">
        <v>82</v>
      </c>
      <c r="Y6" s="24" t="s">
        <v>78</v>
      </c>
      <c r="Z6" s="85" t="str" cm="1">
        <f t="array" aca="1" ref="Z6" ca="1">_xlfn.IFS($A6="","",OR(F6=99,F6=""),_xlfn.TEXTJOIN("_",1,X6,$A6,Y6),TRUE,OFFSET($Z6,-1,0))</f>
        <v>device_1210101_wheel_wooden</v>
      </c>
      <c r="AA6" s="11">
        <v>25</v>
      </c>
      <c r="AB6" s="98"/>
      <c r="AC6" s="77">
        <v>9</v>
      </c>
      <c r="AF6" s="38"/>
      <c r="AG6" s="38"/>
      <c r="AH6" s="40"/>
      <c r="AI6" s="38"/>
      <c r="AJ6" s="38"/>
      <c r="AK6" s="110"/>
      <c r="AL6" s="110"/>
      <c r="AM6" s="110"/>
      <c r="AN6" s="110"/>
      <c r="AO6" s="110"/>
      <c r="AP6" s="14" t="b">
        <v>0</v>
      </c>
      <c r="AQ6" s="84" t="s">
        <v>83</v>
      </c>
      <c r="AR6" s="38"/>
      <c r="AS6" s="38"/>
      <c r="AT6" s="38"/>
      <c r="AU6" s="38"/>
      <c r="AV6" s="38"/>
      <c r="AW6" s="38"/>
      <c r="AX6" s="38"/>
      <c r="AY6" s="40"/>
      <c r="AZ6" s="40"/>
      <c r="BA6" s="40"/>
      <c r="BB6" s="11" t="str">
        <f>REPLACE($A6,1,1,6)</f>
        <v>6210101</v>
      </c>
      <c r="BC6" s="99" t="s">
        <v>729</v>
      </c>
      <c r="BE6" s="28" t="str" cm="1">
        <f t="array" ref="BE6">IF(BD6&lt;&gt;"",_xlfn.TEXTJOIN("; ",1,VLOOKUP(VALUE(_xlfn.TEXTSPLIT(BD6,";")),device_cubicles!A:B,2,0)),"")</f>
        <v/>
      </c>
    </row>
    <row r="7" spans="1:57">
      <c r="A7" s="14">
        <v>12101011</v>
      </c>
      <c r="B7" s="11">
        <v>0</v>
      </c>
      <c r="C7" s="15" t="s">
        <v>730</v>
      </c>
      <c r="D7" s="15" t="s">
        <v>77</v>
      </c>
      <c r="E7" s="15" t="str">
        <f>"Lv."&amp;MOD(F7,100)</f>
        <v>Lv.1</v>
      </c>
      <c r="F7" s="11">
        <v>101</v>
      </c>
      <c r="G7" s="15" t="s">
        <v>78</v>
      </c>
      <c r="H7" s="84" t="str" cm="1">
        <f t="array" aca="1" ref="H7" ca="1">_xlfn.IFS($A7="","",OR($F7=99,$F7=""),_xlfn.TEXTJOIN("_",1,"device_name",$A7,$Y7),TRUE,OFFSET(H7,-1,0))</f>
        <v>device_name_1210101_wheel_wooden</v>
      </c>
      <c r="I7" s="15" t="s">
        <v>483</v>
      </c>
      <c r="J7" s="14" t="str">
        <f>_xlfn.LET(_xlpm.get_device_type,VLOOKUP(VALUE(MID(A7,3,1)),tb_device_info_type[#All],3,0),_xlpm.check_if_wheel,IF(LEFT(A7,2)="12","wheel",_xlpm.get_device_type),_xlpm.raw_output,IF($A7&lt;&gt;"",_xlfn.TEXTJOIN("_",1,"device_alt",_xlpm.check_if_wheel),""),IFERROR(_xlpm.raw_output,"information missing"))</f>
        <v>device_alt_wheel</v>
      </c>
      <c r="K7" s="14" t="str" cm="1">
        <f t="array" ref="K7">_xlfn.IFS($A7="","",Q7="Wheel",_xlfn.CONCAT("dwt","[device_wheel_thumbnail_",IF($L7&lt;&gt;"",$L7,0),"]"),TRUE,_xlfn.CONCAT("dt","[device_thumbnail_",IF($L7&lt;&gt;"",$L7,0),"]"))</f>
        <v>dwt[device_wheel_thumbnail_0]</v>
      </c>
      <c r="L7" s="34">
        <v>0</v>
      </c>
      <c r="M7" s="14" t="s">
        <v>79</v>
      </c>
      <c r="N7" s="14" t="s">
        <v>80</v>
      </c>
      <c r="O7" s="36">
        <v>1410100</v>
      </c>
      <c r="P7" s="15" t="str" cm="1">
        <f t="array" ref="P7">IFERROR(_xlfn.TEXTJOIN(";",1,_xlfn.MAP(_xlfn.TEXTSPLIT(O7,";"),_xlfn.LAMBDA(_xlpm.x,IFERROR(VLOOKUP(VALUE(_xlpm.x),device_tag!A:B,2,0),"error")))),"")</f>
        <v>车轮</v>
      </c>
      <c r="Q7" s="11" t="s">
        <v>81</v>
      </c>
      <c r="R7" s="24">
        <v>0</v>
      </c>
      <c r="X7" s="24" t="s">
        <v>82</v>
      </c>
      <c r="Y7" s="24" t="s">
        <v>78</v>
      </c>
      <c r="Z7" s="85" t="str" cm="1">
        <f t="array" aca="1" ref="Z7" ca="1">_xlfn.IFS($A7="","",OR(F7=99,F7=""),_xlfn.TEXTJOIN("_",1,X7,$A7,Y7),TRUE,OFFSET($Z7,-1,0))</f>
        <v>device_1210101_wheel_wooden</v>
      </c>
      <c r="AA7" s="11">
        <v>25</v>
      </c>
      <c r="AB7" s="98"/>
      <c r="AC7" s="76">
        <f>ROUND($AD7*$AE7^MOD($F7,100),0)</f>
        <v>24</v>
      </c>
      <c r="AD7" s="16">
        <f>9*1.02^MOD(F7,100)</f>
        <v>9.18</v>
      </c>
      <c r="AE7" s="16">
        <f>POWER(1.6,2)</f>
        <v>2.5600000000000005</v>
      </c>
      <c r="AF7" s="38"/>
      <c r="AG7" s="38"/>
      <c r="AH7" s="40"/>
      <c r="AI7" s="38"/>
      <c r="AJ7" s="38"/>
      <c r="AK7" s="110"/>
      <c r="AL7" s="110"/>
      <c r="AM7" s="110"/>
      <c r="AN7" s="110"/>
      <c r="AO7" s="110"/>
      <c r="AP7" s="14" t="b">
        <v>0</v>
      </c>
      <c r="AQ7" s="84" t="s">
        <v>83</v>
      </c>
      <c r="AR7" s="38"/>
      <c r="AS7" s="38"/>
      <c r="AT7" s="38"/>
      <c r="AU7" s="38"/>
      <c r="AV7" s="38"/>
      <c r="AW7" s="38"/>
      <c r="AX7" s="38"/>
      <c r="AY7" s="40"/>
      <c r="AZ7" s="40"/>
      <c r="BA7" s="40"/>
      <c r="BB7" s="50">
        <v>1</v>
      </c>
      <c r="BC7" s="99" t="s">
        <v>729</v>
      </c>
      <c r="BE7" s="28" t="str" cm="1">
        <f t="array" ref="BE7">IF(BD7&lt;&gt;"",_xlfn.TEXTJOIN("; ",1,VLOOKUP(VALUE(_xlfn.TEXTSPLIT(BD7,";")),device_cubicles!A:B,2,0)),"")</f>
        <v/>
      </c>
    </row>
    <row r="8" spans="1:57">
      <c r="A8" s="14">
        <v>12101012</v>
      </c>
      <c r="B8" s="11">
        <v>0</v>
      </c>
      <c r="C8" s="15" t="s">
        <v>731</v>
      </c>
      <c r="D8" s="15" t="s">
        <v>77</v>
      </c>
      <c r="E8" s="15" t="str">
        <f>"Lv."&amp;MOD(F8,100)</f>
        <v>Lv.2</v>
      </c>
      <c r="F8" s="11">
        <v>102</v>
      </c>
      <c r="G8" s="15" t="s">
        <v>78</v>
      </c>
      <c r="H8" s="84" t="str" cm="1">
        <f t="array" aca="1" ref="H8" ca="1">_xlfn.IFS($A8="","",OR($F8=99,$F8=""),_xlfn.TEXTJOIN("_",1,"device_name",$A8,$Y8),TRUE,OFFSET(H8,-1,0))</f>
        <v>device_name_1210101_wheel_wooden</v>
      </c>
      <c r="I8" s="15" t="s">
        <v>483</v>
      </c>
      <c r="J8" s="14" t="str">
        <f>_xlfn.LET(_xlpm.get_device_type,VLOOKUP(VALUE(MID(A8,3,1)),tb_device_info_type[#All],3,0),_xlpm.check_if_wheel,IF(LEFT(A8,2)="12","wheel",_xlpm.get_device_type),_xlpm.raw_output,IF($A8&lt;&gt;"",_xlfn.TEXTJOIN("_",1,"device_alt",_xlpm.check_if_wheel),""),IFERROR(_xlpm.raw_output,"information missing"))</f>
        <v>device_alt_wheel</v>
      </c>
      <c r="K8" s="14" t="str" cm="1">
        <f t="array" ref="K8">_xlfn.IFS($A8="","",Q8="Wheel",_xlfn.CONCAT("dwt","[device_wheel_thumbnail_",IF($L8&lt;&gt;"",$L8,0),"]"),TRUE,_xlfn.CONCAT("dt","[device_thumbnail_",IF($L8&lt;&gt;"",$L8,0),"]"))</f>
        <v>dwt[device_wheel_thumbnail_0]</v>
      </c>
      <c r="L8" s="34">
        <v>0</v>
      </c>
      <c r="M8" s="14" t="s">
        <v>79</v>
      </c>
      <c r="N8" s="14" t="s">
        <v>80</v>
      </c>
      <c r="O8" s="36">
        <v>1410100</v>
      </c>
      <c r="P8" s="15" t="str" cm="1">
        <f t="array" ref="P8">IFERROR(_xlfn.TEXTJOIN(";",1,_xlfn.MAP(_xlfn.TEXTSPLIT(O8,";"),_xlfn.LAMBDA(_xlpm.x,IFERROR(VLOOKUP(VALUE(_xlpm.x),device_tag!A:B,2,0),"error")))),"")</f>
        <v>车轮</v>
      </c>
      <c r="Q8" s="11" t="s">
        <v>81</v>
      </c>
      <c r="R8" s="24">
        <v>0</v>
      </c>
      <c r="X8" s="24" t="s">
        <v>82</v>
      </c>
      <c r="Y8" s="24" t="s">
        <v>78</v>
      </c>
      <c r="Z8" s="85" t="str" cm="1">
        <f t="array" aca="1" ref="Z8" ca="1">_xlfn.IFS($A8="","",OR(F8=99,F8=""),_xlfn.TEXTJOIN("_",1,X8,$A8,Y8),TRUE,OFFSET($Z8,-1,0))</f>
        <v>device_1210101_wheel_wooden</v>
      </c>
      <c r="AA8" s="11">
        <v>25</v>
      </c>
      <c r="AB8" s="98"/>
      <c r="AC8" s="76">
        <f>ROUND($AD8*$AE8^MOD($F8,100),0)</f>
        <v>61</v>
      </c>
      <c r="AD8" s="16">
        <f>9*1.02^MOD(F8,100)</f>
        <v>9.3635999999999999</v>
      </c>
      <c r="AE8" s="16">
        <f>POWER(1.6,2)</f>
        <v>2.5600000000000005</v>
      </c>
      <c r="AF8" s="38"/>
      <c r="AG8" s="38"/>
      <c r="AH8" s="40"/>
      <c r="AI8" s="38"/>
      <c r="AJ8" s="38"/>
      <c r="AK8" s="110"/>
      <c r="AL8" s="110"/>
      <c r="AM8" s="110"/>
      <c r="AN8" s="110"/>
      <c r="AO8" s="110"/>
      <c r="AP8" s="14" t="b">
        <v>0</v>
      </c>
      <c r="AQ8" s="84" t="s">
        <v>83</v>
      </c>
      <c r="AR8" s="38"/>
      <c r="AS8" s="38"/>
      <c r="AT8" s="38"/>
      <c r="AU8" s="38"/>
      <c r="AV8" s="38"/>
      <c r="AW8" s="38"/>
      <c r="AX8" s="38"/>
      <c r="AY8" s="40"/>
      <c r="AZ8" s="40"/>
      <c r="BA8" s="40"/>
      <c r="BB8" s="50">
        <v>1</v>
      </c>
      <c r="BC8" s="99" t="s">
        <v>729</v>
      </c>
      <c r="BE8" s="28" t="str" cm="1">
        <f t="array" ref="BE8">IF(BD8&lt;&gt;"",_xlfn.TEXTJOIN("; ",1,VLOOKUP(VALUE(_xlfn.TEXTSPLIT(BD8,";")),device_cubicles!A:B,2,0)),"")</f>
        <v/>
      </c>
    </row>
    <row r="9" spans="1:57">
      <c r="A9" s="14">
        <v>12101013</v>
      </c>
      <c r="B9" s="11">
        <v>0</v>
      </c>
      <c r="C9" s="15" t="s">
        <v>733</v>
      </c>
      <c r="D9" s="15" t="s">
        <v>77</v>
      </c>
      <c r="E9" s="15" t="str">
        <f>"Lv."&amp;MOD(F9,100)</f>
        <v>Lv.3</v>
      </c>
      <c r="F9" s="11">
        <v>103</v>
      </c>
      <c r="G9" s="15" t="s">
        <v>78</v>
      </c>
      <c r="H9" s="84" t="str" cm="1">
        <f t="array" aca="1" ref="H9" ca="1">_xlfn.IFS($A9="","",OR($F9=99,$F9=""),_xlfn.TEXTJOIN("_",1,"device_name",$A9,$Y9),TRUE,OFFSET(H9,-1,0))</f>
        <v>device_name_1210101_wheel_wooden</v>
      </c>
      <c r="I9" s="15" t="s">
        <v>483</v>
      </c>
      <c r="J9" s="14" t="str">
        <f>_xlfn.LET(_xlpm.get_device_type,VLOOKUP(VALUE(MID(A9,3,1)),tb_device_info_type[#All],3,0),_xlpm.check_if_wheel,IF(LEFT(A9,2)="12","wheel",_xlpm.get_device_type),_xlpm.raw_output,IF($A9&lt;&gt;"",_xlfn.TEXTJOIN("_",1,"device_alt",_xlpm.check_if_wheel),""),IFERROR(_xlpm.raw_output,"information missing"))</f>
        <v>device_alt_wheel</v>
      </c>
      <c r="K9" s="14" t="str" cm="1">
        <f t="array" ref="K9">_xlfn.IFS($A9="","",Q9="Wheel",_xlfn.CONCAT("dwt","[device_wheel_thumbnail_",IF($L9&lt;&gt;"",$L9,0),"]"),TRUE,_xlfn.CONCAT("dt","[device_thumbnail_",IF($L9&lt;&gt;"",$L9,0),"]"))</f>
        <v>dwt[device_wheel_thumbnail_0]</v>
      </c>
      <c r="L9" s="34">
        <v>0</v>
      </c>
      <c r="M9" s="14" t="s">
        <v>79</v>
      </c>
      <c r="N9" s="14" t="s">
        <v>80</v>
      </c>
      <c r="O9" s="36">
        <v>1410100</v>
      </c>
      <c r="P9" s="15" t="str" cm="1">
        <f t="array" ref="P9">IFERROR(_xlfn.TEXTJOIN(";",1,_xlfn.MAP(_xlfn.TEXTSPLIT(O9,";"),_xlfn.LAMBDA(_xlpm.x,IFERROR(VLOOKUP(VALUE(_xlpm.x),device_tag!A:B,2,0),"error")))),"")</f>
        <v>车轮</v>
      </c>
      <c r="Q9" s="11" t="s">
        <v>81</v>
      </c>
      <c r="R9" s="24">
        <v>0</v>
      </c>
      <c r="X9" s="24" t="s">
        <v>82</v>
      </c>
      <c r="Y9" s="24" t="s">
        <v>78</v>
      </c>
      <c r="Z9" s="85" t="str" cm="1">
        <f t="array" aca="1" ref="Z9" ca="1">_xlfn.IFS($A9="","",OR(F9=99,F9=""),_xlfn.TEXTJOIN("_",1,X9,$A9,Y9),TRUE,OFFSET($Z9,-1,0))</f>
        <v>device_1210101_wheel_wooden</v>
      </c>
      <c r="AA9" s="11">
        <v>25</v>
      </c>
      <c r="AB9" s="98"/>
      <c r="AC9" s="76">
        <f>ROUND($AD9*$AE9^MOD($F9,100),0)</f>
        <v>160</v>
      </c>
      <c r="AD9" s="16">
        <f>9*1.02^MOD(F9,100)</f>
        <v>9.550872</v>
      </c>
      <c r="AE9" s="16">
        <f>POWER(1.6,2)</f>
        <v>2.5600000000000005</v>
      </c>
      <c r="AF9" s="38"/>
      <c r="AG9" s="38"/>
      <c r="AH9" s="40"/>
      <c r="AI9" s="38"/>
      <c r="AJ9" s="38"/>
      <c r="AK9" s="110"/>
      <c r="AL9" s="110"/>
      <c r="AM9" s="110"/>
      <c r="AN9" s="110"/>
      <c r="AO9" s="110"/>
      <c r="AP9" s="14" t="b">
        <v>0</v>
      </c>
      <c r="AQ9" s="84" t="s">
        <v>83</v>
      </c>
      <c r="AR9" s="38"/>
      <c r="AS9" s="38"/>
      <c r="AT9" s="38"/>
      <c r="AU9" s="38"/>
      <c r="AV9" s="38"/>
      <c r="AW9" s="38"/>
      <c r="AX9" s="38"/>
      <c r="AY9" s="40"/>
      <c r="AZ9" s="40"/>
      <c r="BA9" s="40"/>
      <c r="BB9" s="50">
        <v>1</v>
      </c>
      <c r="BC9" s="99" t="s">
        <v>729</v>
      </c>
      <c r="BE9" s="28" t="str" cm="1">
        <f t="array" ref="BE9">IF(BD9&lt;&gt;"",_xlfn.TEXTJOIN("; ",1,VLOOKUP(VALUE(_xlfn.TEXTSPLIT(BD9,";")),device_cubicles!A:B,2,0)),"")</f>
        <v/>
      </c>
    </row>
    <row r="10" spans="1:57">
      <c r="A10" s="14">
        <v>12101019</v>
      </c>
      <c r="B10" s="11">
        <v>0</v>
      </c>
      <c r="C10" s="15" t="s">
        <v>740</v>
      </c>
      <c r="D10" s="15" t="s">
        <v>77</v>
      </c>
      <c r="E10" s="15" t="str">
        <f>"Lv."&amp;MOD(F10,100)</f>
        <v>Lv.0</v>
      </c>
      <c r="F10" s="11">
        <v>100</v>
      </c>
      <c r="G10" s="15" t="s">
        <v>78</v>
      </c>
      <c r="H10" s="109" t="s">
        <v>739</v>
      </c>
      <c r="I10" s="15" t="s">
        <v>483</v>
      </c>
      <c r="J10" s="14" t="str">
        <f>_xlfn.LET(_xlpm.get_device_type,VLOOKUP(VALUE(MID(A10,3,1)),tb_device_info_type[#All],3,0),_xlpm.check_if_wheel,IF(LEFT(A10,2)="12","wheel",_xlpm.get_device_type),_xlpm.raw_output,IF($A10&lt;&gt;"",_xlfn.TEXTJOIN("_",1,"device_alt",_xlpm.check_if_wheel),""),IFERROR(_xlpm.raw_output,"information missing"))</f>
        <v>device_alt_wheel</v>
      </c>
      <c r="K10" s="14" t="str" cm="1">
        <f t="array" ref="K10">_xlfn.IFS($A10="","",Q10="Wheel",_xlfn.CONCAT("dwt","[device_wheel_thumbnail_",IF($L10&lt;&gt;"",$L10,0),"]"),TRUE,_xlfn.CONCAT("dt","[device_thumbnail_",IF($L10&lt;&gt;"",$L10,0),"]"))</f>
        <v>dwt[device_wheel_thumbnail_0]</v>
      </c>
      <c r="L10" s="34">
        <v>0</v>
      </c>
      <c r="M10" s="14" t="s">
        <v>79</v>
      </c>
      <c r="N10" s="14" t="s">
        <v>80</v>
      </c>
      <c r="O10" s="36">
        <v>1410100</v>
      </c>
      <c r="P10" s="15" t="str" cm="1">
        <f t="array" ref="P10">IFERROR(_xlfn.TEXTJOIN(";",1,_xlfn.MAP(_xlfn.TEXTSPLIT(O10,";"),_xlfn.LAMBDA(_xlpm.x,IFERROR(VLOOKUP(VALUE(_xlpm.x),device_tag!A:B,2,0),"error")))),"")</f>
        <v>车轮</v>
      </c>
      <c r="Q10" s="11" t="s">
        <v>81</v>
      </c>
      <c r="R10" s="24">
        <v>0</v>
      </c>
      <c r="X10" s="24" t="s">
        <v>82</v>
      </c>
      <c r="Y10" s="24" t="s">
        <v>78</v>
      </c>
      <c r="Z10" s="85" t="str" cm="1">
        <f t="array" aca="1" ref="Z10" ca="1">_xlfn.IFS($A10="","",OR(F10=99,F10=""),_xlfn.TEXTJOIN("_",1,X10,$A10,Y10),TRUE,OFFSET($Z10,-1,0))</f>
        <v>device_1210101_wheel_wooden</v>
      </c>
      <c r="AA10" s="11">
        <v>25</v>
      </c>
      <c r="AB10" s="98"/>
      <c r="AC10" s="76">
        <f>ROUND($AD10*$AE10^MOD($F10,100),0)</f>
        <v>5</v>
      </c>
      <c r="AD10" s="16">
        <v>5</v>
      </c>
      <c r="AE10" s="16">
        <f>POWER(1.6,2)</f>
        <v>2.5600000000000005</v>
      </c>
      <c r="AF10" s="38"/>
      <c r="AG10" s="38"/>
      <c r="AH10" s="40"/>
      <c r="AI10" s="38"/>
      <c r="AJ10" s="38"/>
      <c r="AK10" s="110"/>
      <c r="AL10" s="110"/>
      <c r="AM10" s="110"/>
      <c r="AN10" s="110"/>
      <c r="AO10" s="110"/>
      <c r="AP10" s="14" t="b">
        <v>0</v>
      </c>
      <c r="AQ10" s="84" t="s">
        <v>83</v>
      </c>
      <c r="AR10" s="38"/>
      <c r="AS10" s="38"/>
      <c r="AT10" s="38"/>
      <c r="AU10" s="38"/>
      <c r="AV10" s="38"/>
      <c r="AW10" s="38"/>
      <c r="AX10" s="38"/>
      <c r="AY10" s="40"/>
      <c r="AZ10" s="40"/>
      <c r="BA10" s="40"/>
      <c r="BB10" s="50">
        <v>1</v>
      </c>
      <c r="BC10" s="99" t="s">
        <v>729</v>
      </c>
      <c r="BE10" s="28" t="str" cm="1">
        <f t="array" ref="BE10">IF(BD10&lt;&gt;"",_xlfn.TEXTJOIN("; ",1,VLOOKUP(VALUE(_xlfn.TEXTSPLIT(BD10,";")),device_cubicles!A:B,2,0)),"")</f>
        <v/>
      </c>
    </row>
    <row r="11" spans="1:57">
      <c r="A11" s="14">
        <v>1210102</v>
      </c>
      <c r="B11" s="11">
        <v>0</v>
      </c>
      <c r="C11" s="15" t="s">
        <v>85</v>
      </c>
      <c r="D11" s="15" t="s">
        <v>77</v>
      </c>
      <c r="F11" s="86">
        <v>99</v>
      </c>
      <c r="G11" s="15" t="s">
        <v>86</v>
      </c>
      <c r="H11" s="84" t="str" cm="1">
        <f t="array" aca="1" ref="H11" ca="1">_xlfn.IFS($A11="","",OR($F11=99,$F11=""),_xlfn.TEXTJOIN("_",1,"device_name",$A11,$Y11),TRUE,OFFSET(H11,-1,0))</f>
        <v>device_name_1210102_wheel_track</v>
      </c>
      <c r="I11" s="15" t="s">
        <v>481</v>
      </c>
      <c r="J11" s="14" t="str">
        <f>_xlfn.LET(_xlpm.get_device_type,VLOOKUP(VALUE(MID(A11,3,1)),tb_device_info_type[#All],3,0),_xlpm.check_if_wheel,IF(LEFT(A11,2)="12","wheel",_xlpm.get_device_type),_xlpm.raw_output,IF($A11&lt;&gt;"",_xlfn.TEXTJOIN("_",1,"device_alt",_xlpm.check_if_wheel),""),IFERROR(_xlpm.raw_output,"information missing"))</f>
        <v>device_alt_wheel</v>
      </c>
      <c r="K11" s="14" t="str" cm="1">
        <f t="array" ref="K11">_xlfn.IFS($A11="","",Q11="Wheel",_xlfn.CONCAT("dwt","[device_wheel_thumbnail_",IF($L11&lt;&gt;"",$L11,0),"]"),TRUE,_xlfn.CONCAT("dt","[device_thumbnail_",IF($L11&lt;&gt;"",$L11,0),"]"))</f>
        <v>dwt[device_wheel_thumbnail_1]</v>
      </c>
      <c r="L11" s="34">
        <v>1</v>
      </c>
      <c r="M11" s="14" t="s">
        <v>79</v>
      </c>
      <c r="N11" s="14" t="s">
        <v>80</v>
      </c>
      <c r="O11" s="36">
        <v>1410100</v>
      </c>
      <c r="P11" s="15" t="str" cm="1">
        <f t="array" ref="P11">IFERROR(_xlfn.TEXTJOIN(";",1,_xlfn.MAP(_xlfn.TEXTSPLIT(O11,";"),_xlfn.LAMBDA(_xlpm.x,IFERROR(VLOOKUP(VALUE(_xlpm.x),device_tag!A:B,2,0),"error")))),"")</f>
        <v>车轮</v>
      </c>
      <c r="Q11" s="11" t="s">
        <v>81</v>
      </c>
      <c r="R11" s="24">
        <v>0</v>
      </c>
      <c r="X11" s="24" t="s">
        <v>82</v>
      </c>
      <c r="Y11" s="24" t="s">
        <v>86</v>
      </c>
      <c r="Z11" s="85" t="str" cm="1">
        <f t="array" aca="1" ref="Z11" ca="1">_xlfn.IFS($A11="","",OR(F11=99,F11=""),_xlfn.TEXTJOIN("_",1,X11,$A11,Y11),TRUE,OFFSET($Z11,-1,0))</f>
        <v>device_1210102_wheel_track</v>
      </c>
      <c r="AA11" s="11">
        <v>735</v>
      </c>
      <c r="AB11" s="98"/>
      <c r="AC11" s="77">
        <v>14</v>
      </c>
      <c r="AF11" s="38"/>
      <c r="AG11" s="38"/>
      <c r="AH11" s="40"/>
      <c r="AI11" s="38"/>
      <c r="AJ11" s="38"/>
      <c r="AK11" s="110"/>
      <c r="AL11" s="110"/>
      <c r="AM11" s="110"/>
      <c r="AN11" s="110"/>
      <c r="AO11" s="110"/>
      <c r="AP11" s="14" t="b">
        <v>1</v>
      </c>
      <c r="AQ11" s="84" t="s">
        <v>87</v>
      </c>
      <c r="AR11" s="38"/>
      <c r="AS11" s="38"/>
      <c r="AT11" s="38"/>
      <c r="AU11" s="38"/>
      <c r="AV11" s="38"/>
      <c r="AW11" s="38"/>
      <c r="AX11" s="38"/>
      <c r="AY11" s="40"/>
      <c r="AZ11" s="40"/>
      <c r="BA11" s="40"/>
      <c r="BB11" s="11" t="str">
        <f>REPLACE($A11,1,1,6)</f>
        <v>6210102</v>
      </c>
      <c r="BC11" s="99" t="s">
        <v>729</v>
      </c>
      <c r="BE11" s="28" t="str" cm="1">
        <f t="array" ref="BE11">IF(BD11&lt;&gt;"",_xlfn.TEXTJOIN("; ",1,VLOOKUP(VALUE(_xlfn.TEXTSPLIT(BD11,";")),device_cubicles!A:B,2,0)),"")</f>
        <v/>
      </c>
    </row>
    <row r="12" spans="1:57">
      <c r="A12" s="14">
        <v>12101022</v>
      </c>
      <c r="B12" s="11">
        <v>0</v>
      </c>
      <c r="C12" s="15" t="s">
        <v>726</v>
      </c>
      <c r="D12" s="15" t="s">
        <v>77</v>
      </c>
      <c r="E12" s="15" t="str">
        <f>"Lv."&amp;MOD(F12,100)</f>
        <v>Lv.2</v>
      </c>
      <c r="F12" s="11">
        <v>102</v>
      </c>
      <c r="G12" s="15" t="s">
        <v>86</v>
      </c>
      <c r="H12" s="84" t="str" cm="1">
        <f t="array" aca="1" ref="H12" ca="1">_xlfn.IFS($A12="","",OR($F12=99,$F12=""),_xlfn.TEXTJOIN("_",1,"device_name",$A12,$Y12),TRUE,OFFSET(H12,-1,0))</f>
        <v>device_name_1210102_wheel_track</v>
      </c>
      <c r="I12" s="15" t="s">
        <v>481</v>
      </c>
      <c r="J12" s="14" t="str">
        <f>_xlfn.LET(_xlpm.get_device_type,VLOOKUP(VALUE(MID(A12,3,1)),tb_device_info_type[#All],3,0),_xlpm.check_if_wheel,IF(LEFT(A12,2)="12","wheel",_xlpm.get_device_type),_xlpm.raw_output,IF($A12&lt;&gt;"",_xlfn.TEXTJOIN("_",1,"device_alt",_xlpm.check_if_wheel),""),IFERROR(_xlpm.raw_output,"information missing"))</f>
        <v>device_alt_wheel</v>
      </c>
      <c r="K12" s="14" t="str" cm="1">
        <f t="array" ref="K12">_xlfn.IFS($A12="","",Q12="Wheel",_xlfn.CONCAT("dwt","[device_wheel_thumbnail_",IF($L12&lt;&gt;"",$L12,0),"]"),TRUE,_xlfn.CONCAT("dt","[device_thumbnail_",IF($L12&lt;&gt;"",$L12,0),"]"))</f>
        <v>dwt[device_wheel_thumbnail_1]</v>
      </c>
      <c r="L12" s="34">
        <v>1</v>
      </c>
      <c r="M12" s="14" t="s">
        <v>79</v>
      </c>
      <c r="N12" s="14" t="s">
        <v>80</v>
      </c>
      <c r="O12" s="36">
        <v>1410100</v>
      </c>
      <c r="P12" s="15" t="str" cm="1">
        <f t="array" ref="P12">IFERROR(_xlfn.TEXTJOIN(";",1,_xlfn.MAP(_xlfn.TEXTSPLIT(O12,";"),_xlfn.LAMBDA(_xlpm.x,IFERROR(VLOOKUP(VALUE(_xlpm.x),device_tag!A:B,2,0),"error")))),"")</f>
        <v>车轮</v>
      </c>
      <c r="Q12" s="11" t="s">
        <v>81</v>
      </c>
      <c r="R12" s="24">
        <v>0</v>
      </c>
      <c r="X12" s="24" t="s">
        <v>82</v>
      </c>
      <c r="Y12" s="24" t="s">
        <v>86</v>
      </c>
      <c r="Z12" s="85" t="str" cm="1">
        <f t="array" aca="1" ref="Z12" ca="1">_xlfn.IFS($A12="","",OR(F12=99,F12=""),_xlfn.TEXTJOIN("_",1,X12,$A12,Y12),TRUE,OFFSET($Z12,-1,0))</f>
        <v>device_1210102_wheel_track</v>
      </c>
      <c r="AA12" s="11">
        <v>735</v>
      </c>
      <c r="AB12" s="98"/>
      <c r="AC12" s="76">
        <f>ROUND($AD12*$AE12^MOD($F12,100),0)</f>
        <v>75</v>
      </c>
      <c r="AD12" s="16">
        <f>12*0.975^MOD(F12,100)</f>
        <v>11.407499999999999</v>
      </c>
      <c r="AE12" s="16">
        <f>POWER(1.6,2)</f>
        <v>2.5600000000000005</v>
      </c>
      <c r="AF12" s="38"/>
      <c r="AG12" s="38"/>
      <c r="AH12" s="40"/>
      <c r="AI12" s="38"/>
      <c r="AJ12" s="38"/>
      <c r="AK12" s="110"/>
      <c r="AL12" s="110"/>
      <c r="AM12" s="110"/>
      <c r="AN12" s="110"/>
      <c r="AO12" s="110"/>
      <c r="AP12" s="14" t="b">
        <v>1</v>
      </c>
      <c r="AQ12" s="84" t="s">
        <v>87</v>
      </c>
      <c r="AR12" s="38"/>
      <c r="AS12" s="38"/>
      <c r="AT12" s="38"/>
      <c r="AU12" s="38"/>
      <c r="AV12" s="38"/>
      <c r="AW12" s="38"/>
      <c r="AX12" s="38"/>
      <c r="AY12" s="40"/>
      <c r="AZ12" s="40"/>
      <c r="BA12" s="40"/>
      <c r="BB12" s="50">
        <v>1</v>
      </c>
      <c r="BC12" s="99" t="s">
        <v>729</v>
      </c>
      <c r="BE12" s="28" t="str" cm="1">
        <f t="array" ref="BE12">IF(BD12&lt;&gt;"",_xlfn.TEXTJOIN("; ",1,VLOOKUP(VALUE(_xlfn.TEXTSPLIT(BD12,";")),device_cubicles!A:B,2,0)),"")</f>
        <v/>
      </c>
    </row>
    <row r="13" spans="1:57">
      <c r="A13" s="14">
        <v>12101023</v>
      </c>
      <c r="B13" s="11">
        <v>0</v>
      </c>
      <c r="C13" s="15" t="s">
        <v>727</v>
      </c>
      <c r="D13" s="15" t="s">
        <v>77</v>
      </c>
      <c r="E13" s="15" t="str">
        <f>"Lv."&amp;MOD(F13,100)</f>
        <v>Lv.3</v>
      </c>
      <c r="F13" s="11">
        <v>103</v>
      </c>
      <c r="G13" s="15" t="s">
        <v>86</v>
      </c>
      <c r="H13" s="84" t="str" cm="1">
        <f t="array" aca="1" ref="H13" ca="1">_xlfn.IFS($A13="","",OR($F13=99,$F13=""),_xlfn.TEXTJOIN("_",1,"device_name",$A13,$Y13),TRUE,OFFSET(H13,-1,0))</f>
        <v>device_name_1210102_wheel_track</v>
      </c>
      <c r="I13" s="15" t="s">
        <v>481</v>
      </c>
      <c r="J13" s="14" t="str">
        <f>_xlfn.LET(_xlpm.get_device_type,VLOOKUP(VALUE(MID(A13,3,1)),tb_device_info_type[#All],3,0),_xlpm.check_if_wheel,IF(LEFT(A13,2)="12","wheel",_xlpm.get_device_type),_xlpm.raw_output,IF($A13&lt;&gt;"",_xlfn.TEXTJOIN("_",1,"device_alt",_xlpm.check_if_wheel),""),IFERROR(_xlpm.raw_output,"information missing"))</f>
        <v>device_alt_wheel</v>
      </c>
      <c r="K13" s="14" t="str" cm="1">
        <f t="array" ref="K13">_xlfn.IFS($A13="","",Q13="Wheel",_xlfn.CONCAT("dwt","[device_wheel_thumbnail_",IF($L13&lt;&gt;"",$L13,0),"]"),TRUE,_xlfn.CONCAT("dt","[device_thumbnail_",IF($L13&lt;&gt;"",$L13,0),"]"))</f>
        <v>dwt[device_wheel_thumbnail_1]</v>
      </c>
      <c r="L13" s="34">
        <v>1</v>
      </c>
      <c r="M13" s="14" t="s">
        <v>79</v>
      </c>
      <c r="N13" s="14" t="s">
        <v>80</v>
      </c>
      <c r="O13" s="36">
        <v>1410100</v>
      </c>
      <c r="P13" s="15" t="str" cm="1">
        <f t="array" ref="P13">IFERROR(_xlfn.TEXTJOIN(";",1,_xlfn.MAP(_xlfn.TEXTSPLIT(O13,";"),_xlfn.LAMBDA(_xlpm.x,IFERROR(VLOOKUP(VALUE(_xlpm.x),device_tag!A:B,2,0),"error")))),"")</f>
        <v>车轮</v>
      </c>
      <c r="Q13" s="11" t="s">
        <v>81</v>
      </c>
      <c r="R13" s="24">
        <v>0</v>
      </c>
      <c r="X13" s="24" t="s">
        <v>82</v>
      </c>
      <c r="Y13" s="24" t="s">
        <v>86</v>
      </c>
      <c r="Z13" s="85" t="str" cm="1">
        <f t="array" aca="1" ref="Z13" ca="1">_xlfn.IFS($A13="","",OR(F13=99,F13=""),_xlfn.TEXTJOIN("_",1,X13,$A13,Y13),TRUE,OFFSET($Z13,-1,0))</f>
        <v>device_1210102_wheel_track</v>
      </c>
      <c r="AA13" s="11">
        <v>735</v>
      </c>
      <c r="AB13" s="98"/>
      <c r="AC13" s="76">
        <f>ROUND($AD13*$AE13^MOD($F13,100),0)</f>
        <v>187</v>
      </c>
      <c r="AD13" s="16">
        <f>12*0.975^MOD(F13,100)</f>
        <v>11.1223125</v>
      </c>
      <c r="AE13" s="16">
        <f>POWER(1.6,2)</f>
        <v>2.5600000000000005</v>
      </c>
      <c r="AF13" s="38"/>
      <c r="AG13" s="38"/>
      <c r="AH13" s="40"/>
      <c r="AI13" s="38"/>
      <c r="AJ13" s="38"/>
      <c r="AK13" s="110"/>
      <c r="AL13" s="110"/>
      <c r="AM13" s="110"/>
      <c r="AN13" s="110"/>
      <c r="AO13" s="110"/>
      <c r="AP13" s="14" t="b">
        <v>1</v>
      </c>
      <c r="AQ13" s="84" t="s">
        <v>87</v>
      </c>
      <c r="AR13" s="38"/>
      <c r="AS13" s="38"/>
      <c r="AT13" s="38"/>
      <c r="AU13" s="38"/>
      <c r="AV13" s="38"/>
      <c r="AW13" s="38"/>
      <c r="AX13" s="38"/>
      <c r="AY13" s="40"/>
      <c r="AZ13" s="40"/>
      <c r="BA13" s="40"/>
      <c r="BB13" s="50">
        <v>1</v>
      </c>
      <c r="BC13" s="99" t="s">
        <v>729</v>
      </c>
      <c r="BE13" s="28" t="str" cm="1">
        <f t="array" ref="BE13">IF(BD13&lt;&gt;"",_xlfn.TEXTJOIN("; ",1,VLOOKUP(VALUE(_xlfn.TEXTSPLIT(BD13,";")),device_cubicles!A:B,2,0)),"")</f>
        <v/>
      </c>
    </row>
    <row r="14" spans="1:57">
      <c r="A14" s="14">
        <v>12101024</v>
      </c>
      <c r="B14" s="11">
        <v>0</v>
      </c>
      <c r="C14" s="15" t="s">
        <v>728</v>
      </c>
      <c r="D14" s="15" t="s">
        <v>77</v>
      </c>
      <c r="E14" s="15" t="str">
        <f>"Lv."&amp;MOD(F14,100)</f>
        <v>Lv.4</v>
      </c>
      <c r="F14" s="11">
        <v>104</v>
      </c>
      <c r="G14" s="15" t="s">
        <v>86</v>
      </c>
      <c r="H14" s="84" t="str" cm="1">
        <f t="array" aca="1" ref="H14" ca="1">_xlfn.IFS($A14="","",OR($F14=99,$F14=""),_xlfn.TEXTJOIN("_",1,"device_name",$A14,$Y14),TRUE,OFFSET(H14,-1,0))</f>
        <v>device_name_1210102_wheel_track</v>
      </c>
      <c r="I14" s="15" t="s">
        <v>481</v>
      </c>
      <c r="J14" s="14" t="str">
        <f>_xlfn.LET(_xlpm.get_device_type,VLOOKUP(VALUE(MID(A14,3,1)),tb_device_info_type[#All],3,0),_xlpm.check_if_wheel,IF(LEFT(A14,2)="12","wheel",_xlpm.get_device_type),_xlpm.raw_output,IF($A14&lt;&gt;"",_xlfn.TEXTJOIN("_",1,"device_alt",_xlpm.check_if_wheel),""),IFERROR(_xlpm.raw_output,"information missing"))</f>
        <v>device_alt_wheel</v>
      </c>
      <c r="K14" s="14" t="str" cm="1">
        <f t="array" ref="K14">_xlfn.IFS($A14="","",Q14="Wheel",_xlfn.CONCAT("dwt","[device_wheel_thumbnail_",IF($L14&lt;&gt;"",$L14,0),"]"),TRUE,_xlfn.CONCAT("dt","[device_thumbnail_",IF($L14&lt;&gt;"",$L14,0),"]"))</f>
        <v>dwt[device_wheel_thumbnail_1]</v>
      </c>
      <c r="L14" s="34">
        <v>1</v>
      </c>
      <c r="M14" s="14" t="s">
        <v>79</v>
      </c>
      <c r="N14" s="14" t="s">
        <v>80</v>
      </c>
      <c r="O14" s="36">
        <v>1410100</v>
      </c>
      <c r="P14" s="15" t="str" cm="1">
        <f t="array" ref="P14">IFERROR(_xlfn.TEXTJOIN(";",1,_xlfn.MAP(_xlfn.TEXTSPLIT(O14,";"),_xlfn.LAMBDA(_xlpm.x,IFERROR(VLOOKUP(VALUE(_xlpm.x),device_tag!A:B,2,0),"error")))),"")</f>
        <v>车轮</v>
      </c>
      <c r="Q14" s="11" t="s">
        <v>81</v>
      </c>
      <c r="R14" s="24">
        <v>0</v>
      </c>
      <c r="X14" s="24" t="s">
        <v>82</v>
      </c>
      <c r="Y14" s="24" t="s">
        <v>86</v>
      </c>
      <c r="Z14" s="85" t="str" cm="1">
        <f t="array" aca="1" ref="Z14" ca="1">_xlfn.IFS($A14="","",OR(F14=99,F14=""),_xlfn.TEXTJOIN("_",1,X14,$A14,Y14),TRUE,OFFSET($Z14,-1,0))</f>
        <v>device_1210102_wheel_track</v>
      </c>
      <c r="AA14" s="11">
        <v>735</v>
      </c>
      <c r="AB14" s="98"/>
      <c r="AC14" s="76">
        <f>ROUND($AD14*$AE14^MOD($F14,100),0)</f>
        <v>466</v>
      </c>
      <c r="AD14" s="16">
        <f>12*0.975^MOD(F14,100)</f>
        <v>10.844254687499998</v>
      </c>
      <c r="AE14" s="16">
        <f>POWER(1.6,2)</f>
        <v>2.5600000000000005</v>
      </c>
      <c r="AF14" s="38"/>
      <c r="AG14" s="38"/>
      <c r="AH14" s="40"/>
      <c r="AI14" s="38"/>
      <c r="AJ14" s="38"/>
      <c r="AK14" s="110"/>
      <c r="AL14" s="110"/>
      <c r="AM14" s="110"/>
      <c r="AN14" s="110"/>
      <c r="AO14" s="110"/>
      <c r="AP14" s="14" t="b">
        <v>1</v>
      </c>
      <c r="AQ14" s="84" t="s">
        <v>87</v>
      </c>
      <c r="AR14" s="38"/>
      <c r="AS14" s="38"/>
      <c r="AT14" s="38"/>
      <c r="AU14" s="38"/>
      <c r="AV14" s="38"/>
      <c r="AW14" s="38"/>
      <c r="AX14" s="38"/>
      <c r="AY14" s="40"/>
      <c r="AZ14" s="40"/>
      <c r="BA14" s="40"/>
      <c r="BB14" s="50">
        <v>1</v>
      </c>
      <c r="BC14" s="99" t="s">
        <v>729</v>
      </c>
      <c r="BE14" s="28" t="str" cm="1">
        <f t="array" ref="BE14">IF(BD14&lt;&gt;"",_xlfn.TEXTJOIN("; ",1,VLOOKUP(VALUE(_xlfn.TEXTSPLIT(BD14,";")),device_cubicles!A:B,2,0)),"")</f>
        <v/>
      </c>
    </row>
    <row r="15" spans="1:57">
      <c r="A15" s="14">
        <v>1211801</v>
      </c>
      <c r="B15" s="11">
        <v>0</v>
      </c>
      <c r="C15" s="15" t="s">
        <v>88</v>
      </c>
      <c r="D15" s="15" t="s">
        <v>77</v>
      </c>
      <c r="F15" s="86">
        <v>99</v>
      </c>
      <c r="G15" s="15" t="s">
        <v>89</v>
      </c>
      <c r="H15" s="84" t="str" cm="1">
        <f t="array" aca="1" ref="H15" ca="1">_xlfn.IFS($A15="","",OR($F15=99,$F15=""),_xlfn.TEXTJOIN("_",1,"device_name",$A15,$Y15),TRUE,OFFSET(H15,-1,0))</f>
        <v>device_name_1211801_wheel_lifebuoy</v>
      </c>
      <c r="I15" s="15" t="s">
        <v>482</v>
      </c>
      <c r="J15" s="14" t="str">
        <f>_xlfn.LET(_xlpm.get_device_type,VLOOKUP(VALUE(MID(A15,3,1)),tb_device_info_type[#All],3,0),_xlpm.check_if_wheel,IF(LEFT(A15,2)="12","wheel",_xlpm.get_device_type),_xlpm.raw_output,IF($A15&lt;&gt;"",_xlfn.TEXTJOIN("_",1,"device_alt",_xlpm.check_if_wheel),""),IFERROR(_xlpm.raw_output,"information missing"))</f>
        <v>device_alt_wheel</v>
      </c>
      <c r="K15" s="14" t="str" cm="1">
        <f t="array" ref="K15">_xlfn.IFS($A15="","",Q15="Wheel",_xlfn.CONCAT("dwt","[device_wheel_thumbnail_",IF($L15&lt;&gt;"",$L15,0),"]"),TRUE,_xlfn.CONCAT("dt","[device_thumbnail_",IF($L15&lt;&gt;"",$L15,0),"]"))</f>
        <v>dwt[device_wheel_thumbnail_3]</v>
      </c>
      <c r="L15" s="61">
        <v>3</v>
      </c>
      <c r="M15" s="14" t="s">
        <v>79</v>
      </c>
      <c r="N15" s="14" t="s">
        <v>80</v>
      </c>
      <c r="O15" s="36">
        <v>1410100</v>
      </c>
      <c r="P15" s="15" t="str" cm="1">
        <f t="array" ref="P15">IFERROR(_xlfn.TEXTJOIN(";",1,_xlfn.MAP(_xlfn.TEXTSPLIT(O15,";"),_xlfn.LAMBDA(_xlpm.x,IFERROR(VLOOKUP(VALUE(_xlpm.x),device_tag!A:B,2,0),"error")))),"")</f>
        <v>车轮</v>
      </c>
      <c r="Q15" s="11" t="s">
        <v>81</v>
      </c>
      <c r="R15" s="24">
        <v>0</v>
      </c>
      <c r="X15" s="24" t="s">
        <v>82</v>
      </c>
      <c r="Y15" s="24" t="s">
        <v>89</v>
      </c>
      <c r="Z15" s="85" t="str" cm="1">
        <f t="array" aca="1" ref="Z15" ca="1">_xlfn.IFS($A15="","",OR(F15=99,F15=""),_xlfn.TEXTJOIN("_",1,X15,$A15,Y15),TRUE,OFFSET($Z15,-1,0))</f>
        <v>device_1211801_wheel_lifebuoy</v>
      </c>
      <c r="AA15" s="11">
        <v>5</v>
      </c>
      <c r="AB15" s="11">
        <v>0</v>
      </c>
      <c r="AC15" s="11">
        <v>12</v>
      </c>
      <c r="AF15" s="38"/>
      <c r="AG15" s="38"/>
      <c r="AH15" s="40"/>
      <c r="AI15" s="38"/>
      <c r="AJ15" s="38"/>
      <c r="AK15" s="110"/>
      <c r="AL15" s="110"/>
      <c r="AM15" s="110"/>
      <c r="AN15" s="110"/>
      <c r="AO15" s="110"/>
      <c r="AP15" s="14" t="b">
        <v>0</v>
      </c>
      <c r="AQ15" s="14" t="s">
        <v>83</v>
      </c>
      <c r="AR15" s="38"/>
      <c r="AS15" s="38"/>
      <c r="AT15" s="38"/>
      <c r="AU15" s="38"/>
      <c r="AV15" s="38"/>
      <c r="AW15" s="38"/>
      <c r="AX15" s="38"/>
      <c r="AY15" s="40"/>
      <c r="AZ15" s="40"/>
      <c r="BA15" s="40"/>
      <c r="BB15" s="50">
        <v>1</v>
      </c>
      <c r="BC15" s="11" t="s">
        <v>84</v>
      </c>
      <c r="BE15" s="28" t="str" cm="1">
        <f t="array" ref="BE15">IF(BD15&lt;&gt;"",_xlfn.TEXTJOIN("; ",1,VLOOKUP(VALUE(_xlfn.TEXTSPLIT(BD15,";")),device_cubicles!A:B,2,0)),"")</f>
        <v/>
      </c>
    </row>
    <row r="16" spans="1:57">
      <c r="A16" s="14">
        <v>120000002</v>
      </c>
      <c r="B16" s="11">
        <v>0</v>
      </c>
      <c r="C16" s="15" t="s">
        <v>90</v>
      </c>
      <c r="F16" s="86"/>
      <c r="H16" s="84" t="str" cm="1">
        <f t="array" aca="1" ref="H16" ca="1">_xlfn.IFS($A16="","",OR($F16=99,$F16=""),_xlfn.TEXTJOIN("_",1,"device_name",$A16,$Y16),TRUE,OFFSET(H16,-1,0))</f>
        <v>device_name_120000002_wheel_stone</v>
      </c>
      <c r="J16" s="14" t="str">
        <f>_xlfn.LET(_xlpm.get_device_type,VLOOKUP(VALUE(MID(A16,3,1)),tb_device_info_type[#All],3,0),_xlpm.check_if_wheel,IF(LEFT(A16,2)="12","wheel",_xlpm.get_device_type),_xlpm.raw_output,IF($A16&lt;&gt;"",_xlfn.TEXTJOIN("_",1,"device_alt",_xlpm.check_if_wheel),""),IFERROR(_xlpm.raw_output,"information missing"))</f>
        <v>device_alt_wheel</v>
      </c>
      <c r="K16" s="14" t="str" cm="1">
        <f t="array" ref="K16">_xlfn.IFS($A16="","",Q16="Wheel",_xlfn.CONCAT("dwt","[device_wheel_thumbnail_",IF($L16&lt;&gt;"",$L16,0),"]"),TRUE,_xlfn.CONCAT("dt","[device_thumbnail_",IF($L16&lt;&gt;"",$L16,0),"]"))</f>
        <v>dwt[device_wheel_thumbnail_3]</v>
      </c>
      <c r="L16" s="61">
        <v>3</v>
      </c>
      <c r="M16" s="14" t="s">
        <v>79</v>
      </c>
      <c r="N16" s="14" t="s">
        <v>80</v>
      </c>
      <c r="O16" s="36"/>
      <c r="P16" s="15" t="str" cm="1">
        <f t="array" ref="P16">IFERROR(_xlfn.TEXTJOIN(";",1,_xlfn.MAP(_xlfn.TEXTSPLIT(O16,";"),_xlfn.LAMBDA(_xlpm.x,IFERROR(VLOOKUP(VALUE(_xlpm.x),device_tag!A:B,2,0),"error")))),"")</f>
        <v/>
      </c>
      <c r="Q16" s="11" t="s">
        <v>81</v>
      </c>
      <c r="R16" s="24">
        <v>0</v>
      </c>
      <c r="X16" s="24" t="s">
        <v>91</v>
      </c>
      <c r="Y16" s="24" t="s">
        <v>92</v>
      </c>
      <c r="Z16" s="85" t="str" cm="1">
        <f t="array" aca="1" ref="Z16" ca="1">_xlfn.IFS($A16="","",OR(F16=99,F16=""),_xlfn.TEXTJOIN("_",1,X16,$A16,Y16),TRUE,OFFSET($Z16,-1,0))</f>
        <v>dp_120000002_wheel_stone</v>
      </c>
      <c r="AA16" s="11">
        <v>100</v>
      </c>
      <c r="AB16" s="11">
        <v>0</v>
      </c>
      <c r="AC16" s="11" t="s">
        <v>526</v>
      </c>
      <c r="AF16" s="38"/>
      <c r="AK16" s="110"/>
      <c r="AL16" s="110"/>
      <c r="AM16" s="110"/>
      <c r="AN16" s="110"/>
      <c r="AO16" s="110"/>
      <c r="BC16" s="11" t="s">
        <v>93</v>
      </c>
      <c r="BE16" s="28" t="str" cm="1">
        <f t="array" ref="BE16">IF(BD16&lt;&gt;"",_xlfn.TEXTJOIN("; ",1,VLOOKUP(VALUE(_xlfn.TEXTSPLIT(BD16,";")),device_cubicles!A:B,2,0)),"")</f>
        <v/>
      </c>
    </row>
    <row r="17" spans="1:57">
      <c r="A17" s="14">
        <v>120000003</v>
      </c>
      <c r="B17" s="11">
        <v>0</v>
      </c>
      <c r="C17" s="15" t="s">
        <v>94</v>
      </c>
      <c r="F17" s="86"/>
      <c r="H17" s="84" t="str" cm="1">
        <f t="array" aca="1" ref="H17" ca="1">_xlfn.IFS($A17="","",OR($F17=99,$F17=""),_xlfn.TEXTJOIN("_",1,"device_name",$A17,$Y17),TRUE,OFFSET(H17,-1,0))</f>
        <v>device_name_120000003_wheel_iron</v>
      </c>
      <c r="J17" s="14" t="str">
        <f>_xlfn.LET(_xlpm.get_device_type,VLOOKUP(VALUE(MID(A17,3,1)),tb_device_info_type[#All],3,0),_xlpm.check_if_wheel,IF(LEFT(A17,2)="12","wheel",_xlpm.get_device_type),_xlpm.raw_output,IF($A17&lt;&gt;"",_xlfn.TEXTJOIN("_",1,"device_alt",_xlpm.check_if_wheel),""),IFERROR(_xlpm.raw_output,"information missing"))</f>
        <v>device_alt_wheel</v>
      </c>
      <c r="K17" s="14" t="str" cm="1">
        <f t="array" ref="K17">_xlfn.IFS($A17="","",Q17="Wheel",_xlfn.CONCAT("dwt","[device_wheel_thumbnail_",IF($L17&lt;&gt;"",$L17,0),"]"),TRUE,_xlfn.CONCAT("dt","[device_thumbnail_",IF($L17&lt;&gt;"",$L17,0),"]"))</f>
        <v>dwt[device_wheel_thumbnail_3]</v>
      </c>
      <c r="L17" s="61">
        <v>3</v>
      </c>
      <c r="M17" s="14" t="s">
        <v>79</v>
      </c>
      <c r="N17" s="14" t="s">
        <v>80</v>
      </c>
      <c r="O17" s="36"/>
      <c r="P17" s="15" t="str" cm="1">
        <f t="array" ref="P17">IFERROR(_xlfn.TEXTJOIN(";",1,_xlfn.MAP(_xlfn.TEXTSPLIT(O17,";"),_xlfn.LAMBDA(_xlpm.x,IFERROR(VLOOKUP(VALUE(_xlpm.x),device_tag!A:B,2,0),"error")))),"")</f>
        <v/>
      </c>
      <c r="Q17" s="11" t="s">
        <v>81</v>
      </c>
      <c r="R17" s="24">
        <v>0</v>
      </c>
      <c r="X17" s="24" t="s">
        <v>91</v>
      </c>
      <c r="Y17" s="24" t="s">
        <v>95</v>
      </c>
      <c r="Z17" s="85" t="str" cm="1">
        <f t="array" aca="1" ref="Z17" ca="1">_xlfn.IFS($A17="","",OR(F17=99,F17=""),_xlfn.TEXTJOIN("_",1,X17,$A17,Y17),TRUE,OFFSET($Z17,-1,0))</f>
        <v>dp_120000003_wheel_iron</v>
      </c>
      <c r="AA17" s="11">
        <v>250</v>
      </c>
      <c r="AB17" s="11">
        <v>0</v>
      </c>
      <c r="AC17" s="11" t="s">
        <v>526</v>
      </c>
      <c r="AF17" s="38"/>
      <c r="AK17" s="110"/>
      <c r="AL17" s="110"/>
      <c r="AM17" s="110"/>
      <c r="AN17" s="110"/>
      <c r="AO17" s="110"/>
      <c r="BC17" s="11" t="s">
        <v>93</v>
      </c>
      <c r="BE17" s="28" t="str" cm="1">
        <f t="array" ref="BE17">IF(BD17&lt;&gt;"",_xlfn.TEXTJOIN("; ",1,VLOOKUP(VALUE(_xlfn.TEXTSPLIT(BD17,";")),device_cubicles!A:B,2,0)),"")</f>
        <v/>
      </c>
    </row>
    <row r="18" spans="1:57">
      <c r="A18" s="14">
        <v>120000004</v>
      </c>
      <c r="B18" s="11">
        <v>0</v>
      </c>
      <c r="C18" s="15" t="s">
        <v>96</v>
      </c>
      <c r="F18" s="86"/>
      <c r="H18" s="84" t="str" cm="1">
        <f t="array" aca="1" ref="H18" ca="1">_xlfn.IFS($A18="","",OR($F18=99,$F18=""),_xlfn.TEXTJOIN("_",1,"device_name",$A18,$Y18),TRUE,OFFSET(H18,-1,0))</f>
        <v>device_name_120000004_wheel_gem</v>
      </c>
      <c r="J18" s="14" t="str">
        <f>_xlfn.LET(_xlpm.get_device_type,VLOOKUP(VALUE(MID(A18,3,1)),tb_device_info_type[#All],3,0),_xlpm.check_if_wheel,IF(LEFT(A18,2)="12","wheel",_xlpm.get_device_type),_xlpm.raw_output,IF($A18&lt;&gt;"",_xlfn.TEXTJOIN("_",1,"device_alt",_xlpm.check_if_wheel),""),IFERROR(_xlpm.raw_output,"information missing"))</f>
        <v>device_alt_wheel</v>
      </c>
      <c r="K18" s="14" t="str" cm="1">
        <f t="array" ref="K18">_xlfn.IFS($A18="","",Q18="Wheel",_xlfn.CONCAT("dwt","[device_wheel_thumbnail_",IF($L18&lt;&gt;"",$L18,0),"]"),TRUE,_xlfn.CONCAT("dt","[device_thumbnail_",IF($L18&lt;&gt;"",$L18,0),"]"))</f>
        <v>dwt[device_wheel_thumbnail_3]</v>
      </c>
      <c r="L18" s="61">
        <v>3</v>
      </c>
      <c r="M18" s="14" t="s">
        <v>79</v>
      </c>
      <c r="N18" s="14" t="s">
        <v>80</v>
      </c>
      <c r="O18" s="36"/>
      <c r="P18" s="15" t="str" cm="1">
        <f t="array" ref="P18">IFERROR(_xlfn.TEXTJOIN(";",1,_xlfn.MAP(_xlfn.TEXTSPLIT(O18,";"),_xlfn.LAMBDA(_xlpm.x,IFERROR(VLOOKUP(VALUE(_xlpm.x),device_tag!A:B,2,0),"error")))),"")</f>
        <v/>
      </c>
      <c r="Q18" s="11" t="s">
        <v>81</v>
      </c>
      <c r="R18" s="24">
        <v>0</v>
      </c>
      <c r="X18" s="24" t="s">
        <v>91</v>
      </c>
      <c r="Y18" s="24" t="s">
        <v>97</v>
      </c>
      <c r="Z18" s="85" t="str" cm="1">
        <f t="array" aca="1" ref="Z18" ca="1">_xlfn.IFS($A18="","",OR(F18=99,F18=""),_xlfn.TEXTJOIN("_",1,X18,$A18,Y18),TRUE,OFFSET($Z18,-1,0))</f>
        <v>dp_120000004_wheel_gem</v>
      </c>
      <c r="AA18" s="11">
        <v>50</v>
      </c>
      <c r="AB18" s="11">
        <v>0</v>
      </c>
      <c r="AC18" s="11" t="s">
        <v>526</v>
      </c>
      <c r="AF18" s="38"/>
      <c r="AK18" s="110"/>
      <c r="AL18" s="110"/>
      <c r="AM18" s="110"/>
      <c r="AN18" s="110"/>
      <c r="AO18" s="110"/>
      <c r="BC18" s="11" t="s">
        <v>93</v>
      </c>
      <c r="BE18" s="28" t="str" cm="1">
        <f t="array" ref="BE18">IF(BD18&lt;&gt;"",_xlfn.TEXTJOIN("; ",1,VLOOKUP(VALUE(_xlfn.TEXTSPLIT(BD18,";")),device_cubicles!A:B,2,0)),"")</f>
        <v/>
      </c>
    </row>
    <row r="19" spans="1:57">
      <c r="A19" s="14">
        <v>120000006</v>
      </c>
      <c r="B19" s="11">
        <v>0</v>
      </c>
      <c r="C19" s="15" t="s">
        <v>98</v>
      </c>
      <c r="F19" s="86"/>
      <c r="H19" s="84" t="str" cm="1">
        <f t="array" aca="1" ref="H19" ca="1">_xlfn.IFS($A19="","",OR($F19=99,$F19=""),_xlfn.TEXTJOIN("_",1,"device_name",$A19,$Y19),TRUE,OFFSET(H19,-1,0))</f>
        <v>device_name_120000006_wheel_tyre</v>
      </c>
      <c r="J19" s="14" t="str">
        <f>_xlfn.LET(_xlpm.get_device_type,VLOOKUP(VALUE(MID(A19,3,1)),tb_device_info_type[#All],3,0),_xlpm.check_if_wheel,IF(LEFT(A19,2)="12","wheel",_xlpm.get_device_type),_xlpm.raw_output,IF($A19&lt;&gt;"",_xlfn.TEXTJOIN("_",1,"device_alt",_xlpm.check_if_wheel),""),IFERROR(_xlpm.raw_output,"information missing"))</f>
        <v>device_alt_wheel</v>
      </c>
      <c r="K19" s="14" t="str" cm="1">
        <f t="array" ref="K19">_xlfn.IFS($A19="","",Q19="Wheel",_xlfn.CONCAT("dwt","[device_wheel_thumbnail_",IF($L19&lt;&gt;"",$L19,0),"]"),TRUE,_xlfn.CONCAT("dt","[device_thumbnail_",IF($L19&lt;&gt;"",$L19,0),"]"))</f>
        <v>dwt[device_wheel_thumbnail_3]</v>
      </c>
      <c r="L19" s="61">
        <v>3</v>
      </c>
      <c r="M19" s="14" t="s">
        <v>79</v>
      </c>
      <c r="N19" s="14" t="s">
        <v>80</v>
      </c>
      <c r="O19" s="36"/>
      <c r="P19" s="15" t="str" cm="1">
        <f t="array" ref="P19">IFERROR(_xlfn.TEXTJOIN(";",1,_xlfn.MAP(_xlfn.TEXTSPLIT(O19,";"),_xlfn.LAMBDA(_xlpm.x,IFERROR(VLOOKUP(VALUE(_xlpm.x),device_tag!A:B,2,0),"error")))),"")</f>
        <v/>
      </c>
      <c r="Q19" s="11" t="s">
        <v>81</v>
      </c>
      <c r="R19" s="24">
        <v>0</v>
      </c>
      <c r="X19" s="24" t="s">
        <v>91</v>
      </c>
      <c r="Y19" s="24" t="s">
        <v>99</v>
      </c>
      <c r="Z19" s="85" t="str" cm="1">
        <f t="array" aca="1" ref="Z19" ca="1">_xlfn.IFS($A19="","",OR(F19=99,F19=""),_xlfn.TEXTJOIN("_",1,X19,$A19,Y19),TRUE,OFFSET($Z19,-1,0))</f>
        <v>dp_120000006_wheel_tyre</v>
      </c>
      <c r="AA19" s="11">
        <v>100</v>
      </c>
      <c r="AB19" s="11">
        <v>0</v>
      </c>
      <c r="AC19" s="11" t="s">
        <v>526</v>
      </c>
      <c r="AF19" s="38"/>
      <c r="AK19" s="110"/>
      <c r="AL19" s="110"/>
      <c r="AM19" s="110"/>
      <c r="AN19" s="110"/>
      <c r="AO19" s="110"/>
      <c r="BC19" s="11" t="s">
        <v>93</v>
      </c>
      <c r="BE19" s="28" t="str" cm="1">
        <f t="array" ref="BE19">IF(BD19&lt;&gt;"",_xlfn.TEXTJOIN("; ",1,VLOOKUP(VALUE(_xlfn.TEXTSPLIT(BD19,";")),device_cubicles!A:B,2,0)),"")</f>
        <v/>
      </c>
    </row>
    <row r="20" spans="1:57">
      <c r="A20" s="14">
        <v>120000007</v>
      </c>
      <c r="B20" s="11">
        <v>0</v>
      </c>
      <c r="C20" s="15" t="s">
        <v>100</v>
      </c>
      <c r="F20" s="86"/>
      <c r="G20" s="15" t="s">
        <v>78</v>
      </c>
      <c r="H20" s="84" t="str" cm="1">
        <f t="array" aca="1" ref="H20" ca="1">_xlfn.IFS($A20="","",OR($F20=99,$F20=""),_xlfn.TEXTJOIN("_",1,"device_name",$A20,$Y20),TRUE,OFFSET(H20,-1,0))</f>
        <v>device_name_120000007_wheel_wooden</v>
      </c>
      <c r="J20" s="14" t="str">
        <f>_xlfn.LET(_xlpm.get_device_type,VLOOKUP(VALUE(MID(A20,3,1)),tb_device_info_type[#All],3,0),_xlpm.check_if_wheel,IF(LEFT(A20,2)="12","wheel",_xlpm.get_device_type),_xlpm.raw_output,IF($A20&lt;&gt;"",_xlfn.TEXTJOIN("_",1,"device_alt",_xlpm.check_if_wheel),""),IFERROR(_xlpm.raw_output,"information missing"))</f>
        <v>device_alt_wheel</v>
      </c>
      <c r="K20" s="14" t="str" cm="1">
        <f t="array" ref="K20">_xlfn.IFS($A20="","",Q20="Wheel",_xlfn.CONCAT("dwt","[device_wheel_thumbnail_",IF($L20&lt;&gt;"",$L20,0),"]"),TRUE,_xlfn.CONCAT("dt","[device_thumbnail_",IF($L20&lt;&gt;"",$L20,0),"]"))</f>
        <v>dwt[device_wheel_thumbnail_3]</v>
      </c>
      <c r="L20" s="61">
        <v>3</v>
      </c>
      <c r="M20" s="14" t="s">
        <v>79</v>
      </c>
      <c r="N20" s="14" t="s">
        <v>80</v>
      </c>
      <c r="O20" s="36">
        <v>1410100</v>
      </c>
      <c r="P20" s="15" t="str" cm="1">
        <f t="array" ref="P20">IFERROR(_xlfn.TEXTJOIN(";",1,_xlfn.MAP(_xlfn.TEXTSPLIT(O20,";"),_xlfn.LAMBDA(_xlpm.x,IFERROR(VLOOKUP(VALUE(_xlpm.x),device_tag!A:B,2,0),"error")))),"")</f>
        <v>车轮</v>
      </c>
      <c r="Q20" s="11" t="s">
        <v>81</v>
      </c>
      <c r="R20" s="24">
        <v>0</v>
      </c>
      <c r="X20" s="24" t="s">
        <v>82</v>
      </c>
      <c r="Y20" s="24" t="s">
        <v>78</v>
      </c>
      <c r="Z20" s="85" t="str" cm="1">
        <f t="array" aca="1" ref="Z20" ca="1">_xlfn.IFS($A20="","",OR(F20=99,F20=""),_xlfn.TEXTJOIN("_",1,X20,$A20,Y20),TRUE,OFFSET($Z20,-1,0))</f>
        <v>device_120000007_wheel_wooden</v>
      </c>
      <c r="AA20" s="11">
        <v>25</v>
      </c>
      <c r="AB20" s="11">
        <v>0</v>
      </c>
      <c r="AC20" s="11" t="s">
        <v>526</v>
      </c>
      <c r="AK20" s="110"/>
      <c r="AL20" s="110"/>
      <c r="AM20" s="110"/>
      <c r="AN20" s="110"/>
      <c r="AO20" s="110"/>
      <c r="AP20" s="14" t="b">
        <v>0</v>
      </c>
      <c r="AQ20" s="14" t="s">
        <v>101</v>
      </c>
      <c r="BB20" s="50">
        <v>1</v>
      </c>
      <c r="BC20" s="11" t="s">
        <v>102</v>
      </c>
      <c r="BE20" s="28" t="str" cm="1">
        <f t="array" ref="BE20">IF(BD20&lt;&gt;"",_xlfn.TEXTJOIN("; ",1,VLOOKUP(VALUE(_xlfn.TEXTSPLIT(BD20,";")),device_cubicles!A:B,2,0)),"")</f>
        <v/>
      </c>
    </row>
    <row r="21" spans="1:57">
      <c r="A21" s="14">
        <v>120000008</v>
      </c>
      <c r="B21" s="11">
        <v>0</v>
      </c>
      <c r="C21" s="15" t="s">
        <v>103</v>
      </c>
      <c r="D21" s="15" t="s">
        <v>77</v>
      </c>
      <c r="F21" s="86"/>
      <c r="G21" s="15" t="s">
        <v>104</v>
      </c>
      <c r="H21" s="84" t="str" cm="1">
        <f t="array" aca="1" ref="H21" ca="1">_xlfn.IFS($A21="","",OR($F21=99,$F21=""),_xlfn.TEXTJOIN("_",1,"device_name",$A21,$Y21),TRUE,OFFSET(H21,-1,0))</f>
        <v>device_name_120000008_fire_wheel</v>
      </c>
      <c r="J21" s="14" t="str">
        <f>_xlfn.LET(_xlpm.get_device_type,VLOOKUP(VALUE(MID(A21,3,1)),tb_device_info_type[#All],3,0),_xlpm.check_if_wheel,IF(LEFT(A21,2)="12","wheel",_xlpm.get_device_type),_xlpm.raw_output,IF($A21&lt;&gt;"",_xlfn.TEXTJOIN("_",1,"device_alt",_xlpm.check_if_wheel),""),IFERROR(_xlpm.raw_output,"information missing"))</f>
        <v>device_alt_wheel</v>
      </c>
      <c r="K21" s="14" t="str" cm="1">
        <f t="array" ref="K21">_xlfn.IFS($A21="","",Q21="Wheel",_xlfn.CONCAT("dwt","[device_wheel_thumbnail_",IF($L21&lt;&gt;"",$L21,0),"]"),TRUE,_xlfn.CONCAT("dt","[device_thumbnail_",IF($L21&lt;&gt;"",$L21,0),"]"))</f>
        <v>dwt[device_wheel_thumbnail_3]</v>
      </c>
      <c r="L21" s="61">
        <v>3</v>
      </c>
      <c r="M21" s="14" t="s">
        <v>79</v>
      </c>
      <c r="N21" s="14" t="s">
        <v>80</v>
      </c>
      <c r="O21" s="36">
        <v>1410100</v>
      </c>
      <c r="P21" s="15" t="str" cm="1">
        <f t="array" ref="P21">IFERROR(_xlfn.TEXTJOIN(";",1,_xlfn.MAP(_xlfn.TEXTSPLIT(O21,";"),_xlfn.LAMBDA(_xlpm.x,IFERROR(VLOOKUP(VALUE(_xlpm.x),device_tag!A:B,2,0),"error")))),"")</f>
        <v>车轮</v>
      </c>
      <c r="Q21" s="11" t="s">
        <v>81</v>
      </c>
      <c r="R21" s="24">
        <v>0</v>
      </c>
      <c r="X21" s="24" t="s">
        <v>82</v>
      </c>
      <c r="Y21" s="24" t="s">
        <v>104</v>
      </c>
      <c r="Z21" s="85" t="str" cm="1">
        <f t="array" aca="1" ref="Z21" ca="1">_xlfn.IFS($A21="","",OR(F21=99,F21=""),_xlfn.TEXTJOIN("_",1,X21,$A21,Y21),TRUE,OFFSET($Z21,-1,0))</f>
        <v>device_120000008_fire_wheel</v>
      </c>
      <c r="AA21" s="11">
        <v>25</v>
      </c>
      <c r="AB21" s="11">
        <v>0</v>
      </c>
      <c r="AC21" s="11" t="s">
        <v>526</v>
      </c>
      <c r="AF21" s="38"/>
      <c r="AG21" s="38"/>
      <c r="AH21" s="40"/>
      <c r="AI21" s="38"/>
      <c r="AJ21" s="38"/>
      <c r="AK21" s="110"/>
      <c r="AL21" s="110"/>
      <c r="AM21" s="110"/>
      <c r="AN21" s="110"/>
      <c r="AO21" s="110"/>
      <c r="AP21" s="14" t="b">
        <v>0</v>
      </c>
      <c r="AQ21" s="14" t="s">
        <v>105</v>
      </c>
      <c r="AR21" s="38"/>
      <c r="AS21" s="38"/>
      <c r="AT21" s="38"/>
      <c r="AU21" s="38"/>
      <c r="AV21" s="38"/>
      <c r="AW21" s="38"/>
      <c r="AX21" s="38"/>
      <c r="AY21" s="40"/>
      <c r="AZ21" s="40"/>
      <c r="BA21" s="40"/>
      <c r="BB21" s="50">
        <v>1</v>
      </c>
      <c r="BC21" s="11" t="s">
        <v>84</v>
      </c>
      <c r="BE21" s="28" t="str" cm="1">
        <f t="array" ref="BE21">IF(BD21&lt;&gt;"",_xlfn.TEXTJOIN("; ",1,VLOOKUP(VALUE(_xlfn.TEXTSPLIT(BD21,";")),device_cubicles!A:B,2,0)),"")</f>
        <v/>
      </c>
    </row>
    <row r="22" spans="1:57">
      <c r="J22" s="14" t="str">
        <f>_xlfn.LET(_xlpm.get_device_type,VLOOKUP(VALUE(MID(A22,3,1)),tb_device_info_type[#All],3,0),_xlpm.check_if_wheel,IF(LEFT(A22,2)="12","wheel",_xlpm.get_device_type),_xlpm.raw_output,IF($A22&lt;&gt;"",_xlfn.TEXTJOIN("_",1,"device_alt",_xlpm.check_if_wheel),""),IFERROR(_xlpm.raw_output,"information missing"))</f>
        <v/>
      </c>
      <c r="K22" s="14" t="str" cm="1">
        <f t="array" ref="K22">_xlfn.IFS($A22="","",ISTEXT($L22),_xlfn.CONCAT("dwt","[device_wheel_thumbnail_",RIGHT($A22,1)-1,"]"),TRUE,_xlfn.CONCAT("dt","[device_thumbnail_",IF($L22&lt;&gt;"",$L22,0),"]"))</f>
        <v/>
      </c>
      <c r="O22" s="36"/>
      <c r="P22" s="15" t="str" cm="1">
        <f t="array" ref="P22">IFERROR(_xlfn.TEXTJOIN(";",1,_xlfn.MAP(_xlfn.TEXTSPLIT(O22,";"),_xlfn.LAMBDA(_xlpm.x,IFERROR(VLOOKUP(VALUE(_xlpm.x),device_tag!A:B,2,0),"error")))),"")</f>
        <v/>
      </c>
      <c r="Z22" s="85" t="str" cm="1">
        <f t="array" aca="1" ref="Z22" ca="1">_xlfn.IFS($A22="","",OR(F22&lt;0,F22=""),_xlfn.TEXTJOIN("_",1,X22,$A22,Y22),TRUE,OFFSET($Z22,-1,0))</f>
        <v/>
      </c>
      <c r="AC22" s="11" t="s">
        <v>526</v>
      </c>
      <c r="AK22" s="110"/>
      <c r="AL22" s="110"/>
      <c r="AM22" s="110"/>
      <c r="AN22" s="110"/>
      <c r="AO22" s="110"/>
      <c r="BE22" s="28" t="str" cm="1">
        <f t="array" ref="BE22">IF(BD22&lt;&gt;"",_xlfn.TEXTJOIN("; ",1,VLOOKUP(VALUE(_xlfn.TEXTSPLIT(BD22,";")),device_cubicles!A:B,2,0)),"")</f>
        <v/>
      </c>
    </row>
    <row r="23" spans="1:57">
      <c r="A23" s="14">
        <v>1310101</v>
      </c>
      <c r="B23" s="11">
        <v>0</v>
      </c>
      <c r="C23" s="15" t="s">
        <v>106</v>
      </c>
      <c r="D23" s="15" t="s">
        <v>77</v>
      </c>
      <c r="G23" s="15" t="s">
        <v>107</v>
      </c>
      <c r="H23" s="84" t="str" cm="1">
        <f t="array" aca="1" ref="H23" ca="1">_xlfn.IFS($A23="","",OR($F23=99,$F23=""),_xlfn.TEXTJOIN("_",1,"device_name",$A23,$Y23),TRUE,OFFSET(H23,-1,0))</f>
        <v>device_name_1310101_dagger</v>
      </c>
      <c r="J23" s="14" t="str">
        <f>_xlfn.LET(_xlpm.get_device_type,VLOOKUP(VALUE(MID(A23,3,1)),tb_device_info_type[#All],3,0),_xlpm.check_if_wheel,IF(LEFT(A23,2)="12","wheel",_xlpm.get_device_type),_xlpm.raw_output,IF($A23&lt;&gt;"",_xlfn.TEXTJOIN("_",1,"device_alt",_xlpm.check_if_wheel),""),IFERROR(_xlpm.raw_output,"information missing"))</f>
        <v>device_alt_melee</v>
      </c>
      <c r="K23" s="14" t="str" cm="1">
        <f t="array" ref="K23">_xlfn.IFS($A23="","",ISTEXT($L23),_xlfn.CONCAT("dwt","[device_wheel_thumbnail_",RIGHT($A23,1)-1,"]"),TRUE,_xlfn.CONCAT("dt","[device_thumbnail_",IF($L23&lt;&gt;"",$L23,0),"]"))</f>
        <v>dt[device_thumbnail_8]</v>
      </c>
      <c r="L23" s="34">
        <v>8</v>
      </c>
      <c r="M23" s="14" t="s">
        <v>79</v>
      </c>
      <c r="N23" s="14" t="s">
        <v>80</v>
      </c>
      <c r="O23" s="36" t="s">
        <v>108</v>
      </c>
      <c r="P23" s="15" t="str" cm="1">
        <f t="array" ref="P23">IFERROR(_xlfn.TEXTJOIN(";",1,_xlfn.MAP(_xlfn.TEXTSPLIT(O23,";"),_xlfn.LAMBDA(_xlpm.x,IFERROR(VLOOKUP(VALUE(_xlpm.x),device_tag!A:B,2,0),"error")))),"")</f>
        <v>近战武器;刀剑</v>
      </c>
      <c r="Q23" s="11" t="s">
        <v>109</v>
      </c>
      <c r="T23" s="24">
        <v>0</v>
      </c>
      <c r="U23" s="24">
        <v>1</v>
      </c>
      <c r="V23" s="24">
        <v>0</v>
      </c>
      <c r="W23" s="24">
        <v>1</v>
      </c>
      <c r="X23" s="24" t="s">
        <v>82</v>
      </c>
      <c r="Y23" s="24" t="s">
        <v>110</v>
      </c>
      <c r="Z23" s="85" t="str" cm="1">
        <f t="array" aca="1" ref="Z23" ca="1">_xlfn.IFS($A23="","",OR(F23=99,F23=""),_xlfn.TEXTJOIN("_",1,X23,$A23,Y23),TRUE,OFFSET($Z23,-1,0))</f>
        <v>device_1310101_dagger</v>
      </c>
      <c r="AA23" s="11">
        <v>2</v>
      </c>
      <c r="AB23" s="11">
        <v>1</v>
      </c>
      <c r="AC23" s="11">
        <v>9</v>
      </c>
      <c r="AF23" s="11">
        <v>1</v>
      </c>
      <c r="AG23" s="11">
        <v>0</v>
      </c>
      <c r="AH23" s="11" t="str">
        <f t="shared" ref="AH23:AH41" si="0">_xlfn.TEXTJOIN("~",1,AI23:AJ23)</f>
        <v>0~2.5</v>
      </c>
      <c r="AI23" s="38">
        <v>0</v>
      </c>
      <c r="AJ23" s="27">
        <v>2.5</v>
      </c>
      <c r="AK23" s="110">
        <v>0</v>
      </c>
      <c r="AL23" s="110">
        <v>0</v>
      </c>
      <c r="AM23" s="110">
        <v>0</v>
      </c>
      <c r="AN23" s="110">
        <v>0</v>
      </c>
      <c r="AO23" s="110">
        <v>0</v>
      </c>
      <c r="AP23" s="14" t="b">
        <v>1</v>
      </c>
      <c r="AQ23" s="46" t="s">
        <v>111</v>
      </c>
      <c r="AR23" s="40"/>
      <c r="AS23" s="11">
        <f t="shared" ref="AS23:AS46" si="1">$A23</f>
        <v>1310101</v>
      </c>
      <c r="AT23" s="40"/>
      <c r="AU23" s="40"/>
      <c r="AV23" s="40"/>
      <c r="AW23" s="40"/>
      <c r="AX23" s="40"/>
      <c r="AY23" s="11" t="str">
        <f t="shared" ref="AY23" si="2">_xlfn.TEXTJOIN("~",1,AZ23:BA23)</f>
        <v>10~2.5</v>
      </c>
      <c r="AZ23" s="27">
        <v>10</v>
      </c>
      <c r="BA23" s="27">
        <v>2.5</v>
      </c>
      <c r="BB23" s="11" t="str">
        <f t="shared" ref="BB23:BB41" si="3">REPLACE($A23,1,1,6)</f>
        <v>6310101</v>
      </c>
      <c r="BC23" s="51" t="s">
        <v>112</v>
      </c>
      <c r="BD23" s="11" t="s">
        <v>113</v>
      </c>
      <c r="BE23" s="28" t="str" cm="1">
        <f t="array" ref="BE23">IF(BD23&lt;&gt;"",_xlfn.TEXTJOIN("; ",1,VLOOKUP(VALUE(_xlfn.TEXTSPLIT(BD23,";")),device_cubicles!A:B,2,0)),"")</f>
        <v>近战攻击; 磨砺刀刃</v>
      </c>
    </row>
    <row r="24" spans="1:57">
      <c r="A24" s="14">
        <v>1310102</v>
      </c>
      <c r="B24" s="11">
        <v>0</v>
      </c>
      <c r="C24" s="15" t="s">
        <v>114</v>
      </c>
      <c r="D24" s="15" t="s">
        <v>77</v>
      </c>
      <c r="G24" s="15" t="s">
        <v>115</v>
      </c>
      <c r="H24" s="84" t="str" cm="1">
        <f t="array" aca="1" ref="H24" ca="1">_xlfn.IFS($A24="","",OR($F24=99,$F24=""),_xlfn.TEXTJOIN("_",1,"device_name",$A24,$Y24),TRUE,OFFSET(H24,-1,0))</f>
        <v>device_name_1310102_machete</v>
      </c>
      <c r="J24" s="14" t="str">
        <f>_xlfn.LET(_xlpm.get_device_type,VLOOKUP(VALUE(MID(A24,3,1)),tb_device_info_type[#All],3,0),_xlpm.check_if_wheel,IF(LEFT(A24,2)="12","wheel",_xlpm.get_device_type),_xlpm.raw_output,IF($A24&lt;&gt;"",_xlfn.TEXTJOIN("_",1,"device_alt",_xlpm.check_if_wheel),""),IFERROR(_xlpm.raw_output,"information missing"))</f>
        <v>device_alt_melee</v>
      </c>
      <c r="K24" s="14" t="str" cm="1">
        <f t="array" ref="K24">_xlfn.IFS($A24="","",ISTEXT($L24),_xlfn.CONCAT("dwt","[device_wheel_thumbnail_",RIGHT($A24,1)-1,"]"),TRUE,_xlfn.CONCAT("dt","[device_thumbnail_",IF($L24&lt;&gt;"",$L24,0),"]"))</f>
        <v>dt[device_thumbnail_15]</v>
      </c>
      <c r="L24" s="34">
        <v>15</v>
      </c>
      <c r="M24" s="14" t="s">
        <v>79</v>
      </c>
      <c r="N24" s="14" t="s">
        <v>80</v>
      </c>
      <c r="O24" s="36" t="s">
        <v>108</v>
      </c>
      <c r="P24" s="15" t="str" cm="1">
        <f t="array" ref="P24">IFERROR(_xlfn.TEXTJOIN(";",1,_xlfn.MAP(_xlfn.TEXTSPLIT(O24,";"),_xlfn.LAMBDA(_xlpm.x,IFERROR(VLOOKUP(VALUE(_xlpm.x),device_tag!A:B,2,0),"error")))),"")</f>
        <v>近战武器;刀剑</v>
      </c>
      <c r="Q24" s="11" t="s">
        <v>109</v>
      </c>
      <c r="T24" s="24">
        <v>0</v>
      </c>
      <c r="U24" s="24">
        <v>1</v>
      </c>
      <c r="V24" s="24">
        <v>0</v>
      </c>
      <c r="W24" s="24">
        <v>1</v>
      </c>
      <c r="X24" s="24" t="s">
        <v>82</v>
      </c>
      <c r="Y24" s="24" t="s">
        <v>116</v>
      </c>
      <c r="Z24" s="85" t="str" cm="1">
        <f t="array" aca="1" ref="Z24" ca="1">_xlfn.IFS($A24="","",OR(F24=99,F24=""),_xlfn.TEXTJOIN("_",1,X24,$A24,Y24),TRUE,OFFSET($Z24,-1,0))</f>
        <v>device_1310102_machete</v>
      </c>
      <c r="AA24" s="11">
        <v>5</v>
      </c>
      <c r="AB24" s="11">
        <v>1</v>
      </c>
      <c r="AC24" s="11">
        <v>11</v>
      </c>
      <c r="AF24" s="11">
        <v>1</v>
      </c>
      <c r="AG24" s="11">
        <v>0</v>
      </c>
      <c r="AH24" s="11" t="str">
        <f t="shared" si="0"/>
        <v>0~2.8</v>
      </c>
      <c r="AI24" s="38">
        <v>0</v>
      </c>
      <c r="AJ24" s="27">
        <v>2.8</v>
      </c>
      <c r="AK24" s="110">
        <v>0</v>
      </c>
      <c r="AL24" s="110">
        <v>0</v>
      </c>
      <c r="AM24" s="110">
        <v>0</v>
      </c>
      <c r="AN24" s="110">
        <v>0</v>
      </c>
      <c r="AO24" s="110">
        <v>0</v>
      </c>
      <c r="AP24" s="14" t="b">
        <v>1</v>
      </c>
      <c r="AQ24" s="46" t="s">
        <v>111</v>
      </c>
      <c r="AR24" s="40"/>
      <c r="AS24" s="11">
        <f t="shared" si="1"/>
        <v>1310102</v>
      </c>
      <c r="AT24" s="40"/>
      <c r="AU24" s="40"/>
      <c r="AV24" s="40"/>
      <c r="AW24" s="40"/>
      <c r="AX24" s="40"/>
      <c r="AY24" s="11" t="str">
        <f t="shared" ref="AY24:AY25" si="4">_xlfn.TEXTJOIN("~",1,AZ24:BA24)</f>
        <v>7~0.2</v>
      </c>
      <c r="AZ24" s="27">
        <v>7</v>
      </c>
      <c r="BA24" s="27">
        <v>0.2</v>
      </c>
      <c r="BB24" s="11" t="str">
        <f t="shared" si="3"/>
        <v>6310102</v>
      </c>
      <c r="BC24" s="51" t="s">
        <v>117</v>
      </c>
      <c r="BD24" s="11" t="s">
        <v>113</v>
      </c>
      <c r="BE24" s="28" t="str" cm="1">
        <f t="array" ref="BE24">IF(BD24&lt;&gt;"",_xlfn.TEXTJOIN("; ",1,VLOOKUP(VALUE(_xlfn.TEXTSPLIT(BD24,";")),device_cubicles!A:B,2,0)),"")</f>
        <v>近战攻击; 磨砺刀刃</v>
      </c>
    </row>
    <row r="25" spans="1:57">
      <c r="A25" s="14">
        <v>1310103</v>
      </c>
      <c r="B25" s="11">
        <v>0</v>
      </c>
      <c r="C25" s="15" t="s">
        <v>118</v>
      </c>
      <c r="D25" s="15" t="s">
        <v>77</v>
      </c>
      <c r="G25" s="15" t="s">
        <v>119</v>
      </c>
      <c r="H25" s="84" t="str" cm="1">
        <f t="array" aca="1" ref="H25" ca="1">_xlfn.IFS($A25="","",OR($F25=99,$F25=""),_xlfn.TEXTJOIN("_",1,"device_name",$A25,$Y25),TRUE,OFFSET(H25,-1,0))</f>
        <v>device_name_1310103_claymore</v>
      </c>
      <c r="J25" s="14" t="str">
        <f>_xlfn.LET(_xlpm.get_device_type,VLOOKUP(VALUE(MID(A25,3,1)),tb_device_info_type[#All],3,0),_xlpm.check_if_wheel,IF(LEFT(A25,2)="12","wheel",_xlpm.get_device_type),_xlpm.raw_output,IF($A25&lt;&gt;"",_xlfn.TEXTJOIN("_",1,"device_alt",_xlpm.check_if_wheel),""),IFERROR(_xlpm.raw_output,"information missing"))</f>
        <v>device_alt_melee</v>
      </c>
      <c r="K25" s="14" t="str" cm="1">
        <f t="array" ref="K25">_xlfn.IFS($A25="","",ISTEXT($L25),_xlfn.CONCAT("dwt","[device_wheel_thumbnail_",RIGHT($A25,1)-1,"]"),TRUE,_xlfn.CONCAT("dt","[device_thumbnail_",IF($L25&lt;&gt;"",$L25,0),"]"))</f>
        <v>dt[device_thumbnail_7]</v>
      </c>
      <c r="L25" s="34">
        <v>7</v>
      </c>
      <c r="M25" s="14" t="s">
        <v>79</v>
      </c>
      <c r="N25" s="14" t="s">
        <v>80</v>
      </c>
      <c r="O25" s="36" t="s">
        <v>108</v>
      </c>
      <c r="P25" s="15" t="str" cm="1">
        <f t="array" ref="P25">IFERROR(_xlfn.TEXTJOIN(";",1,_xlfn.MAP(_xlfn.TEXTSPLIT(O25,";"),_xlfn.LAMBDA(_xlpm.x,IFERROR(VLOOKUP(VALUE(_xlpm.x),device_tag!A:B,2,0),"error")))),"")</f>
        <v>近战武器;刀剑</v>
      </c>
      <c r="Q25" s="11" t="s">
        <v>109</v>
      </c>
      <c r="T25" s="24">
        <v>0</v>
      </c>
      <c r="U25" s="24">
        <v>1</v>
      </c>
      <c r="V25" s="24">
        <v>0</v>
      </c>
      <c r="W25" s="24">
        <v>1</v>
      </c>
      <c r="X25" s="24" t="s">
        <v>82</v>
      </c>
      <c r="Y25" s="24" t="s">
        <v>120</v>
      </c>
      <c r="Z25" s="85" t="str" cm="1">
        <f t="array" aca="1" ref="Z25" ca="1">_xlfn.IFS($A25="","",OR(F25=99,F25=""),_xlfn.TEXTJOIN("_",1,X25,$A25,Y25),TRUE,OFFSET($Z25,-1,0))</f>
        <v>device_1310103_claymore</v>
      </c>
      <c r="AA25" s="11">
        <v>7</v>
      </c>
      <c r="AB25" s="11">
        <v>1</v>
      </c>
      <c r="AC25" s="11">
        <v>13</v>
      </c>
      <c r="AF25" s="11">
        <v>1</v>
      </c>
      <c r="AG25" s="11">
        <v>0</v>
      </c>
      <c r="AH25" s="11" t="str">
        <f t="shared" si="0"/>
        <v>0~3</v>
      </c>
      <c r="AI25" s="38">
        <v>0</v>
      </c>
      <c r="AJ25" s="27">
        <v>3</v>
      </c>
      <c r="AK25" s="110">
        <v>0</v>
      </c>
      <c r="AL25" s="110">
        <v>0</v>
      </c>
      <c r="AM25" s="110">
        <v>0</v>
      </c>
      <c r="AN25" s="110">
        <v>0</v>
      </c>
      <c r="AO25" s="110">
        <v>0</v>
      </c>
      <c r="AP25" s="14" t="b">
        <v>1</v>
      </c>
      <c r="AQ25" s="74" t="s">
        <v>592</v>
      </c>
      <c r="AR25" s="40"/>
      <c r="AS25" s="11">
        <f t="shared" si="1"/>
        <v>1310103</v>
      </c>
      <c r="AT25" s="40"/>
      <c r="AU25" s="40"/>
      <c r="AV25" s="40"/>
      <c r="AW25" s="40"/>
      <c r="AX25" s="40"/>
      <c r="AY25" s="11" t="str">
        <f t="shared" si="4"/>
        <v>2.5~0.1</v>
      </c>
      <c r="AZ25" s="27">
        <v>2.5</v>
      </c>
      <c r="BA25" s="27">
        <v>0.1</v>
      </c>
      <c r="BB25" s="11" t="str">
        <f t="shared" si="3"/>
        <v>6310103</v>
      </c>
      <c r="BC25" s="74" t="s">
        <v>591</v>
      </c>
      <c r="BD25" s="11" t="s">
        <v>113</v>
      </c>
      <c r="BE25" s="28" t="str" cm="1">
        <f t="array" ref="BE25">IF(BD25&lt;&gt;"",_xlfn.TEXTJOIN("; ",1,VLOOKUP(VALUE(_xlfn.TEXTSPLIT(BD25,";")),device_cubicles!A:B,2,0)),"")</f>
        <v>近战攻击; 磨砺刀刃</v>
      </c>
    </row>
    <row r="26" spans="1:57">
      <c r="A26" s="14">
        <v>1310104</v>
      </c>
      <c r="B26" s="11">
        <v>0</v>
      </c>
      <c r="C26" s="15" t="s">
        <v>121</v>
      </c>
      <c r="D26" s="15" t="s">
        <v>77</v>
      </c>
      <c r="G26" s="15" t="s">
        <v>122</v>
      </c>
      <c r="H26" s="84" t="str" cm="1">
        <f t="array" aca="1" ref="H26" ca="1">_xlfn.IFS($A26="","",OR($F26=99,$F26=""),_xlfn.TEXTJOIN("_",1,"device_name",$A26,$Y26),TRUE,OFFSET(H26,-1,0))</f>
        <v>device_name_1310104_spear</v>
      </c>
      <c r="J26" s="14" t="str">
        <f>_xlfn.LET(_xlpm.get_device_type,VLOOKUP(VALUE(MID(A26,3,1)),tb_device_info_type[#All],3,0),_xlpm.check_if_wheel,IF(LEFT(A26,2)="12","wheel",_xlpm.get_device_type),_xlpm.raw_output,IF($A26&lt;&gt;"",_xlfn.TEXTJOIN("_",1,"device_alt",_xlpm.check_if_wheel),""),IFERROR(_xlpm.raw_output,"information missing"))</f>
        <v>device_alt_melee</v>
      </c>
      <c r="K26" s="14" t="str" cm="1">
        <f t="array" ref="K26">_xlfn.IFS($A26="","",ISTEXT($L26),_xlfn.CONCAT("dwt","[device_wheel_thumbnail_",RIGHT($A26,1)-1,"]"),TRUE,_xlfn.CONCAT("dt","[device_thumbnail_",IF($L26&lt;&gt;"",$L26,0),"]"))</f>
        <v>dt[device_thumbnail_28]</v>
      </c>
      <c r="L26" s="34">
        <v>28</v>
      </c>
      <c r="M26" s="14" t="s">
        <v>79</v>
      </c>
      <c r="N26" s="14" t="s">
        <v>80</v>
      </c>
      <c r="O26" s="36" t="s">
        <v>123</v>
      </c>
      <c r="P26" s="15" t="str" cm="1">
        <f t="array" ref="P26">IFERROR(_xlfn.TEXTJOIN(";",1,_xlfn.MAP(_xlfn.TEXTSPLIT(O26,";"),_xlfn.LAMBDA(_xlpm.x,IFERROR(VLOOKUP(VALUE(_xlpm.x),device_tag!A:B,2,0),"error")))),"")</f>
        <v>近战武器;长矛</v>
      </c>
      <c r="Q26" s="11" t="s">
        <v>109</v>
      </c>
      <c r="T26" s="24">
        <v>0</v>
      </c>
      <c r="U26" s="24">
        <v>1</v>
      </c>
      <c r="V26" s="24">
        <v>0</v>
      </c>
      <c r="W26" s="24">
        <v>1</v>
      </c>
      <c r="X26" s="24" t="s">
        <v>82</v>
      </c>
      <c r="Y26" s="24" t="s">
        <v>124</v>
      </c>
      <c r="Z26" s="85" t="str" cm="1">
        <f t="array" aca="1" ref="Z26" ca="1">_xlfn.IFS($A26="","",OR(F26=99,F26=""),_xlfn.TEXTJOIN("_",1,X26,$A26,Y26),TRUE,OFFSET($Z26,-1,0))</f>
        <v>device_1310104_spear</v>
      </c>
      <c r="AA26" s="11">
        <v>3</v>
      </c>
      <c r="AB26" s="11">
        <v>1</v>
      </c>
      <c r="AC26" s="11">
        <v>12</v>
      </c>
      <c r="AF26" s="11">
        <v>1</v>
      </c>
      <c r="AG26" s="11">
        <v>0</v>
      </c>
      <c r="AH26" s="11" t="str">
        <f t="shared" si="0"/>
        <v>0~4</v>
      </c>
      <c r="AI26" s="38">
        <v>0</v>
      </c>
      <c r="AJ26" s="27">
        <v>4</v>
      </c>
      <c r="AK26" s="110">
        <v>0</v>
      </c>
      <c r="AL26" s="110">
        <v>0</v>
      </c>
      <c r="AM26" s="110">
        <v>0</v>
      </c>
      <c r="AN26" s="110">
        <v>0</v>
      </c>
      <c r="AO26" s="110">
        <v>0</v>
      </c>
      <c r="AP26" s="14" t="b">
        <v>1</v>
      </c>
      <c r="AQ26" s="46" t="s">
        <v>111</v>
      </c>
      <c r="AR26" s="40"/>
      <c r="AS26" s="11">
        <f t="shared" si="1"/>
        <v>1310104</v>
      </c>
      <c r="AT26" s="40"/>
      <c r="AU26" s="40"/>
      <c r="AV26" s="40"/>
      <c r="AW26" s="40"/>
      <c r="AX26" s="40"/>
      <c r="AY26" s="11" t="str">
        <f t="shared" ref="AY26:AY27" si="5">_xlfn.TEXTJOIN("~",1,AZ26:BA26)</f>
        <v>6~1.5</v>
      </c>
      <c r="AZ26" s="27">
        <v>6</v>
      </c>
      <c r="BA26" s="27">
        <v>1.5</v>
      </c>
      <c r="BB26" s="11" t="str">
        <f t="shared" si="3"/>
        <v>6310104</v>
      </c>
      <c r="BC26" s="51" t="s">
        <v>125</v>
      </c>
      <c r="BD26" s="11" t="s">
        <v>113</v>
      </c>
      <c r="BE26" s="28" t="str" cm="1">
        <f t="array" ref="BE26">IF(BD26&lt;&gt;"",_xlfn.TEXTJOIN("; ",1,VLOOKUP(VALUE(_xlfn.TEXTSPLIT(BD26,";")),device_cubicles!A:B,2,0)),"")</f>
        <v>近战攻击; 磨砺刀刃</v>
      </c>
    </row>
    <row r="27" spans="1:57">
      <c r="A27" s="14">
        <v>1310105</v>
      </c>
      <c r="B27" s="11">
        <v>0</v>
      </c>
      <c r="C27" s="15" t="s">
        <v>626</v>
      </c>
      <c r="D27" s="15" t="s">
        <v>625</v>
      </c>
      <c r="F27" s="86"/>
      <c r="G27" s="89" t="s">
        <v>654</v>
      </c>
      <c r="H27" s="84" t="str" cm="1">
        <f t="array" aca="1" ref="H27" ca="1">_xlfn.IFS($A27="","",OR($F27=99,$F27=""),_xlfn.TEXTJOIN("_",1,"device_name",$A27,$Y27),TRUE,OFFSET(H27,-1,0))</f>
        <v>device_name_1310105_inflatable_stick</v>
      </c>
      <c r="J27" s="14" t="str">
        <f>_xlfn.LET(_xlpm.get_device_type,VLOOKUP(VALUE(MID(A27,3,1)),tb_device_info_type[#All],3,0),_xlpm.check_if_wheel,IF(LEFT(A27,2)="12","wheel",_xlpm.get_device_type),_xlpm.raw_output,IF($A27&lt;&gt;"",_xlfn.TEXTJOIN("_",1,"device_alt",_xlpm.check_if_wheel),""),IFERROR(_xlpm.raw_output,"information missing"))</f>
        <v>device_alt_melee</v>
      </c>
      <c r="K27" s="14" t="str" cm="1">
        <f t="array" ref="K27">_xlfn.IFS($A27="","",ISTEXT($L27),_xlfn.CONCAT("dwt","[device_wheel_thumbnail_",RIGHT($A27,1)-1,"]"),TRUE,_xlfn.CONCAT("dt","[device_thumbnail_",IF($L27&lt;&gt;"",$L27,0),"]"))</f>
        <v>dt[device_thumbnail_39]</v>
      </c>
      <c r="L27" s="34">
        <v>39</v>
      </c>
      <c r="M27" s="14" t="s">
        <v>79</v>
      </c>
      <c r="N27" s="14" t="s">
        <v>80</v>
      </c>
      <c r="O27" s="36" t="s">
        <v>129</v>
      </c>
      <c r="P27" s="15" t="str" cm="1">
        <f t="array" ref="P27">IFERROR(_xlfn.TEXTJOIN(";",1,_xlfn.MAP(_xlfn.TEXTSPLIT(O27,";"),_xlfn.LAMBDA(_xlpm.x,IFERROR(VLOOKUP(VALUE(_xlpm.x),device_tag!A:B,2,0),"error")))),"")</f>
        <v>近战武器;棍棒</v>
      </c>
      <c r="Q27" s="11" t="s">
        <v>109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 t="s">
        <v>82</v>
      </c>
      <c r="Y27" s="62" t="s">
        <v>627</v>
      </c>
      <c r="Z27" s="85" t="str" cm="1">
        <f t="array" aca="1" ref="Z27" ca="1">_xlfn.IFS($A27="","",OR(F27=99,F27=""),_xlfn.TEXTJOIN("_",1,X27,$A27,Y27),TRUE,OFFSET($Z27,-1,0))</f>
        <v>device_1310105_inflatable_stick</v>
      </c>
      <c r="AA27" s="91">
        <v>0.1</v>
      </c>
      <c r="AB27" s="90">
        <f t="shared" ref="AB27:AB39" si="6">COLUMNS(_xlfn.TEXTSPLIT(BD27,";"))</f>
        <v>1</v>
      </c>
      <c r="AC27" s="77">
        <v>10</v>
      </c>
      <c r="AF27" s="11">
        <v>1</v>
      </c>
      <c r="AG27" s="11">
        <v>0</v>
      </c>
      <c r="AH27" s="11" t="str">
        <f t="shared" ref="AH27" si="7">_xlfn.TEXTJOIN("~",1,AI27:AJ27)</f>
        <v>0~2.8</v>
      </c>
      <c r="AI27" s="38">
        <v>0</v>
      </c>
      <c r="AJ27" s="27">
        <v>2.8</v>
      </c>
      <c r="AK27" s="110">
        <v>0</v>
      </c>
      <c r="AL27" s="110">
        <v>0</v>
      </c>
      <c r="AM27" s="110">
        <v>0</v>
      </c>
      <c r="AN27" s="110">
        <v>0</v>
      </c>
      <c r="AO27" s="110">
        <v>0</v>
      </c>
      <c r="AP27" s="14" t="b">
        <v>1</v>
      </c>
      <c r="AQ27" s="74" t="s">
        <v>542</v>
      </c>
      <c r="AR27" s="40"/>
      <c r="AS27" s="11">
        <f t="shared" si="1"/>
        <v>1310105</v>
      </c>
      <c r="AT27" s="40"/>
      <c r="AU27" s="40"/>
      <c r="AV27" s="40"/>
      <c r="AW27" s="40"/>
      <c r="AX27" s="40"/>
      <c r="AY27" s="11" t="str">
        <f t="shared" si="5"/>
        <v>5~0.8</v>
      </c>
      <c r="AZ27" s="27">
        <v>5</v>
      </c>
      <c r="BA27" s="27">
        <v>0.8</v>
      </c>
      <c r="BB27" s="50">
        <v>1</v>
      </c>
      <c r="BC27" s="87" t="s">
        <v>620</v>
      </c>
      <c r="BD27" s="11">
        <v>201</v>
      </c>
      <c r="BE27" s="28" t="str" cm="1">
        <f t="array" ref="BE27">IF(BD27&lt;&gt;"",_xlfn.TEXTJOIN("; ",1,VLOOKUP(VALUE(_xlfn.TEXTSPLIT(BD27,";")),device_cubicles!A:B,2,0)),"")</f>
        <v>近战攻击</v>
      </c>
    </row>
    <row r="28" spans="1:57">
      <c r="A28" s="14">
        <v>13101050</v>
      </c>
      <c r="B28" s="11">
        <v>0</v>
      </c>
      <c r="C28" s="15" t="s">
        <v>628</v>
      </c>
      <c r="D28" s="15" t="s">
        <v>625</v>
      </c>
      <c r="F28" s="11">
        <v>0</v>
      </c>
      <c r="G28" s="89" t="s">
        <v>654</v>
      </c>
      <c r="H28" s="84" t="str" cm="1">
        <f t="array" aca="1" ref="H28" ca="1">_xlfn.IFS($A28="","",OR($F28=99,$F28=""),_xlfn.TEXTJOIN("_",1,"device_name",$A28,$Y28),TRUE,OFFSET(H28,-1,0))</f>
        <v>device_name_1310105_inflatable_stick</v>
      </c>
      <c r="J28" s="14" t="str">
        <f>_xlfn.LET(_xlpm.get_device_type,VLOOKUP(VALUE(MID(A28,3,1)),tb_device_info_type[#All],3,0),_xlpm.check_if_wheel,IF(LEFT(A28,2)="12","wheel",_xlpm.get_device_type),_xlpm.raw_output,IF($A28&lt;&gt;"",_xlfn.TEXTJOIN("_",1,"device_alt",_xlpm.check_if_wheel),""),IFERROR(_xlpm.raw_output,"information missing"))</f>
        <v>device_alt_melee</v>
      </c>
      <c r="K28" s="14" t="str" cm="1">
        <f t="array" ref="K28">_xlfn.IFS($A28="","",ISTEXT($L28),_xlfn.CONCAT("dwt","[device_wheel_thumbnail_",RIGHT($A28,1)-1,"]"),TRUE,_xlfn.CONCAT("dt","[device_thumbnail_",IF($L28&lt;&gt;"",$L28,0),"]"))</f>
        <v>dt[device_thumbnail_39]</v>
      </c>
      <c r="L28" s="34">
        <v>39</v>
      </c>
      <c r="M28" s="14" t="s">
        <v>79</v>
      </c>
      <c r="N28" s="14" t="s">
        <v>80</v>
      </c>
      <c r="O28" s="36" t="s">
        <v>129</v>
      </c>
      <c r="P28" s="15" t="str" cm="1">
        <f t="array" ref="P28">IFERROR(_xlfn.TEXTJOIN(";",1,_xlfn.MAP(_xlfn.TEXTSPLIT(O28,";"),_xlfn.LAMBDA(_xlpm.x,IFERROR(VLOOKUP(VALUE(_xlpm.x),device_tag!A:B,2,0),"error")))),"")</f>
        <v>近战武器;棍棒</v>
      </c>
      <c r="Q28" s="11" t="s">
        <v>109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 t="s">
        <v>82</v>
      </c>
      <c r="Y28" s="62" t="s">
        <v>627</v>
      </c>
      <c r="Z28" s="85" t="str" cm="1">
        <f t="array" aca="1" ref="Z28" ca="1">_xlfn.IFS($A28="","",OR(F28=99,F28=""),_xlfn.TEXTJOIN("_",1,X28,$A28,Y28),TRUE,OFFSET($Z28,-1,0))</f>
        <v>device_1310105_inflatable_stick</v>
      </c>
      <c r="AA28" s="91">
        <v>0.1</v>
      </c>
      <c r="AB28" s="90">
        <f t="shared" si="6"/>
        <v>1</v>
      </c>
      <c r="AC28" s="76">
        <f>ROUND($AD28*$AE28^$F28,0)</f>
        <v>10</v>
      </c>
      <c r="AD28" s="16">
        <v>9.8000000000000007</v>
      </c>
      <c r="AE28" s="16">
        <f>POWER(1.6,2)</f>
        <v>2.5600000000000005</v>
      </c>
      <c r="AF28" s="11">
        <v>1</v>
      </c>
      <c r="AG28" s="11">
        <v>0</v>
      </c>
      <c r="AH28" s="11" t="str">
        <f t="shared" ref="AH28" si="8">_xlfn.TEXTJOIN("~",1,AI28:AJ28)</f>
        <v>0~2.8</v>
      </c>
      <c r="AI28" s="38">
        <v>0</v>
      </c>
      <c r="AJ28" s="27">
        <v>2.8</v>
      </c>
      <c r="AK28" s="110">
        <v>0</v>
      </c>
      <c r="AL28" s="110">
        <v>0</v>
      </c>
      <c r="AM28" s="110">
        <v>0</v>
      </c>
      <c r="AN28" s="110">
        <v>0</v>
      </c>
      <c r="AO28" s="110">
        <v>0</v>
      </c>
      <c r="AP28" s="14" t="b">
        <v>1</v>
      </c>
      <c r="AQ28" s="74" t="s">
        <v>542</v>
      </c>
      <c r="AR28" s="40"/>
      <c r="AS28" s="11">
        <f t="shared" si="1"/>
        <v>13101050</v>
      </c>
      <c r="AT28" s="40"/>
      <c r="AU28" s="40"/>
      <c r="AV28" s="40"/>
      <c r="AW28" s="40"/>
      <c r="AX28" s="40"/>
      <c r="AY28" s="11" t="str">
        <f t="shared" ref="AY28" si="9">_xlfn.TEXTJOIN("~",1,AZ28:BA28)</f>
        <v>5~0.8</v>
      </c>
      <c r="AZ28" s="27">
        <v>5</v>
      </c>
      <c r="BA28" s="27">
        <v>0.8</v>
      </c>
      <c r="BB28" s="50">
        <v>1</v>
      </c>
      <c r="BC28" s="74" t="s">
        <v>630</v>
      </c>
      <c r="BD28" s="11">
        <v>201</v>
      </c>
      <c r="BE28" s="28" t="str" cm="1">
        <f t="array" ref="BE28">IF(BD28&lt;&gt;"",_xlfn.TEXTJOIN("; ",1,VLOOKUP(VALUE(_xlfn.TEXTSPLIT(BD28,";")),device_cubicles!A:B,2,0)),"")</f>
        <v>近战攻击</v>
      </c>
    </row>
    <row r="29" spans="1:57">
      <c r="A29" s="14">
        <v>13101051</v>
      </c>
      <c r="B29" s="11">
        <v>0</v>
      </c>
      <c r="C29" s="15" t="s">
        <v>629</v>
      </c>
      <c r="D29" s="15" t="s">
        <v>625</v>
      </c>
      <c r="F29" s="11">
        <v>1</v>
      </c>
      <c r="G29" s="89" t="s">
        <v>654</v>
      </c>
      <c r="H29" s="84" t="str" cm="1">
        <f t="array" aca="1" ref="H29" ca="1">_xlfn.IFS($A29="","",OR($F29=99,$F29=""),_xlfn.TEXTJOIN("_",1,"device_name",$A29,$Y29),TRUE,OFFSET(H29,-1,0))</f>
        <v>device_name_1310105_inflatable_stick</v>
      </c>
      <c r="J29" s="14" t="str">
        <f>_xlfn.LET(_xlpm.get_device_type,VLOOKUP(VALUE(MID(A29,3,1)),tb_device_info_type[#All],3,0),_xlpm.check_if_wheel,IF(LEFT(A29,2)="12","wheel",_xlpm.get_device_type),_xlpm.raw_output,IF($A29&lt;&gt;"",_xlfn.TEXTJOIN("_",1,"device_alt",_xlpm.check_if_wheel),""),IFERROR(_xlpm.raw_output,"information missing"))</f>
        <v>device_alt_melee</v>
      </c>
      <c r="K29" s="14" t="str" cm="1">
        <f t="array" ref="K29">_xlfn.IFS($A29="","",ISTEXT($L29),_xlfn.CONCAT("dwt","[device_wheel_thumbnail_",RIGHT($A29,1)-1,"]"),TRUE,_xlfn.CONCAT("dt","[device_thumbnail_",IF($L29&lt;&gt;"",$L29,0),"]"))</f>
        <v>dt[device_thumbnail_39]</v>
      </c>
      <c r="L29" s="34">
        <v>39</v>
      </c>
      <c r="M29" s="14" t="s">
        <v>79</v>
      </c>
      <c r="N29" s="14" t="s">
        <v>80</v>
      </c>
      <c r="O29" s="36" t="s">
        <v>129</v>
      </c>
      <c r="P29" s="15" t="str" cm="1">
        <f t="array" ref="P29">IFERROR(_xlfn.TEXTJOIN(";",1,_xlfn.MAP(_xlfn.TEXTSPLIT(O29,";"),_xlfn.LAMBDA(_xlpm.x,IFERROR(VLOOKUP(VALUE(_xlpm.x),device_tag!A:B,2,0),"error")))),"")</f>
        <v>近战武器;棍棒</v>
      </c>
      <c r="Q29" s="11" t="s">
        <v>109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 t="s">
        <v>82</v>
      </c>
      <c r="Y29" s="62" t="s">
        <v>627</v>
      </c>
      <c r="Z29" s="85" t="str" cm="1">
        <f t="array" aca="1" ref="Z29" ca="1">_xlfn.IFS($A29="","",OR(F29=99,F29=""),_xlfn.TEXTJOIN("_",1,X29,$A29,Y29),TRUE,OFFSET($Z29,-1,0))</f>
        <v>device_1310105_inflatable_stick</v>
      </c>
      <c r="AA29" s="91">
        <v>0.1</v>
      </c>
      <c r="AB29" s="90">
        <f t="shared" si="6"/>
        <v>1</v>
      </c>
      <c r="AC29" s="76">
        <f>ROUND($AD29*$AE29^$F29,0)</f>
        <v>25</v>
      </c>
      <c r="AD29" s="16">
        <v>9.8000000000000007</v>
      </c>
      <c r="AE29" s="16">
        <f>POWER(1.6,2)</f>
        <v>2.5600000000000005</v>
      </c>
      <c r="AF29" s="11">
        <v>1</v>
      </c>
      <c r="AG29" s="11">
        <v>0</v>
      </c>
      <c r="AH29" s="11" t="str">
        <f t="shared" ref="AH29:AH30" si="10">_xlfn.TEXTJOIN("~",1,AI29:AJ29)</f>
        <v>0~2.8</v>
      </c>
      <c r="AI29" s="38">
        <v>0</v>
      </c>
      <c r="AJ29" s="27">
        <v>2.8</v>
      </c>
      <c r="AK29" s="110">
        <v>0</v>
      </c>
      <c r="AL29" s="110">
        <v>0</v>
      </c>
      <c r="AM29" s="110">
        <v>0</v>
      </c>
      <c r="AN29" s="110">
        <v>0</v>
      </c>
      <c r="AO29" s="110">
        <v>0</v>
      </c>
      <c r="AP29" s="14" t="b">
        <v>1</v>
      </c>
      <c r="AQ29" s="74" t="s">
        <v>542</v>
      </c>
      <c r="AR29" s="40"/>
      <c r="AS29" s="11">
        <f t="shared" si="1"/>
        <v>13101051</v>
      </c>
      <c r="AT29" s="40"/>
      <c r="AU29" s="40"/>
      <c r="AV29" s="40"/>
      <c r="AW29" s="40"/>
      <c r="AX29" s="40"/>
      <c r="AY29" s="11" t="str">
        <f t="shared" ref="AY29:AY30" si="11">_xlfn.TEXTJOIN("~",1,AZ29:BA29)</f>
        <v>5~0.8</v>
      </c>
      <c r="AZ29" s="27">
        <v>5</v>
      </c>
      <c r="BA29" s="27">
        <v>0.8</v>
      </c>
      <c r="BB29" s="50">
        <v>1</v>
      </c>
      <c r="BC29" s="74" t="s">
        <v>631</v>
      </c>
      <c r="BD29" s="11">
        <v>201</v>
      </c>
      <c r="BE29" s="28" t="str" cm="1">
        <f t="array" ref="BE29">IF(BD29&lt;&gt;"",_xlfn.TEXTJOIN("; ",1,VLOOKUP(VALUE(_xlfn.TEXTSPLIT(BD29,";")),device_cubicles!A:B,2,0)),"")</f>
        <v>近战攻击</v>
      </c>
    </row>
    <row r="30" spans="1:57">
      <c r="A30" s="14">
        <v>1310106</v>
      </c>
      <c r="B30" s="11">
        <v>0</v>
      </c>
      <c r="C30" s="15" t="s">
        <v>598</v>
      </c>
      <c r="D30" s="15" t="s">
        <v>211</v>
      </c>
      <c r="F30" s="86"/>
      <c r="G30" s="89" t="s">
        <v>654</v>
      </c>
      <c r="H30" s="84" t="str" cm="1">
        <f t="array" aca="1" ref="H30" ca="1">_xlfn.IFS($A30="","",OR($F30=99,$F30=""),_xlfn.TEXTJOIN("_",1,"device_name",$A30,$Y30),TRUE,OFFSET(H30,-1,0))</f>
        <v>device_name_1310106_circlesaw</v>
      </c>
      <c r="J30" s="14" t="str">
        <f>_xlfn.LET(_xlpm.get_device_type,VLOOKUP(VALUE(MID(A30,3,1)),tb_device_info_type[#All],3,0),_xlpm.check_if_wheel,IF(LEFT(A30,2)="12","wheel",_xlpm.get_device_type),_xlpm.raw_output,IF($A30&lt;&gt;"",_xlfn.TEXTJOIN("_",1,"device_alt",_xlpm.check_if_wheel),""),IFERROR(_xlpm.raw_output,"information missing"))</f>
        <v>device_alt_melee</v>
      </c>
      <c r="K30" s="14" t="str" cm="1">
        <f t="array" ref="K30">_xlfn.IFS($A30="","",ISTEXT($L30),_xlfn.CONCAT("dwt","[device_wheel_thumbnail_",RIGHT($A30,1)-1,"]"),TRUE,_xlfn.CONCAT("dt","[device_thumbnail_",IF($L30&lt;&gt;"",$L30,0),"]"))</f>
        <v>dt[device_thumbnail_36]</v>
      </c>
      <c r="L30" s="34">
        <v>36</v>
      </c>
      <c r="M30" s="14" t="s">
        <v>79</v>
      </c>
      <c r="N30" s="14" t="s">
        <v>80</v>
      </c>
      <c r="O30" s="36">
        <v>1420100</v>
      </c>
      <c r="P30" s="15" t="str" cm="1">
        <f t="array" ref="P30">IFERROR(_xlfn.TEXTJOIN(";",1,_xlfn.MAP(_xlfn.TEXTSPLIT(O30,";"),_xlfn.LAMBDA(_xlpm.x,IFERROR(VLOOKUP(VALUE(_xlpm.x),device_tag!A:B,2,0),"error")))),"")</f>
        <v>近战武器</v>
      </c>
      <c r="Q30" s="11" t="s">
        <v>109</v>
      </c>
      <c r="X30" s="24" t="s">
        <v>82</v>
      </c>
      <c r="Y30" s="62" t="s">
        <v>653</v>
      </c>
      <c r="Z30" s="85" t="str" cm="1">
        <f t="array" aca="1" ref="Z30" ca="1">_xlfn.IFS($A30="","",OR(F30=99,F30=""),_xlfn.TEXTJOIN("_",1,X30,$A30,Y30),TRUE,OFFSET($Z30,-1,0))</f>
        <v>device_1310106_circlesaw</v>
      </c>
      <c r="AA30" s="91">
        <v>5</v>
      </c>
      <c r="AB30" s="90">
        <f t="shared" si="6"/>
        <v>1</v>
      </c>
      <c r="AC30" s="77">
        <v>11</v>
      </c>
      <c r="AF30" s="11">
        <v>1</v>
      </c>
      <c r="AG30" s="11">
        <v>0</v>
      </c>
      <c r="AH30" s="11" t="str">
        <f t="shared" si="10"/>
        <v>0~1.5</v>
      </c>
      <c r="AI30" s="38">
        <v>0</v>
      </c>
      <c r="AJ30" s="27">
        <v>1.5</v>
      </c>
      <c r="AK30" s="110">
        <v>0</v>
      </c>
      <c r="AL30" s="110">
        <v>0</v>
      </c>
      <c r="AM30" s="110">
        <v>0</v>
      </c>
      <c r="AN30" s="110">
        <v>0</v>
      </c>
      <c r="AO30" s="110">
        <v>0</v>
      </c>
      <c r="AP30" s="14" t="b">
        <v>0</v>
      </c>
      <c r="AQ30" s="74" t="s">
        <v>632</v>
      </c>
      <c r="AR30" s="40"/>
      <c r="AS30" s="40"/>
      <c r="AT30" s="40"/>
      <c r="AU30" s="38"/>
      <c r="AV30" s="38"/>
      <c r="AW30" s="38"/>
      <c r="AX30" s="11">
        <f>A30</f>
        <v>1310106</v>
      </c>
      <c r="AY30" s="11" t="str">
        <f t="shared" si="11"/>
        <v>6~3</v>
      </c>
      <c r="AZ30" s="27">
        <v>6</v>
      </c>
      <c r="BA30" s="27">
        <v>3</v>
      </c>
      <c r="BB30" s="50">
        <v>1</v>
      </c>
      <c r="BC30" s="87" t="s">
        <v>620</v>
      </c>
      <c r="BD30" s="59">
        <v>201</v>
      </c>
      <c r="BE30" s="28" t="str" cm="1">
        <f t="array" ref="BE30">IF(BD30&lt;&gt;"",_xlfn.TEXTJOIN("; ",1,VLOOKUP(VALUE(_xlfn.TEXTSPLIT(BD30,";")),device_cubicles!A:B,2,0)),"")</f>
        <v>近战攻击</v>
      </c>
    </row>
    <row r="31" spans="1:57">
      <c r="A31" s="14">
        <v>13101061</v>
      </c>
      <c r="B31" s="11">
        <v>0</v>
      </c>
      <c r="C31" s="15" t="s">
        <v>655</v>
      </c>
      <c r="D31" s="15" t="s">
        <v>211</v>
      </c>
      <c r="F31" s="11">
        <v>1</v>
      </c>
      <c r="G31" s="89" t="s">
        <v>654</v>
      </c>
      <c r="H31" s="84" t="str" cm="1">
        <f t="array" aca="1" ref="H31" ca="1">_xlfn.IFS($A31="","",OR($F31=99,$F31=""),_xlfn.TEXTJOIN("_",1,"device_name",$A31,$Y31),TRUE,OFFSET(H31,-1,0))</f>
        <v>device_name_1310106_circlesaw</v>
      </c>
      <c r="J31" s="14" t="str">
        <f>_xlfn.LET(_xlpm.get_device_type,VLOOKUP(VALUE(MID(A31,3,1)),tb_device_info_type[#All],3,0),_xlpm.check_if_wheel,IF(LEFT(A31,2)="12","wheel",_xlpm.get_device_type),_xlpm.raw_output,IF($A31&lt;&gt;"",_xlfn.TEXTJOIN("_",1,"device_alt",_xlpm.check_if_wheel),""),IFERROR(_xlpm.raw_output,"information missing"))</f>
        <v>device_alt_melee</v>
      </c>
      <c r="K31" s="14" t="str" cm="1">
        <f t="array" ref="K31">_xlfn.IFS($A31="","",ISTEXT($L31),_xlfn.CONCAT("dwt","[device_wheel_thumbnail_",RIGHT($A31,1)-1,"]"),TRUE,_xlfn.CONCAT("dt","[device_thumbnail_",IF($L31&lt;&gt;"",$L31,0),"]"))</f>
        <v>dt[device_thumbnail_36]</v>
      </c>
      <c r="L31" s="34">
        <v>36</v>
      </c>
      <c r="M31" s="14" t="s">
        <v>79</v>
      </c>
      <c r="N31" s="14" t="s">
        <v>80</v>
      </c>
      <c r="O31" s="36">
        <v>1420100</v>
      </c>
      <c r="P31" s="15" t="str" cm="1">
        <f t="array" ref="P31">IFERROR(_xlfn.TEXTJOIN(";",1,_xlfn.MAP(_xlfn.TEXTSPLIT(O31,";"),_xlfn.LAMBDA(_xlpm.x,IFERROR(VLOOKUP(VALUE(_xlpm.x),device_tag!A:B,2,0),"error")))),"")</f>
        <v>近战武器</v>
      </c>
      <c r="Q31" s="11" t="s">
        <v>109</v>
      </c>
      <c r="X31" s="24" t="s">
        <v>82</v>
      </c>
      <c r="Y31" s="62" t="s">
        <v>653</v>
      </c>
      <c r="Z31" s="85" t="str" cm="1">
        <f t="array" aca="1" ref="Z31" ca="1">_xlfn.IFS($A31="","",OR(F31=99,F31=""),_xlfn.TEXTJOIN("_",1,X31,$A31,Y31),TRUE,OFFSET($Z31,-1,0))</f>
        <v>device_1310106_circlesaw</v>
      </c>
      <c r="AA31" s="91">
        <v>5</v>
      </c>
      <c r="AB31" s="90">
        <f t="shared" si="6"/>
        <v>1</v>
      </c>
      <c r="AC31" s="76">
        <f>ROUND($AD31*$AE31^$F31,0)</f>
        <v>28</v>
      </c>
      <c r="AD31" s="16">
        <v>10.75</v>
      </c>
      <c r="AE31" s="16">
        <f>POWER(1.6,2)</f>
        <v>2.5600000000000005</v>
      </c>
      <c r="AF31" s="11">
        <v>1</v>
      </c>
      <c r="AG31" s="11">
        <v>0</v>
      </c>
      <c r="AH31" s="11" t="str">
        <f t="shared" ref="AH31:AH32" si="12">_xlfn.TEXTJOIN("~",1,AI31:AJ31)</f>
        <v>0~1.5</v>
      </c>
      <c r="AI31" s="38">
        <v>0</v>
      </c>
      <c r="AJ31" s="27">
        <v>1.5</v>
      </c>
      <c r="AK31" s="110">
        <v>0</v>
      </c>
      <c r="AL31" s="110">
        <v>0</v>
      </c>
      <c r="AM31" s="110">
        <v>0</v>
      </c>
      <c r="AN31" s="110">
        <v>0</v>
      </c>
      <c r="AO31" s="110">
        <v>0</v>
      </c>
      <c r="AP31" s="14" t="b">
        <v>0</v>
      </c>
      <c r="AQ31" s="74" t="s">
        <v>632</v>
      </c>
      <c r="AR31" s="40"/>
      <c r="AS31" s="40"/>
      <c r="AT31" s="40"/>
      <c r="AU31" s="38"/>
      <c r="AV31" s="38"/>
      <c r="AW31" s="38"/>
      <c r="AX31" s="11">
        <f>A31</f>
        <v>13101061</v>
      </c>
      <c r="AY31" s="11" t="str">
        <f t="shared" ref="AY31:AY32" si="13">_xlfn.TEXTJOIN("~",1,AZ31:BA31)</f>
        <v>6~3</v>
      </c>
      <c r="AZ31" s="27">
        <v>6</v>
      </c>
      <c r="BA31" s="27">
        <v>3</v>
      </c>
      <c r="BB31" s="50">
        <v>1</v>
      </c>
      <c r="BC31" s="88" t="s">
        <v>633</v>
      </c>
      <c r="BD31" s="59">
        <v>201</v>
      </c>
      <c r="BE31" s="28" t="str" cm="1">
        <f t="array" ref="BE31">IF(BD31&lt;&gt;"",_xlfn.TEXTJOIN("; ",1,VLOOKUP(VALUE(_xlfn.TEXTSPLIT(BD31,";")),device_cubicles!A:B,2,0)),"")</f>
        <v>近战攻击</v>
      </c>
    </row>
    <row r="32" spans="1:57">
      <c r="A32" s="14">
        <v>13101062</v>
      </c>
      <c r="B32" s="11">
        <v>0</v>
      </c>
      <c r="C32" s="15" t="s">
        <v>656</v>
      </c>
      <c r="D32" s="15" t="s">
        <v>211</v>
      </c>
      <c r="F32" s="11">
        <v>2</v>
      </c>
      <c r="G32" s="89" t="s">
        <v>654</v>
      </c>
      <c r="H32" s="84" t="str" cm="1">
        <f t="array" aca="1" ref="H32" ca="1">_xlfn.IFS($A32="","",OR($F32=99,$F32=""),_xlfn.TEXTJOIN("_",1,"device_name",$A32,$Y32),TRUE,OFFSET(H32,-1,0))</f>
        <v>device_name_1310106_circlesaw</v>
      </c>
      <c r="J32" s="14" t="str">
        <f>_xlfn.LET(_xlpm.get_device_type,VLOOKUP(VALUE(MID(A32,3,1)),tb_device_info_type[#All],3,0),_xlpm.check_if_wheel,IF(LEFT(A32,2)="12","wheel",_xlpm.get_device_type),_xlpm.raw_output,IF($A32&lt;&gt;"",_xlfn.TEXTJOIN("_",1,"device_alt",_xlpm.check_if_wheel),""),IFERROR(_xlpm.raw_output,"information missing"))</f>
        <v>device_alt_melee</v>
      </c>
      <c r="K32" s="14" t="str" cm="1">
        <f t="array" ref="K32">_xlfn.IFS($A32="","",ISTEXT($L32),_xlfn.CONCAT("dwt","[device_wheel_thumbnail_",RIGHT($A32,1)-1,"]"),TRUE,_xlfn.CONCAT("dt","[device_thumbnail_",IF($L32&lt;&gt;"",$L32,0),"]"))</f>
        <v>dt[device_thumbnail_36]</v>
      </c>
      <c r="L32" s="34">
        <v>36</v>
      </c>
      <c r="M32" s="14" t="s">
        <v>79</v>
      </c>
      <c r="N32" s="14" t="s">
        <v>80</v>
      </c>
      <c r="O32" s="36">
        <v>1420100</v>
      </c>
      <c r="P32" s="15" t="str" cm="1">
        <f t="array" ref="P32">IFERROR(_xlfn.TEXTJOIN(";",1,_xlfn.MAP(_xlfn.TEXTSPLIT(O32,";"),_xlfn.LAMBDA(_xlpm.x,IFERROR(VLOOKUP(VALUE(_xlpm.x),device_tag!A:B,2,0),"error")))),"")</f>
        <v>近战武器</v>
      </c>
      <c r="Q32" s="11" t="s">
        <v>109</v>
      </c>
      <c r="X32" s="24" t="s">
        <v>82</v>
      </c>
      <c r="Y32" s="62" t="s">
        <v>653</v>
      </c>
      <c r="Z32" s="85" t="str" cm="1">
        <f t="array" aca="1" ref="Z32" ca="1">_xlfn.IFS($A32="","",OR(F32=99,F32=""),_xlfn.TEXTJOIN("_",1,X32,$A32,Y32),TRUE,OFFSET($Z32,-1,0))</f>
        <v>device_1310106_circlesaw</v>
      </c>
      <c r="AA32" s="91">
        <v>5</v>
      </c>
      <c r="AB32" s="90">
        <f t="shared" si="6"/>
        <v>1</v>
      </c>
      <c r="AC32" s="76">
        <f>ROUND($AD32*$AE32^$F32,0)</f>
        <v>70</v>
      </c>
      <c r="AD32" s="16">
        <v>10.75</v>
      </c>
      <c r="AE32" s="16">
        <f>POWER(1.6,2)</f>
        <v>2.5600000000000005</v>
      </c>
      <c r="AF32" s="11">
        <v>1</v>
      </c>
      <c r="AG32" s="11">
        <v>0</v>
      </c>
      <c r="AH32" s="11" t="str">
        <f t="shared" si="12"/>
        <v>0~1.5</v>
      </c>
      <c r="AI32" s="38">
        <v>0</v>
      </c>
      <c r="AJ32" s="27">
        <v>1.5</v>
      </c>
      <c r="AK32" s="110">
        <v>0</v>
      </c>
      <c r="AL32" s="110">
        <v>0</v>
      </c>
      <c r="AM32" s="110">
        <v>0</v>
      </c>
      <c r="AN32" s="110">
        <v>0</v>
      </c>
      <c r="AO32" s="110">
        <v>0</v>
      </c>
      <c r="AP32" s="14" t="b">
        <v>0</v>
      </c>
      <c r="AQ32" s="74" t="s">
        <v>632</v>
      </c>
      <c r="AR32" s="40"/>
      <c r="AS32" s="40"/>
      <c r="AT32" s="40"/>
      <c r="AU32" s="38"/>
      <c r="AV32" s="38"/>
      <c r="AW32" s="38"/>
      <c r="AX32" s="11">
        <f>A32</f>
        <v>13101062</v>
      </c>
      <c r="AY32" s="11" t="str">
        <f t="shared" si="13"/>
        <v>6~3</v>
      </c>
      <c r="AZ32" s="27">
        <v>6</v>
      </c>
      <c r="BA32" s="27">
        <v>3</v>
      </c>
      <c r="BB32" s="50">
        <v>1</v>
      </c>
      <c r="BC32" s="88" t="s">
        <v>633</v>
      </c>
      <c r="BD32" s="59">
        <v>201</v>
      </c>
      <c r="BE32" s="28" t="str" cm="1">
        <f t="array" ref="BE32">IF(BD32&lt;&gt;"",_xlfn.TEXTJOIN("; ",1,VLOOKUP(VALUE(_xlfn.TEXTSPLIT(BD32,";")),device_cubicles!A:B,2,0)),"")</f>
        <v>近战攻击</v>
      </c>
    </row>
    <row r="33" spans="1:57">
      <c r="A33" s="14">
        <v>13101063</v>
      </c>
      <c r="B33" s="11">
        <v>0</v>
      </c>
      <c r="C33" s="15" t="s">
        <v>657</v>
      </c>
      <c r="D33" s="15" t="s">
        <v>211</v>
      </c>
      <c r="F33" s="11">
        <v>3</v>
      </c>
      <c r="G33" s="89" t="s">
        <v>654</v>
      </c>
      <c r="H33" s="84" t="str" cm="1">
        <f t="array" aca="1" ref="H33" ca="1">_xlfn.IFS($A33="","",OR($F33=99,$F33=""),_xlfn.TEXTJOIN("_",1,"device_name",$A33,$Y33),TRUE,OFFSET(H33,-1,0))</f>
        <v>device_name_1310106_circlesaw</v>
      </c>
      <c r="J33" s="14" t="str">
        <f>_xlfn.LET(_xlpm.get_device_type,VLOOKUP(VALUE(MID(A33,3,1)),tb_device_info_type[#All],3,0),_xlpm.check_if_wheel,IF(LEFT(A33,2)="12","wheel",_xlpm.get_device_type),_xlpm.raw_output,IF($A33&lt;&gt;"",_xlfn.TEXTJOIN("_",1,"device_alt",_xlpm.check_if_wheel),""),IFERROR(_xlpm.raw_output,"information missing"))</f>
        <v>device_alt_melee</v>
      </c>
      <c r="K33" s="14" t="str" cm="1">
        <f t="array" ref="K33">_xlfn.IFS($A33="","",ISTEXT($L33),_xlfn.CONCAT("dwt","[device_wheel_thumbnail_",RIGHT($A33,1)-1,"]"),TRUE,_xlfn.CONCAT("dt","[device_thumbnail_",IF($L33&lt;&gt;"",$L33,0),"]"))</f>
        <v>dt[device_thumbnail_36]</v>
      </c>
      <c r="L33" s="34">
        <v>36</v>
      </c>
      <c r="M33" s="14" t="s">
        <v>79</v>
      </c>
      <c r="N33" s="14" t="s">
        <v>80</v>
      </c>
      <c r="O33" s="36">
        <v>1420100</v>
      </c>
      <c r="P33" s="15" t="str" cm="1">
        <f t="array" ref="P33">IFERROR(_xlfn.TEXTJOIN(";",1,_xlfn.MAP(_xlfn.TEXTSPLIT(O33,";"),_xlfn.LAMBDA(_xlpm.x,IFERROR(VLOOKUP(VALUE(_xlpm.x),device_tag!A:B,2,0),"error")))),"")</f>
        <v>近战武器</v>
      </c>
      <c r="Q33" s="11" t="s">
        <v>109</v>
      </c>
      <c r="X33" s="24" t="s">
        <v>82</v>
      </c>
      <c r="Y33" s="62" t="s">
        <v>653</v>
      </c>
      <c r="Z33" s="85" t="str" cm="1">
        <f t="array" aca="1" ref="Z33" ca="1">_xlfn.IFS($A33="","",OR(F33=99,F33=""),_xlfn.TEXTJOIN("_",1,X33,$A33,Y33),TRUE,OFFSET($Z33,-1,0))</f>
        <v>device_1310106_circlesaw</v>
      </c>
      <c r="AA33" s="91">
        <v>5</v>
      </c>
      <c r="AB33" s="90">
        <f t="shared" si="6"/>
        <v>1</v>
      </c>
      <c r="AC33" s="76">
        <f>ROUND($AD33*$AE33^$F33,0)</f>
        <v>180</v>
      </c>
      <c r="AD33" s="16">
        <v>10.75</v>
      </c>
      <c r="AE33" s="16">
        <f>POWER(1.6,2)</f>
        <v>2.5600000000000005</v>
      </c>
      <c r="AF33" s="11">
        <v>1</v>
      </c>
      <c r="AG33" s="11">
        <v>0</v>
      </c>
      <c r="AH33" s="11" t="str">
        <f t="shared" ref="AH33" si="14">_xlfn.TEXTJOIN("~",1,AI33:AJ33)</f>
        <v>0~1.5</v>
      </c>
      <c r="AI33" s="38">
        <v>0</v>
      </c>
      <c r="AJ33" s="27">
        <v>1.5</v>
      </c>
      <c r="AK33" s="110">
        <v>0</v>
      </c>
      <c r="AL33" s="110">
        <v>0</v>
      </c>
      <c r="AM33" s="110">
        <v>0</v>
      </c>
      <c r="AN33" s="110">
        <v>0</v>
      </c>
      <c r="AO33" s="110">
        <v>0</v>
      </c>
      <c r="AP33" s="14" t="b">
        <v>0</v>
      </c>
      <c r="AQ33" s="74" t="s">
        <v>632</v>
      </c>
      <c r="AR33" s="40"/>
      <c r="AS33" s="40"/>
      <c r="AT33" s="40"/>
      <c r="AU33" s="38"/>
      <c r="AV33" s="38"/>
      <c r="AW33" s="38"/>
      <c r="AX33" s="11">
        <f>A33</f>
        <v>13101063</v>
      </c>
      <c r="AY33" s="11" t="str">
        <f t="shared" ref="AY33" si="15">_xlfn.TEXTJOIN("~",1,AZ33:BA33)</f>
        <v>6~3</v>
      </c>
      <c r="AZ33" s="27">
        <v>6</v>
      </c>
      <c r="BA33" s="27">
        <v>3</v>
      </c>
      <c r="BB33" s="50">
        <v>1</v>
      </c>
      <c r="BC33" s="88" t="s">
        <v>633</v>
      </c>
      <c r="BD33" s="59">
        <v>201</v>
      </c>
      <c r="BE33" s="28" t="str" cm="1">
        <f t="array" ref="BE33">IF(BD33&lt;&gt;"",_xlfn.TEXTJOIN("; ",1,VLOOKUP(VALUE(_xlfn.TEXTSPLIT(BD33,";")),device_cubicles!A:B,2,0)),"")</f>
        <v>近战攻击</v>
      </c>
    </row>
    <row r="34" spans="1:57">
      <c r="A34" s="14">
        <v>13101064</v>
      </c>
      <c r="B34" s="11">
        <v>0</v>
      </c>
      <c r="C34" s="15" t="s">
        <v>658</v>
      </c>
      <c r="D34" s="15" t="s">
        <v>211</v>
      </c>
      <c r="F34" s="11">
        <v>4</v>
      </c>
      <c r="G34" s="89" t="s">
        <v>654</v>
      </c>
      <c r="H34" s="84" t="str" cm="1">
        <f t="array" aca="1" ref="H34" ca="1">_xlfn.IFS($A34="","",OR($F34=99,$F34=""),_xlfn.TEXTJOIN("_",1,"device_name",$A34,$Y34),TRUE,OFFSET(H34,-1,0))</f>
        <v>device_name_1310106_circlesaw</v>
      </c>
      <c r="J34" s="14" t="str">
        <f>_xlfn.LET(_xlpm.get_device_type,VLOOKUP(VALUE(MID(A34,3,1)),tb_device_info_type[#All],3,0),_xlpm.check_if_wheel,IF(LEFT(A34,2)="12","wheel",_xlpm.get_device_type),_xlpm.raw_output,IF($A34&lt;&gt;"",_xlfn.TEXTJOIN("_",1,"device_alt",_xlpm.check_if_wheel),""),IFERROR(_xlpm.raw_output,"information missing"))</f>
        <v>device_alt_melee</v>
      </c>
      <c r="K34" s="14" t="str" cm="1">
        <f t="array" ref="K34">_xlfn.IFS($A34="","",ISTEXT($L34),_xlfn.CONCAT("dwt","[device_wheel_thumbnail_",RIGHT($A34,1)-1,"]"),TRUE,_xlfn.CONCAT("dt","[device_thumbnail_",IF($L34&lt;&gt;"",$L34,0),"]"))</f>
        <v>dt[device_thumbnail_36]</v>
      </c>
      <c r="L34" s="34">
        <v>36</v>
      </c>
      <c r="M34" s="14" t="s">
        <v>79</v>
      </c>
      <c r="N34" s="14" t="s">
        <v>80</v>
      </c>
      <c r="O34" s="36">
        <v>1420100</v>
      </c>
      <c r="P34" s="15" t="str" cm="1">
        <f t="array" ref="P34">IFERROR(_xlfn.TEXTJOIN(";",1,_xlfn.MAP(_xlfn.TEXTSPLIT(O34,";"),_xlfn.LAMBDA(_xlpm.x,IFERROR(VLOOKUP(VALUE(_xlpm.x),device_tag!A:B,2,0),"error")))),"")</f>
        <v>近战武器</v>
      </c>
      <c r="Q34" s="11" t="s">
        <v>109</v>
      </c>
      <c r="X34" s="24" t="s">
        <v>82</v>
      </c>
      <c r="Y34" s="62" t="s">
        <v>653</v>
      </c>
      <c r="Z34" s="85" t="str" cm="1">
        <f t="array" aca="1" ref="Z34" ca="1">_xlfn.IFS($A34="","",OR(F34=99,F34=""),_xlfn.TEXTJOIN("_",1,X34,$A34,Y34),TRUE,OFFSET($Z34,-1,0))</f>
        <v>device_1310106_circlesaw</v>
      </c>
      <c r="AA34" s="91">
        <v>5</v>
      </c>
      <c r="AB34" s="90">
        <f t="shared" si="6"/>
        <v>1</v>
      </c>
      <c r="AC34" s="76">
        <f>ROUND($AD34*$AE34^$F34,0)</f>
        <v>462</v>
      </c>
      <c r="AD34" s="16">
        <v>10.75</v>
      </c>
      <c r="AE34" s="16">
        <f>POWER(1.6,2)</f>
        <v>2.5600000000000005</v>
      </c>
      <c r="AF34" s="11">
        <v>1</v>
      </c>
      <c r="AG34" s="11">
        <v>0</v>
      </c>
      <c r="AH34" s="11" t="str">
        <f t="shared" ref="AH34:AH35" si="16">_xlfn.TEXTJOIN("~",1,AI34:AJ34)</f>
        <v>0~1.5</v>
      </c>
      <c r="AI34" s="38">
        <v>0</v>
      </c>
      <c r="AJ34" s="27">
        <v>1.5</v>
      </c>
      <c r="AK34" s="110">
        <v>0</v>
      </c>
      <c r="AL34" s="110">
        <v>0</v>
      </c>
      <c r="AM34" s="110">
        <v>0</v>
      </c>
      <c r="AN34" s="110">
        <v>0</v>
      </c>
      <c r="AO34" s="110">
        <v>0</v>
      </c>
      <c r="AP34" s="14" t="b">
        <v>0</v>
      </c>
      <c r="AQ34" s="74" t="s">
        <v>632</v>
      </c>
      <c r="AR34" s="40"/>
      <c r="AS34" s="40"/>
      <c r="AT34" s="40"/>
      <c r="AU34" s="38"/>
      <c r="AV34" s="38"/>
      <c r="AW34" s="38"/>
      <c r="AX34" s="11">
        <f>A34</f>
        <v>13101064</v>
      </c>
      <c r="AY34" s="11" t="str">
        <f t="shared" ref="AY34:AY35" si="17">_xlfn.TEXTJOIN("~",1,AZ34:BA34)</f>
        <v>6~3</v>
      </c>
      <c r="AZ34" s="27">
        <v>6</v>
      </c>
      <c r="BA34" s="27">
        <v>3</v>
      </c>
      <c r="BB34" s="50">
        <v>1</v>
      </c>
      <c r="BC34" s="88" t="s">
        <v>633</v>
      </c>
      <c r="BD34" s="59">
        <v>201</v>
      </c>
      <c r="BE34" s="28" t="str" cm="1">
        <f t="array" ref="BE34">IF(BD34&lt;&gt;"",_xlfn.TEXTJOIN("; ",1,VLOOKUP(VALUE(_xlfn.TEXTSPLIT(BD34,";")),device_cubicles!A:B,2,0)),"")</f>
        <v>近战攻击</v>
      </c>
    </row>
    <row r="35" spans="1:57">
      <c r="A35" s="14">
        <v>1310107</v>
      </c>
      <c r="B35" s="11">
        <v>0</v>
      </c>
      <c r="C35" s="15" t="s">
        <v>663</v>
      </c>
      <c r="D35" s="15" t="s">
        <v>211</v>
      </c>
      <c r="F35" s="86"/>
      <c r="G35" s="89" t="s">
        <v>654</v>
      </c>
      <c r="H35" s="84" t="str" cm="1">
        <f t="array" aca="1" ref="H35" ca="1">_xlfn.IFS($A35="","",OR($F35=99,$F35=""),_xlfn.TEXTJOIN("_",1,"device_name",$A35,$Y35),TRUE,OFFSET(H35,-1,0))</f>
        <v>device_name_1310107_double_edged_cutter</v>
      </c>
      <c r="J35" s="14" t="str">
        <f>_xlfn.LET(_xlpm.get_device_type,VLOOKUP(VALUE(MID(A35,3,1)),tb_device_info_type[#All],3,0),_xlpm.check_if_wheel,IF(LEFT(A35,2)="12","wheel",_xlpm.get_device_type),_xlpm.raw_output,IF($A35&lt;&gt;"",_xlfn.TEXTJOIN("_",1,"device_alt",_xlpm.check_if_wheel),""),IFERROR(_xlpm.raw_output,"information missing"))</f>
        <v>device_alt_melee</v>
      </c>
      <c r="K35" s="14" t="str" cm="1">
        <f t="array" ref="K35">_xlfn.IFS($A35="","",ISTEXT($L35),_xlfn.CONCAT("dwt","[device_wheel_thumbnail_",RIGHT($A35,1)-1,"]"),TRUE,_xlfn.CONCAT("dt","[device_thumbnail_",IF($L35&lt;&gt;"",$L35,0),"]"))</f>
        <v>dt[device_thumbnail_38]</v>
      </c>
      <c r="L35" s="34">
        <v>38</v>
      </c>
      <c r="M35" s="14" t="s">
        <v>79</v>
      </c>
      <c r="N35" s="14" t="s">
        <v>80</v>
      </c>
      <c r="O35" s="36" t="s">
        <v>108</v>
      </c>
      <c r="P35" s="15" t="str" cm="1">
        <f t="array" ref="P35">IFERROR(_xlfn.TEXTJOIN(";",1,_xlfn.MAP(_xlfn.TEXTSPLIT(O35,";"),_xlfn.LAMBDA(_xlpm.x,IFERROR(VLOOKUP(VALUE(_xlpm.x),device_tag!A:B,2,0),"error")))),"")</f>
        <v>近战武器;刀剑</v>
      </c>
      <c r="Q35" s="11" t="s">
        <v>109</v>
      </c>
      <c r="T35" s="24">
        <v>0</v>
      </c>
      <c r="U35" s="24">
        <v>1</v>
      </c>
      <c r="V35" s="24">
        <v>0</v>
      </c>
      <c r="W35" s="24">
        <v>1</v>
      </c>
      <c r="X35" s="24" t="s">
        <v>82</v>
      </c>
      <c r="Y35" s="62" t="s">
        <v>668</v>
      </c>
      <c r="Z35" s="85" t="str" cm="1">
        <f t="array" aca="1" ref="Z35" ca="1">_xlfn.IFS($A35="","",OR(F35=99,F35=""),_xlfn.TEXTJOIN("_",1,X35,$A35,Y35),TRUE,OFFSET($Z35,-1,0))</f>
        <v>device_1310107_double_edged_cutter</v>
      </c>
      <c r="AA35" s="91">
        <v>7</v>
      </c>
      <c r="AB35" s="90">
        <f t="shared" si="6"/>
        <v>1</v>
      </c>
      <c r="AC35" s="77">
        <v>11.5</v>
      </c>
      <c r="AF35" s="11">
        <v>1</v>
      </c>
      <c r="AG35" s="11">
        <v>0</v>
      </c>
      <c r="AH35" s="11" t="str">
        <f t="shared" si="16"/>
        <v>0~3</v>
      </c>
      <c r="AI35" s="38">
        <v>0</v>
      </c>
      <c r="AJ35" s="27">
        <v>3</v>
      </c>
      <c r="AK35" s="110">
        <v>0</v>
      </c>
      <c r="AL35" s="110">
        <v>0</v>
      </c>
      <c r="AM35" s="110">
        <v>0</v>
      </c>
      <c r="AN35" s="110">
        <v>0</v>
      </c>
      <c r="AO35" s="110">
        <v>0</v>
      </c>
      <c r="AP35" s="14" t="b">
        <v>1</v>
      </c>
      <c r="AQ35" s="74" t="s">
        <v>592</v>
      </c>
      <c r="AR35" s="40"/>
      <c r="AS35" s="11">
        <f t="shared" si="1"/>
        <v>1310107</v>
      </c>
      <c r="AT35" s="40"/>
      <c r="AU35" s="40"/>
      <c r="AV35" s="40"/>
      <c r="AW35" s="40"/>
      <c r="AX35" s="40"/>
      <c r="AY35" s="11" t="str">
        <f t="shared" si="17"/>
        <v>2.5~0.1</v>
      </c>
      <c r="AZ35" s="27">
        <v>2.5</v>
      </c>
      <c r="BA35" s="27">
        <v>0.1</v>
      </c>
      <c r="BB35" s="50">
        <v>1</v>
      </c>
      <c r="BC35" s="87" t="s">
        <v>620</v>
      </c>
      <c r="BD35" s="11">
        <v>201</v>
      </c>
      <c r="BE35" s="28" t="str" cm="1">
        <f t="array" ref="BE35">IF(BD35&lt;&gt;"",_xlfn.TEXTJOIN("; ",1,VLOOKUP(VALUE(_xlfn.TEXTSPLIT(BD35,";")),device_cubicles!A:B,2,0)),"")</f>
        <v>近战攻击</v>
      </c>
    </row>
    <row r="36" spans="1:57">
      <c r="A36" s="14">
        <v>13101070</v>
      </c>
      <c r="B36" s="11">
        <v>0</v>
      </c>
      <c r="C36" s="15" t="s">
        <v>664</v>
      </c>
      <c r="D36" s="15" t="s">
        <v>211</v>
      </c>
      <c r="F36" s="11">
        <v>0</v>
      </c>
      <c r="G36" s="89" t="s">
        <v>654</v>
      </c>
      <c r="H36" s="84" t="str" cm="1">
        <f t="array" aca="1" ref="H36" ca="1">_xlfn.IFS($A36="","",OR($F36=99,$F36=""),_xlfn.TEXTJOIN("_",1,"device_name",$A36,$Y36),TRUE,OFFSET(H36,-1,0))</f>
        <v>device_name_1310107_double_edged_cutter</v>
      </c>
      <c r="J36" s="14" t="str">
        <f>_xlfn.LET(_xlpm.get_device_type,VLOOKUP(VALUE(MID(A36,3,1)),tb_device_info_type[#All],3,0),_xlpm.check_if_wheel,IF(LEFT(A36,2)="12","wheel",_xlpm.get_device_type),_xlpm.raw_output,IF($A36&lt;&gt;"",_xlfn.TEXTJOIN("_",1,"device_alt",_xlpm.check_if_wheel),""),IFERROR(_xlpm.raw_output,"information missing"))</f>
        <v>device_alt_melee</v>
      </c>
      <c r="K36" s="14" t="str" cm="1">
        <f t="array" ref="K36">_xlfn.IFS($A36="","",ISTEXT($L36),_xlfn.CONCAT("dwt","[device_wheel_thumbnail_",RIGHT($A36,1)-1,"]"),TRUE,_xlfn.CONCAT("dt","[device_thumbnail_",IF($L36&lt;&gt;"",$L36,0),"]"))</f>
        <v>dt[device_thumbnail_38]</v>
      </c>
      <c r="L36" s="34">
        <v>38</v>
      </c>
      <c r="M36" s="14" t="s">
        <v>79</v>
      </c>
      <c r="N36" s="14" t="s">
        <v>80</v>
      </c>
      <c r="O36" s="36" t="s">
        <v>108</v>
      </c>
      <c r="P36" s="15" t="str" cm="1">
        <f t="array" ref="P36">IFERROR(_xlfn.TEXTJOIN(";",1,_xlfn.MAP(_xlfn.TEXTSPLIT(O36,";"),_xlfn.LAMBDA(_xlpm.x,IFERROR(VLOOKUP(VALUE(_xlpm.x),device_tag!A:B,2,0),"error")))),"")</f>
        <v>近战武器;刀剑</v>
      </c>
      <c r="Q36" s="11" t="s">
        <v>109</v>
      </c>
      <c r="T36" s="24">
        <v>0</v>
      </c>
      <c r="U36" s="24">
        <v>1</v>
      </c>
      <c r="V36" s="24">
        <v>0</v>
      </c>
      <c r="W36" s="24">
        <v>1</v>
      </c>
      <c r="X36" s="24" t="s">
        <v>82</v>
      </c>
      <c r="Y36" s="62" t="s">
        <v>668</v>
      </c>
      <c r="Z36" s="85" t="str" cm="1">
        <f t="array" aca="1" ref="Z36" ca="1">_xlfn.IFS($A36="","",OR(F36=99,F36=""),_xlfn.TEXTJOIN("_",1,X36,$A36,Y36),TRUE,OFFSET($Z36,-1,0))</f>
        <v>device_1310107_double_edged_cutter</v>
      </c>
      <c r="AA36" s="91">
        <v>7</v>
      </c>
      <c r="AB36" s="90">
        <f t="shared" si="6"/>
        <v>1</v>
      </c>
      <c r="AC36" s="76">
        <f>ROUND($AD36*$AE36^$F36,0)</f>
        <v>10</v>
      </c>
      <c r="AD36" s="16">
        <v>10.11</v>
      </c>
      <c r="AE36" s="16">
        <f>POWER(1.6,2)</f>
        <v>2.5600000000000005</v>
      </c>
      <c r="AF36" s="11">
        <v>1</v>
      </c>
      <c r="AG36" s="11">
        <v>0</v>
      </c>
      <c r="AH36" s="11" t="str">
        <f t="shared" ref="AH36" si="18">_xlfn.TEXTJOIN("~",1,AI36:AJ36)</f>
        <v>0~3</v>
      </c>
      <c r="AI36" s="38">
        <v>0</v>
      </c>
      <c r="AJ36" s="27">
        <v>3</v>
      </c>
      <c r="AK36" s="110">
        <v>0</v>
      </c>
      <c r="AL36" s="110">
        <v>0</v>
      </c>
      <c r="AM36" s="110">
        <v>0</v>
      </c>
      <c r="AN36" s="110">
        <v>0</v>
      </c>
      <c r="AO36" s="110">
        <v>0</v>
      </c>
      <c r="AP36" s="14" t="b">
        <v>1</v>
      </c>
      <c r="AQ36" s="74" t="s">
        <v>592</v>
      </c>
      <c r="AR36" s="40"/>
      <c r="AS36" s="11">
        <f t="shared" si="1"/>
        <v>13101070</v>
      </c>
      <c r="AT36" s="40"/>
      <c r="AU36" s="40"/>
      <c r="AV36" s="40"/>
      <c r="AW36" s="40"/>
      <c r="AX36" s="40"/>
      <c r="AY36" s="11" t="str">
        <f t="shared" ref="AY36" si="19">_xlfn.TEXTJOIN("~",1,AZ36:BA36)</f>
        <v>2.5~0.1</v>
      </c>
      <c r="AZ36" s="27">
        <v>2.5</v>
      </c>
      <c r="BA36" s="27">
        <v>0.1</v>
      </c>
      <c r="BB36" s="50">
        <v>1</v>
      </c>
      <c r="BC36" s="74" t="s">
        <v>591</v>
      </c>
      <c r="BD36" s="11">
        <v>201</v>
      </c>
      <c r="BE36" s="28" t="str" cm="1">
        <f t="array" ref="BE36">IF(BD36&lt;&gt;"",_xlfn.TEXTJOIN("; ",1,VLOOKUP(VALUE(_xlfn.TEXTSPLIT(BD36,";")),device_cubicles!A:B,2,0)),"")</f>
        <v>近战攻击</v>
      </c>
    </row>
    <row r="37" spans="1:57">
      <c r="A37" s="14">
        <v>13101071</v>
      </c>
      <c r="B37" s="11">
        <v>0</v>
      </c>
      <c r="C37" s="15" t="s">
        <v>665</v>
      </c>
      <c r="D37" s="15" t="s">
        <v>211</v>
      </c>
      <c r="F37" s="11">
        <v>1</v>
      </c>
      <c r="G37" s="89" t="s">
        <v>654</v>
      </c>
      <c r="H37" s="84" t="str" cm="1">
        <f t="array" aca="1" ref="H37" ca="1">_xlfn.IFS($A37="","",OR($F37=99,$F37=""),_xlfn.TEXTJOIN("_",1,"device_name",$A37,$Y37),TRUE,OFFSET(H37,-1,0))</f>
        <v>device_name_1310107_double_edged_cutter</v>
      </c>
      <c r="J37" s="14" t="str">
        <f>_xlfn.LET(_xlpm.get_device_type,VLOOKUP(VALUE(MID(A37,3,1)),tb_device_info_type[#All],3,0),_xlpm.check_if_wheel,IF(LEFT(A37,2)="12","wheel",_xlpm.get_device_type),_xlpm.raw_output,IF($A37&lt;&gt;"",_xlfn.TEXTJOIN("_",1,"device_alt",_xlpm.check_if_wheel),""),IFERROR(_xlpm.raw_output,"information missing"))</f>
        <v>device_alt_melee</v>
      </c>
      <c r="K37" s="14" t="str" cm="1">
        <f t="array" ref="K37">_xlfn.IFS($A37="","",ISTEXT($L37),_xlfn.CONCAT("dwt","[device_wheel_thumbnail_",RIGHT($A37,1)-1,"]"),TRUE,_xlfn.CONCAT("dt","[device_thumbnail_",IF($L37&lt;&gt;"",$L37,0),"]"))</f>
        <v>dt[device_thumbnail_38]</v>
      </c>
      <c r="L37" s="34">
        <v>38</v>
      </c>
      <c r="M37" s="14" t="s">
        <v>79</v>
      </c>
      <c r="N37" s="14" t="s">
        <v>80</v>
      </c>
      <c r="O37" s="36" t="s">
        <v>108</v>
      </c>
      <c r="P37" s="15" t="str" cm="1">
        <f t="array" ref="P37">IFERROR(_xlfn.TEXTJOIN(";",1,_xlfn.MAP(_xlfn.TEXTSPLIT(O37,";"),_xlfn.LAMBDA(_xlpm.x,IFERROR(VLOOKUP(VALUE(_xlpm.x),device_tag!A:B,2,0),"error")))),"")</f>
        <v>近战武器;刀剑</v>
      </c>
      <c r="Q37" s="11" t="s">
        <v>109</v>
      </c>
      <c r="T37" s="24">
        <v>0</v>
      </c>
      <c r="U37" s="24">
        <v>1</v>
      </c>
      <c r="V37" s="24">
        <v>0</v>
      </c>
      <c r="W37" s="24">
        <v>1</v>
      </c>
      <c r="X37" s="24" t="s">
        <v>82</v>
      </c>
      <c r="Y37" s="62" t="s">
        <v>668</v>
      </c>
      <c r="Z37" s="85" t="str" cm="1">
        <f t="array" aca="1" ref="Z37" ca="1">_xlfn.IFS($A37="","",OR(F37=99,F37=""),_xlfn.TEXTJOIN("_",1,X37,$A37,Y37),TRUE,OFFSET($Z37,-1,0))</f>
        <v>device_1310107_double_edged_cutter</v>
      </c>
      <c r="AA37" s="91">
        <v>7</v>
      </c>
      <c r="AB37" s="90">
        <f t="shared" si="6"/>
        <v>1</v>
      </c>
      <c r="AC37" s="76">
        <f>ROUND($AD37*$AE37^$F37,0)</f>
        <v>26</v>
      </c>
      <c r="AD37" s="16">
        <v>10.11</v>
      </c>
      <c r="AE37" s="16">
        <f>POWER(1.6,2)</f>
        <v>2.5600000000000005</v>
      </c>
      <c r="AF37" s="11">
        <v>1</v>
      </c>
      <c r="AG37" s="11">
        <v>0</v>
      </c>
      <c r="AH37" s="11" t="str">
        <f t="shared" ref="AH37" si="20">_xlfn.TEXTJOIN("~",1,AI37:AJ37)</f>
        <v>0~3</v>
      </c>
      <c r="AI37" s="38">
        <v>0</v>
      </c>
      <c r="AJ37" s="27">
        <v>3</v>
      </c>
      <c r="AK37" s="110">
        <v>0</v>
      </c>
      <c r="AL37" s="110">
        <v>0</v>
      </c>
      <c r="AM37" s="110">
        <v>0</v>
      </c>
      <c r="AN37" s="110">
        <v>0</v>
      </c>
      <c r="AO37" s="110">
        <v>0</v>
      </c>
      <c r="AP37" s="14" t="b">
        <v>1</v>
      </c>
      <c r="AQ37" s="74" t="s">
        <v>592</v>
      </c>
      <c r="AR37" s="40"/>
      <c r="AS37" s="11">
        <f t="shared" si="1"/>
        <v>13101071</v>
      </c>
      <c r="AT37" s="40"/>
      <c r="AU37" s="40"/>
      <c r="AV37" s="40"/>
      <c r="AW37" s="40"/>
      <c r="AX37" s="40"/>
      <c r="AY37" s="11" t="str">
        <f t="shared" ref="AY37" si="21">_xlfn.TEXTJOIN("~",1,AZ37:BA37)</f>
        <v>2.5~0.1</v>
      </c>
      <c r="AZ37" s="27">
        <v>2.5</v>
      </c>
      <c r="BA37" s="27">
        <v>0.1</v>
      </c>
      <c r="BB37" s="50">
        <v>1</v>
      </c>
      <c r="BC37" s="74" t="s">
        <v>591</v>
      </c>
      <c r="BD37" s="11">
        <v>201</v>
      </c>
      <c r="BE37" s="28" t="str" cm="1">
        <f t="array" ref="BE37">IF(BD37&lt;&gt;"",_xlfn.TEXTJOIN("; ",1,VLOOKUP(VALUE(_xlfn.TEXTSPLIT(BD37,";")),device_cubicles!A:B,2,0)),"")</f>
        <v>近战攻击</v>
      </c>
    </row>
    <row r="38" spans="1:57">
      <c r="A38" s="14">
        <v>13101072</v>
      </c>
      <c r="B38" s="11">
        <v>0</v>
      </c>
      <c r="C38" s="15" t="s">
        <v>666</v>
      </c>
      <c r="D38" s="15" t="s">
        <v>211</v>
      </c>
      <c r="F38" s="11">
        <v>2</v>
      </c>
      <c r="G38" s="89" t="s">
        <v>654</v>
      </c>
      <c r="H38" s="84" t="str" cm="1">
        <f t="array" aca="1" ref="H38" ca="1">_xlfn.IFS($A38="","",OR($F38=99,$F38=""),_xlfn.TEXTJOIN("_",1,"device_name",$A38,$Y38),TRUE,OFFSET(H38,-1,0))</f>
        <v>device_name_1310107_double_edged_cutter</v>
      </c>
      <c r="J38" s="14" t="str">
        <f>_xlfn.LET(_xlpm.get_device_type,VLOOKUP(VALUE(MID(A38,3,1)),tb_device_info_type[#All],3,0),_xlpm.check_if_wheel,IF(LEFT(A38,2)="12","wheel",_xlpm.get_device_type),_xlpm.raw_output,IF($A38&lt;&gt;"",_xlfn.TEXTJOIN("_",1,"device_alt",_xlpm.check_if_wheel),""),IFERROR(_xlpm.raw_output,"information missing"))</f>
        <v>device_alt_melee</v>
      </c>
      <c r="K38" s="14" t="str" cm="1">
        <f t="array" ref="K38">_xlfn.IFS($A38="","",ISTEXT($L38),_xlfn.CONCAT("dwt","[device_wheel_thumbnail_",RIGHT($A38,1)-1,"]"),TRUE,_xlfn.CONCAT("dt","[device_thumbnail_",IF($L38&lt;&gt;"",$L38,0),"]"))</f>
        <v>dt[device_thumbnail_38]</v>
      </c>
      <c r="L38" s="34">
        <v>38</v>
      </c>
      <c r="M38" s="14" t="s">
        <v>79</v>
      </c>
      <c r="N38" s="14" t="s">
        <v>80</v>
      </c>
      <c r="O38" s="36" t="s">
        <v>108</v>
      </c>
      <c r="P38" s="15" t="str" cm="1">
        <f t="array" ref="P38">IFERROR(_xlfn.TEXTJOIN(";",1,_xlfn.MAP(_xlfn.TEXTSPLIT(O38,";"),_xlfn.LAMBDA(_xlpm.x,IFERROR(VLOOKUP(VALUE(_xlpm.x),device_tag!A:B,2,0),"error")))),"")</f>
        <v>近战武器;刀剑</v>
      </c>
      <c r="Q38" s="11" t="s">
        <v>109</v>
      </c>
      <c r="T38" s="24">
        <v>0</v>
      </c>
      <c r="U38" s="24">
        <v>1</v>
      </c>
      <c r="V38" s="24">
        <v>0</v>
      </c>
      <c r="W38" s="24">
        <v>1</v>
      </c>
      <c r="X38" s="24" t="s">
        <v>82</v>
      </c>
      <c r="Y38" s="62" t="s">
        <v>668</v>
      </c>
      <c r="Z38" s="85" t="str" cm="1">
        <f t="array" aca="1" ref="Z38" ca="1">_xlfn.IFS($A38="","",OR(F38=99,F38=""),_xlfn.TEXTJOIN("_",1,X38,$A38,Y38),TRUE,OFFSET($Z38,-1,0))</f>
        <v>device_1310107_double_edged_cutter</v>
      </c>
      <c r="AA38" s="91">
        <v>7</v>
      </c>
      <c r="AB38" s="90">
        <f t="shared" si="6"/>
        <v>1</v>
      </c>
      <c r="AC38" s="76">
        <f>ROUND($AD38*$AE38^$F38,0)</f>
        <v>66</v>
      </c>
      <c r="AD38" s="16">
        <v>10.11</v>
      </c>
      <c r="AE38" s="16">
        <f>POWER(1.6,2)</f>
        <v>2.5600000000000005</v>
      </c>
      <c r="AF38" s="11">
        <v>1</v>
      </c>
      <c r="AG38" s="11">
        <v>0</v>
      </c>
      <c r="AH38" s="11" t="str">
        <f t="shared" ref="AH38" si="22">_xlfn.TEXTJOIN("~",1,AI38:AJ38)</f>
        <v>0~3</v>
      </c>
      <c r="AI38" s="38">
        <v>0</v>
      </c>
      <c r="AJ38" s="27">
        <v>3</v>
      </c>
      <c r="AK38" s="110">
        <v>0</v>
      </c>
      <c r="AL38" s="110">
        <v>0</v>
      </c>
      <c r="AM38" s="110">
        <v>0</v>
      </c>
      <c r="AN38" s="110">
        <v>0</v>
      </c>
      <c r="AO38" s="110">
        <v>0</v>
      </c>
      <c r="AP38" s="14" t="b">
        <v>1</v>
      </c>
      <c r="AQ38" s="74" t="s">
        <v>592</v>
      </c>
      <c r="AR38" s="40"/>
      <c r="AS38" s="11">
        <f t="shared" si="1"/>
        <v>13101072</v>
      </c>
      <c r="AT38" s="40"/>
      <c r="AU38" s="40"/>
      <c r="AV38" s="40"/>
      <c r="AW38" s="40"/>
      <c r="AX38" s="40"/>
      <c r="AY38" s="11" t="str">
        <f t="shared" ref="AY38" si="23">_xlfn.TEXTJOIN("~",1,AZ38:BA38)</f>
        <v>2.5~0.1</v>
      </c>
      <c r="AZ38" s="27">
        <v>2.5</v>
      </c>
      <c r="BA38" s="27">
        <v>0.1</v>
      </c>
      <c r="BB38" s="50">
        <v>1</v>
      </c>
      <c r="BC38" s="74" t="s">
        <v>591</v>
      </c>
      <c r="BD38" s="11">
        <v>201</v>
      </c>
      <c r="BE38" s="28" t="str" cm="1">
        <f t="array" ref="BE38">IF(BD38&lt;&gt;"",_xlfn.TEXTJOIN("; ",1,VLOOKUP(VALUE(_xlfn.TEXTSPLIT(BD38,";")),device_cubicles!A:B,2,0)),"")</f>
        <v>近战攻击</v>
      </c>
    </row>
    <row r="39" spans="1:57">
      <c r="A39" s="14">
        <v>13101073</v>
      </c>
      <c r="B39" s="11">
        <v>0</v>
      </c>
      <c r="C39" s="15" t="s">
        <v>667</v>
      </c>
      <c r="D39" s="15" t="s">
        <v>211</v>
      </c>
      <c r="F39" s="11">
        <v>3</v>
      </c>
      <c r="G39" s="89" t="s">
        <v>654</v>
      </c>
      <c r="H39" s="84" t="str" cm="1">
        <f t="array" aca="1" ref="H39" ca="1">_xlfn.IFS($A39="","",OR($F39=99,$F39=""),_xlfn.TEXTJOIN("_",1,"device_name",$A39,$Y39),TRUE,OFFSET(H39,-1,0))</f>
        <v>device_name_1310107_double_edged_cutter</v>
      </c>
      <c r="J39" s="14" t="str">
        <f>_xlfn.LET(_xlpm.get_device_type,VLOOKUP(VALUE(MID(A39,3,1)),tb_device_info_type[#All],3,0),_xlpm.check_if_wheel,IF(LEFT(A39,2)="12","wheel",_xlpm.get_device_type),_xlpm.raw_output,IF($A39&lt;&gt;"",_xlfn.TEXTJOIN("_",1,"device_alt",_xlpm.check_if_wheel),""),IFERROR(_xlpm.raw_output,"information missing"))</f>
        <v>device_alt_melee</v>
      </c>
      <c r="K39" s="14" t="str" cm="1">
        <f t="array" ref="K39">_xlfn.IFS($A39="","",ISTEXT($L39),_xlfn.CONCAT("dwt","[device_wheel_thumbnail_",RIGHT($A39,1)-1,"]"),TRUE,_xlfn.CONCAT("dt","[device_thumbnail_",IF($L39&lt;&gt;"",$L39,0),"]"))</f>
        <v>dt[device_thumbnail_38]</v>
      </c>
      <c r="L39" s="34">
        <v>38</v>
      </c>
      <c r="M39" s="14" t="s">
        <v>79</v>
      </c>
      <c r="N39" s="14" t="s">
        <v>80</v>
      </c>
      <c r="O39" s="36" t="s">
        <v>108</v>
      </c>
      <c r="P39" s="15" t="str" cm="1">
        <f t="array" ref="P39">IFERROR(_xlfn.TEXTJOIN(";",1,_xlfn.MAP(_xlfn.TEXTSPLIT(O39,";"),_xlfn.LAMBDA(_xlpm.x,IFERROR(VLOOKUP(VALUE(_xlpm.x),device_tag!A:B,2,0),"error")))),"")</f>
        <v>近战武器;刀剑</v>
      </c>
      <c r="Q39" s="11" t="s">
        <v>109</v>
      </c>
      <c r="T39" s="24">
        <v>0</v>
      </c>
      <c r="U39" s="24">
        <v>1</v>
      </c>
      <c r="V39" s="24">
        <v>0</v>
      </c>
      <c r="W39" s="24">
        <v>1</v>
      </c>
      <c r="X39" s="24" t="s">
        <v>82</v>
      </c>
      <c r="Y39" s="62" t="s">
        <v>668</v>
      </c>
      <c r="Z39" s="85" t="str" cm="1">
        <f t="array" aca="1" ref="Z39" ca="1">_xlfn.IFS($A39="","",OR(F39=99,F39=""),_xlfn.TEXTJOIN("_",1,X39,$A39,Y39),TRUE,OFFSET($Z39,-1,0))</f>
        <v>device_1310107_double_edged_cutter</v>
      </c>
      <c r="AA39" s="91">
        <v>7</v>
      </c>
      <c r="AB39" s="90">
        <f t="shared" si="6"/>
        <v>1</v>
      </c>
      <c r="AC39" s="76">
        <f>ROUND($AD39*$AE39^$F39,0)</f>
        <v>170</v>
      </c>
      <c r="AD39" s="16">
        <v>10.11</v>
      </c>
      <c r="AE39" s="16">
        <f>POWER(1.6,2)</f>
        <v>2.5600000000000005</v>
      </c>
      <c r="AF39" s="11">
        <v>1</v>
      </c>
      <c r="AG39" s="11">
        <v>0</v>
      </c>
      <c r="AH39" s="11" t="str">
        <f t="shared" ref="AH39" si="24">_xlfn.TEXTJOIN("~",1,AI39:AJ39)</f>
        <v>0~3</v>
      </c>
      <c r="AI39" s="38">
        <v>0</v>
      </c>
      <c r="AJ39" s="27">
        <v>3</v>
      </c>
      <c r="AK39" s="110">
        <v>0</v>
      </c>
      <c r="AL39" s="110">
        <v>0</v>
      </c>
      <c r="AM39" s="110">
        <v>0</v>
      </c>
      <c r="AN39" s="110">
        <v>0</v>
      </c>
      <c r="AO39" s="110">
        <v>0</v>
      </c>
      <c r="AP39" s="14" t="b">
        <v>1</v>
      </c>
      <c r="AQ39" s="74" t="s">
        <v>592</v>
      </c>
      <c r="AR39" s="40"/>
      <c r="AS39" s="11">
        <f t="shared" si="1"/>
        <v>13101073</v>
      </c>
      <c r="AT39" s="40"/>
      <c r="AU39" s="40"/>
      <c r="AV39" s="40"/>
      <c r="AW39" s="40"/>
      <c r="AX39" s="40"/>
      <c r="AY39" s="11" t="str">
        <f t="shared" ref="AY39" si="25">_xlfn.TEXTJOIN("~",1,AZ39:BA39)</f>
        <v>2.5~0.1</v>
      </c>
      <c r="AZ39" s="27">
        <v>2.5</v>
      </c>
      <c r="BA39" s="27">
        <v>0.1</v>
      </c>
      <c r="BB39" s="50">
        <v>1</v>
      </c>
      <c r="BC39" s="74" t="s">
        <v>591</v>
      </c>
      <c r="BD39" s="11">
        <v>201</v>
      </c>
      <c r="BE39" s="28" t="str" cm="1">
        <f t="array" ref="BE39">IF(BD39&lt;&gt;"",_xlfn.TEXTJOIN("; ",1,VLOOKUP(VALUE(_xlfn.TEXTSPLIT(BD39,";")),device_cubicles!A:B,2,0)),"")</f>
        <v>近战攻击</v>
      </c>
    </row>
    <row r="40" spans="1:57">
      <c r="A40" s="14">
        <v>1311101</v>
      </c>
      <c r="B40" s="11">
        <v>0</v>
      </c>
      <c r="C40" s="15" t="s">
        <v>126</v>
      </c>
      <c r="D40" s="15" t="s">
        <v>127</v>
      </c>
      <c r="G40" s="15" t="s">
        <v>128</v>
      </c>
      <c r="H40" s="84" t="str" cm="1">
        <f t="array" aca="1" ref="H40" ca="1">_xlfn.IFS($A40="","",OR($F40=99,$F40=""),_xlfn.TEXTJOIN("_",1,"device_name",$A40,$Y40),TRUE,OFFSET(H40,-1,0))</f>
        <v>device_name_1311101_executioner_baton</v>
      </c>
      <c r="J40" s="14" t="str">
        <f>_xlfn.LET(_xlpm.get_device_type,VLOOKUP(VALUE(MID(A40,3,1)),tb_device_info_type[#All],3,0),_xlpm.check_if_wheel,IF(LEFT(A40,2)="12","wheel",_xlpm.get_device_type),_xlpm.raw_output,IF($A40&lt;&gt;"",_xlfn.TEXTJOIN("_",1,"device_alt",_xlpm.check_if_wheel),""),IFERROR(_xlpm.raw_output,"information missing"))</f>
        <v>device_alt_melee</v>
      </c>
      <c r="K40" s="14" t="str" cm="1">
        <f t="array" ref="K40">_xlfn.IFS($A40="","",ISTEXT($L40),_xlfn.CONCAT("dwt","[device_wheel_thumbnail_",RIGHT($A40,1)-1,"]"),TRUE,_xlfn.CONCAT("dt","[device_thumbnail_",IF($L40&lt;&gt;"",$L40,0),"]"))</f>
        <v>dt[device_thumbnail_9]</v>
      </c>
      <c r="L40" s="34">
        <v>9</v>
      </c>
      <c r="M40" s="14" t="s">
        <v>79</v>
      </c>
      <c r="N40" s="14" t="s">
        <v>80</v>
      </c>
      <c r="O40" s="36" t="s">
        <v>129</v>
      </c>
      <c r="P40" s="15" t="str" cm="1">
        <f t="array" ref="P40">IFERROR(_xlfn.TEXTJOIN(";",1,_xlfn.MAP(_xlfn.TEXTSPLIT(O40,";"),_xlfn.LAMBDA(_xlpm.x,IFERROR(VLOOKUP(VALUE(_xlpm.x),device_tag!A:B,2,0),"error")))),"")</f>
        <v>近战武器;棍棒</v>
      </c>
      <c r="Q40" s="11" t="s">
        <v>109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 t="s">
        <v>82</v>
      </c>
      <c r="Y40" s="24" t="s">
        <v>130</v>
      </c>
      <c r="Z40" s="85" t="str" cm="1">
        <f t="array" aca="1" ref="Z40" ca="1">_xlfn.IFS($A40="","",OR(F40=99,F40=""),_xlfn.TEXTJOIN("_",1,X40,$A40,Y40),TRUE,OFFSET($Z40,-1,0))</f>
        <v>device_1311101_executioner_baton</v>
      </c>
      <c r="AA40" s="11">
        <v>3</v>
      </c>
      <c r="AB40" s="11">
        <v>1</v>
      </c>
      <c r="AC40" s="11">
        <v>14</v>
      </c>
      <c r="AF40" s="11">
        <v>1</v>
      </c>
      <c r="AG40" s="11">
        <v>0</v>
      </c>
      <c r="AH40" s="11" t="str">
        <f t="shared" si="0"/>
        <v>0~2.8</v>
      </c>
      <c r="AI40" s="38">
        <v>0</v>
      </c>
      <c r="AJ40" s="27">
        <v>2.8</v>
      </c>
      <c r="AK40" s="110">
        <v>0</v>
      </c>
      <c r="AL40" s="110">
        <v>0</v>
      </c>
      <c r="AM40" s="110">
        <v>0</v>
      </c>
      <c r="AN40" s="110">
        <v>0</v>
      </c>
      <c r="AO40" s="110">
        <v>0</v>
      </c>
      <c r="AP40" s="14" t="b">
        <v>1</v>
      </c>
      <c r="AQ40" s="46" t="s">
        <v>111</v>
      </c>
      <c r="AR40" s="40"/>
      <c r="AS40" s="11">
        <f t="shared" si="1"/>
        <v>1311101</v>
      </c>
      <c r="AT40" s="40"/>
      <c r="AU40" s="40"/>
      <c r="AV40" s="40"/>
      <c r="AW40" s="40"/>
      <c r="AX40" s="40"/>
      <c r="AY40" s="11" t="str">
        <f t="shared" ref="AY40" si="26">_xlfn.TEXTJOIN("~",1,AZ40:BA40)</f>
        <v>5~0.8</v>
      </c>
      <c r="AZ40" s="27">
        <v>5</v>
      </c>
      <c r="BA40" s="27">
        <v>0.8</v>
      </c>
      <c r="BB40" s="11" t="str">
        <f t="shared" si="3"/>
        <v>6311101</v>
      </c>
      <c r="BC40" s="51" t="s">
        <v>131</v>
      </c>
      <c r="BD40" s="11">
        <v>201</v>
      </c>
      <c r="BE40" s="28" t="str" cm="1">
        <f t="array" ref="BE40">IF(BD40&lt;&gt;"",_xlfn.TEXTJOIN("; ",1,VLOOKUP(VALUE(_xlfn.TEXTSPLIT(BD40,";")),device_cubicles!A:B,2,0)),"")</f>
        <v>近战攻击</v>
      </c>
    </row>
    <row r="41" spans="1:57">
      <c r="A41" s="14">
        <v>1311102</v>
      </c>
      <c r="B41" s="11">
        <v>0</v>
      </c>
      <c r="C41" s="15" t="s">
        <v>132</v>
      </c>
      <c r="D41" s="15" t="s">
        <v>127</v>
      </c>
      <c r="G41" s="15" t="s">
        <v>133</v>
      </c>
      <c r="H41" s="84" t="str" cm="1">
        <f t="array" aca="1" ref="H41" ca="1">_xlfn.IFS($A41="","",OR($F41=99,$F41=""),_xlfn.TEXTJOIN("_",1,"device_name",$A41,$Y41),TRUE,OFFSET(H41,-1,0))</f>
        <v>device_name_1311102_executioner_halberd</v>
      </c>
      <c r="J41" s="14" t="str">
        <f>_xlfn.LET(_xlpm.get_device_type,VLOOKUP(VALUE(MID(A41,3,1)),tb_device_info_type[#All],3,0),_xlpm.check_if_wheel,IF(LEFT(A41,2)="12","wheel",_xlpm.get_device_type),_xlpm.raw_output,IF($A41&lt;&gt;"",_xlfn.TEXTJOIN("_",1,"device_alt",_xlpm.check_if_wheel),""),IFERROR(_xlpm.raw_output,"information missing"))</f>
        <v>device_alt_melee</v>
      </c>
      <c r="K41" s="14" t="str" cm="1">
        <f t="array" ref="K41">_xlfn.IFS($A41="","",ISTEXT($L41),_xlfn.CONCAT("dwt","[device_wheel_thumbnail_",RIGHT($A41,1)-1,"]"),TRUE,_xlfn.CONCAT("dt","[device_thumbnail_",IF($L41&lt;&gt;"",$L41,0),"]"))</f>
        <v>dt[device_thumbnail_10]</v>
      </c>
      <c r="L41" s="34">
        <v>10</v>
      </c>
      <c r="M41" s="14" t="s">
        <v>79</v>
      </c>
      <c r="N41" s="14" t="s">
        <v>80</v>
      </c>
      <c r="O41" s="36" t="s">
        <v>134</v>
      </c>
      <c r="P41" s="15" t="str" cm="1">
        <f t="array" ref="P41">IFERROR(_xlfn.TEXTJOIN(";",1,_xlfn.MAP(_xlfn.TEXTSPLIT(O41,";"),_xlfn.LAMBDA(_xlpm.x,IFERROR(VLOOKUP(VALUE(_xlpm.x),device_tag!A:B,2,0),"error")))),"")</f>
        <v>近战武器;斧钺</v>
      </c>
      <c r="Q41" s="11" t="s">
        <v>109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 t="s">
        <v>82</v>
      </c>
      <c r="Y41" s="24" t="s">
        <v>135</v>
      </c>
      <c r="Z41" s="85" t="str" cm="1">
        <f t="array" aca="1" ref="Z41" ca="1">_xlfn.IFS($A41="","",OR(F41=99,F41=""),_xlfn.TEXTJOIN("_",1,X41,$A41,Y41),TRUE,OFFSET($Z41,-1,0))</f>
        <v>device_1311102_executioner_halberd</v>
      </c>
      <c r="AA41" s="11">
        <v>9</v>
      </c>
      <c r="AB41" s="11">
        <v>1</v>
      </c>
      <c r="AC41" s="11">
        <v>16</v>
      </c>
      <c r="AF41" s="11">
        <v>1</v>
      </c>
      <c r="AG41" s="11">
        <v>0</v>
      </c>
      <c r="AH41" s="11" t="str">
        <f t="shared" si="0"/>
        <v>0~3</v>
      </c>
      <c r="AI41" s="38">
        <v>0</v>
      </c>
      <c r="AJ41" s="27">
        <v>3</v>
      </c>
      <c r="AK41" s="110">
        <v>0</v>
      </c>
      <c r="AL41" s="110">
        <v>0</v>
      </c>
      <c r="AM41" s="110">
        <v>0</v>
      </c>
      <c r="AN41" s="110">
        <v>0</v>
      </c>
      <c r="AO41" s="110">
        <v>0</v>
      </c>
      <c r="AP41" s="14" t="b">
        <v>1</v>
      </c>
      <c r="AQ41" s="46" t="s">
        <v>111</v>
      </c>
      <c r="AR41" s="40"/>
      <c r="AS41" s="11">
        <f t="shared" si="1"/>
        <v>1311102</v>
      </c>
      <c r="AT41" s="40"/>
      <c r="AU41" s="40"/>
      <c r="AV41" s="40"/>
      <c r="AW41" s="40"/>
      <c r="AX41" s="40"/>
      <c r="AY41" s="11" t="str">
        <f t="shared" ref="AY41:AY42" si="27">_xlfn.TEXTJOIN("~",1,AZ41:BA41)</f>
        <v>1.25~0.1</v>
      </c>
      <c r="AZ41" s="27">
        <v>1.25</v>
      </c>
      <c r="BA41" s="27">
        <v>0.1</v>
      </c>
      <c r="BB41" s="11" t="str">
        <f t="shared" si="3"/>
        <v>6311102</v>
      </c>
      <c r="BC41" s="51" t="s">
        <v>112</v>
      </c>
      <c r="BD41" s="11" t="s">
        <v>113</v>
      </c>
      <c r="BE41" s="28" t="str" cm="1">
        <f t="array" ref="BE41">IF(BD41&lt;&gt;"",_xlfn.TEXTJOIN("; ",1,VLOOKUP(VALUE(_xlfn.TEXTSPLIT(BD41,";")),device_cubicles!A:B,2,0)),"")</f>
        <v>近战攻击; 磨砺刀刃</v>
      </c>
    </row>
    <row r="42" spans="1:57">
      <c r="A42" s="14">
        <v>1311801</v>
      </c>
      <c r="B42" s="11">
        <v>0</v>
      </c>
      <c r="C42" s="15" t="s">
        <v>136</v>
      </c>
      <c r="D42" s="15" t="s">
        <v>77</v>
      </c>
      <c r="G42" s="15" t="s">
        <v>137</v>
      </c>
      <c r="H42" s="84" t="str" cm="1">
        <f t="array" aca="1" ref="H42" ca="1">_xlfn.IFS($A42="","",OR($F42=99,$F42=""),_xlfn.TEXTJOIN("_",1,"device_name",$A42,$Y42),TRUE,OFFSET(H42,-1,0))</f>
        <v>device_name_1311801_short_harpoon</v>
      </c>
      <c r="J42" s="14" t="str">
        <f>_xlfn.LET(_xlpm.get_device_type,VLOOKUP(VALUE(MID(A42,3,1)),tb_device_info_type[#All],3,0),_xlpm.check_if_wheel,IF(LEFT(A42,2)="12","wheel",_xlpm.get_device_type),_xlpm.raw_output,IF($A42&lt;&gt;"",_xlfn.TEXTJOIN("_",1,"device_alt",_xlpm.check_if_wheel),""),IFERROR(_xlpm.raw_output,"information missing"))</f>
        <v>device_alt_melee</v>
      </c>
      <c r="K42" s="14" t="str" cm="1">
        <f t="array" ref="K42">_xlfn.IFS($A42="","",ISTEXT($L42),_xlfn.CONCAT("dwt","[device_wheel_thumbnail_",RIGHT($A42,1)-1,"]"),TRUE,_xlfn.CONCAT("dt","[device_thumbnail_",IF($L42&lt;&gt;"",$L42,0),"]"))</f>
        <v>dt[device_thumbnail_28]</v>
      </c>
      <c r="L42" s="34">
        <v>28</v>
      </c>
      <c r="M42" s="14" t="s">
        <v>79</v>
      </c>
      <c r="N42" s="14" t="s">
        <v>80</v>
      </c>
      <c r="O42" s="36" t="s">
        <v>123</v>
      </c>
      <c r="P42" s="15" t="str" cm="1">
        <f t="array" ref="P42">IFERROR(_xlfn.TEXTJOIN(";",1,_xlfn.MAP(_xlfn.TEXTSPLIT(O42,";"),_xlfn.LAMBDA(_xlpm.x,IFERROR(VLOOKUP(VALUE(_xlpm.x),device_tag!A:B,2,0),"error")))),"")</f>
        <v>近战武器;长矛</v>
      </c>
      <c r="Q42" s="11" t="s">
        <v>109</v>
      </c>
      <c r="T42" s="24">
        <v>0</v>
      </c>
      <c r="U42" s="24">
        <v>1</v>
      </c>
      <c r="V42" s="24">
        <v>0</v>
      </c>
      <c r="W42" s="24">
        <v>1</v>
      </c>
      <c r="X42" s="24" t="s">
        <v>82</v>
      </c>
      <c r="Y42" s="24" t="s">
        <v>138</v>
      </c>
      <c r="Z42" s="85" t="str" cm="1">
        <f t="array" aca="1" ref="Z42" ca="1">_xlfn.IFS($A42="","",OR(F42=99,F42=""),_xlfn.TEXTJOIN("_",1,X42,$A42,Y42),TRUE,OFFSET($Z42,-1,0))</f>
        <v>device_1311801_short_harpoon</v>
      </c>
      <c r="AA42" s="11">
        <v>3</v>
      </c>
      <c r="AB42" s="11">
        <v>1</v>
      </c>
      <c r="AC42" s="11">
        <v>13</v>
      </c>
      <c r="AF42" s="11">
        <v>1</v>
      </c>
      <c r="AG42" s="11">
        <v>0</v>
      </c>
      <c r="AH42" s="11" t="str">
        <f t="shared" ref="AH42" si="28">_xlfn.TEXTJOIN("~",1,AI42:AJ42)</f>
        <v>0~3.3</v>
      </c>
      <c r="AI42" s="38">
        <v>0</v>
      </c>
      <c r="AJ42" s="27">
        <v>3.3</v>
      </c>
      <c r="AK42" s="110">
        <v>0</v>
      </c>
      <c r="AL42" s="110">
        <v>0</v>
      </c>
      <c r="AM42" s="110">
        <v>0</v>
      </c>
      <c r="AN42" s="110">
        <v>0</v>
      </c>
      <c r="AO42" s="110">
        <v>0</v>
      </c>
      <c r="AP42" s="14" t="b">
        <v>1</v>
      </c>
      <c r="AQ42" s="46" t="s">
        <v>111</v>
      </c>
      <c r="AR42" s="40"/>
      <c r="AS42" s="11">
        <f t="shared" si="1"/>
        <v>1311801</v>
      </c>
      <c r="AT42" s="40"/>
      <c r="AU42" s="40"/>
      <c r="AV42" s="40"/>
      <c r="AW42" s="40"/>
      <c r="AX42" s="40"/>
      <c r="AY42" s="11" t="str">
        <f t="shared" si="27"/>
        <v>9~2</v>
      </c>
      <c r="AZ42" s="27">
        <v>9</v>
      </c>
      <c r="BA42" s="27">
        <v>2</v>
      </c>
      <c r="BB42" s="50">
        <v>1</v>
      </c>
      <c r="BC42" s="51" t="s">
        <v>139</v>
      </c>
      <c r="BD42" s="11" t="s">
        <v>113</v>
      </c>
      <c r="BE42" s="28" t="str" cm="1">
        <f t="array" ref="BE42">IF(BD42&lt;&gt;"",_xlfn.TEXTJOIN("; ",1,VLOOKUP(VALUE(_xlfn.TEXTSPLIT(BD42,";")),device_cubicles!A:B,2,0)),"")</f>
        <v>近战攻击; 磨砺刀刃</v>
      </c>
    </row>
    <row r="43" spans="1:57">
      <c r="A43" s="14">
        <v>1311802</v>
      </c>
      <c r="B43" s="11">
        <v>0</v>
      </c>
      <c r="C43" s="64" t="s">
        <v>499</v>
      </c>
      <c r="D43" s="15" t="s">
        <v>77</v>
      </c>
      <c r="G43" s="15" t="s">
        <v>500</v>
      </c>
      <c r="H43" s="84" t="str" cm="1">
        <f t="array" aca="1" ref="H43" ca="1">_xlfn.IFS($A43="","",OR($F43=99,$F43=""),_xlfn.TEXTJOIN("_",1,"device_name",$A43,$Y43),TRUE,OFFSET(H43,-1,0))</f>
        <v>device_name_1311802_tentacle</v>
      </c>
      <c r="J43" s="14" t="str">
        <f>_xlfn.LET(_xlpm.get_device_type,VLOOKUP(VALUE(MID(A43,3,1)),tb_device_info_type[#All],3,0),_xlpm.check_if_wheel,IF(LEFT(A43,2)="12","wheel",_xlpm.get_device_type),_xlpm.raw_output,IF($A43&lt;&gt;"",_xlfn.TEXTJOIN("_",1,"device_alt",_xlpm.check_if_wheel),""),IFERROR(_xlpm.raw_output,"information missing"))</f>
        <v>device_alt_melee</v>
      </c>
      <c r="K43" s="14" t="str" cm="1">
        <f t="array" ref="K43">_xlfn.IFS($A43="","",ISTEXT($L43),_xlfn.CONCAT("dwt","[device_wheel_thumbnail_",RIGHT($A43,1)-1,"]"),TRUE,_xlfn.CONCAT("dt","[device_thumbnail_",IF($L43&lt;&gt;"",$L43,0),"]"))</f>
        <v>dt[device_thumbnail_119]</v>
      </c>
      <c r="L43" s="61">
        <v>119</v>
      </c>
      <c r="M43" s="14" t="s">
        <v>79</v>
      </c>
      <c r="N43" s="14" t="s">
        <v>80</v>
      </c>
      <c r="O43" s="36">
        <v>1420100</v>
      </c>
      <c r="P43" s="15" t="str" cm="1">
        <f t="array" ref="P43">IFERROR(_xlfn.TEXTJOIN(";",1,_xlfn.MAP(_xlfn.TEXTSPLIT(O43,";"),_xlfn.LAMBDA(_xlpm.x,IFERROR(VLOOKUP(VALUE(_xlpm.x),device_tag!A:B,2,0),"error")))),"")</f>
        <v>近战武器</v>
      </c>
      <c r="Q43" s="11" t="s">
        <v>109</v>
      </c>
      <c r="T43" s="24">
        <v>0</v>
      </c>
      <c r="U43" s="24">
        <v>1</v>
      </c>
      <c r="V43" s="24">
        <v>0</v>
      </c>
      <c r="W43" s="24">
        <v>1</v>
      </c>
      <c r="X43" s="24" t="s">
        <v>82</v>
      </c>
      <c r="Y43" s="62" t="s">
        <v>501</v>
      </c>
      <c r="Z43" s="85" t="str" cm="1">
        <f t="array" aca="1" ref="Z43" ca="1">_xlfn.IFS($A43="","",OR(F43=99,F43=""),_xlfn.TEXTJOIN("_",1,X43,$A43,Y43),TRUE,OFFSET($Z43,-1,0))</f>
        <v>device_1311802_tentacle</v>
      </c>
      <c r="AA43" s="11">
        <v>15</v>
      </c>
      <c r="AB43" s="11">
        <v>1</v>
      </c>
      <c r="AC43" s="11">
        <v>18</v>
      </c>
      <c r="AF43" s="11">
        <v>1</v>
      </c>
      <c r="AG43" s="11">
        <v>0</v>
      </c>
      <c r="AH43" s="11" t="str">
        <f t="shared" ref="AH43:AH46" si="29">_xlfn.TEXTJOIN("~",1,AI43:AJ43)</f>
        <v>0~3.3</v>
      </c>
      <c r="AI43" s="38">
        <v>0</v>
      </c>
      <c r="AJ43" s="27">
        <v>3.3</v>
      </c>
      <c r="AK43" s="110">
        <v>0</v>
      </c>
      <c r="AL43" s="110">
        <v>0</v>
      </c>
      <c r="AM43" s="110">
        <v>0</v>
      </c>
      <c r="AN43" s="110">
        <v>0</v>
      </c>
      <c r="AO43" s="110">
        <v>0</v>
      </c>
      <c r="AP43" s="14" t="b">
        <v>1</v>
      </c>
      <c r="AQ43" s="63" t="s">
        <v>512</v>
      </c>
      <c r="AR43" s="40"/>
      <c r="AS43" s="11">
        <f t="shared" si="1"/>
        <v>1311802</v>
      </c>
      <c r="AT43" s="40"/>
      <c r="AU43" s="40"/>
      <c r="AV43" s="40"/>
      <c r="AW43" s="40"/>
      <c r="AX43" s="40"/>
      <c r="AY43" s="11" t="str">
        <f t="shared" ref="AY43:AY46" si="30">_xlfn.TEXTJOIN("~",1,AZ43:BA43)</f>
        <v>7~2.5</v>
      </c>
      <c r="AZ43" s="27">
        <v>7</v>
      </c>
      <c r="BA43" s="27">
        <v>2.5</v>
      </c>
      <c r="BB43" s="50">
        <v>1</v>
      </c>
      <c r="BC43" s="65" t="s">
        <v>131</v>
      </c>
      <c r="BD43" s="11">
        <v>201</v>
      </c>
      <c r="BE43" s="28" t="str" cm="1">
        <f t="array" ref="BE43">IF(BD43&lt;&gt;"",_xlfn.TEXTJOIN("; ",1,VLOOKUP(VALUE(_xlfn.TEXTSPLIT(BD43,";")),device_cubicles!A:B,2,0)),"")</f>
        <v>近战攻击</v>
      </c>
    </row>
    <row r="44" spans="1:57">
      <c r="A44" s="14">
        <v>1319000</v>
      </c>
      <c r="B44" s="11">
        <v>0</v>
      </c>
      <c r="C44" s="15" t="s">
        <v>539</v>
      </c>
      <c r="D44" s="15" t="s">
        <v>127</v>
      </c>
      <c r="G44" s="15" t="s">
        <v>128</v>
      </c>
      <c r="H44" s="65" t="s">
        <v>540</v>
      </c>
      <c r="J44" s="14" t="str">
        <f>_xlfn.LET(_xlpm.get_device_type,VLOOKUP(VALUE(MID(A44,3,1)),tb_device_info_type[#All],3,0),_xlpm.check_if_wheel,IF(LEFT(A44,2)="12","wheel",_xlpm.get_device_type),_xlpm.raw_output,IF($A44&lt;&gt;"",_xlfn.TEXTJOIN("_",1,"device_alt",_xlpm.check_if_wheel),""),IFERROR(_xlpm.raw_output,"information missing"))</f>
        <v>device_alt_melee</v>
      </c>
      <c r="K44" s="14" t="str" cm="1">
        <f t="array" ref="K44">_xlfn.IFS($A44="","",ISTEXT($L44),_xlfn.CONCAT("dwt","[device_wheel_thumbnail_",RIGHT($A44,1)-1,"]"),TRUE,_xlfn.CONCAT("dt","[device_thumbnail_",IF($L44&lt;&gt;"",$L44,0),"]"))</f>
        <v>dt[device_thumbnail_9]</v>
      </c>
      <c r="L44" s="34">
        <v>9</v>
      </c>
      <c r="M44" s="14" t="s">
        <v>79</v>
      </c>
      <c r="N44" s="14" t="s">
        <v>80</v>
      </c>
      <c r="O44" s="36" t="s">
        <v>129</v>
      </c>
      <c r="P44" s="15" t="str" cm="1">
        <f t="array" ref="P44">IFERROR(_xlfn.TEXTJOIN(";",1,_xlfn.MAP(_xlfn.TEXTSPLIT(O44,";"),_xlfn.LAMBDA(_xlpm.x,IFERROR(VLOOKUP(VALUE(_xlpm.x),device_tag!A:B,2,0),"error")))),"")</f>
        <v>近战武器;棍棒</v>
      </c>
      <c r="Q44" s="11" t="s">
        <v>109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 t="s">
        <v>82</v>
      </c>
      <c r="Y44" s="24" t="s">
        <v>130</v>
      </c>
      <c r="Z44" s="85" t="str" cm="1">
        <f t="array" aca="1" ref="Z44" ca="1">_xlfn.IFS($A44="","",OR(F44=99,F44=""),_xlfn.TEXTJOIN("_",1,X44,$A44,Y44),TRUE,OFFSET($Z44,-1,0))</f>
        <v>device_1319000_executioner_baton</v>
      </c>
      <c r="AA44" s="11">
        <v>3</v>
      </c>
      <c r="AB44" s="11">
        <v>1</v>
      </c>
      <c r="AC44" s="11">
        <v>14</v>
      </c>
      <c r="AF44" s="11">
        <v>1</v>
      </c>
      <c r="AG44" s="11">
        <v>0</v>
      </c>
      <c r="AH44" s="11" t="str">
        <f t="shared" ref="AH44" si="31">_xlfn.TEXTJOIN("~",1,AI44:AJ44)</f>
        <v>0~2.8</v>
      </c>
      <c r="AI44" s="38">
        <v>0</v>
      </c>
      <c r="AJ44" s="27">
        <v>2.8</v>
      </c>
      <c r="AK44" s="110">
        <v>0</v>
      </c>
      <c r="AL44" s="110">
        <v>0</v>
      </c>
      <c r="AM44" s="110">
        <v>0</v>
      </c>
      <c r="AN44" s="110">
        <v>0</v>
      </c>
      <c r="AO44" s="110">
        <v>0</v>
      </c>
      <c r="AP44" s="14" t="b">
        <v>1</v>
      </c>
      <c r="AQ44" s="74" t="s">
        <v>542</v>
      </c>
      <c r="AR44" s="40"/>
      <c r="AS44" s="13">
        <v>1311101</v>
      </c>
      <c r="AT44" s="40"/>
      <c r="AU44" s="40"/>
      <c r="AV44" s="40"/>
      <c r="AW44" s="40"/>
      <c r="AX44" s="40"/>
      <c r="AY44" s="11" t="str">
        <f t="shared" ref="AY44" si="32">_xlfn.TEXTJOIN("~",1,AZ44:BA44)</f>
        <v>5~0.8</v>
      </c>
      <c r="AZ44" s="27">
        <v>5</v>
      </c>
      <c r="BA44" s="27">
        <v>0.8</v>
      </c>
      <c r="BB44" s="11" t="str">
        <f t="shared" ref="BB44:BB46" si="33">REPLACE($A44,1,1,6)</f>
        <v>6319000</v>
      </c>
      <c r="BC44" s="74" t="s">
        <v>545</v>
      </c>
      <c r="BD44" s="11">
        <v>201</v>
      </c>
      <c r="BE44" s="28" t="str" cm="1">
        <f t="array" ref="BE44">IF(BD44&lt;&gt;"",_xlfn.TEXTJOIN("; ",1,VLOOKUP(VALUE(_xlfn.TEXTSPLIT(BD44,";")),device_cubicles!A:B,2,0)),"")</f>
        <v>近战攻击</v>
      </c>
    </row>
    <row r="45" spans="1:57">
      <c r="A45" s="14">
        <v>1319001</v>
      </c>
      <c r="B45" s="11">
        <v>0</v>
      </c>
      <c r="C45" s="15" t="s">
        <v>547</v>
      </c>
      <c r="D45" s="15" t="s">
        <v>127</v>
      </c>
      <c r="E45" s="12" t="s">
        <v>662</v>
      </c>
      <c r="G45" s="15" t="s">
        <v>128</v>
      </c>
      <c r="H45" s="84" t="str" cm="1">
        <f t="array" aca="1" ref="H45" ca="1">_xlfn.IFS($A45="","",OR($F45=99,$F45=""),_xlfn.TEXTJOIN("_",1,"device_name",$A45,$Y45),TRUE,OFFSET(H45,-1,0))</f>
        <v>device_name_1319001_amy_baton</v>
      </c>
      <c r="J45" s="14" t="str">
        <f>_xlfn.LET(_xlpm.get_device_type,VLOOKUP(VALUE(MID(A45,3,1)),tb_device_info_type[#All],3,0),_xlpm.check_if_wheel,IF(LEFT(A45,2)="12","wheel",_xlpm.get_device_type),_xlpm.raw_output,IF($A45&lt;&gt;"",_xlfn.TEXTJOIN("_",1,"device_alt",_xlpm.check_if_wheel),""),IFERROR(_xlpm.raw_output,"information missing"))</f>
        <v>device_alt_melee</v>
      </c>
      <c r="K45" s="14" t="str" cm="1">
        <f t="array" ref="K45">_xlfn.IFS($A45="","",ISTEXT($L45),_xlfn.CONCAT("dwt","[device_wheel_thumbnail_",RIGHT($A45,1)-1,"]"),TRUE,_xlfn.CONCAT("dt","[device_thumbnail_",IF($L45&lt;&gt;"",$L45,0),"]"))</f>
        <v>dt[device_thumbnail_9]</v>
      </c>
      <c r="L45" s="34">
        <v>9</v>
      </c>
      <c r="M45" s="14" t="s">
        <v>79</v>
      </c>
      <c r="N45" s="14" t="s">
        <v>80</v>
      </c>
      <c r="O45" s="36" t="s">
        <v>129</v>
      </c>
      <c r="P45" s="15" t="str" cm="1">
        <f t="array" ref="P45">IFERROR(_xlfn.TEXTJOIN(";",1,_xlfn.MAP(_xlfn.TEXTSPLIT(O45,";"),_xlfn.LAMBDA(_xlpm.x,IFERROR(VLOOKUP(VALUE(_xlpm.x),device_tag!A:B,2,0),"error")))),"")</f>
        <v>近战武器;棍棒</v>
      </c>
      <c r="Q45" s="11" t="s">
        <v>109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 t="s">
        <v>82</v>
      </c>
      <c r="Y45" s="62" t="s">
        <v>660</v>
      </c>
      <c r="Z45" s="73" t="s">
        <v>553</v>
      </c>
      <c r="AA45" s="11">
        <v>3</v>
      </c>
      <c r="AB45" s="11">
        <v>1</v>
      </c>
      <c r="AC45" s="11">
        <v>14</v>
      </c>
      <c r="AF45" s="11">
        <v>1</v>
      </c>
      <c r="AG45" s="11">
        <v>0</v>
      </c>
      <c r="AH45" s="11" t="str">
        <f t="shared" si="29"/>
        <v>0~2.8</v>
      </c>
      <c r="AI45" s="38">
        <v>0</v>
      </c>
      <c r="AJ45" s="27">
        <v>2.8</v>
      </c>
      <c r="AK45" s="110">
        <v>0</v>
      </c>
      <c r="AL45" s="110">
        <v>0</v>
      </c>
      <c r="AM45" s="110">
        <v>0</v>
      </c>
      <c r="AN45" s="110">
        <v>0</v>
      </c>
      <c r="AO45" s="110">
        <v>0</v>
      </c>
      <c r="AP45" s="14" t="b">
        <v>1</v>
      </c>
      <c r="AQ45" s="74" t="s">
        <v>543</v>
      </c>
      <c r="AR45" s="40"/>
      <c r="AS45" s="11">
        <f t="shared" si="1"/>
        <v>1319001</v>
      </c>
      <c r="AT45" s="40"/>
      <c r="AU45" s="40"/>
      <c r="AV45" s="40"/>
      <c r="AW45" s="40"/>
      <c r="AX45" s="40"/>
      <c r="AY45" s="11" t="str">
        <f t="shared" si="30"/>
        <v>5~0.8</v>
      </c>
      <c r="AZ45" s="27">
        <v>5</v>
      </c>
      <c r="BA45" s="27">
        <v>0.8</v>
      </c>
      <c r="BB45" s="11" t="str">
        <f t="shared" si="33"/>
        <v>6319001</v>
      </c>
      <c r="BC45" s="74" t="s">
        <v>552</v>
      </c>
      <c r="BD45" s="11">
        <v>201</v>
      </c>
      <c r="BE45" s="28" t="str" cm="1">
        <f t="array" ref="BE45">IF(BD45&lt;&gt;"",_xlfn.TEXTJOIN("; ",1,VLOOKUP(VALUE(_xlfn.TEXTSPLIT(BD45,";")),device_cubicles!A:B,2,0)),"")</f>
        <v>近战攻击</v>
      </c>
    </row>
    <row r="46" spans="1:57">
      <c r="A46" s="14">
        <v>1319002</v>
      </c>
      <c r="B46" s="11">
        <v>0</v>
      </c>
      <c r="C46" s="15" t="s">
        <v>548</v>
      </c>
      <c r="D46" s="15" t="s">
        <v>77</v>
      </c>
      <c r="G46" s="15" t="s">
        <v>119</v>
      </c>
      <c r="H46" s="65" t="s">
        <v>541</v>
      </c>
      <c r="J46" s="14" t="str">
        <f>_xlfn.LET(_xlpm.get_device_type,VLOOKUP(VALUE(MID(A46,3,1)),tb_device_info_type[#All],3,0),_xlpm.check_if_wheel,IF(LEFT(A46,2)="12","wheel",_xlpm.get_device_type),_xlpm.raw_output,IF($A46&lt;&gt;"",_xlfn.TEXTJOIN("_",1,"device_alt",_xlpm.check_if_wheel),""),IFERROR(_xlpm.raw_output,"information missing"))</f>
        <v>device_alt_melee</v>
      </c>
      <c r="K46" s="14" t="str" cm="1">
        <f t="array" ref="K46">_xlfn.IFS($A46="","",ISTEXT($L46),_xlfn.CONCAT("dwt","[device_wheel_thumbnail_",RIGHT($A46,1)-1,"]"),TRUE,_xlfn.CONCAT("dt","[device_thumbnail_",IF($L46&lt;&gt;"",$L46,0),"]"))</f>
        <v>dt[device_thumbnail_7]</v>
      </c>
      <c r="L46" s="34">
        <v>7</v>
      </c>
      <c r="M46" s="14" t="s">
        <v>79</v>
      </c>
      <c r="N46" s="14" t="s">
        <v>80</v>
      </c>
      <c r="O46" s="36" t="s">
        <v>108</v>
      </c>
      <c r="P46" s="15" t="str" cm="1">
        <f t="array" ref="P46">IFERROR(_xlfn.TEXTJOIN(";",1,_xlfn.MAP(_xlfn.TEXTSPLIT(O46,";"),_xlfn.LAMBDA(_xlpm.x,IFERROR(VLOOKUP(VALUE(_xlpm.x),device_tag!A:B,2,0),"error")))),"")</f>
        <v>近战武器;刀剑</v>
      </c>
      <c r="Q46" s="11" t="s">
        <v>109</v>
      </c>
      <c r="T46" s="24">
        <v>0</v>
      </c>
      <c r="U46" s="24">
        <v>1</v>
      </c>
      <c r="V46" s="24">
        <v>0</v>
      </c>
      <c r="W46" s="24">
        <v>1</v>
      </c>
      <c r="X46" s="24" t="s">
        <v>82</v>
      </c>
      <c r="Y46" s="24" t="s">
        <v>120</v>
      </c>
      <c r="Z46" s="73" t="s">
        <v>262</v>
      </c>
      <c r="AA46" s="11">
        <v>7</v>
      </c>
      <c r="AB46" s="11">
        <v>1</v>
      </c>
      <c r="AC46" s="11">
        <v>13</v>
      </c>
      <c r="AF46" s="11">
        <v>1</v>
      </c>
      <c r="AG46" s="11">
        <v>0</v>
      </c>
      <c r="AH46" s="11" t="str">
        <f t="shared" si="29"/>
        <v>0~3</v>
      </c>
      <c r="AI46" s="38">
        <v>0</v>
      </c>
      <c r="AJ46" s="27">
        <v>3</v>
      </c>
      <c r="AK46" s="110">
        <v>0</v>
      </c>
      <c r="AL46" s="110">
        <v>0</v>
      </c>
      <c r="AM46" s="110">
        <v>0</v>
      </c>
      <c r="AN46" s="110">
        <v>0</v>
      </c>
      <c r="AO46" s="110">
        <v>0</v>
      </c>
      <c r="AP46" s="14" t="b">
        <v>1</v>
      </c>
      <c r="AQ46" s="74" t="s">
        <v>544</v>
      </c>
      <c r="AR46" s="40"/>
      <c r="AS46" s="11">
        <f t="shared" si="1"/>
        <v>1319002</v>
      </c>
      <c r="AT46" s="40"/>
      <c r="AU46" s="40"/>
      <c r="AV46" s="40"/>
      <c r="AW46" s="40"/>
      <c r="AX46" s="40"/>
      <c r="AY46" s="11" t="str">
        <f t="shared" si="30"/>
        <v>2.5~0.1</v>
      </c>
      <c r="AZ46" s="27">
        <v>2.5</v>
      </c>
      <c r="BA46" s="27">
        <v>0.1</v>
      </c>
      <c r="BB46" s="11" t="str">
        <f t="shared" si="33"/>
        <v>6319002</v>
      </c>
      <c r="BC46" s="74" t="s">
        <v>546</v>
      </c>
      <c r="BD46" s="11" t="s">
        <v>113</v>
      </c>
      <c r="BE46" s="28" t="str" cm="1">
        <f t="array" ref="BE46">IF(BD46&lt;&gt;"",_xlfn.TEXTJOIN("; ",1,VLOOKUP(VALUE(_xlfn.TEXTSPLIT(BD46,";")),device_cubicles!A:B,2,0)),"")</f>
        <v>近战攻击; 磨砺刀刃</v>
      </c>
    </row>
    <row r="47" spans="1:57">
      <c r="A47" s="14">
        <v>130001005</v>
      </c>
      <c r="B47" s="11">
        <v>0</v>
      </c>
      <c r="C47" s="15" t="s">
        <v>140</v>
      </c>
      <c r="H47" s="84" t="str" cm="1">
        <f t="array" aca="1" ref="H47" ca="1">_xlfn.IFS($A47="","",OR($F47=99,$F47=""),_xlfn.TEXTJOIN("_",1,"device_name",$A47,$Y47),TRUE,OFFSET(H47,-1,0))</f>
        <v>device_name_130001005_ax</v>
      </c>
      <c r="J47" s="14" t="str">
        <f>_xlfn.LET(_xlpm.get_device_type,VLOOKUP(VALUE(MID(A47,3,1)),tb_device_info_type[#All],3,0),_xlpm.check_if_wheel,IF(LEFT(A47,2)="12","wheel",_xlpm.get_device_type),_xlpm.raw_output,IF($A47&lt;&gt;"",_xlfn.TEXTJOIN("_",1,"device_alt",_xlpm.check_if_wheel),""),IFERROR(_xlpm.raw_output,"information missing"))</f>
        <v>information missing</v>
      </c>
      <c r="K47" s="14" t="str" cm="1">
        <f t="array" ref="K47">_xlfn.IFS($A47="","",ISTEXT($L47),_xlfn.CONCAT("dwt","[device_wheel_thumbnail_",RIGHT($A47,1)-1,"]"),TRUE,_xlfn.CONCAT("dt","[device_thumbnail_",IF($L47&lt;&gt;"",$L47,0),"]"))</f>
        <v>dt[device_thumbnail_0]</v>
      </c>
      <c r="M47" s="14" t="s">
        <v>79</v>
      </c>
      <c r="N47" s="14" t="s">
        <v>80</v>
      </c>
      <c r="O47" s="36"/>
      <c r="P47" s="15" t="str" cm="1">
        <f t="array" ref="P47">IFERROR(_xlfn.TEXTJOIN(";",1,_xlfn.MAP(_xlfn.TEXTSPLIT(O47,";"),_xlfn.LAMBDA(_xlpm.x,IFERROR(VLOOKUP(VALUE(_xlpm.x),device_tag!A:B,2,0),"error")))),"")</f>
        <v/>
      </c>
      <c r="Q47" s="11" t="s">
        <v>109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 t="s">
        <v>91</v>
      </c>
      <c r="Y47" s="24" t="s">
        <v>141</v>
      </c>
      <c r="Z47" s="85" t="str" cm="1">
        <f t="array" aca="1" ref="Z47" ca="1">_xlfn.IFS($A47="","",OR(F47=99,F47=""),_xlfn.TEXTJOIN("_",1,X47,$A47,Y47),TRUE,OFFSET($Z47,-1,0))</f>
        <v>dp_130001005_ax</v>
      </c>
      <c r="AA47" s="11">
        <v>100</v>
      </c>
      <c r="AB47" s="11">
        <v>1</v>
      </c>
      <c r="AC47" s="11" t="s">
        <v>526</v>
      </c>
      <c r="AK47" s="110">
        <v>0</v>
      </c>
      <c r="AL47" s="110">
        <v>0</v>
      </c>
      <c r="AM47" s="110">
        <v>0</v>
      </c>
      <c r="AN47" s="110">
        <v>0</v>
      </c>
      <c r="AO47" s="110">
        <v>0</v>
      </c>
      <c r="BE47" s="28" t="str" cm="1">
        <f t="array" ref="BE47">IF(BD47&lt;&gt;"",_xlfn.TEXTJOIN("; ",1,VLOOKUP(VALUE(_xlfn.TEXTSPLIT(BD47,";")),device_cubicles!A:B,2,0)),"")</f>
        <v/>
      </c>
    </row>
    <row r="48" spans="1:57">
      <c r="A48" s="14">
        <v>130001006</v>
      </c>
      <c r="B48" s="11">
        <v>0</v>
      </c>
      <c r="C48" s="15" t="s">
        <v>142</v>
      </c>
      <c r="H48" s="84" t="str" cm="1">
        <f t="array" aca="1" ref="H48" ca="1">_xlfn.IFS($A48="","",OR($F48=99,$F48=""),_xlfn.TEXTJOIN("_",1,"device_name",$A48,$Y48),TRUE,OFFSET(H48,-1,0))</f>
        <v>device_name_130001006_mace</v>
      </c>
      <c r="J48" s="14" t="str">
        <f>_xlfn.LET(_xlpm.get_device_type,VLOOKUP(VALUE(MID(A48,3,1)),tb_device_info_type[#All],3,0),_xlpm.check_if_wheel,IF(LEFT(A48,2)="12","wheel",_xlpm.get_device_type),_xlpm.raw_output,IF($A48&lt;&gt;"",_xlfn.TEXTJOIN("_",1,"device_alt",_xlpm.check_if_wheel),""),IFERROR(_xlpm.raw_output,"information missing"))</f>
        <v>information missing</v>
      </c>
      <c r="K48" s="14" t="str" cm="1">
        <f t="array" ref="K48">_xlfn.IFS($A48="","",ISTEXT($L48),_xlfn.CONCAT("dwt","[device_wheel_thumbnail_",RIGHT($A48,1)-1,"]"),TRUE,_xlfn.CONCAT("dt","[device_thumbnail_",IF($L48&lt;&gt;"",$L48,0),"]"))</f>
        <v>dt[device_thumbnail_0]</v>
      </c>
      <c r="M48" s="14" t="s">
        <v>79</v>
      </c>
      <c r="N48" s="14" t="s">
        <v>80</v>
      </c>
      <c r="O48" s="36"/>
      <c r="P48" s="15" t="str" cm="1">
        <f t="array" ref="P48">IFERROR(_xlfn.TEXTJOIN(";",1,_xlfn.MAP(_xlfn.TEXTSPLIT(O48,";"),_xlfn.LAMBDA(_xlpm.x,IFERROR(VLOOKUP(VALUE(_xlpm.x),device_tag!A:B,2,0),"error")))),"")</f>
        <v/>
      </c>
      <c r="Q48" s="11" t="s">
        <v>109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 t="s">
        <v>91</v>
      </c>
      <c r="Y48" s="24" t="s">
        <v>143</v>
      </c>
      <c r="Z48" s="85" t="str" cm="1">
        <f t="array" aca="1" ref="Z48" ca="1">_xlfn.IFS($A48="","",OR(F48=99,F48=""),_xlfn.TEXTJOIN("_",1,X48,$A48,Y48),TRUE,OFFSET($Z48,-1,0))</f>
        <v>dp_130001006_mace</v>
      </c>
      <c r="AA48" s="11">
        <v>100</v>
      </c>
      <c r="AB48" s="11">
        <v>1</v>
      </c>
      <c r="AC48" s="11" t="s">
        <v>526</v>
      </c>
      <c r="AK48" s="110"/>
      <c r="AL48" s="110"/>
      <c r="AM48" s="110"/>
      <c r="AN48" s="110"/>
      <c r="AO48" s="110"/>
      <c r="BE48" s="28" t="str" cm="1">
        <f t="array" ref="BE48">IF(BD48&lt;&gt;"",_xlfn.TEXTJOIN("; ",1,VLOOKUP(VALUE(_xlfn.TEXTSPLIT(BD48,";")),device_cubicles!A:B,2,0)),"")</f>
        <v/>
      </c>
    </row>
    <row r="49" spans="1:57">
      <c r="J49" s="14" t="str">
        <f>_xlfn.LET(_xlpm.get_device_type,VLOOKUP(VALUE(MID(A49,3,1)),tb_device_info_type[#All],3,0),_xlpm.check_if_wheel,IF(LEFT(A49,2)="12","wheel",_xlpm.get_device_type),_xlpm.raw_output,IF($A49&lt;&gt;"",_xlfn.TEXTJOIN("_",1,"device_alt",_xlpm.check_if_wheel),""),IFERROR(_xlpm.raw_output,"information missing"))</f>
        <v/>
      </c>
      <c r="K49" s="14" t="str" cm="1">
        <f t="array" ref="K49">_xlfn.IFS($A49="","",ISTEXT($L49),_xlfn.CONCAT("dwt","[device_wheel_thumbnail_",RIGHT($A49,1)-1,"]"),TRUE,_xlfn.CONCAT("dt","[device_thumbnail_",IF($L49&lt;&gt;"",$L49,0),"]"))</f>
        <v/>
      </c>
      <c r="O49" s="36"/>
      <c r="P49" s="15" t="str" cm="1">
        <f t="array" ref="P49">IFERROR(_xlfn.TEXTJOIN(";",1,_xlfn.MAP(_xlfn.TEXTSPLIT(O49,";"),_xlfn.LAMBDA(_xlpm.x,IFERROR(VLOOKUP(VALUE(_xlpm.x),device_tag!A:B,2,0),"error")))),"")</f>
        <v/>
      </c>
      <c r="Z49" s="85" t="str" cm="1">
        <f t="array" aca="1" ref="Z49" ca="1">_xlfn.IFS($A49="","",OR(F49=99,F49=""),_xlfn.TEXTJOIN("_",1,X49,$A49,Y49),TRUE,OFFSET($Z49,-1,0))</f>
        <v/>
      </c>
      <c r="AK49" s="110"/>
      <c r="AL49" s="110"/>
      <c r="AM49" s="110"/>
      <c r="AN49" s="110"/>
      <c r="AO49" s="110"/>
      <c r="BE49" s="28" t="str" cm="1">
        <f t="array" ref="BE49">IF(BD49&lt;&gt;"",_xlfn.TEXTJOIN("; ",1,VLOOKUP(VALUE(_xlfn.TEXTSPLIT(BD49,";")),device_cubicles!A:B,2,0)),"")</f>
        <v/>
      </c>
    </row>
    <row r="50" spans="1:57">
      <c r="A50" s="14">
        <v>1320101</v>
      </c>
      <c r="B50" s="11">
        <v>0</v>
      </c>
      <c r="C50" s="15" t="s">
        <v>144</v>
      </c>
      <c r="D50" s="15" t="s">
        <v>507</v>
      </c>
      <c r="F50" s="86"/>
      <c r="G50" s="15" t="s">
        <v>145</v>
      </c>
      <c r="H50" s="84" t="str" cm="1">
        <f t="array" aca="1" ref="H50" ca="1">_xlfn.IFS($A50="","",OR($F50=99,$F50=""),_xlfn.TEXTJOIN("_",1,"device_name",$A50,$Y50),TRUE,OFFSET(H50,-1,0))</f>
        <v>device_name_1320101_bow</v>
      </c>
      <c r="J50" s="14" t="str">
        <f>_xlfn.LET(_xlpm.get_device_type,VLOOKUP(VALUE(MID(A50,3,1)),tb_device_info_type[#All],3,0),_xlpm.check_if_wheel,IF(LEFT(A50,2)="12","wheel",_xlpm.get_device_type),_xlpm.raw_output,IF($A50&lt;&gt;"",_xlfn.TEXTJOIN("_",1,"device_alt",_xlpm.check_if_wheel),""),IFERROR(_xlpm.raw_output,"information missing"))</f>
        <v>device_alt_ranged</v>
      </c>
      <c r="K50" s="14" t="str" cm="1">
        <f t="array" ref="K50">_xlfn.IFS($A50="","",ISTEXT($L50),_xlfn.CONCAT("dwt","[device_wheel_thumbnail_",RIGHT($A50,1)-1,"]"),TRUE,_xlfn.CONCAT("dt","[device_thumbnail_",IF($L50&lt;&gt;"",$L50,0),"]"))</f>
        <v>dt[device_thumbnail_3]</v>
      </c>
      <c r="L50" s="34">
        <v>3</v>
      </c>
      <c r="M50" s="14" t="s">
        <v>79</v>
      </c>
      <c r="N50" s="14" t="s">
        <v>80</v>
      </c>
      <c r="O50" s="36" t="s">
        <v>146</v>
      </c>
      <c r="P50" s="15" t="str" cm="1">
        <f t="array" ref="P50">IFERROR(_xlfn.TEXTJOIN(";",1,_xlfn.MAP(_xlfn.TEXTSPLIT(O50,";"),_xlfn.LAMBDA(_xlpm.x,IFERROR(VLOOKUP(VALUE(_xlpm.x),device_tag!A:B,2,0),"error")))),"")</f>
        <v>远程武器;弓箭</v>
      </c>
      <c r="Q50" s="11" t="s">
        <v>109</v>
      </c>
      <c r="S50" s="24">
        <v>0</v>
      </c>
      <c r="V50" s="24">
        <v>0</v>
      </c>
      <c r="W50" s="24">
        <v>0</v>
      </c>
      <c r="X50" s="24" t="s">
        <v>82</v>
      </c>
      <c r="Y50" s="24" t="s">
        <v>147</v>
      </c>
      <c r="Z50" s="85" t="str" cm="1">
        <f t="array" aca="1" ref="Z50" ca="1">_xlfn.IFS($A50="","",OR(F50=99,F50=""),_xlfn.TEXTJOIN("_",1,X50,$A50,Y50),TRUE,OFFSET($Z50,-1,0))</f>
        <v>device_1320101_bow</v>
      </c>
      <c r="AA50" s="11">
        <v>5</v>
      </c>
      <c r="AB50" s="11">
        <v>1</v>
      </c>
      <c r="AC50" s="11">
        <v>12</v>
      </c>
      <c r="AF50" s="11">
        <v>1</v>
      </c>
      <c r="AG50" s="11">
        <v>60</v>
      </c>
      <c r="AH50" s="11" t="str">
        <f t="shared" ref="AH50:AH64" si="34">_xlfn.TEXTJOIN("~",1,AI50:AJ50)</f>
        <v>2~13</v>
      </c>
      <c r="AI50" s="27">
        <v>2</v>
      </c>
      <c r="AJ50" s="27">
        <v>13</v>
      </c>
      <c r="AK50" s="110">
        <v>0</v>
      </c>
      <c r="AL50" s="110">
        <v>0</v>
      </c>
      <c r="AM50" s="110">
        <v>0</v>
      </c>
      <c r="AN50" s="110">
        <v>0</v>
      </c>
      <c r="AO50" s="110">
        <v>0</v>
      </c>
      <c r="AP50" s="14" t="b">
        <v>0</v>
      </c>
      <c r="AQ50" s="46" t="s">
        <v>148</v>
      </c>
      <c r="AR50" s="40"/>
      <c r="AS50" s="40"/>
      <c r="AT50" s="11">
        <f t="shared" ref="AT50:AT81" si="35">$A50</f>
        <v>1320101</v>
      </c>
      <c r="AU50" s="38"/>
      <c r="AV50" s="38"/>
      <c r="AW50" s="38"/>
      <c r="AX50" s="38"/>
      <c r="AY50" s="11" t="str">
        <f t="shared" ref="AY50:AY65" si="36">_xlfn.TEXTJOIN("~",1,AZ50:BA50)</f>
        <v>5~2.5</v>
      </c>
      <c r="AZ50" s="27">
        <v>5</v>
      </c>
      <c r="BA50" s="27">
        <v>2.5</v>
      </c>
      <c r="BB50" s="11" t="str">
        <f t="shared" ref="BB50:BB79" si="37">REPLACE($A50,1,1,6)</f>
        <v>6320101</v>
      </c>
      <c r="BC50" s="51" t="s">
        <v>149</v>
      </c>
      <c r="BD50" s="11" t="s">
        <v>150</v>
      </c>
      <c r="BE50" s="28" t="str" cm="1">
        <f t="array" ref="BE50">IF(BD50&lt;&gt;"",_xlfn.TEXTJOIN("; ",1,VLOOKUP(VALUE(_xlfn.TEXTSPLIT(BD50,";")),device_cubicles!A:B,2,0)),"")</f>
        <v>弹匣装填; 瞄准射击</v>
      </c>
    </row>
    <row r="51" spans="1:57">
      <c r="A51" s="14">
        <v>1320102</v>
      </c>
      <c r="B51" s="11">
        <v>0</v>
      </c>
      <c r="C51" s="15" t="s">
        <v>151</v>
      </c>
      <c r="D51" s="15" t="s">
        <v>625</v>
      </c>
      <c r="F51" s="86"/>
      <c r="G51" s="15" t="s">
        <v>152</v>
      </c>
      <c r="H51" s="84" t="str" cm="1">
        <f t="array" aca="1" ref="H51" ca="1">_xlfn.IFS($A51="","",OR($F51=99,$F51=""),_xlfn.TEXTJOIN("_",1,"device_name",$A51,$Y51),TRUE,OFFSET(H51,-1,0))</f>
        <v>device_name_1320102_pistol</v>
      </c>
      <c r="J51" s="14" t="str">
        <f>_xlfn.LET(_xlpm.get_device_type,VLOOKUP(VALUE(MID(A51,3,1)),tb_device_info_type[#All],3,0),_xlpm.check_if_wheel,IF(LEFT(A51,2)="12","wheel",_xlpm.get_device_type),_xlpm.raw_output,IF($A51&lt;&gt;"",_xlfn.TEXTJOIN("_",1,"device_alt",_xlpm.check_if_wheel),""),IFERROR(_xlpm.raw_output,"information missing"))</f>
        <v>device_alt_ranged</v>
      </c>
      <c r="K51" s="14" t="str" cm="1">
        <f t="array" ref="K51">_xlfn.IFS($A51="","",ISTEXT($L51),_xlfn.CONCAT("dwt","[device_wheel_thumbnail_",RIGHT($A51,1)-1,"]"),TRUE,_xlfn.CONCAT("dt","[device_thumbnail_",IF($L51&lt;&gt;"",$L51,0),"]"))</f>
        <v>dt[device_thumbnail_21]</v>
      </c>
      <c r="L51" s="34">
        <v>21</v>
      </c>
      <c r="M51" s="14" t="s">
        <v>79</v>
      </c>
      <c r="N51" s="14" t="s">
        <v>80</v>
      </c>
      <c r="O51" s="36" t="s">
        <v>153</v>
      </c>
      <c r="P51" s="15" t="str" cm="1">
        <f t="array" ref="P51">IFERROR(_xlfn.TEXTJOIN(";",1,_xlfn.MAP(_xlfn.TEXTSPLIT(O51,";"),_xlfn.LAMBDA(_xlpm.x,IFERROR(VLOOKUP(VALUE(_xlpm.x),device_tag!A:B,2,0),"error")))),"")</f>
        <v>远程武器;枪械;手枪</v>
      </c>
      <c r="Q51" s="11" t="s">
        <v>109</v>
      </c>
      <c r="S51" s="24">
        <v>0</v>
      </c>
      <c r="V51" s="24">
        <v>0</v>
      </c>
      <c r="W51" s="24">
        <v>0</v>
      </c>
      <c r="X51" s="24" t="s">
        <v>82</v>
      </c>
      <c r="Y51" s="24" t="s">
        <v>154</v>
      </c>
      <c r="Z51" s="85" t="str" cm="1">
        <f t="array" aca="1" ref="Z51" ca="1">_xlfn.IFS($A51="","",OR(F51=99,F51=""),_xlfn.TEXTJOIN("_",1,X51,$A51,Y51),TRUE,OFFSET($Z51,-1,0))</f>
        <v>device_1320102_pistol</v>
      </c>
      <c r="AA51" s="91">
        <v>3.5</v>
      </c>
      <c r="AB51" s="90">
        <f>COLUMNS(_xlfn.TEXTSPLIT(BD51,";"))</f>
        <v>2</v>
      </c>
      <c r="AC51" s="77">
        <v>12</v>
      </c>
      <c r="AF51" s="11">
        <v>1</v>
      </c>
      <c r="AG51" s="11">
        <v>60</v>
      </c>
      <c r="AH51" s="11" t="str">
        <f t="shared" si="34"/>
        <v>1.4~12.5</v>
      </c>
      <c r="AI51" s="27">
        <v>1.4</v>
      </c>
      <c r="AJ51" s="27">
        <v>12.5</v>
      </c>
      <c r="AK51" s="110">
        <v>0</v>
      </c>
      <c r="AL51" s="110">
        <v>0</v>
      </c>
      <c r="AM51" s="110">
        <v>0</v>
      </c>
      <c r="AN51" s="110">
        <v>0</v>
      </c>
      <c r="AO51" s="110">
        <v>0</v>
      </c>
      <c r="AP51" s="14" t="b">
        <v>0</v>
      </c>
      <c r="AQ51" s="74" t="s">
        <v>533</v>
      </c>
      <c r="AR51" s="40"/>
      <c r="AS51" s="40"/>
      <c r="AT51" s="11">
        <f t="shared" si="35"/>
        <v>1320102</v>
      </c>
      <c r="AU51" s="38"/>
      <c r="AV51" s="38"/>
      <c r="AW51" s="38"/>
      <c r="AX51" s="38"/>
      <c r="AY51" s="11" t="str">
        <f t="shared" si="36"/>
        <v>6~3</v>
      </c>
      <c r="AZ51" s="27">
        <v>6</v>
      </c>
      <c r="BA51" s="27">
        <v>3</v>
      </c>
      <c r="BB51" s="11" t="str">
        <f t="shared" si="37"/>
        <v>6320102</v>
      </c>
      <c r="BC51" s="87" t="s">
        <v>620</v>
      </c>
      <c r="BD51" s="11" t="s">
        <v>150</v>
      </c>
      <c r="BE51" s="28" t="str" cm="1">
        <f t="array" ref="BE51">IF(BD51&lt;&gt;"",_xlfn.TEXTJOIN("; ",1,VLOOKUP(VALUE(_xlfn.TEXTSPLIT(BD51,";")),device_cubicles!A:B,2,0)),"")</f>
        <v>弹匣装填; 瞄准射击</v>
      </c>
    </row>
    <row r="52" spans="1:57">
      <c r="A52" s="14">
        <v>13201021</v>
      </c>
      <c r="B52" s="11">
        <v>0</v>
      </c>
      <c r="C52" s="15" t="s">
        <v>151</v>
      </c>
      <c r="D52" s="15" t="s">
        <v>625</v>
      </c>
      <c r="E52" s="12" t="s">
        <v>562</v>
      </c>
      <c r="F52" s="11">
        <v>1</v>
      </c>
      <c r="G52" s="15" t="s">
        <v>152</v>
      </c>
      <c r="H52" s="84" t="str" cm="1">
        <f t="array" aca="1" ref="H52" ca="1">_xlfn.IFS($A52="","",OR($F52=99,$F52=""),_xlfn.TEXTJOIN("_",1,"device_name",$A52,$Y52),TRUE,OFFSET(H52,-1,0))</f>
        <v>device_name_1320102_pistol</v>
      </c>
      <c r="J52" s="14" t="str">
        <f>_xlfn.LET(_xlpm.get_device_type,VLOOKUP(VALUE(MID(A52,3,1)),tb_device_info_type[#All],3,0),_xlpm.check_if_wheel,IF(LEFT(A52,2)="12","wheel",_xlpm.get_device_type),_xlpm.raw_output,IF($A52&lt;&gt;"",_xlfn.TEXTJOIN("_",1,"device_alt",_xlpm.check_if_wheel),""),IFERROR(_xlpm.raw_output,"information missing"))</f>
        <v>device_alt_ranged</v>
      </c>
      <c r="K52" s="14" t="str" cm="1">
        <f t="array" ref="K52">_xlfn.IFS($A52="","",ISTEXT($L52),_xlfn.CONCAT("dwt","[device_wheel_thumbnail_",RIGHT($A52,1)-1,"]"),TRUE,_xlfn.CONCAT("dt","[device_thumbnail_",IF($L52&lt;&gt;"",$L52,0),"]"))</f>
        <v>dt[device_thumbnail_21]</v>
      </c>
      <c r="L52" s="34">
        <v>21</v>
      </c>
      <c r="M52" s="14" t="s">
        <v>79</v>
      </c>
      <c r="N52" s="14" t="s">
        <v>80</v>
      </c>
      <c r="O52" s="36" t="s">
        <v>153</v>
      </c>
      <c r="P52" s="15" t="str" cm="1">
        <f t="array" ref="P52">IFERROR(_xlfn.TEXTJOIN(";",1,_xlfn.MAP(_xlfn.TEXTSPLIT(O52,";"),_xlfn.LAMBDA(_xlpm.x,IFERROR(VLOOKUP(VALUE(_xlpm.x),device_tag!A:B,2,0),"error")))),"")</f>
        <v>远程武器;枪械;手枪</v>
      </c>
      <c r="Q52" s="11" t="s">
        <v>109</v>
      </c>
      <c r="S52" s="24">
        <v>0</v>
      </c>
      <c r="V52" s="24">
        <v>0</v>
      </c>
      <c r="W52" s="24">
        <v>0</v>
      </c>
      <c r="X52" s="24" t="s">
        <v>82</v>
      </c>
      <c r="Y52" s="24" t="s">
        <v>154</v>
      </c>
      <c r="Z52" s="85" t="str" cm="1">
        <f t="array" aca="1" ref="Z52" ca="1">_xlfn.IFS($A52="","",OR(F52=99,F52=""),_xlfn.TEXTJOIN("_",1,X52,$A52,Y52),TRUE,OFFSET($Z52,-1,0))</f>
        <v>device_1320102_pistol</v>
      </c>
      <c r="AA52" s="91">
        <v>3.5</v>
      </c>
      <c r="AB52" s="90">
        <f t="shared" ref="AB52:AB63" si="38">COLUMNS(_xlfn.TEXTSPLIT(BD52,";"))</f>
        <v>2</v>
      </c>
      <c r="AC52" s="76">
        <f>ROUND($AD52*$AE52^$F52,0)</f>
        <v>32</v>
      </c>
      <c r="AD52" s="16">
        <v>12.5</v>
      </c>
      <c r="AE52" s="16">
        <f>POWER(1.6,2)</f>
        <v>2.5600000000000005</v>
      </c>
      <c r="AF52" s="11">
        <v>1</v>
      </c>
      <c r="AG52" s="11">
        <v>60</v>
      </c>
      <c r="AH52" s="11" t="str">
        <f t="shared" si="34"/>
        <v>1.4~12.5</v>
      </c>
      <c r="AI52" s="27">
        <v>1.4</v>
      </c>
      <c r="AJ52" s="27">
        <v>12.5</v>
      </c>
      <c r="AK52" s="110">
        <v>0</v>
      </c>
      <c r="AL52" s="110">
        <v>0</v>
      </c>
      <c r="AM52" s="110">
        <v>0</v>
      </c>
      <c r="AN52" s="110">
        <v>0</v>
      </c>
      <c r="AO52" s="110">
        <v>0</v>
      </c>
      <c r="AP52" s="14" t="b">
        <v>0</v>
      </c>
      <c r="AQ52" s="74" t="s">
        <v>533</v>
      </c>
      <c r="AR52" s="40"/>
      <c r="AS52" s="40"/>
      <c r="AT52" s="77">
        <f t="shared" si="35"/>
        <v>13201021</v>
      </c>
      <c r="AU52" s="38"/>
      <c r="AV52" s="38"/>
      <c r="AW52" s="38"/>
      <c r="AX52" s="38"/>
      <c r="AY52" s="11" t="str">
        <f t="shared" si="36"/>
        <v>6~3</v>
      </c>
      <c r="AZ52" s="27">
        <v>6</v>
      </c>
      <c r="BA52" s="27">
        <v>3</v>
      </c>
      <c r="BB52" s="50">
        <v>1</v>
      </c>
      <c r="BC52" s="74" t="s">
        <v>536</v>
      </c>
      <c r="BD52" s="11" t="s">
        <v>150</v>
      </c>
      <c r="BE52" s="28" t="str" cm="1">
        <f t="array" ref="BE52">IF(BD52&lt;&gt;"",_xlfn.TEXTJOIN("; ",1,VLOOKUP(VALUE(_xlfn.TEXTSPLIT(BD52,";")),device_cubicles!A:B,2,0)),"")</f>
        <v>弹匣装填; 瞄准射击</v>
      </c>
    </row>
    <row r="53" spans="1:57">
      <c r="A53" s="14">
        <v>13201022</v>
      </c>
      <c r="B53" s="11">
        <v>0</v>
      </c>
      <c r="C53" s="15" t="s">
        <v>621</v>
      </c>
      <c r="D53" s="15" t="s">
        <v>625</v>
      </c>
      <c r="E53" s="12" t="s">
        <v>563</v>
      </c>
      <c r="F53" s="11">
        <v>2</v>
      </c>
      <c r="G53" s="15" t="s">
        <v>152</v>
      </c>
      <c r="H53" s="84" t="str" cm="1">
        <f t="array" aca="1" ref="H53" ca="1">_xlfn.IFS($A53="","",OR($F53=99,$F53=""),_xlfn.TEXTJOIN("_",1,"device_name",$A53,$Y53),TRUE,OFFSET(H53,-1,0))</f>
        <v>device_name_1320102_pistol</v>
      </c>
      <c r="J53" s="14" t="str">
        <f>_xlfn.LET(_xlpm.get_device_type,VLOOKUP(VALUE(MID(A53,3,1)),tb_device_info_type[#All],3,0),_xlpm.check_if_wheel,IF(LEFT(A53,2)="12","wheel",_xlpm.get_device_type),_xlpm.raw_output,IF($A53&lt;&gt;"",_xlfn.TEXTJOIN("_",1,"device_alt",_xlpm.check_if_wheel),""),IFERROR(_xlpm.raw_output,"information missing"))</f>
        <v>device_alt_ranged</v>
      </c>
      <c r="K53" s="14" t="str" cm="1">
        <f t="array" ref="K53">_xlfn.IFS($A53="","",ISTEXT($L53),_xlfn.CONCAT("dwt","[device_wheel_thumbnail_",RIGHT($A53,1)-1,"]"),TRUE,_xlfn.CONCAT("dt","[device_thumbnail_",IF($L53&lt;&gt;"",$L53,0),"]"))</f>
        <v>dt[device_thumbnail_21]</v>
      </c>
      <c r="L53" s="34">
        <v>21</v>
      </c>
      <c r="M53" s="14" t="s">
        <v>79</v>
      </c>
      <c r="N53" s="14" t="s">
        <v>80</v>
      </c>
      <c r="O53" s="36" t="s">
        <v>153</v>
      </c>
      <c r="P53" s="15" t="str" cm="1">
        <f t="array" ref="P53">IFERROR(_xlfn.TEXTJOIN(";",1,_xlfn.MAP(_xlfn.TEXTSPLIT(O53,";"),_xlfn.LAMBDA(_xlpm.x,IFERROR(VLOOKUP(VALUE(_xlpm.x),device_tag!A:B,2,0),"error")))),"")</f>
        <v>远程武器;枪械;手枪</v>
      </c>
      <c r="Q53" s="11" t="s">
        <v>109</v>
      </c>
      <c r="S53" s="24">
        <v>0</v>
      </c>
      <c r="V53" s="24">
        <v>0</v>
      </c>
      <c r="W53" s="24">
        <v>0</v>
      </c>
      <c r="X53" s="24" t="s">
        <v>82</v>
      </c>
      <c r="Y53" s="24" t="s">
        <v>154</v>
      </c>
      <c r="Z53" s="85" t="str" cm="1">
        <f t="array" aca="1" ref="Z53" ca="1">_xlfn.IFS($A53="","",OR(F53=99,F53=""),_xlfn.TEXTJOIN("_",1,X53,$A53,Y53),TRUE,OFFSET($Z53,-1,0))</f>
        <v>device_1320102_pistol</v>
      </c>
      <c r="AA53" s="91">
        <v>3.5</v>
      </c>
      <c r="AB53" s="90">
        <f t="shared" si="38"/>
        <v>2</v>
      </c>
      <c r="AC53" s="76">
        <f>ROUND($AD53*$AE53^$F53,0)</f>
        <v>82</v>
      </c>
      <c r="AD53" s="16">
        <v>12.5</v>
      </c>
      <c r="AE53" s="16">
        <f>POWER(1.6,2)</f>
        <v>2.5600000000000005</v>
      </c>
      <c r="AF53" s="11">
        <v>1</v>
      </c>
      <c r="AG53" s="11">
        <v>60</v>
      </c>
      <c r="AH53" s="11" t="str">
        <f t="shared" si="34"/>
        <v>1.4~12.5</v>
      </c>
      <c r="AI53" s="27">
        <v>1.4</v>
      </c>
      <c r="AJ53" s="27">
        <v>12.5</v>
      </c>
      <c r="AK53" s="110">
        <v>0</v>
      </c>
      <c r="AL53" s="110">
        <v>0</v>
      </c>
      <c r="AM53" s="110">
        <v>0</v>
      </c>
      <c r="AN53" s="110">
        <v>0</v>
      </c>
      <c r="AO53" s="110">
        <v>0</v>
      </c>
      <c r="AP53" s="14" t="b">
        <v>0</v>
      </c>
      <c r="AQ53" s="74" t="s">
        <v>533</v>
      </c>
      <c r="AR53" s="40"/>
      <c r="AS53" s="40"/>
      <c r="AT53" s="77">
        <f t="shared" si="35"/>
        <v>13201022</v>
      </c>
      <c r="AU53" s="38"/>
      <c r="AV53" s="38"/>
      <c r="AW53" s="38"/>
      <c r="AX53" s="38"/>
      <c r="AY53" s="11" t="str">
        <f t="shared" si="36"/>
        <v>6~3</v>
      </c>
      <c r="AZ53" s="27">
        <v>6</v>
      </c>
      <c r="BA53" s="27">
        <v>3</v>
      </c>
      <c r="BB53" s="50">
        <v>1</v>
      </c>
      <c r="BC53" s="74" t="s">
        <v>536</v>
      </c>
      <c r="BD53" s="11" t="s">
        <v>150</v>
      </c>
      <c r="BE53" s="28" t="str" cm="1">
        <f t="array" ref="BE53">IF(BD53&lt;&gt;"",_xlfn.TEXTJOIN("; ",1,VLOOKUP(VALUE(_xlfn.TEXTSPLIT(BD53,";")),device_cubicles!A:B,2,0)),"")</f>
        <v>弹匣装填; 瞄准射击</v>
      </c>
    </row>
    <row r="54" spans="1:57">
      <c r="A54" s="14">
        <v>13201023</v>
      </c>
      <c r="B54" s="11">
        <v>0</v>
      </c>
      <c r="C54" s="15" t="s">
        <v>622</v>
      </c>
      <c r="D54" s="15" t="s">
        <v>625</v>
      </c>
      <c r="E54" s="12" t="s">
        <v>565</v>
      </c>
      <c r="F54" s="11">
        <v>3</v>
      </c>
      <c r="G54" s="15" t="s">
        <v>152</v>
      </c>
      <c r="H54" s="84" t="str" cm="1">
        <f t="array" aca="1" ref="H54" ca="1">_xlfn.IFS($A54="","",OR($F54=99,$F54=""),_xlfn.TEXTJOIN("_",1,"device_name",$A54,$Y54),TRUE,OFFSET(H54,-1,0))</f>
        <v>device_name_1320102_pistol</v>
      </c>
      <c r="J54" s="14" t="str">
        <f>_xlfn.LET(_xlpm.get_device_type,VLOOKUP(VALUE(MID(A54,3,1)),tb_device_info_type[#All],3,0),_xlpm.check_if_wheel,IF(LEFT(A54,2)="12","wheel",_xlpm.get_device_type),_xlpm.raw_output,IF($A54&lt;&gt;"",_xlfn.TEXTJOIN("_",1,"device_alt",_xlpm.check_if_wheel),""),IFERROR(_xlpm.raw_output,"information missing"))</f>
        <v>device_alt_ranged</v>
      </c>
      <c r="K54" s="14" t="str" cm="1">
        <f t="array" ref="K54">_xlfn.IFS($A54="","",ISTEXT($L54),_xlfn.CONCAT("dwt","[device_wheel_thumbnail_",RIGHT($A54,1)-1,"]"),TRUE,_xlfn.CONCAT("dt","[device_thumbnail_",IF($L54&lt;&gt;"",$L54,0),"]"))</f>
        <v>dt[device_thumbnail_21]</v>
      </c>
      <c r="L54" s="34">
        <v>21</v>
      </c>
      <c r="M54" s="14" t="s">
        <v>79</v>
      </c>
      <c r="N54" s="14" t="s">
        <v>80</v>
      </c>
      <c r="O54" s="36" t="s">
        <v>153</v>
      </c>
      <c r="P54" s="15" t="str" cm="1">
        <f t="array" ref="P54">IFERROR(_xlfn.TEXTJOIN(";",1,_xlfn.MAP(_xlfn.TEXTSPLIT(O54,";"),_xlfn.LAMBDA(_xlpm.x,IFERROR(VLOOKUP(VALUE(_xlpm.x),device_tag!A:B,2,0),"error")))),"")</f>
        <v>远程武器;枪械;手枪</v>
      </c>
      <c r="Q54" s="11" t="s">
        <v>109</v>
      </c>
      <c r="S54" s="24">
        <v>0</v>
      </c>
      <c r="V54" s="24">
        <v>0</v>
      </c>
      <c r="W54" s="24">
        <v>0</v>
      </c>
      <c r="X54" s="24" t="s">
        <v>82</v>
      </c>
      <c r="Y54" s="24" t="s">
        <v>154</v>
      </c>
      <c r="Z54" s="85" t="str" cm="1">
        <f t="array" aca="1" ref="Z54" ca="1">_xlfn.IFS($A54="","",OR(F54=99,F54=""),_xlfn.TEXTJOIN("_",1,X54,$A54,Y54),TRUE,OFFSET($Z54,-1,0))</f>
        <v>device_1320102_pistol</v>
      </c>
      <c r="AA54" s="91">
        <v>3.5</v>
      </c>
      <c r="AB54" s="90">
        <f t="shared" si="38"/>
        <v>2</v>
      </c>
      <c r="AC54" s="76">
        <f>ROUND($AD54*$AE54^$F54,0)</f>
        <v>210</v>
      </c>
      <c r="AD54" s="16">
        <v>12.5</v>
      </c>
      <c r="AE54" s="16">
        <f>POWER(1.6,2)</f>
        <v>2.5600000000000005</v>
      </c>
      <c r="AF54" s="11">
        <v>1</v>
      </c>
      <c r="AG54" s="11">
        <v>60</v>
      </c>
      <c r="AH54" s="11" t="str">
        <f t="shared" si="34"/>
        <v>1.4~12.5</v>
      </c>
      <c r="AI54" s="27">
        <v>1.4</v>
      </c>
      <c r="AJ54" s="27">
        <v>12.5</v>
      </c>
      <c r="AK54" s="110">
        <v>0</v>
      </c>
      <c r="AL54" s="110">
        <v>0</v>
      </c>
      <c r="AM54" s="110">
        <v>0</v>
      </c>
      <c r="AN54" s="110">
        <v>0</v>
      </c>
      <c r="AO54" s="110">
        <v>0</v>
      </c>
      <c r="AP54" s="14" t="b">
        <v>0</v>
      </c>
      <c r="AQ54" s="74" t="s">
        <v>533</v>
      </c>
      <c r="AR54" s="40"/>
      <c r="AS54" s="40"/>
      <c r="AT54" s="77">
        <f t="shared" si="35"/>
        <v>13201023</v>
      </c>
      <c r="AU54" s="38"/>
      <c r="AV54" s="38"/>
      <c r="AW54" s="38"/>
      <c r="AX54" s="38"/>
      <c r="AY54" s="11" t="str">
        <f t="shared" si="36"/>
        <v>6~3</v>
      </c>
      <c r="AZ54" s="27">
        <v>6</v>
      </c>
      <c r="BA54" s="27">
        <v>3</v>
      </c>
      <c r="BB54" s="50">
        <v>1</v>
      </c>
      <c r="BC54" s="74" t="s">
        <v>536</v>
      </c>
      <c r="BD54" s="11" t="s">
        <v>150</v>
      </c>
      <c r="BE54" s="28" t="str" cm="1">
        <f t="array" ref="BE54">IF(BD54&lt;&gt;"",_xlfn.TEXTJOIN("; ",1,VLOOKUP(VALUE(_xlfn.TEXTSPLIT(BD54,";")),device_cubicles!A:B,2,0)),"")</f>
        <v>弹匣装填; 瞄准射击</v>
      </c>
    </row>
    <row r="55" spans="1:57">
      <c r="A55" s="14">
        <v>13201029</v>
      </c>
      <c r="B55" s="11">
        <v>0</v>
      </c>
      <c r="C55" s="15" t="s">
        <v>723</v>
      </c>
      <c r="D55" s="15" t="s">
        <v>625</v>
      </c>
      <c r="E55" s="12" t="s">
        <v>722</v>
      </c>
      <c r="F55" s="11">
        <v>0</v>
      </c>
      <c r="G55" s="15" t="s">
        <v>152</v>
      </c>
      <c r="H55" s="109" t="s">
        <v>741</v>
      </c>
      <c r="J55" s="14" t="str">
        <f>_xlfn.LET(_xlpm.get_device_type,VLOOKUP(VALUE(MID(A55,3,1)),tb_device_info_type[#All],3,0),_xlpm.check_if_wheel,IF(LEFT(A55,2)="12","wheel",_xlpm.get_device_type),_xlpm.raw_output,IF($A55&lt;&gt;"",_xlfn.TEXTJOIN("_",1,"device_alt",_xlpm.check_if_wheel),""),IFERROR(_xlpm.raw_output,"information missing"))</f>
        <v>device_alt_ranged</v>
      </c>
      <c r="K55" s="14" t="str" cm="1">
        <f t="array" ref="K55">_xlfn.IFS($A55="","",ISTEXT($L55),_xlfn.CONCAT("dwt","[device_wheel_thumbnail_",RIGHT($A55,1)-1,"]"),TRUE,_xlfn.CONCAT("dt","[device_thumbnail_",IF($L55&lt;&gt;"",$L55,0),"]"))</f>
        <v>dt[device_thumbnail_21]</v>
      </c>
      <c r="L55" s="34">
        <v>21</v>
      </c>
      <c r="M55" s="14" t="s">
        <v>79</v>
      </c>
      <c r="N55" s="14" t="s">
        <v>80</v>
      </c>
      <c r="O55" s="36" t="s">
        <v>153</v>
      </c>
      <c r="P55" s="15" t="str" cm="1">
        <f t="array" ref="P55">IFERROR(_xlfn.TEXTJOIN(";",1,_xlfn.MAP(_xlfn.TEXTSPLIT(O55,";"),_xlfn.LAMBDA(_xlpm.x,IFERROR(VLOOKUP(VALUE(_xlpm.x),device_tag!A:B,2,0),"error")))),"")</f>
        <v>远程武器;枪械;手枪</v>
      </c>
      <c r="Q55" s="11" t="s">
        <v>109</v>
      </c>
      <c r="S55" s="24">
        <v>0</v>
      </c>
      <c r="V55" s="24">
        <v>0</v>
      </c>
      <c r="W55" s="24">
        <v>0</v>
      </c>
      <c r="X55" s="24" t="s">
        <v>82</v>
      </c>
      <c r="Y55" s="24" t="s">
        <v>154</v>
      </c>
      <c r="Z55" s="85" t="str" cm="1">
        <f t="array" aca="1" ref="Z55" ca="1">_xlfn.IFS($A55="","",OR(F55=99,F55=""),_xlfn.TEXTJOIN("_",1,X55,$A55,Y55),TRUE,OFFSET($Z55,-1,0))</f>
        <v>device_1320102_pistol</v>
      </c>
      <c r="AA55" s="91">
        <v>3.5</v>
      </c>
      <c r="AB55" s="90">
        <f>COLUMNS(_xlfn.TEXTSPLIT(BD55,";"))</f>
        <v>2</v>
      </c>
      <c r="AC55" s="76">
        <f>ROUND($AD55*$AE55^$F55,0)</f>
        <v>7</v>
      </c>
      <c r="AD55" s="16">
        <v>6.6</v>
      </c>
      <c r="AE55" s="16">
        <f>POWER(1.6,2)</f>
        <v>2.5600000000000005</v>
      </c>
      <c r="AF55" s="11">
        <v>1</v>
      </c>
      <c r="AG55" s="11">
        <v>60</v>
      </c>
      <c r="AH55" s="11" t="str">
        <f>_xlfn.TEXTJOIN("~",1,AI55:AJ55)</f>
        <v>1.4~12.5</v>
      </c>
      <c r="AI55" s="27">
        <v>1.4</v>
      </c>
      <c r="AJ55" s="27">
        <v>12.5</v>
      </c>
      <c r="AK55" s="110">
        <v>0</v>
      </c>
      <c r="AL55" s="110">
        <v>0</v>
      </c>
      <c r="AM55" s="110">
        <v>0</v>
      </c>
      <c r="AN55" s="110">
        <v>0</v>
      </c>
      <c r="AO55" s="110">
        <v>0</v>
      </c>
      <c r="AP55" s="14" t="b">
        <v>0</v>
      </c>
      <c r="AQ55" s="74" t="s">
        <v>533</v>
      </c>
      <c r="AR55" s="40"/>
      <c r="AS55" s="40"/>
      <c r="AT55" s="77">
        <f>$A55</f>
        <v>13201029</v>
      </c>
      <c r="AU55" s="38"/>
      <c r="AV55" s="38"/>
      <c r="AW55" s="38"/>
      <c r="AX55" s="38"/>
      <c r="AY55" s="11" t="str">
        <f>_xlfn.TEXTJOIN("~",1,AZ55:BA55)</f>
        <v>6~3</v>
      </c>
      <c r="AZ55" s="27">
        <v>6</v>
      </c>
      <c r="BA55" s="27">
        <v>3</v>
      </c>
      <c r="BB55" s="50">
        <v>1</v>
      </c>
      <c r="BC55" s="74" t="s">
        <v>724</v>
      </c>
      <c r="BD55" s="11" t="s">
        <v>150</v>
      </c>
      <c r="BE55" s="28" t="str" cm="1">
        <f t="array" ref="BE55">IF(BD55&lt;&gt;"",_xlfn.TEXTJOIN("; ",1,VLOOKUP(VALUE(_xlfn.TEXTSPLIT(BD55,";")),device_cubicles!A:B,2,0)),"")</f>
        <v>弹匣装填; 瞄准射击</v>
      </c>
    </row>
    <row r="56" spans="1:57">
      <c r="A56" s="14">
        <v>1320103</v>
      </c>
      <c r="B56" s="11">
        <v>0</v>
      </c>
      <c r="C56" s="15" t="s">
        <v>601</v>
      </c>
      <c r="D56" s="15" t="s">
        <v>625</v>
      </c>
      <c r="F56" s="86"/>
      <c r="G56" s="15" t="s">
        <v>156</v>
      </c>
      <c r="H56" s="84" t="str" cm="1">
        <f t="array" aca="1" ref="H56" ca="1">_xlfn.IFS($A56="","",OR($F56=99,$F56=""),_xlfn.TEXTJOIN("_",1,"device_name",$A56,$Y56),TRUE,OFFSET(H56,-1,0))</f>
        <v>device_name_1320103_shotgun</v>
      </c>
      <c r="J56" s="14" t="str">
        <f>_xlfn.LET(_xlpm.get_device_type,VLOOKUP(VALUE(MID(A56,3,1)),tb_device_info_type[#All],3,0),_xlpm.check_if_wheel,IF(LEFT(A56,2)="12","wheel",_xlpm.get_device_type),_xlpm.raw_output,IF($A56&lt;&gt;"",_xlfn.TEXTJOIN("_",1,"device_alt",_xlpm.check_if_wheel),""),IFERROR(_xlpm.raw_output,"information missing"))</f>
        <v>device_alt_ranged</v>
      </c>
      <c r="K56" s="14" t="str" cm="1">
        <f t="array" ref="K56">_xlfn.IFS($A56="","",ISTEXT($L56),_xlfn.CONCAT("dwt","[device_wheel_thumbnail_",RIGHT($A56,1)-1,"]"),TRUE,_xlfn.CONCAT("dt","[device_thumbnail_",IF($L56&lt;&gt;"",$L56,0),"]"))</f>
        <v>dt[device_thumbnail_26]</v>
      </c>
      <c r="L56" s="34">
        <v>26</v>
      </c>
      <c r="M56" s="14" t="s">
        <v>79</v>
      </c>
      <c r="N56" s="14" t="s">
        <v>80</v>
      </c>
      <c r="O56" s="36" t="s">
        <v>157</v>
      </c>
      <c r="P56" s="15" t="str" cm="1">
        <f t="array" ref="P56">IFERROR(_xlfn.TEXTJOIN(";",1,_xlfn.MAP(_xlfn.TEXTSPLIT(O56,";"),_xlfn.LAMBDA(_xlpm.x,IFERROR(VLOOKUP(VALUE(_xlpm.x),device_tag!A:B,2,0),"error")))),"")</f>
        <v>远程武器;枪械;霰弹枪</v>
      </c>
      <c r="Q56" s="11" t="s">
        <v>109</v>
      </c>
      <c r="S56" s="24">
        <v>0</v>
      </c>
      <c r="V56" s="24">
        <v>0</v>
      </c>
      <c r="W56" s="24">
        <v>0</v>
      </c>
      <c r="X56" s="24" t="s">
        <v>82</v>
      </c>
      <c r="Y56" s="24" t="s">
        <v>158</v>
      </c>
      <c r="Z56" s="85" t="str" cm="1">
        <f t="array" aca="1" ref="Z56" ca="1">_xlfn.IFS($A56="","",OR(F56=99,F56=""),_xlfn.TEXTJOIN("_",1,X56,$A56,Y56),TRUE,OFFSET($Z56,-1,0))</f>
        <v>device_1320103_shotgun</v>
      </c>
      <c r="AA56" s="91">
        <v>10</v>
      </c>
      <c r="AB56" s="90">
        <f t="shared" si="38"/>
        <v>1</v>
      </c>
      <c r="AC56" s="77">
        <v>11</v>
      </c>
      <c r="AF56" s="11">
        <v>1</v>
      </c>
      <c r="AG56" s="11">
        <v>60</v>
      </c>
      <c r="AH56" s="11" t="str">
        <f t="shared" si="34"/>
        <v>2~8</v>
      </c>
      <c r="AI56" s="27">
        <v>2</v>
      </c>
      <c r="AJ56" s="27">
        <v>8</v>
      </c>
      <c r="AK56" s="110">
        <v>0</v>
      </c>
      <c r="AL56" s="110">
        <v>0</v>
      </c>
      <c r="AM56" s="110">
        <v>0</v>
      </c>
      <c r="AN56" s="110">
        <v>0</v>
      </c>
      <c r="AO56" s="110">
        <v>0</v>
      </c>
      <c r="AP56" s="14" t="b">
        <v>0</v>
      </c>
      <c r="AQ56" s="74" t="s">
        <v>593</v>
      </c>
      <c r="AR56" s="40"/>
      <c r="AS56" s="40"/>
      <c r="AT56" s="11">
        <f t="shared" si="35"/>
        <v>1320103</v>
      </c>
      <c r="AU56" s="38"/>
      <c r="AV56" s="38"/>
      <c r="AW56" s="38"/>
      <c r="AX56" s="38"/>
      <c r="AY56" s="11" t="str">
        <f t="shared" si="36"/>
        <v>4~0.2</v>
      </c>
      <c r="AZ56" s="27">
        <v>4</v>
      </c>
      <c r="BA56" s="27">
        <v>0.2</v>
      </c>
      <c r="BB56" s="11" t="str">
        <f t="shared" si="37"/>
        <v>6320103</v>
      </c>
      <c r="BC56" s="87" t="s">
        <v>620</v>
      </c>
      <c r="BD56" s="11">
        <v>202</v>
      </c>
      <c r="BE56" s="28" t="str" cm="1">
        <f t="array" ref="BE56">IF(BD56&lt;&gt;"",_xlfn.TEXTJOIN("; ",1,VLOOKUP(VALUE(_xlfn.TEXTSPLIT(BD56,";")),device_cubicles!A:B,2,0)),"")</f>
        <v>瞄准射击</v>
      </c>
    </row>
    <row r="57" spans="1:57">
      <c r="A57" s="14">
        <v>13201030</v>
      </c>
      <c r="B57" s="11">
        <v>0</v>
      </c>
      <c r="C57" s="15" t="s">
        <v>601</v>
      </c>
      <c r="D57" s="15" t="s">
        <v>625</v>
      </c>
      <c r="E57" s="12" t="s">
        <v>604</v>
      </c>
      <c r="F57" s="11">
        <v>0</v>
      </c>
      <c r="G57" s="15" t="s">
        <v>156</v>
      </c>
      <c r="H57" s="84" t="str" cm="1">
        <f t="array" aca="1" ref="H57" ca="1">_xlfn.IFS($A57="","",OR($F57=99,$F57=""),_xlfn.TEXTJOIN("_",1,"device_name",$A57,$Y57),TRUE,OFFSET(H57,-1,0))</f>
        <v>device_name_1320103_shotgun</v>
      </c>
      <c r="J57" s="14" t="str">
        <f>_xlfn.LET(_xlpm.get_device_type,VLOOKUP(VALUE(MID(A57,3,1)),tb_device_info_type[#All],3,0),_xlpm.check_if_wheel,IF(LEFT(A57,2)="12","wheel",_xlpm.get_device_type),_xlpm.raw_output,IF($A57&lt;&gt;"",_xlfn.TEXTJOIN("_",1,"device_alt",_xlpm.check_if_wheel),""),IFERROR(_xlpm.raw_output,"information missing"))</f>
        <v>device_alt_ranged</v>
      </c>
      <c r="K57" s="14" t="str" cm="1">
        <f t="array" ref="K57">_xlfn.IFS($A57="","",ISTEXT($L57),_xlfn.CONCAT("dwt","[device_wheel_thumbnail_",RIGHT($A57,1)-1,"]"),TRUE,_xlfn.CONCAT("dt","[device_thumbnail_",IF($L57&lt;&gt;"",$L57,0),"]"))</f>
        <v>dt[device_thumbnail_26]</v>
      </c>
      <c r="L57" s="34">
        <v>26</v>
      </c>
      <c r="M57" s="14" t="s">
        <v>79</v>
      </c>
      <c r="N57" s="14" t="s">
        <v>80</v>
      </c>
      <c r="O57" s="36" t="s">
        <v>157</v>
      </c>
      <c r="P57" s="15" t="str" cm="1">
        <f t="array" ref="P57">IFERROR(_xlfn.TEXTJOIN(";",1,_xlfn.MAP(_xlfn.TEXTSPLIT(O57,";"),_xlfn.LAMBDA(_xlpm.x,IFERROR(VLOOKUP(VALUE(_xlpm.x),device_tag!A:B,2,0),"error")))),"")</f>
        <v>远程武器;枪械;霰弹枪</v>
      </c>
      <c r="Q57" s="11" t="s">
        <v>109</v>
      </c>
      <c r="S57" s="24">
        <v>0</v>
      </c>
      <c r="V57" s="24">
        <v>0</v>
      </c>
      <c r="W57" s="24">
        <v>0</v>
      </c>
      <c r="X57" s="24" t="s">
        <v>82</v>
      </c>
      <c r="Y57" s="24" t="s">
        <v>158</v>
      </c>
      <c r="Z57" s="85" t="str" cm="1">
        <f t="array" aca="1" ref="Z57" ca="1">_xlfn.IFS($A57="","",OR(F57=99,F57=""),_xlfn.TEXTJOIN("_",1,X57,$A57,Y57),TRUE,OFFSET($Z57,-1,0))</f>
        <v>device_1320103_shotgun</v>
      </c>
      <c r="AA57" s="91">
        <v>10</v>
      </c>
      <c r="AB57" s="90">
        <f t="shared" si="38"/>
        <v>1</v>
      </c>
      <c r="AC57" s="76">
        <f>ROUND($AD57*$AE57^$F57,0)</f>
        <v>11</v>
      </c>
      <c r="AD57" s="16">
        <v>11</v>
      </c>
      <c r="AE57" s="16">
        <f>POWER(1.6,2)</f>
        <v>2.5600000000000005</v>
      </c>
      <c r="AF57" s="11">
        <v>1</v>
      </c>
      <c r="AG57" s="11">
        <v>60</v>
      </c>
      <c r="AH57" s="11" t="str">
        <f t="shared" ref="AH57" si="39">_xlfn.TEXTJOIN("~",1,AI57:AJ57)</f>
        <v>2~8</v>
      </c>
      <c r="AI57" s="27">
        <v>2</v>
      </c>
      <c r="AJ57" s="27">
        <v>8</v>
      </c>
      <c r="AK57" s="110">
        <v>0</v>
      </c>
      <c r="AL57" s="110">
        <v>0</v>
      </c>
      <c r="AM57" s="110">
        <v>0</v>
      </c>
      <c r="AN57" s="110">
        <v>0</v>
      </c>
      <c r="AO57" s="110">
        <v>0</v>
      </c>
      <c r="AP57" s="14" t="b">
        <v>0</v>
      </c>
      <c r="AQ57" s="74" t="s">
        <v>593</v>
      </c>
      <c r="AR57" s="40"/>
      <c r="AS57" s="40"/>
      <c r="AT57" s="11">
        <f t="shared" si="35"/>
        <v>13201030</v>
      </c>
      <c r="AU57" s="38"/>
      <c r="AV57" s="38"/>
      <c r="AW57" s="38"/>
      <c r="AX57" s="38"/>
      <c r="AY57" s="11" t="str">
        <f t="shared" ref="AY57" si="40">_xlfn.TEXTJOIN("~",1,AZ57:BA57)</f>
        <v>4~0.2</v>
      </c>
      <c r="AZ57" s="27">
        <v>4</v>
      </c>
      <c r="BA57" s="27">
        <v>0.2</v>
      </c>
      <c r="BB57" s="50">
        <v>1</v>
      </c>
      <c r="BC57" s="74" t="s">
        <v>613</v>
      </c>
      <c r="BD57" s="11">
        <v>202</v>
      </c>
      <c r="BE57" s="28" t="str" cm="1">
        <f t="array" ref="BE57">IF(BD57&lt;&gt;"",_xlfn.TEXTJOIN("; ",1,VLOOKUP(VALUE(_xlfn.TEXTSPLIT(BD57,";")),device_cubicles!A:B,2,0)),"")</f>
        <v>瞄准射击</v>
      </c>
    </row>
    <row r="58" spans="1:57">
      <c r="A58" s="14">
        <v>13201031</v>
      </c>
      <c r="B58" s="11">
        <v>0</v>
      </c>
      <c r="C58" s="15" t="s">
        <v>155</v>
      </c>
      <c r="D58" s="15" t="s">
        <v>625</v>
      </c>
      <c r="E58" s="12" t="s">
        <v>602</v>
      </c>
      <c r="F58" s="11">
        <v>1</v>
      </c>
      <c r="G58" s="15" t="s">
        <v>156</v>
      </c>
      <c r="H58" s="84" t="str" cm="1">
        <f t="array" aca="1" ref="H58" ca="1">_xlfn.IFS($A58="","",OR($F58=99,$F58=""),_xlfn.TEXTJOIN("_",1,"device_name",$A58,$Y58),TRUE,OFFSET(H58,-1,0))</f>
        <v>device_name_1320103_shotgun</v>
      </c>
      <c r="J58" s="14" t="str">
        <f>_xlfn.LET(_xlpm.get_device_type,VLOOKUP(VALUE(MID(A58,3,1)),tb_device_info_type[#All],3,0),_xlpm.check_if_wheel,IF(LEFT(A58,2)="12","wheel",_xlpm.get_device_type),_xlpm.raw_output,IF($A58&lt;&gt;"",_xlfn.TEXTJOIN("_",1,"device_alt",_xlpm.check_if_wheel),""),IFERROR(_xlpm.raw_output,"information missing"))</f>
        <v>device_alt_ranged</v>
      </c>
      <c r="K58" s="14" t="str" cm="1">
        <f t="array" ref="K58">_xlfn.IFS($A58="","",ISTEXT($L58),_xlfn.CONCAT("dwt","[device_wheel_thumbnail_",RIGHT($A58,1)-1,"]"),TRUE,_xlfn.CONCAT("dt","[device_thumbnail_",IF($L58&lt;&gt;"",$L58,0),"]"))</f>
        <v>dt[device_thumbnail_26]</v>
      </c>
      <c r="L58" s="34">
        <v>26</v>
      </c>
      <c r="M58" s="14" t="s">
        <v>79</v>
      </c>
      <c r="N58" s="14" t="s">
        <v>80</v>
      </c>
      <c r="O58" s="36" t="s">
        <v>157</v>
      </c>
      <c r="P58" s="15" t="str" cm="1">
        <f t="array" ref="P58">IFERROR(_xlfn.TEXTJOIN(";",1,_xlfn.MAP(_xlfn.TEXTSPLIT(O58,";"),_xlfn.LAMBDA(_xlpm.x,IFERROR(VLOOKUP(VALUE(_xlpm.x),device_tag!A:B,2,0),"error")))),"")</f>
        <v>远程武器;枪械;霰弹枪</v>
      </c>
      <c r="Q58" s="11" t="s">
        <v>109</v>
      </c>
      <c r="S58" s="24">
        <v>0</v>
      </c>
      <c r="V58" s="24">
        <v>0</v>
      </c>
      <c r="W58" s="24">
        <v>0</v>
      </c>
      <c r="X58" s="24" t="s">
        <v>82</v>
      </c>
      <c r="Y58" s="24" t="s">
        <v>158</v>
      </c>
      <c r="Z58" s="85" t="str" cm="1">
        <f t="array" aca="1" ref="Z58" ca="1">_xlfn.IFS($A58="","",OR(F58=99,F58=""),_xlfn.TEXTJOIN("_",1,X58,$A58,Y58),TRUE,OFFSET($Z58,-1,0))</f>
        <v>device_1320103_shotgun</v>
      </c>
      <c r="AA58" s="91">
        <v>10</v>
      </c>
      <c r="AB58" s="90">
        <f t="shared" si="38"/>
        <v>1</v>
      </c>
      <c r="AC58" s="76">
        <f>ROUND($AD58*$AE58^$F58,0)</f>
        <v>28</v>
      </c>
      <c r="AD58" s="16">
        <v>11</v>
      </c>
      <c r="AE58" s="16">
        <f>POWER(1.6,2)</f>
        <v>2.5600000000000005</v>
      </c>
      <c r="AF58" s="11">
        <v>1</v>
      </c>
      <c r="AG58" s="11">
        <v>60</v>
      </c>
      <c r="AH58" s="11" t="str">
        <f t="shared" ref="AH58" si="41">_xlfn.TEXTJOIN("~",1,AI58:AJ58)</f>
        <v>2~8</v>
      </c>
      <c r="AI58" s="27">
        <v>2</v>
      </c>
      <c r="AJ58" s="27">
        <v>8</v>
      </c>
      <c r="AK58" s="110">
        <v>0</v>
      </c>
      <c r="AL58" s="110">
        <v>0</v>
      </c>
      <c r="AM58" s="110">
        <v>0</v>
      </c>
      <c r="AN58" s="110">
        <v>0</v>
      </c>
      <c r="AO58" s="110">
        <v>0</v>
      </c>
      <c r="AP58" s="14" t="b">
        <v>0</v>
      </c>
      <c r="AQ58" s="74" t="s">
        <v>593</v>
      </c>
      <c r="AR58" s="40"/>
      <c r="AS58" s="40"/>
      <c r="AT58" s="11">
        <f t="shared" si="35"/>
        <v>13201031</v>
      </c>
      <c r="AU58" s="38"/>
      <c r="AV58" s="38"/>
      <c r="AW58" s="38"/>
      <c r="AX58" s="38"/>
      <c r="AY58" s="11" t="str">
        <f t="shared" ref="AY58" si="42">_xlfn.TEXTJOIN("~",1,AZ58:BA58)</f>
        <v>4~0.2</v>
      </c>
      <c r="AZ58" s="27">
        <v>4</v>
      </c>
      <c r="BA58" s="27">
        <v>0.2</v>
      </c>
      <c r="BB58" s="50">
        <v>1</v>
      </c>
      <c r="BC58" s="74" t="s">
        <v>614</v>
      </c>
      <c r="BD58" s="11">
        <v>202</v>
      </c>
      <c r="BE58" s="28" t="str" cm="1">
        <f t="array" ref="BE58">IF(BD58&lt;&gt;"",_xlfn.TEXTJOIN("; ",1,VLOOKUP(VALUE(_xlfn.TEXTSPLIT(BD58,";")),device_cubicles!A:B,2,0)),"")</f>
        <v>瞄准射击</v>
      </c>
    </row>
    <row r="59" spans="1:57">
      <c r="A59" s="14">
        <v>13201032</v>
      </c>
      <c r="B59" s="11">
        <v>0</v>
      </c>
      <c r="C59" s="15" t="s">
        <v>155</v>
      </c>
      <c r="D59" s="15" t="s">
        <v>625</v>
      </c>
      <c r="E59" s="12" t="s">
        <v>603</v>
      </c>
      <c r="F59" s="11">
        <v>2</v>
      </c>
      <c r="G59" s="15" t="s">
        <v>156</v>
      </c>
      <c r="H59" s="84" t="str" cm="1">
        <f t="array" aca="1" ref="H59" ca="1">_xlfn.IFS($A59="","",OR($F59=99,$F59=""),_xlfn.TEXTJOIN("_",1,"device_name",$A59,$Y59),TRUE,OFFSET(H59,-1,0))</f>
        <v>device_name_1320103_shotgun</v>
      </c>
      <c r="J59" s="14" t="str">
        <f>_xlfn.LET(_xlpm.get_device_type,VLOOKUP(VALUE(MID(A59,3,1)),tb_device_info_type[#All],3,0),_xlpm.check_if_wheel,IF(LEFT(A59,2)="12","wheel",_xlpm.get_device_type),_xlpm.raw_output,IF($A59&lt;&gt;"",_xlfn.TEXTJOIN("_",1,"device_alt",_xlpm.check_if_wheel),""),IFERROR(_xlpm.raw_output,"information missing"))</f>
        <v>device_alt_ranged</v>
      </c>
      <c r="K59" s="14" t="str" cm="1">
        <f t="array" ref="K59">_xlfn.IFS($A59="","",ISTEXT($L59),_xlfn.CONCAT("dwt","[device_wheel_thumbnail_",RIGHT($A59,1)-1,"]"),TRUE,_xlfn.CONCAT("dt","[device_thumbnail_",IF($L59&lt;&gt;"",$L59,0),"]"))</f>
        <v>dt[device_thumbnail_26]</v>
      </c>
      <c r="L59" s="34">
        <v>26</v>
      </c>
      <c r="M59" s="14" t="s">
        <v>79</v>
      </c>
      <c r="N59" s="14" t="s">
        <v>80</v>
      </c>
      <c r="O59" s="36" t="s">
        <v>157</v>
      </c>
      <c r="P59" s="15" t="str" cm="1">
        <f t="array" ref="P59">IFERROR(_xlfn.TEXTJOIN(";",1,_xlfn.MAP(_xlfn.TEXTSPLIT(O59,";"),_xlfn.LAMBDA(_xlpm.x,IFERROR(VLOOKUP(VALUE(_xlpm.x),device_tag!A:B,2,0),"error")))),"")</f>
        <v>远程武器;枪械;霰弹枪</v>
      </c>
      <c r="Q59" s="11" t="s">
        <v>109</v>
      </c>
      <c r="S59" s="24">
        <v>0</v>
      </c>
      <c r="V59" s="24">
        <v>0</v>
      </c>
      <c r="W59" s="24">
        <v>0</v>
      </c>
      <c r="X59" s="24" t="s">
        <v>82</v>
      </c>
      <c r="Y59" s="24" t="s">
        <v>158</v>
      </c>
      <c r="Z59" s="85" t="str" cm="1">
        <f t="array" aca="1" ref="Z59" ca="1">_xlfn.IFS($A59="","",OR(F59=99,F59=""),_xlfn.TEXTJOIN("_",1,X59,$A59,Y59),TRUE,OFFSET($Z59,-1,0))</f>
        <v>device_1320103_shotgun</v>
      </c>
      <c r="AA59" s="91">
        <v>10</v>
      </c>
      <c r="AB59" s="90">
        <f t="shared" si="38"/>
        <v>1</v>
      </c>
      <c r="AC59" s="76">
        <f>ROUND($AD59*$AE59^$F59,0)</f>
        <v>72</v>
      </c>
      <c r="AD59" s="16">
        <v>11</v>
      </c>
      <c r="AE59" s="16">
        <f>POWER(1.6,2)</f>
        <v>2.5600000000000005</v>
      </c>
      <c r="AF59" s="11">
        <v>1</v>
      </c>
      <c r="AG59" s="11">
        <v>60</v>
      </c>
      <c r="AH59" s="11" t="str">
        <f t="shared" ref="AH59" si="43">_xlfn.TEXTJOIN("~",1,AI59:AJ59)</f>
        <v>2~8</v>
      </c>
      <c r="AI59" s="27">
        <v>2</v>
      </c>
      <c r="AJ59" s="27">
        <v>8</v>
      </c>
      <c r="AK59" s="110">
        <v>0</v>
      </c>
      <c r="AL59" s="110">
        <v>0</v>
      </c>
      <c r="AM59" s="110">
        <v>0</v>
      </c>
      <c r="AN59" s="110">
        <v>0</v>
      </c>
      <c r="AO59" s="110">
        <v>0</v>
      </c>
      <c r="AP59" s="14" t="b">
        <v>0</v>
      </c>
      <c r="AQ59" s="74" t="s">
        <v>593</v>
      </c>
      <c r="AR59" s="40"/>
      <c r="AS59" s="40"/>
      <c r="AT59" s="11">
        <f t="shared" si="35"/>
        <v>13201032</v>
      </c>
      <c r="AU59" s="38"/>
      <c r="AV59" s="38"/>
      <c r="AW59" s="38"/>
      <c r="AX59" s="38"/>
      <c r="AY59" s="11" t="str">
        <f t="shared" ref="AY59" si="44">_xlfn.TEXTJOIN("~",1,AZ59:BA59)</f>
        <v>4~0.2</v>
      </c>
      <c r="AZ59" s="27">
        <v>4</v>
      </c>
      <c r="BA59" s="27">
        <v>0.2</v>
      </c>
      <c r="BB59" s="50">
        <v>1</v>
      </c>
      <c r="BC59" s="74" t="s">
        <v>615</v>
      </c>
      <c r="BD59" s="11">
        <v>202</v>
      </c>
      <c r="BE59" s="28" t="str" cm="1">
        <f t="array" ref="BE59">IF(BD59&lt;&gt;"",_xlfn.TEXTJOIN("; ",1,VLOOKUP(VALUE(_xlfn.TEXTSPLIT(BD59,";")),device_cubicles!A:B,2,0)),"")</f>
        <v>瞄准射击</v>
      </c>
    </row>
    <row r="60" spans="1:57">
      <c r="A60" s="14">
        <v>13201033</v>
      </c>
      <c r="B60" s="11">
        <v>0</v>
      </c>
      <c r="C60" s="15" t="s">
        <v>155</v>
      </c>
      <c r="D60" s="15" t="s">
        <v>625</v>
      </c>
      <c r="E60" s="12" t="s">
        <v>605</v>
      </c>
      <c r="F60" s="11">
        <v>3</v>
      </c>
      <c r="G60" s="15" t="s">
        <v>156</v>
      </c>
      <c r="H60" s="84" t="str" cm="1">
        <f t="array" aca="1" ref="H60" ca="1">_xlfn.IFS($A60="","",OR($F60=99,$F60=""),_xlfn.TEXTJOIN("_",1,"device_name",$A60,$Y60),TRUE,OFFSET(H60,-1,0))</f>
        <v>device_name_1320103_shotgun</v>
      </c>
      <c r="J60" s="14" t="str">
        <f>_xlfn.LET(_xlpm.get_device_type,VLOOKUP(VALUE(MID(A60,3,1)),tb_device_info_type[#All],3,0),_xlpm.check_if_wheel,IF(LEFT(A60,2)="12","wheel",_xlpm.get_device_type),_xlpm.raw_output,IF($A60&lt;&gt;"",_xlfn.TEXTJOIN("_",1,"device_alt",_xlpm.check_if_wheel),""),IFERROR(_xlpm.raw_output,"information missing"))</f>
        <v>device_alt_ranged</v>
      </c>
      <c r="K60" s="14" t="str" cm="1">
        <f t="array" ref="K60">_xlfn.IFS($A60="","",ISTEXT($L60),_xlfn.CONCAT("dwt","[device_wheel_thumbnail_",RIGHT($A60,1)-1,"]"),TRUE,_xlfn.CONCAT("dt","[device_thumbnail_",IF($L60&lt;&gt;"",$L60,0),"]"))</f>
        <v>dt[device_thumbnail_26]</v>
      </c>
      <c r="L60" s="34">
        <v>26</v>
      </c>
      <c r="M60" s="14" t="s">
        <v>79</v>
      </c>
      <c r="N60" s="14" t="s">
        <v>80</v>
      </c>
      <c r="O60" s="36" t="s">
        <v>157</v>
      </c>
      <c r="P60" s="15" t="str" cm="1">
        <f t="array" ref="P60">IFERROR(_xlfn.TEXTJOIN(";",1,_xlfn.MAP(_xlfn.TEXTSPLIT(O60,";"),_xlfn.LAMBDA(_xlpm.x,IFERROR(VLOOKUP(VALUE(_xlpm.x),device_tag!A:B,2,0),"error")))),"")</f>
        <v>远程武器;枪械;霰弹枪</v>
      </c>
      <c r="Q60" s="11" t="s">
        <v>109</v>
      </c>
      <c r="S60" s="24">
        <v>0</v>
      </c>
      <c r="V60" s="24">
        <v>0</v>
      </c>
      <c r="W60" s="24">
        <v>0</v>
      </c>
      <c r="X60" s="24" t="s">
        <v>82</v>
      </c>
      <c r="Y60" s="24" t="s">
        <v>158</v>
      </c>
      <c r="Z60" s="85" t="str" cm="1">
        <f t="array" aca="1" ref="Z60" ca="1">_xlfn.IFS($A60="","",OR(F60=99,F60=""),_xlfn.TEXTJOIN("_",1,X60,$A60,Y60),TRUE,OFFSET($Z60,-1,0))</f>
        <v>device_1320103_shotgun</v>
      </c>
      <c r="AA60" s="91">
        <v>10</v>
      </c>
      <c r="AB60" s="90">
        <f t="shared" si="38"/>
        <v>1</v>
      </c>
      <c r="AC60" s="76">
        <f>ROUND($AD60*$AE60^$F60,0)</f>
        <v>185</v>
      </c>
      <c r="AD60" s="16">
        <v>11</v>
      </c>
      <c r="AE60" s="16">
        <f>POWER(1.6,2)</f>
        <v>2.5600000000000005</v>
      </c>
      <c r="AF60" s="11">
        <v>1</v>
      </c>
      <c r="AG60" s="11">
        <v>60</v>
      </c>
      <c r="AH60" s="11" t="str">
        <f t="shared" ref="AH60" si="45">_xlfn.TEXTJOIN("~",1,AI60:AJ60)</f>
        <v>2~8</v>
      </c>
      <c r="AI60" s="27">
        <v>2</v>
      </c>
      <c r="AJ60" s="27">
        <v>8</v>
      </c>
      <c r="AK60" s="110">
        <v>0</v>
      </c>
      <c r="AL60" s="110">
        <v>0</v>
      </c>
      <c r="AM60" s="110">
        <v>0</v>
      </c>
      <c r="AN60" s="110">
        <v>0</v>
      </c>
      <c r="AO60" s="110">
        <v>0</v>
      </c>
      <c r="AP60" s="14" t="b">
        <v>0</v>
      </c>
      <c r="AQ60" s="74" t="s">
        <v>593</v>
      </c>
      <c r="AR60" s="40"/>
      <c r="AS60" s="40"/>
      <c r="AT60" s="11">
        <f t="shared" si="35"/>
        <v>13201033</v>
      </c>
      <c r="AU60" s="38"/>
      <c r="AV60" s="38"/>
      <c r="AW60" s="38"/>
      <c r="AX60" s="38"/>
      <c r="AY60" s="11" t="str">
        <f t="shared" ref="AY60" si="46">_xlfn.TEXTJOIN("~",1,AZ60:BA60)</f>
        <v>4~0.2</v>
      </c>
      <c r="AZ60" s="27">
        <v>4</v>
      </c>
      <c r="BA60" s="27">
        <v>0.2</v>
      </c>
      <c r="BB60" s="50">
        <v>1</v>
      </c>
      <c r="BC60" s="74" t="s">
        <v>616</v>
      </c>
      <c r="BD60" s="11">
        <v>202</v>
      </c>
      <c r="BE60" s="28" t="str" cm="1">
        <f t="array" ref="BE60">IF(BD60&lt;&gt;"",_xlfn.TEXTJOIN("; ",1,VLOOKUP(VALUE(_xlfn.TEXTSPLIT(BD60,";")),device_cubicles!A:B,2,0)),"")</f>
        <v>瞄准射击</v>
      </c>
    </row>
    <row r="61" spans="1:57">
      <c r="A61" s="14">
        <v>1320104</v>
      </c>
      <c r="B61" s="11">
        <v>0</v>
      </c>
      <c r="C61" s="15" t="s">
        <v>643</v>
      </c>
      <c r="D61" s="15" t="s">
        <v>507</v>
      </c>
      <c r="F61" s="86"/>
      <c r="G61" s="15" t="s">
        <v>159</v>
      </c>
      <c r="H61" s="84" t="str" cm="1">
        <f t="array" aca="1" ref="H61" ca="1">_xlfn.IFS($A61="","",OR($F61=99,$F61=""),_xlfn.TEXTJOIN("_",1,"device_name",$A61,$Y61),TRUE,OFFSET(H61,-1,0))</f>
        <v>device_name_1320104_volley_gun</v>
      </c>
      <c r="I61" s="15" t="s">
        <v>160</v>
      </c>
      <c r="J61" s="14" t="str">
        <f>_xlfn.LET(_xlpm.get_device_type,VLOOKUP(VALUE(MID(A61,3,1)),tb_device_info_type[#All],3,0),_xlpm.check_if_wheel,IF(LEFT(A61,2)="12","wheel",_xlpm.get_device_type),_xlpm.raw_output,IF($A61&lt;&gt;"",_xlfn.TEXTJOIN("_",1,"device_alt",_xlpm.check_if_wheel),""),IFERROR(_xlpm.raw_output,"information missing"))</f>
        <v>device_alt_ranged</v>
      </c>
      <c r="K61" s="14" t="str" cm="1">
        <f t="array" ref="K61">_xlfn.IFS($A61="","",ISTEXT($L61),_xlfn.CONCAT("dwt","[device_wheel_thumbnail_",RIGHT($A61,1)-1,"]"),TRUE,_xlfn.CONCAT("dt","[device_thumbnail_",IF($L61&lt;&gt;"",$L61,0),"]"))</f>
        <v>dt[device_thumbnail_33]</v>
      </c>
      <c r="L61" s="34">
        <v>33</v>
      </c>
      <c r="M61" s="14" t="s">
        <v>79</v>
      </c>
      <c r="N61" s="14" t="s">
        <v>80</v>
      </c>
      <c r="O61" s="36" t="s">
        <v>161</v>
      </c>
      <c r="P61" s="15" t="str" cm="1">
        <f t="array" ref="P61">IFERROR(_xlfn.TEXTJOIN(";",1,_xlfn.MAP(_xlfn.TEXTSPLIT(O61,";"),_xlfn.LAMBDA(_xlpm.x,IFERROR(VLOOKUP(VALUE(_xlpm.x),device_tag!A:B,2,0),"error")))),"")</f>
        <v>远程武器;枪械;大型枪械</v>
      </c>
      <c r="Q61" s="11" t="s">
        <v>109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 t="s">
        <v>82</v>
      </c>
      <c r="Y61" s="24" t="s">
        <v>162</v>
      </c>
      <c r="Z61" s="85" t="str" cm="1">
        <f t="array" aca="1" ref="Z61" ca="1">_xlfn.IFS($A61="","",OR(F61=99,F61=""),_xlfn.TEXTJOIN("_",1,X61,$A61,Y61),TRUE,OFFSET($Z61,-1,0))</f>
        <v>device_1320104_volley_gun</v>
      </c>
      <c r="AA61" s="91">
        <v>45</v>
      </c>
      <c r="AB61" s="90">
        <f>COLUMNS(_xlfn.TEXTSPLIT(BD61,";"))</f>
        <v>3</v>
      </c>
      <c r="AC61" s="77">
        <v>40</v>
      </c>
      <c r="AF61" s="11">
        <v>1</v>
      </c>
      <c r="AG61" s="11">
        <v>60</v>
      </c>
      <c r="AH61" s="11" t="str">
        <f t="shared" si="34"/>
        <v>2.6~14.5</v>
      </c>
      <c r="AI61" s="27">
        <v>2.6</v>
      </c>
      <c r="AJ61" s="27">
        <v>14.5</v>
      </c>
      <c r="AK61" s="110">
        <v>0</v>
      </c>
      <c r="AL61" s="110">
        <v>0</v>
      </c>
      <c r="AM61" s="110">
        <v>0</v>
      </c>
      <c r="AN61" s="110">
        <v>0</v>
      </c>
      <c r="AO61" s="110">
        <v>0</v>
      </c>
      <c r="AP61" s="14" t="b">
        <v>0</v>
      </c>
      <c r="AQ61" s="74" t="s">
        <v>538</v>
      </c>
      <c r="AR61" s="40"/>
      <c r="AS61" s="40"/>
      <c r="AT61" s="11">
        <f t="shared" si="35"/>
        <v>1320104</v>
      </c>
      <c r="AU61" s="38"/>
      <c r="AV61" s="38"/>
      <c r="AW61" s="38"/>
      <c r="AX61" s="38"/>
      <c r="AY61" s="11" t="str">
        <f t="shared" si="36"/>
        <v>1~0.2</v>
      </c>
      <c r="AZ61" s="27">
        <v>1</v>
      </c>
      <c r="BA61" s="27">
        <v>0.2</v>
      </c>
      <c r="BB61" s="11" t="str">
        <f t="shared" si="37"/>
        <v>6320104</v>
      </c>
      <c r="BC61" s="87" t="s">
        <v>620</v>
      </c>
      <c r="BD61" s="59" t="s">
        <v>611</v>
      </c>
      <c r="BE61" s="28" t="str" cm="1">
        <f t="array" ref="BE61">IF(BD61&lt;&gt;"",_xlfn.TEXTJOIN("; ",1,VLOOKUP(VALUE(_xlfn.TEXTSPLIT(BD61,";")),device_cubicles!A:B,2,0)),"")</f>
        <v>弹药箱子; 转轮射击; 搬运弹药</v>
      </c>
    </row>
    <row r="62" spans="1:57">
      <c r="A62" s="14">
        <v>13201043</v>
      </c>
      <c r="B62" s="11">
        <v>0</v>
      </c>
      <c r="C62" s="15" t="s">
        <v>645</v>
      </c>
      <c r="D62" s="15" t="s">
        <v>507</v>
      </c>
      <c r="E62" s="12" t="s">
        <v>645</v>
      </c>
      <c r="F62" s="11">
        <v>3</v>
      </c>
      <c r="G62" s="15" t="s">
        <v>159</v>
      </c>
      <c r="H62" s="84" t="str" cm="1">
        <f t="array" aca="1" ref="H62" ca="1">_xlfn.IFS($A62="","",OR($F62=99,$F62=""),_xlfn.TEXTJOIN("_",1,"device_name",$A62,$Y62),TRUE,OFFSET(H62,-1,0))</f>
        <v>device_name_1320104_volley_gun</v>
      </c>
      <c r="I62" s="15" t="s">
        <v>160</v>
      </c>
      <c r="J62" s="14" t="str">
        <f>_xlfn.LET(_xlpm.get_device_type,VLOOKUP(VALUE(MID(A62,3,1)),tb_device_info_type[#All],3,0),_xlpm.check_if_wheel,IF(LEFT(A62,2)="12","wheel",_xlpm.get_device_type),_xlpm.raw_output,IF($A62&lt;&gt;"",_xlfn.TEXTJOIN("_",1,"device_alt",_xlpm.check_if_wheel),""),IFERROR(_xlpm.raw_output,"information missing"))</f>
        <v>device_alt_ranged</v>
      </c>
      <c r="K62" s="14" t="str" cm="1">
        <f t="array" ref="K62">_xlfn.IFS($A62="","",ISTEXT($L62),_xlfn.CONCAT("dwt","[device_wheel_thumbnail_",RIGHT($A62,1)-1,"]"),TRUE,_xlfn.CONCAT("dt","[device_thumbnail_",IF($L62&lt;&gt;"",$L62,0),"]"))</f>
        <v>dt[device_thumbnail_33]</v>
      </c>
      <c r="L62" s="34">
        <v>33</v>
      </c>
      <c r="M62" s="14" t="s">
        <v>79</v>
      </c>
      <c r="N62" s="14" t="s">
        <v>80</v>
      </c>
      <c r="O62" s="36" t="s">
        <v>161</v>
      </c>
      <c r="P62" s="15" t="str" cm="1">
        <f t="array" ref="P62">IFERROR(_xlfn.TEXTJOIN(";",1,_xlfn.MAP(_xlfn.TEXTSPLIT(O62,";"),_xlfn.LAMBDA(_xlpm.x,IFERROR(VLOOKUP(VALUE(_xlpm.x),device_tag!A:B,2,0),"error")))),"")</f>
        <v>远程武器;枪械;大型枪械</v>
      </c>
      <c r="Q62" s="11" t="s">
        <v>109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 t="s">
        <v>82</v>
      </c>
      <c r="Y62" s="24" t="s">
        <v>162</v>
      </c>
      <c r="Z62" s="85" t="str" cm="1">
        <f t="array" aca="1" ref="Z62" ca="1">_xlfn.IFS($A62="","",OR(F62=99,F62=""),_xlfn.TEXTJOIN("_",1,X62,$A62,Y62),TRUE,OFFSET($Z62,-1,0))</f>
        <v>device_1320104_volley_gun</v>
      </c>
      <c r="AA62" s="91">
        <v>45</v>
      </c>
      <c r="AB62" s="90">
        <f t="shared" si="38"/>
        <v>3</v>
      </c>
      <c r="AC62" s="76">
        <f>ROUND($AD62*$AE62^$F62,0)</f>
        <v>235</v>
      </c>
      <c r="AD62" s="16">
        <v>13.98</v>
      </c>
      <c r="AE62" s="16">
        <f>POWER(1.6,2)</f>
        <v>2.5600000000000005</v>
      </c>
      <c r="AF62" s="11">
        <v>1</v>
      </c>
      <c r="AG62" s="11">
        <v>60</v>
      </c>
      <c r="AH62" s="11" t="str">
        <f t="shared" ref="AH62" si="47">_xlfn.TEXTJOIN("~",1,AI62:AJ62)</f>
        <v>2.6~14.5</v>
      </c>
      <c r="AI62" s="27">
        <v>2.6</v>
      </c>
      <c r="AJ62" s="27">
        <v>14.5</v>
      </c>
      <c r="AK62" s="110">
        <v>0</v>
      </c>
      <c r="AL62" s="110">
        <v>0</v>
      </c>
      <c r="AM62" s="110">
        <v>0</v>
      </c>
      <c r="AN62" s="110">
        <v>0</v>
      </c>
      <c r="AO62" s="110">
        <v>0</v>
      </c>
      <c r="AP62" s="14" t="b">
        <v>0</v>
      </c>
      <c r="AQ62" s="74" t="s">
        <v>538</v>
      </c>
      <c r="AR62" s="40"/>
      <c r="AS62" s="40"/>
      <c r="AT62" s="11">
        <f t="shared" si="35"/>
        <v>13201043</v>
      </c>
      <c r="AU62" s="38"/>
      <c r="AV62" s="38"/>
      <c r="AW62" s="38"/>
      <c r="AX62" s="38"/>
      <c r="AY62" s="11" t="str">
        <f t="shared" ref="AY62" si="48">_xlfn.TEXTJOIN("~",1,AZ62:BA62)</f>
        <v>1~0.2</v>
      </c>
      <c r="AZ62" s="27">
        <v>1</v>
      </c>
      <c r="BA62" s="27">
        <v>0.2</v>
      </c>
      <c r="BB62" s="50">
        <v>1</v>
      </c>
      <c r="BC62" s="74" t="s">
        <v>537</v>
      </c>
      <c r="BD62" s="59" t="s">
        <v>611</v>
      </c>
      <c r="BE62" s="28" t="str" cm="1">
        <f t="array" ref="BE62">IF(BD62&lt;&gt;"",_xlfn.TEXTJOIN("; ",1,VLOOKUP(VALUE(_xlfn.TEXTSPLIT(BD62,";")),device_cubicles!A:B,2,0)),"")</f>
        <v>弹药箱子; 转轮射击; 搬运弹药</v>
      </c>
    </row>
    <row r="63" spans="1:57">
      <c r="A63" s="14">
        <v>13201044</v>
      </c>
      <c r="B63" s="11">
        <v>0</v>
      </c>
      <c r="C63" s="15" t="s">
        <v>644</v>
      </c>
      <c r="D63" s="15" t="s">
        <v>507</v>
      </c>
      <c r="E63" s="12" t="s">
        <v>644</v>
      </c>
      <c r="F63" s="11">
        <v>4</v>
      </c>
      <c r="G63" s="15" t="s">
        <v>159</v>
      </c>
      <c r="H63" s="84" t="str" cm="1">
        <f t="array" aca="1" ref="H63" ca="1">_xlfn.IFS($A63="","",OR($F63=99,$F63=""),_xlfn.TEXTJOIN("_",1,"device_name",$A63,$Y63),TRUE,OFFSET(H63,-1,0))</f>
        <v>device_name_1320104_volley_gun</v>
      </c>
      <c r="I63" s="15" t="s">
        <v>160</v>
      </c>
      <c r="J63" s="14" t="str">
        <f>_xlfn.LET(_xlpm.get_device_type,VLOOKUP(VALUE(MID(A63,3,1)),tb_device_info_type[#All],3,0),_xlpm.check_if_wheel,IF(LEFT(A63,2)="12","wheel",_xlpm.get_device_type),_xlpm.raw_output,IF($A63&lt;&gt;"",_xlfn.TEXTJOIN("_",1,"device_alt",_xlpm.check_if_wheel),""),IFERROR(_xlpm.raw_output,"information missing"))</f>
        <v>device_alt_ranged</v>
      </c>
      <c r="K63" s="14" t="str" cm="1">
        <f t="array" ref="K63">_xlfn.IFS($A63="","",ISTEXT($L63),_xlfn.CONCAT("dwt","[device_wheel_thumbnail_",RIGHT($A63,1)-1,"]"),TRUE,_xlfn.CONCAT("dt","[device_thumbnail_",IF($L63&lt;&gt;"",$L63,0),"]"))</f>
        <v>dt[device_thumbnail_33]</v>
      </c>
      <c r="L63" s="34">
        <v>33</v>
      </c>
      <c r="M63" s="14" t="s">
        <v>79</v>
      </c>
      <c r="N63" s="14" t="s">
        <v>80</v>
      </c>
      <c r="O63" s="36" t="s">
        <v>161</v>
      </c>
      <c r="P63" s="15" t="str" cm="1">
        <f t="array" ref="P63">IFERROR(_xlfn.TEXTJOIN(";",1,_xlfn.MAP(_xlfn.TEXTSPLIT(O63,";"),_xlfn.LAMBDA(_xlpm.x,IFERROR(VLOOKUP(VALUE(_xlpm.x),device_tag!A:B,2,0),"error")))),"")</f>
        <v>远程武器;枪械;大型枪械</v>
      </c>
      <c r="Q63" s="11" t="s">
        <v>109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 t="s">
        <v>82</v>
      </c>
      <c r="Y63" s="24" t="s">
        <v>162</v>
      </c>
      <c r="Z63" s="85" t="str" cm="1">
        <f t="array" aca="1" ref="Z63" ca="1">_xlfn.IFS($A63="","",OR(F63=99,F63=""),_xlfn.TEXTJOIN("_",1,X63,$A63,Y63),TRUE,OFFSET($Z63,-1,0))</f>
        <v>device_1320104_volley_gun</v>
      </c>
      <c r="AA63" s="91">
        <v>45</v>
      </c>
      <c r="AB63" s="90">
        <f t="shared" si="38"/>
        <v>3</v>
      </c>
      <c r="AC63" s="76">
        <f>ROUND($AD63*$AE63^$F63,0)</f>
        <v>600</v>
      </c>
      <c r="AD63" s="16">
        <v>13.98</v>
      </c>
      <c r="AE63" s="16">
        <f>POWER(1.6,2)</f>
        <v>2.5600000000000005</v>
      </c>
      <c r="AF63" s="11">
        <v>1</v>
      </c>
      <c r="AG63" s="11">
        <v>60</v>
      </c>
      <c r="AH63" s="11" t="str">
        <f t="shared" ref="AH63" si="49">_xlfn.TEXTJOIN("~",1,AI63:AJ63)</f>
        <v>2.6~14.5</v>
      </c>
      <c r="AI63" s="27">
        <v>2.6</v>
      </c>
      <c r="AJ63" s="27">
        <v>14.5</v>
      </c>
      <c r="AK63" s="110">
        <v>0</v>
      </c>
      <c r="AL63" s="110">
        <v>0</v>
      </c>
      <c r="AM63" s="110">
        <v>0</v>
      </c>
      <c r="AN63" s="110">
        <v>0</v>
      </c>
      <c r="AO63" s="110">
        <v>0</v>
      </c>
      <c r="AP63" s="14" t="b">
        <v>0</v>
      </c>
      <c r="AQ63" s="74" t="s">
        <v>538</v>
      </c>
      <c r="AR63" s="40"/>
      <c r="AS63" s="40"/>
      <c r="AT63" s="11">
        <f t="shared" si="35"/>
        <v>13201044</v>
      </c>
      <c r="AU63" s="38"/>
      <c r="AV63" s="38"/>
      <c r="AW63" s="38"/>
      <c r="AX63" s="38"/>
      <c r="AY63" s="11" t="str">
        <f t="shared" ref="AY63" si="50">_xlfn.TEXTJOIN("~",1,AZ63:BA63)</f>
        <v>1~0.2</v>
      </c>
      <c r="AZ63" s="27">
        <v>1</v>
      </c>
      <c r="BA63" s="27">
        <v>0.2</v>
      </c>
      <c r="BB63" s="50">
        <v>1</v>
      </c>
      <c r="BC63" s="74" t="s">
        <v>537</v>
      </c>
      <c r="BD63" s="59" t="s">
        <v>611</v>
      </c>
      <c r="BE63" s="28" t="str" cm="1">
        <f t="array" ref="BE63">IF(BD63&lt;&gt;"",_xlfn.TEXTJOIN("; ",1,VLOOKUP(VALUE(_xlfn.TEXTSPLIT(BD63,";")),device_cubicles!A:B,2,0)),"")</f>
        <v>弹药箱子; 转轮射击; 搬运弹药</v>
      </c>
    </row>
    <row r="64" spans="1:57">
      <c r="A64" s="14">
        <v>1320105</v>
      </c>
      <c r="B64" s="11">
        <v>0</v>
      </c>
      <c r="C64" s="15" t="s">
        <v>163</v>
      </c>
      <c r="D64" s="15" t="s">
        <v>507</v>
      </c>
      <c r="G64" s="15" t="s">
        <v>164</v>
      </c>
      <c r="H64" s="84" t="str" cm="1">
        <f t="array" aca="1" ref="H64" ca="1">_xlfn.IFS($A64="","",OR($F64=99,$F64=""),_xlfn.TEXTJOIN("_",1,"device_name",$A64,$Y64),TRUE,OFFSET(H64,-1,0))</f>
        <v>device_name_1320105_rapid_fire_quiver</v>
      </c>
      <c r="J64" s="14" t="str">
        <f>_xlfn.LET(_xlpm.get_device_type,VLOOKUP(VALUE(MID(A64,3,1)),tb_device_info_type[#All],3,0),_xlpm.check_if_wheel,IF(LEFT(A64,2)="12","wheel",_xlpm.get_device_type),_xlpm.raw_output,IF($A64&lt;&gt;"",_xlfn.TEXTJOIN("_",1,"device_alt",_xlpm.check_if_wheel),""),IFERROR(_xlpm.raw_output,"information missing"))</f>
        <v>device_alt_ranged</v>
      </c>
      <c r="K64" s="14" t="str" cm="1">
        <f t="array" ref="K64">_xlfn.IFS($A64="","",ISTEXT($L64),_xlfn.CONCAT("dwt","[device_wheel_thumbnail_",RIGHT($A64,1)-1,"]"),TRUE,_xlfn.CONCAT("dt","[device_thumbnail_",IF($L64&lt;&gt;"",$L64,0),"]"))</f>
        <v>dt[device_thumbnail_23]</v>
      </c>
      <c r="L64" s="34">
        <v>23</v>
      </c>
      <c r="M64" s="14" t="s">
        <v>79</v>
      </c>
      <c r="N64" s="14" t="s">
        <v>80</v>
      </c>
      <c r="O64" s="36" t="s">
        <v>165</v>
      </c>
      <c r="P64" s="15" t="str" cm="1">
        <f t="array" ref="P64">IFERROR(_xlfn.TEXTJOIN(";",1,_xlfn.MAP(_xlfn.TEXTSPLIT(O64,";"),_xlfn.LAMBDA(_xlpm.x,IFERROR(VLOOKUP(VALUE(_xlpm.x),device_tag!A:B,2,0),"error")))),"")</f>
        <v>远程武器;弩</v>
      </c>
      <c r="Q64" s="11" t="s">
        <v>109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 t="s">
        <v>82</v>
      </c>
      <c r="Y64" s="24" t="s">
        <v>166</v>
      </c>
      <c r="Z64" s="85" t="str" cm="1">
        <f t="array" aca="1" ref="Z64" ca="1">_xlfn.IFS($A64="","",OR(F64=99,F64=""),_xlfn.TEXTJOIN("_",1,X64,$A64,Y64),TRUE,OFFSET($Z64,-1,0))</f>
        <v>device_1320105_rapid_fire_quiver</v>
      </c>
      <c r="AA64" s="11">
        <v>15</v>
      </c>
      <c r="AB64" s="11">
        <v>1</v>
      </c>
      <c r="AC64" s="11">
        <v>25</v>
      </c>
      <c r="AF64" s="11">
        <v>1</v>
      </c>
      <c r="AG64" s="11">
        <v>60</v>
      </c>
      <c r="AH64" s="11" t="str">
        <f t="shared" si="34"/>
        <v>2.2~11</v>
      </c>
      <c r="AI64" s="27">
        <v>2.2000000000000002</v>
      </c>
      <c r="AJ64" s="27">
        <v>11</v>
      </c>
      <c r="AK64" s="110">
        <v>0</v>
      </c>
      <c r="AL64" s="110">
        <v>0</v>
      </c>
      <c r="AM64" s="110">
        <v>0</v>
      </c>
      <c r="AN64" s="110">
        <v>0</v>
      </c>
      <c r="AO64" s="110">
        <v>0</v>
      </c>
      <c r="AP64" s="14" t="b">
        <v>0</v>
      </c>
      <c r="AQ64" s="14" t="s">
        <v>167</v>
      </c>
      <c r="AR64" s="40"/>
      <c r="AS64" s="40"/>
      <c r="AT64" s="11">
        <f t="shared" si="35"/>
        <v>1320105</v>
      </c>
      <c r="AU64" s="38"/>
      <c r="AV64" s="38"/>
      <c r="AW64" s="38"/>
      <c r="AX64" s="38"/>
      <c r="AY64" s="11" t="str">
        <f t="shared" si="36"/>
        <v>2~0.5</v>
      </c>
      <c r="AZ64" s="27">
        <v>2</v>
      </c>
      <c r="BA64" s="27">
        <v>0.5</v>
      </c>
      <c r="BB64" s="11" t="str">
        <f t="shared" si="37"/>
        <v>6320105</v>
      </c>
      <c r="BC64" s="11" t="s">
        <v>168</v>
      </c>
      <c r="BD64" s="11" t="s">
        <v>150</v>
      </c>
      <c r="BE64" s="28" t="str" cm="1">
        <f t="array" ref="BE64">IF(BD64&lt;&gt;"",_xlfn.TEXTJOIN("; ",1,VLOOKUP(VALUE(_xlfn.TEXTSPLIT(BD64,";")),device_cubicles!A:B,2,0)),"")</f>
        <v>弹匣装填; 瞄准射击</v>
      </c>
    </row>
    <row r="65" spans="1:57">
      <c r="A65" s="14">
        <v>1320106</v>
      </c>
      <c r="B65" s="11">
        <v>0</v>
      </c>
      <c r="C65" s="15" t="s">
        <v>169</v>
      </c>
      <c r="D65" s="15" t="s">
        <v>507</v>
      </c>
      <c r="G65" s="15" t="s">
        <v>170</v>
      </c>
      <c r="H65" s="84" t="str" cm="1">
        <f t="array" aca="1" ref="H65" ca="1">_xlfn.IFS($A65="","",OR($F65=99,$F65=""),_xlfn.TEXTJOIN("_",1,"device_name",$A65,$Y65),TRUE,OFFSET(H65,-1,0))</f>
        <v>device_name_1320106_rocket_bomb</v>
      </c>
      <c r="J65" s="14" t="str">
        <f>_xlfn.LET(_xlpm.get_device_type,VLOOKUP(VALUE(MID(A65,3,1)),tb_device_info_type[#All],3,0),_xlpm.check_if_wheel,IF(LEFT(A65,2)="12","wheel",_xlpm.get_device_type),_xlpm.raw_output,IF($A65&lt;&gt;"",_xlfn.TEXTJOIN("_",1,"device_alt",_xlpm.check_if_wheel),""),IFERROR(_xlpm.raw_output,"information missing"))</f>
        <v>device_alt_ranged</v>
      </c>
      <c r="K65" s="14" t="str" cm="1">
        <f t="array" ref="K65">_xlfn.IFS($A65="","",ISTEXT($L65),_xlfn.CONCAT("dwt","[device_wheel_thumbnail_",RIGHT($A65,1)-1,"]"),TRUE,_xlfn.CONCAT("dt","[device_thumbnail_",IF($L65&lt;&gt;"",$L65,0),"]"))</f>
        <v>dt[device_thumbnail_24]</v>
      </c>
      <c r="L65" s="34">
        <v>24</v>
      </c>
      <c r="M65" s="14" t="s">
        <v>79</v>
      </c>
      <c r="N65" s="14" t="s">
        <v>80</v>
      </c>
      <c r="O65" s="36">
        <v>1420200</v>
      </c>
      <c r="P65" s="15" t="str" cm="1">
        <f t="array" ref="P65">IFERROR(_xlfn.TEXTJOIN(";",1,_xlfn.MAP(_xlfn.TEXTSPLIT(O65,";"),_xlfn.LAMBDA(_xlpm.x,IFERROR(VLOOKUP(VALUE(_xlpm.x),device_tag!A:B,2,0),"error")))),"")</f>
        <v>远程武器</v>
      </c>
      <c r="Q65" s="11" t="s">
        <v>109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 t="s">
        <v>82</v>
      </c>
      <c r="Y65" s="24" t="s">
        <v>171</v>
      </c>
      <c r="Z65" s="85" t="str" cm="1">
        <f t="array" aca="1" ref="Z65" ca="1">_xlfn.IFS($A65="","",OR(F65=99,F65=""),_xlfn.TEXTJOIN("_",1,X65,$A65,Y65),TRUE,OFFSET($Z65,-1,0))</f>
        <v>device_1320106_rocket_bomb</v>
      </c>
      <c r="AA65" s="11">
        <v>5</v>
      </c>
      <c r="AB65" s="11">
        <v>1</v>
      </c>
      <c r="AC65" s="11">
        <v>27</v>
      </c>
      <c r="AF65" s="11">
        <v>1</v>
      </c>
      <c r="AG65" s="11">
        <v>60</v>
      </c>
      <c r="AH65" s="11" t="str">
        <f t="shared" ref="AH65" si="51">_xlfn.TEXTJOIN("~",1,AI65:AJ65)</f>
        <v>3~12</v>
      </c>
      <c r="AI65" s="27">
        <v>3</v>
      </c>
      <c r="AJ65" s="27">
        <v>12</v>
      </c>
      <c r="AK65" s="110">
        <v>0</v>
      </c>
      <c r="AL65" s="110">
        <v>0</v>
      </c>
      <c r="AM65" s="110">
        <v>0</v>
      </c>
      <c r="AN65" s="110">
        <v>0</v>
      </c>
      <c r="AO65" s="110">
        <v>0</v>
      </c>
      <c r="AP65" s="14" t="b">
        <v>0</v>
      </c>
      <c r="AQ65" s="46" t="s">
        <v>172</v>
      </c>
      <c r="AR65" s="40"/>
      <c r="AS65" s="40"/>
      <c r="AT65" s="11">
        <f t="shared" si="35"/>
        <v>1320106</v>
      </c>
      <c r="AU65" s="38"/>
      <c r="AV65" s="38"/>
      <c r="AW65" s="38"/>
      <c r="AX65" s="38"/>
      <c r="AY65" s="11" t="str">
        <f t="shared" si="36"/>
        <v>5~1</v>
      </c>
      <c r="AZ65" s="27">
        <v>5</v>
      </c>
      <c r="BA65" s="27">
        <v>1</v>
      </c>
      <c r="BB65" s="11" t="str">
        <f t="shared" si="37"/>
        <v>6320106</v>
      </c>
      <c r="BC65" s="51" t="s">
        <v>173</v>
      </c>
      <c r="BD65" s="11" t="s">
        <v>150</v>
      </c>
      <c r="BE65" s="28" t="str" cm="1">
        <f t="array" ref="BE65">IF(BD65&lt;&gt;"",_xlfn.TEXTJOIN("; ",1,VLOOKUP(VALUE(_xlfn.TEXTSPLIT(BD65,";")),device_cubicles!A:B,2,0)),"")</f>
        <v>弹匣装填; 瞄准射击</v>
      </c>
    </row>
    <row r="66" spans="1:57">
      <c r="A66" s="14">
        <v>1320107</v>
      </c>
      <c r="B66" s="11">
        <v>0</v>
      </c>
      <c r="C66" s="30" t="s">
        <v>174</v>
      </c>
      <c r="D66" s="15" t="s">
        <v>77</v>
      </c>
      <c r="G66" s="31" t="s">
        <v>170</v>
      </c>
      <c r="H66" s="84" t="str" cm="1">
        <f t="array" aca="1" ref="H66" ca="1">_xlfn.IFS($A66="","",OR($F66=99,$F66=""),_xlfn.TEXTJOIN("_",1,"device_name",$A66,$Y66),TRUE,OFFSET(H66,-1,0))</f>
        <v>device_name_1320107_homemade_rocket_bomb</v>
      </c>
      <c r="J66" s="14" t="str">
        <f>_xlfn.LET(_xlpm.get_device_type,VLOOKUP(VALUE(MID(A66,3,1)),tb_device_info_type[#All],3,0),_xlpm.check_if_wheel,IF(LEFT(A66,2)="12","wheel",_xlpm.get_device_type),_xlpm.raw_output,IF($A66&lt;&gt;"",_xlfn.TEXTJOIN("_",1,"device_alt",_xlpm.check_if_wheel),""),IFERROR(_xlpm.raw_output,"information missing"))</f>
        <v>device_alt_ranged</v>
      </c>
      <c r="K66" s="14" t="str" cm="1">
        <f t="array" ref="K66">_xlfn.IFS($A66="","",ISTEXT($L66),_xlfn.CONCAT("dwt","[device_wheel_thumbnail_",RIGHT($A66,1)-1,"]"),TRUE,_xlfn.CONCAT("dt","[device_thumbnail_",IF($L66&lt;&gt;"",$L66,0),"]"))</f>
        <v>dt[device_thumbnail_119]</v>
      </c>
      <c r="L66" s="61">
        <v>119</v>
      </c>
      <c r="M66" s="14" t="s">
        <v>79</v>
      </c>
      <c r="N66" s="14" t="s">
        <v>80</v>
      </c>
      <c r="O66" s="36">
        <v>1420200</v>
      </c>
      <c r="P66" s="15" t="str" cm="1">
        <f t="array" ref="P66">IFERROR(_xlfn.TEXTJOIN(";",1,_xlfn.MAP(_xlfn.TEXTSPLIT(O66,";"),_xlfn.LAMBDA(_xlpm.x,IFERROR(VLOOKUP(VALUE(_xlpm.x),device_tag!A:B,2,0),"error")))),"")</f>
        <v>远程武器</v>
      </c>
      <c r="Q66" s="11" t="s">
        <v>109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 t="s">
        <v>82</v>
      </c>
      <c r="Y66" s="24" t="s">
        <v>175</v>
      </c>
      <c r="Z66" s="85" t="str" cm="1">
        <f t="array" aca="1" ref="Z66" ca="1">_xlfn.IFS($A66="","",OR(F66=99,F66=""),_xlfn.TEXTJOIN("_",1,X66,$A66,Y66),TRUE,OFFSET($Z66,-1,0))</f>
        <v>device_1320107_homemade_rocket_bomb</v>
      </c>
      <c r="AA66" s="11">
        <v>4</v>
      </c>
      <c r="AB66" s="11">
        <v>1</v>
      </c>
      <c r="AC66" s="11" t="s">
        <v>526</v>
      </c>
      <c r="AF66" s="11">
        <v>1</v>
      </c>
      <c r="AG66" s="11">
        <v>60</v>
      </c>
      <c r="AH66" s="11" t="str">
        <f t="shared" ref="AH66:AH67" si="52">_xlfn.TEXTJOIN("~",1,AI66:AJ66)</f>
        <v>3~10</v>
      </c>
      <c r="AI66" s="27">
        <v>3</v>
      </c>
      <c r="AJ66" s="27">
        <v>10</v>
      </c>
      <c r="AK66" s="110">
        <v>0</v>
      </c>
      <c r="AL66" s="110">
        <v>0</v>
      </c>
      <c r="AM66" s="110">
        <v>0</v>
      </c>
      <c r="AN66" s="110">
        <v>0</v>
      </c>
      <c r="AO66" s="110">
        <v>0</v>
      </c>
      <c r="AP66" s="14" t="b">
        <v>0</v>
      </c>
      <c r="AQ66" s="46" t="s">
        <v>172</v>
      </c>
      <c r="AR66" s="40"/>
      <c r="AS66" s="40"/>
      <c r="AT66" s="11">
        <f t="shared" si="35"/>
        <v>1320107</v>
      </c>
      <c r="AU66" s="38"/>
      <c r="AV66" s="38"/>
      <c r="AW66" s="38"/>
      <c r="AX66" s="38"/>
      <c r="AY66" s="11" t="str">
        <f t="shared" ref="AY66:AY68" si="53">_xlfn.TEXTJOIN("~",1,AZ66:BA66)</f>
        <v>5~1</v>
      </c>
      <c r="AZ66" s="27">
        <v>5</v>
      </c>
      <c r="BA66" s="27">
        <v>1</v>
      </c>
      <c r="BB66" s="50">
        <v>1</v>
      </c>
      <c r="BC66" s="51" t="s">
        <v>173</v>
      </c>
      <c r="BD66" s="11" t="s">
        <v>176</v>
      </c>
      <c r="BE66" s="28" t="str" cm="1">
        <f t="array" ref="BE66">IF(BD66&lt;&gt;"",_xlfn.TEXTJOIN("; ",1,VLOOKUP(VALUE(_xlfn.TEXTSPLIT(BD66,";")),device_cubicles!A:B,2,0)),"")</f>
        <v>弹药箱子; 瞄准射击</v>
      </c>
    </row>
    <row r="67" spans="1:57">
      <c r="A67" s="14">
        <v>1320108</v>
      </c>
      <c r="B67" s="11">
        <v>0</v>
      </c>
      <c r="C67" s="15" t="s">
        <v>177</v>
      </c>
      <c r="D67" s="15" t="s">
        <v>507</v>
      </c>
      <c r="G67" s="15" t="s">
        <v>178</v>
      </c>
      <c r="H67" s="84" t="str" cm="1">
        <f t="array" aca="1" ref="H67" ca="1">_xlfn.IFS($A67="","",OR($F67=99,$F67=""),_xlfn.TEXTJOIN("_",1,"device_name",$A67,$Y67),TRUE,OFFSET(H67,-1,0))</f>
        <v>device_name_1320108_musket</v>
      </c>
      <c r="J67" s="14" t="str">
        <f>_xlfn.LET(_xlpm.get_device_type,VLOOKUP(VALUE(MID(A67,3,1)),tb_device_info_type[#All],3,0),_xlpm.check_if_wheel,IF(LEFT(A67,2)="12","wheel",_xlpm.get_device_type),_xlpm.raw_output,IF($A67&lt;&gt;"",_xlfn.TEXTJOIN("_",1,"device_alt",_xlpm.check_if_wheel),""),IFERROR(_xlpm.raw_output,"information missing"))</f>
        <v>device_alt_ranged</v>
      </c>
      <c r="K67" s="14" t="str" cm="1">
        <f t="array" ref="K67">_xlfn.IFS($A67="","",ISTEXT($L67),_xlfn.CONCAT("dwt","[device_wheel_thumbnail_",RIGHT($A67,1)-1,"]"),TRUE,_xlfn.CONCAT("dt","[device_thumbnail_",IF($L67&lt;&gt;"",$L67,0),"]"))</f>
        <v>dt[device_thumbnail_20]</v>
      </c>
      <c r="L67" s="34">
        <v>20</v>
      </c>
      <c r="M67" s="14" t="s">
        <v>79</v>
      </c>
      <c r="N67" s="14" t="s">
        <v>80</v>
      </c>
      <c r="O67" s="36" t="s">
        <v>161</v>
      </c>
      <c r="P67" s="15" t="str" cm="1">
        <f t="array" ref="P67">IFERROR(_xlfn.TEXTJOIN(";",1,_xlfn.MAP(_xlfn.TEXTSPLIT(O67,";"),_xlfn.LAMBDA(_xlpm.x,IFERROR(VLOOKUP(VALUE(_xlpm.x),device_tag!A:B,2,0),"error")))),"")</f>
        <v>远程武器;枪械;大型枪械</v>
      </c>
      <c r="Q67" s="11" t="s">
        <v>109</v>
      </c>
      <c r="S67" s="24">
        <v>0</v>
      </c>
      <c r="V67" s="24">
        <v>0</v>
      </c>
      <c r="W67" s="24">
        <v>0</v>
      </c>
      <c r="X67" s="24" t="s">
        <v>82</v>
      </c>
      <c r="Y67" s="24" t="s">
        <v>179</v>
      </c>
      <c r="Z67" s="85" t="str" cm="1">
        <f t="array" aca="1" ref="Z67" ca="1">_xlfn.IFS($A67="","",OR(F67=99,F67=""),_xlfn.TEXTJOIN("_",1,X67,$A67,Y67),TRUE,OFFSET($Z67,-1,0))</f>
        <v>device_1320108_musket</v>
      </c>
      <c r="AA67" s="11">
        <v>5</v>
      </c>
      <c r="AB67" s="11">
        <v>1</v>
      </c>
      <c r="AC67" s="11">
        <v>22</v>
      </c>
      <c r="AF67" s="11">
        <v>1</v>
      </c>
      <c r="AG67" s="11">
        <v>60</v>
      </c>
      <c r="AH67" s="11" t="str">
        <f t="shared" si="52"/>
        <v>2.2~14.5</v>
      </c>
      <c r="AI67" s="27">
        <v>2.2000000000000002</v>
      </c>
      <c r="AJ67" s="27">
        <v>14.5</v>
      </c>
      <c r="AK67" s="110">
        <v>0</v>
      </c>
      <c r="AL67" s="110">
        <v>0</v>
      </c>
      <c r="AM67" s="110">
        <v>0</v>
      </c>
      <c r="AN67" s="110">
        <v>0</v>
      </c>
      <c r="AO67" s="110">
        <v>0</v>
      </c>
      <c r="AP67" s="14" t="b">
        <v>0</v>
      </c>
      <c r="AQ67" s="46" t="s">
        <v>180</v>
      </c>
      <c r="AR67" s="40"/>
      <c r="AS67" s="40"/>
      <c r="AT67" s="11">
        <f t="shared" si="35"/>
        <v>1320108</v>
      </c>
      <c r="AU67" s="38"/>
      <c r="AV67" s="38"/>
      <c r="AW67" s="38"/>
      <c r="AX67" s="38"/>
      <c r="AY67" s="11" t="str">
        <f t="shared" si="53"/>
        <v>4~0.5</v>
      </c>
      <c r="AZ67" s="27">
        <v>4</v>
      </c>
      <c r="BA67" s="27">
        <v>0.5</v>
      </c>
      <c r="BB67" s="11" t="str">
        <f t="shared" si="37"/>
        <v>6320108</v>
      </c>
      <c r="BC67" s="51" t="s">
        <v>181</v>
      </c>
      <c r="BD67" s="11" t="s">
        <v>150</v>
      </c>
      <c r="BE67" s="28" t="str" cm="1">
        <f t="array" ref="BE67">IF(BD67&lt;&gt;"",_xlfn.TEXTJOIN("; ",1,VLOOKUP(VALUE(_xlfn.TEXTSPLIT(BD67,";")),device_cubicles!A:B,2,0)),"")</f>
        <v>弹匣装填; 瞄准射击</v>
      </c>
    </row>
    <row r="68" spans="1:57">
      <c r="A68" s="14">
        <v>1320109</v>
      </c>
      <c r="B68" s="11">
        <v>0</v>
      </c>
      <c r="C68" s="15" t="s">
        <v>182</v>
      </c>
      <c r="D68" s="15" t="s">
        <v>77</v>
      </c>
      <c r="G68" s="31" t="s">
        <v>152</v>
      </c>
      <c r="H68" s="84" t="str" cm="1">
        <f t="array" aca="1" ref="H68" ca="1">_xlfn.IFS($A68="","",OR($F68=99,$F68=""),_xlfn.TEXTJOIN("_",1,"device_name",$A68,$Y68),TRUE,OFFSET(H68,-1,0))</f>
        <v>device_name_1320109_fortune_pistol</v>
      </c>
      <c r="I68" s="15" t="s">
        <v>183</v>
      </c>
      <c r="J68" s="14" t="str">
        <f>_xlfn.LET(_xlpm.get_device_type,VLOOKUP(VALUE(MID(A68,3,1)),tb_device_info_type[#All],3,0),_xlpm.check_if_wheel,IF(LEFT(A68,2)="12","wheel",_xlpm.get_device_type),_xlpm.raw_output,IF($A68&lt;&gt;"",_xlfn.TEXTJOIN("_",1,"device_alt",_xlpm.check_if_wheel),""),IFERROR(_xlpm.raw_output,"information missing"))</f>
        <v>device_alt_ranged</v>
      </c>
      <c r="K68" s="14" t="str" cm="1">
        <f t="array" ref="K68">_xlfn.IFS($A68="","",ISTEXT($L68),_xlfn.CONCAT("dwt","[device_wheel_thumbnail_",RIGHT($A68,1)-1,"]"),TRUE,_xlfn.CONCAT("dt","[device_thumbnail_",IF($L68&lt;&gt;"",$L68,0),"]"))</f>
        <v>dt[device_thumbnail_119]</v>
      </c>
      <c r="L68" s="61">
        <v>119</v>
      </c>
      <c r="M68" s="14" t="s">
        <v>79</v>
      </c>
      <c r="N68" s="14" t="s">
        <v>80</v>
      </c>
      <c r="O68" s="36" t="s">
        <v>153</v>
      </c>
      <c r="P68" s="15" t="str" cm="1">
        <f t="array" ref="P68">IFERROR(_xlfn.TEXTJOIN(";",1,_xlfn.MAP(_xlfn.TEXTSPLIT(O68,";"),_xlfn.LAMBDA(_xlpm.x,IFERROR(VLOOKUP(VALUE(_xlpm.x),device_tag!A:B,2,0),"error")))),"")</f>
        <v>远程武器;枪械;手枪</v>
      </c>
      <c r="Q68" s="11" t="s">
        <v>109</v>
      </c>
      <c r="S68" s="24">
        <v>0</v>
      </c>
      <c r="V68" s="24">
        <v>0</v>
      </c>
      <c r="W68" s="24">
        <v>0</v>
      </c>
      <c r="X68" s="24" t="s">
        <v>82</v>
      </c>
      <c r="Y68" s="24" t="s">
        <v>184</v>
      </c>
      <c r="Z68" s="85" t="str" cm="1">
        <f t="array" aca="1" ref="Z68" ca="1">_xlfn.IFS($A68="","",OR(F68=99,F68=""),_xlfn.TEXTJOIN("_",1,X68,$A68,Y68),TRUE,OFFSET($Z68,-1,0))</f>
        <v>device_1320109_fortune_pistol</v>
      </c>
      <c r="AA68" s="11">
        <v>5</v>
      </c>
      <c r="AB68" s="11">
        <v>1</v>
      </c>
      <c r="AC68" s="11" t="s">
        <v>526</v>
      </c>
      <c r="AF68" s="11">
        <v>1</v>
      </c>
      <c r="AG68" s="11">
        <v>60</v>
      </c>
      <c r="AH68" s="11" t="str">
        <f t="shared" ref="AH68" si="54">_xlfn.TEXTJOIN("~",1,AI68:AJ68)</f>
        <v>1.4~12.5</v>
      </c>
      <c r="AI68" s="27">
        <v>1.4</v>
      </c>
      <c r="AJ68" s="27">
        <v>12.5</v>
      </c>
      <c r="AK68" s="110">
        <v>0</v>
      </c>
      <c r="AL68" s="110">
        <v>0</v>
      </c>
      <c r="AM68" s="110">
        <v>0</v>
      </c>
      <c r="AN68" s="110">
        <v>0</v>
      </c>
      <c r="AO68" s="110">
        <v>0</v>
      </c>
      <c r="AP68" s="14" t="b">
        <v>0</v>
      </c>
      <c r="AQ68" s="14" t="s">
        <v>185</v>
      </c>
      <c r="AR68" s="40"/>
      <c r="AS68" s="40"/>
      <c r="AT68" s="11">
        <f t="shared" si="35"/>
        <v>1320109</v>
      </c>
      <c r="AU68" s="38"/>
      <c r="AV68" s="38"/>
      <c r="AW68" s="38"/>
      <c r="AX68" s="38"/>
      <c r="AY68" s="11" t="str">
        <f t="shared" si="53"/>
        <v>6~3</v>
      </c>
      <c r="AZ68" s="27">
        <v>6</v>
      </c>
      <c r="BA68" s="27">
        <v>3</v>
      </c>
      <c r="BB68" s="11" t="str">
        <f t="shared" si="37"/>
        <v>6320109</v>
      </c>
      <c r="BC68" s="11" t="s">
        <v>186</v>
      </c>
      <c r="BE68" s="28" t="str" cm="1">
        <f t="array" ref="BE68">IF(BD68&lt;&gt;"",_xlfn.TEXTJOIN("; ",1,VLOOKUP(VALUE(_xlfn.TEXTSPLIT(BD68,";")),device_cubicles!A:B,2,0)),"")</f>
        <v/>
      </c>
    </row>
    <row r="69" spans="1:57">
      <c r="A69" s="14">
        <v>1320110</v>
      </c>
      <c r="B69" s="11">
        <v>0</v>
      </c>
      <c r="C69" s="32" t="s">
        <v>187</v>
      </c>
      <c r="D69" s="15" t="s">
        <v>77</v>
      </c>
      <c r="G69" s="31" t="s">
        <v>178</v>
      </c>
      <c r="H69" s="84" t="str" cm="1">
        <f t="array" aca="1" ref="H69" ca="1">_xlfn.IFS($A69="","",OR($F69=99,$F69=""),_xlfn.TEXTJOIN("_",1,"device_name",$A69,$Y69),TRUE,OFFSET(H69,-1,0))</f>
        <v>device_name_1320110_patience_musket</v>
      </c>
      <c r="I69" s="15" t="s">
        <v>188</v>
      </c>
      <c r="J69" s="14" t="str">
        <f>_xlfn.LET(_xlpm.get_device_type,VLOOKUP(VALUE(MID(A69,3,1)),tb_device_info_type[#All],3,0),_xlpm.check_if_wheel,IF(LEFT(A69,2)="12","wheel",_xlpm.get_device_type),_xlpm.raw_output,IF($A69&lt;&gt;"",_xlfn.TEXTJOIN("_",1,"device_alt",_xlpm.check_if_wheel),""),IFERROR(_xlpm.raw_output,"information missing"))</f>
        <v>device_alt_ranged</v>
      </c>
      <c r="K69" s="14" t="str" cm="1">
        <f t="array" ref="K69">_xlfn.IFS($A69="","",ISTEXT($L69),_xlfn.CONCAT("dwt","[device_wheel_thumbnail_",RIGHT($A69,1)-1,"]"),TRUE,_xlfn.CONCAT("dt","[device_thumbnail_",IF($L69&lt;&gt;"",$L69,0),"]"))</f>
        <v>dt[device_thumbnail_119]</v>
      </c>
      <c r="L69" s="61">
        <v>119</v>
      </c>
      <c r="M69" s="14" t="s">
        <v>79</v>
      </c>
      <c r="N69" s="14" t="s">
        <v>80</v>
      </c>
      <c r="O69" s="36" t="s">
        <v>161</v>
      </c>
      <c r="P69" s="15" t="str" cm="1">
        <f t="array" ref="P69">IFERROR(_xlfn.TEXTJOIN(";",1,_xlfn.MAP(_xlfn.TEXTSPLIT(O69,";"),_xlfn.LAMBDA(_xlpm.x,IFERROR(VLOOKUP(VALUE(_xlpm.x),device_tag!A:B,2,0),"error")))),"")</f>
        <v>远程武器;枪械;大型枪械</v>
      </c>
      <c r="Q69" s="11" t="s">
        <v>109</v>
      </c>
      <c r="S69" s="24">
        <v>0</v>
      </c>
      <c r="V69" s="24">
        <v>0</v>
      </c>
      <c r="W69" s="24">
        <v>0</v>
      </c>
      <c r="X69" s="24" t="s">
        <v>82</v>
      </c>
      <c r="Y69" s="24" t="s">
        <v>189</v>
      </c>
      <c r="Z69" s="85" t="str" cm="1">
        <f t="array" aca="1" ref="Z69" ca="1">_xlfn.IFS($A69="","",OR(F69=99,F69=""),_xlfn.TEXTJOIN("_",1,X69,$A69,Y69),TRUE,OFFSET($Z69,-1,0))</f>
        <v>device_1320110_patience_musket</v>
      </c>
      <c r="AA69" s="11">
        <v>5</v>
      </c>
      <c r="AB69" s="11">
        <v>1</v>
      </c>
      <c r="AC69" s="11" t="s">
        <v>526</v>
      </c>
      <c r="AF69" s="11">
        <v>1</v>
      </c>
      <c r="AG69" s="11">
        <v>60</v>
      </c>
      <c r="AH69" s="11" t="str">
        <f t="shared" ref="AH69:AH77" si="55">_xlfn.TEXTJOIN("~",1,AI69:AJ69)</f>
        <v>2.2~14.5</v>
      </c>
      <c r="AI69" s="27">
        <v>2.2000000000000002</v>
      </c>
      <c r="AJ69" s="27">
        <v>14.5</v>
      </c>
      <c r="AK69" s="110">
        <v>0</v>
      </c>
      <c r="AL69" s="110">
        <v>0</v>
      </c>
      <c r="AM69" s="110">
        <v>0</v>
      </c>
      <c r="AN69" s="110">
        <v>0</v>
      </c>
      <c r="AO69" s="110">
        <v>0</v>
      </c>
      <c r="AP69" s="14" t="b">
        <v>0</v>
      </c>
      <c r="AQ69" s="14" t="s">
        <v>185</v>
      </c>
      <c r="AR69" s="40"/>
      <c r="AS69" s="40"/>
      <c r="AT69" s="11">
        <f t="shared" si="35"/>
        <v>1320110</v>
      </c>
      <c r="AU69" s="38"/>
      <c r="AV69" s="38"/>
      <c r="AW69" s="38"/>
      <c r="AX69" s="38"/>
      <c r="AY69" s="11" t="str">
        <f t="shared" ref="AY69:AY71" si="56">_xlfn.TEXTJOIN("~",1,AZ69:BA69)</f>
        <v>4~0.5</v>
      </c>
      <c r="AZ69" s="27">
        <v>4</v>
      </c>
      <c r="BA69" s="27">
        <v>0.5</v>
      </c>
      <c r="BB69" s="50">
        <v>1</v>
      </c>
      <c r="BC69" s="11" t="s">
        <v>186</v>
      </c>
      <c r="BE69" s="28" t="str" cm="1">
        <f t="array" ref="BE69">IF(BD69&lt;&gt;"",_xlfn.TEXTJOIN("; ",1,VLOOKUP(VALUE(_xlfn.TEXTSPLIT(BD69,";")),device_cubicles!A:B,2,0)),"")</f>
        <v/>
      </c>
    </row>
    <row r="70" spans="1:57">
      <c r="A70" s="14">
        <v>1320111</v>
      </c>
      <c r="B70" s="11">
        <v>0</v>
      </c>
      <c r="C70" s="15" t="s">
        <v>190</v>
      </c>
      <c r="D70" s="15" t="s">
        <v>507</v>
      </c>
      <c r="G70" s="15" t="s">
        <v>191</v>
      </c>
      <c r="H70" s="84" t="str" cm="1">
        <f t="array" aca="1" ref="H70" ca="1">_xlfn.IFS($A70="","",OR($F70=99,$F70=""),_xlfn.TEXTJOIN("_",1,"device_name",$A70,$Y70),TRUE,OFFSET(H70,-1,0))</f>
        <v>device_name_1320111_machine_gun</v>
      </c>
      <c r="J70" s="14" t="str">
        <f>_xlfn.LET(_xlpm.get_device_type,VLOOKUP(VALUE(MID(A70,3,1)),tb_device_info_type[#All],3,0),_xlpm.check_if_wheel,IF(LEFT(A70,2)="12","wheel",_xlpm.get_device_type),_xlpm.raw_output,IF($A70&lt;&gt;"",_xlfn.TEXTJOIN("_",1,"device_alt",_xlpm.check_if_wheel),""),IFERROR(_xlpm.raw_output,"information missing"))</f>
        <v>device_alt_ranged</v>
      </c>
      <c r="K70" s="14" t="str" cm="1">
        <f t="array" ref="K70">_xlfn.IFS($A70="","",ISTEXT($L70),_xlfn.CONCAT("dwt","[device_wheel_thumbnail_",RIGHT($A70,1)-1,"]"),TRUE,_xlfn.CONCAT("dt","[device_thumbnail_",IF($L70&lt;&gt;"",$L70,0),"]"))</f>
        <v>dt[device_thumbnail_20]</v>
      </c>
      <c r="L70" s="34">
        <v>20</v>
      </c>
      <c r="M70" s="14" t="s">
        <v>79</v>
      </c>
      <c r="N70" s="14" t="s">
        <v>80</v>
      </c>
      <c r="O70" s="36" t="s">
        <v>161</v>
      </c>
      <c r="P70" s="15" t="str" cm="1">
        <f t="array" ref="P70">IFERROR(_xlfn.TEXTJOIN(";",1,_xlfn.MAP(_xlfn.TEXTSPLIT(O70,";"),_xlfn.LAMBDA(_xlpm.x,IFERROR(VLOOKUP(VALUE(_xlpm.x),device_tag!A:B,2,0),"error")))),"")</f>
        <v>远程武器;枪械;大型枪械</v>
      </c>
      <c r="Q70" s="11" t="s">
        <v>109</v>
      </c>
      <c r="S70" s="24">
        <v>0</v>
      </c>
      <c r="V70" s="24">
        <v>0</v>
      </c>
      <c r="W70" s="24">
        <v>0</v>
      </c>
      <c r="X70" s="24" t="s">
        <v>82</v>
      </c>
      <c r="Y70" s="24" t="s">
        <v>192</v>
      </c>
      <c r="Z70" s="85" t="str" cm="1">
        <f t="array" aca="1" ref="Z70" ca="1">_xlfn.IFS($A70="","",OR(F70=99,F70=""),_xlfn.TEXTJOIN("_",1,X70,$A70,Y70),TRUE,OFFSET($Z70,-1,0))</f>
        <v>device_1320111_machine_gun</v>
      </c>
      <c r="AA70" s="11">
        <v>5</v>
      </c>
      <c r="AB70" s="11">
        <v>1</v>
      </c>
      <c r="AC70" s="11">
        <v>23</v>
      </c>
      <c r="AF70" s="11">
        <v>1</v>
      </c>
      <c r="AG70" s="11">
        <v>60</v>
      </c>
      <c r="AH70" s="11" t="str">
        <f t="shared" si="55"/>
        <v>2~13</v>
      </c>
      <c r="AI70" s="27">
        <v>2</v>
      </c>
      <c r="AJ70" s="27">
        <v>13</v>
      </c>
      <c r="AK70" s="110">
        <v>0</v>
      </c>
      <c r="AL70" s="110">
        <v>0</v>
      </c>
      <c r="AM70" s="110">
        <v>0</v>
      </c>
      <c r="AN70" s="110">
        <v>0</v>
      </c>
      <c r="AO70" s="110">
        <v>0</v>
      </c>
      <c r="AP70" s="14" t="b">
        <v>0</v>
      </c>
      <c r="AQ70" s="46" t="s">
        <v>180</v>
      </c>
      <c r="AR70" s="40"/>
      <c r="AS70" s="40"/>
      <c r="AT70" s="11">
        <f t="shared" si="35"/>
        <v>1320111</v>
      </c>
      <c r="AU70" s="38"/>
      <c r="AV70" s="38"/>
      <c r="AW70" s="38"/>
      <c r="AX70" s="38"/>
      <c r="AY70" s="11" t="str">
        <f t="shared" si="56"/>
        <v>4~0.1</v>
      </c>
      <c r="AZ70" s="27">
        <v>4</v>
      </c>
      <c r="BA70" s="27">
        <v>0.1</v>
      </c>
      <c r="BB70" s="50">
        <v>1</v>
      </c>
      <c r="BC70" s="51" t="s">
        <v>193</v>
      </c>
      <c r="BD70" s="11" t="s">
        <v>150</v>
      </c>
      <c r="BE70" s="28" t="str" cm="1">
        <f t="array" ref="BE70">IF(BD70&lt;&gt;"",_xlfn.TEXTJOIN("; ",1,VLOOKUP(VALUE(_xlfn.TEXTSPLIT(BD70,";")),device_cubicles!A:B,2,0)),"")</f>
        <v>弹匣装填; 瞄准射击</v>
      </c>
    </row>
    <row r="71" spans="1:57">
      <c r="A71" s="14">
        <v>1320112</v>
      </c>
      <c r="B71" s="11">
        <v>0</v>
      </c>
      <c r="C71" s="15" t="s">
        <v>617</v>
      </c>
      <c r="D71" s="15" t="s">
        <v>507</v>
      </c>
      <c r="F71" s="86"/>
      <c r="G71" s="31" t="s">
        <v>194</v>
      </c>
      <c r="H71" s="84" t="str" cm="1">
        <f t="array" aca="1" ref="H71" ca="1">_xlfn.IFS($A71="","",OR($F71=99,$F71=""),_xlfn.TEXTJOIN("_",1,"device_name",$A71,$Y71),TRUE,OFFSET(H71,-1,0))</f>
        <v>device_name_1320112_anti_riot_revolver</v>
      </c>
      <c r="J71" s="14" t="str">
        <f>_xlfn.LET(_xlpm.get_device_type,VLOOKUP(VALUE(MID(A71,3,1)),tb_device_info_type[#All],3,0),_xlpm.check_if_wheel,IF(LEFT(A71,2)="12","wheel",_xlpm.get_device_type),_xlpm.raw_output,IF($A71&lt;&gt;"",_xlfn.TEXTJOIN("_",1,"device_alt",_xlpm.check_if_wheel),""),IFERROR(_xlpm.raw_output,"information missing"))</f>
        <v>device_alt_ranged</v>
      </c>
      <c r="K71" s="14" t="str" cm="1">
        <f t="array" ref="K71">_xlfn.IFS($A71="","",ISTEXT($L71),_xlfn.CONCAT("dwt","[device_wheel_thumbnail_",RIGHT($A71,1)-1,"]"),TRUE,_xlfn.CONCAT("dt","[device_thumbnail_",IF($L71&lt;&gt;"",$L71,0),"]"))</f>
        <v>dt[device_thumbnail_1]</v>
      </c>
      <c r="L71" s="34">
        <v>1</v>
      </c>
      <c r="M71" s="14" t="s">
        <v>79</v>
      </c>
      <c r="N71" s="14" t="s">
        <v>80</v>
      </c>
      <c r="O71" s="36" t="s">
        <v>153</v>
      </c>
      <c r="P71" s="15" t="str" cm="1">
        <f t="array" ref="P71">IFERROR(_xlfn.TEXTJOIN(";",1,_xlfn.MAP(_xlfn.TEXTSPLIT(O71,";"),_xlfn.LAMBDA(_xlpm.x,IFERROR(VLOOKUP(VALUE(_xlpm.x),device_tag!A:B,2,0),"error")))),"")</f>
        <v>远程武器;枪械;手枪</v>
      </c>
      <c r="Q71" s="11" t="s">
        <v>109</v>
      </c>
      <c r="S71" s="24">
        <v>0</v>
      </c>
      <c r="V71" s="24">
        <v>0</v>
      </c>
      <c r="W71" s="24">
        <v>0</v>
      </c>
      <c r="X71" s="24" t="s">
        <v>82</v>
      </c>
      <c r="Y71" s="24" t="s">
        <v>195</v>
      </c>
      <c r="Z71" s="73" t="s">
        <v>196</v>
      </c>
      <c r="AA71" s="91">
        <v>2</v>
      </c>
      <c r="AB71" s="90">
        <f>COLUMNS(_xlfn.TEXTSPLIT(BD71,";"))</f>
        <v>2</v>
      </c>
      <c r="AC71" s="77">
        <v>12</v>
      </c>
      <c r="AF71" s="11">
        <v>1</v>
      </c>
      <c r="AG71" s="11">
        <v>60</v>
      </c>
      <c r="AH71" s="11" t="str">
        <f t="shared" si="55"/>
        <v>1.4~9</v>
      </c>
      <c r="AI71" s="27">
        <v>1.4</v>
      </c>
      <c r="AJ71" s="27">
        <v>9</v>
      </c>
      <c r="AK71" s="110">
        <v>0</v>
      </c>
      <c r="AL71" s="110">
        <v>0</v>
      </c>
      <c r="AM71" s="110">
        <v>0</v>
      </c>
      <c r="AN71" s="110">
        <v>0</v>
      </c>
      <c r="AO71" s="110">
        <v>0</v>
      </c>
      <c r="AP71" s="14" t="b">
        <v>0</v>
      </c>
      <c r="AQ71" s="74" t="s">
        <v>535</v>
      </c>
      <c r="AR71" s="40"/>
      <c r="AS71" s="40"/>
      <c r="AT71" s="11">
        <f t="shared" si="35"/>
        <v>1320112</v>
      </c>
      <c r="AU71" s="38"/>
      <c r="AV71" s="38"/>
      <c r="AW71" s="38"/>
      <c r="AX71" s="38"/>
      <c r="AY71" s="11" t="str">
        <f t="shared" si="56"/>
        <v>8~8</v>
      </c>
      <c r="AZ71" s="27">
        <v>8</v>
      </c>
      <c r="BA71" s="27">
        <v>8</v>
      </c>
      <c r="BB71" s="50">
        <v>1</v>
      </c>
      <c r="BC71" s="87" t="s">
        <v>620</v>
      </c>
      <c r="BD71" s="11" t="s">
        <v>150</v>
      </c>
      <c r="BE71" s="28" t="str" cm="1">
        <f t="array" ref="BE71">IF(BD71&lt;&gt;"",_xlfn.TEXTJOIN("; ",1,VLOOKUP(VALUE(_xlfn.TEXTSPLIT(BD71,";")),device_cubicles!A:B,2,0)),"")</f>
        <v>弹匣装填; 瞄准射击</v>
      </c>
    </row>
    <row r="72" spans="1:57">
      <c r="A72" s="14">
        <v>13201120</v>
      </c>
      <c r="B72" s="11">
        <v>0</v>
      </c>
      <c r="C72" s="15" t="s">
        <v>617</v>
      </c>
      <c r="D72" s="15" t="s">
        <v>507</v>
      </c>
      <c r="E72" s="15" t="s">
        <v>560</v>
      </c>
      <c r="F72" s="11">
        <v>0</v>
      </c>
      <c r="G72" s="31" t="s">
        <v>194</v>
      </c>
      <c r="H72" s="84" t="str" cm="1">
        <f t="array" aca="1" ref="H72" ca="1">_xlfn.IFS($A72="","",OR($F72=99,$F72=""),_xlfn.TEXTJOIN("_",1,"device_name",$A72,$Y72),TRUE,OFFSET(H72,-1,0))</f>
        <v>device_name_1320112_anti_riot_revolver</v>
      </c>
      <c r="J72" s="14" t="str">
        <f>_xlfn.LET(_xlpm.get_device_type,VLOOKUP(VALUE(MID(A72,3,1)),tb_device_info_type[#All],3,0),_xlpm.check_if_wheel,IF(LEFT(A72,2)="12","wheel",_xlpm.get_device_type),_xlpm.raw_output,IF($A72&lt;&gt;"",_xlfn.TEXTJOIN("_",1,"device_alt",_xlpm.check_if_wheel),""),IFERROR(_xlpm.raw_output,"information missing"))</f>
        <v>device_alt_ranged</v>
      </c>
      <c r="K72" s="14" t="str" cm="1">
        <f t="array" ref="K72">_xlfn.IFS($A72="","",ISTEXT($L72),_xlfn.CONCAT("dwt","[device_wheel_thumbnail_",RIGHT($A72,1)-1,"]"),TRUE,_xlfn.CONCAT("dt","[device_thumbnail_",IF($L72&lt;&gt;"",$L72,0),"]"))</f>
        <v>dt[device_thumbnail_1]</v>
      </c>
      <c r="L72" s="34">
        <v>1</v>
      </c>
      <c r="M72" s="14" t="s">
        <v>79</v>
      </c>
      <c r="N72" s="14" t="s">
        <v>80</v>
      </c>
      <c r="O72" s="36" t="s">
        <v>153</v>
      </c>
      <c r="P72" s="15" t="str" cm="1">
        <f t="array" ref="P72">IFERROR(_xlfn.TEXTJOIN(";",1,_xlfn.MAP(_xlfn.TEXTSPLIT(O72,";"),_xlfn.LAMBDA(_xlpm.x,IFERROR(VLOOKUP(VALUE(_xlpm.x),device_tag!A:B,2,0),"error")))),"")</f>
        <v>远程武器;枪械;手枪</v>
      </c>
      <c r="Q72" s="11" t="s">
        <v>109</v>
      </c>
      <c r="S72" s="24">
        <v>0</v>
      </c>
      <c r="V72" s="24">
        <v>0</v>
      </c>
      <c r="W72" s="24">
        <v>0</v>
      </c>
      <c r="X72" s="24" t="s">
        <v>82</v>
      </c>
      <c r="Y72" s="24" t="s">
        <v>195</v>
      </c>
      <c r="Z72" s="85" t="str" cm="1">
        <f t="array" aca="1" ref="Z72" ca="1">_xlfn.IFS($A72="","",OR(F72=99,F72=""),_xlfn.TEXTJOIN("_",1,X72,$A72,Y72),TRUE,OFFSET($Z72,-1,0))</f>
        <v>device_1321101_anti_riot_revolver</v>
      </c>
      <c r="AA72" s="91">
        <v>2</v>
      </c>
      <c r="AB72" s="90">
        <f t="shared" ref="AB72:AB74" si="57">COLUMNS(_xlfn.TEXTSPLIT(BD72,";"))</f>
        <v>2</v>
      </c>
      <c r="AC72" s="76">
        <f>ROUND($AD72*$AE72^$F72,0)</f>
        <v>12</v>
      </c>
      <c r="AD72" s="16">
        <v>12</v>
      </c>
      <c r="AE72" s="16">
        <f>POWER(1.6,2)</f>
        <v>2.5600000000000005</v>
      </c>
      <c r="AF72" s="11">
        <v>1</v>
      </c>
      <c r="AG72" s="11">
        <v>60</v>
      </c>
      <c r="AH72" s="11" t="str">
        <f t="shared" ref="AH72" si="58">_xlfn.TEXTJOIN("~",1,AI72:AJ72)</f>
        <v>1.4~9</v>
      </c>
      <c r="AI72" s="27">
        <v>1.4</v>
      </c>
      <c r="AJ72" s="27">
        <v>9</v>
      </c>
      <c r="AK72" s="110">
        <v>0</v>
      </c>
      <c r="AL72" s="110">
        <v>0</v>
      </c>
      <c r="AM72" s="110">
        <v>0</v>
      </c>
      <c r="AN72" s="110">
        <v>0</v>
      </c>
      <c r="AO72" s="110">
        <v>0</v>
      </c>
      <c r="AP72" s="14" t="b">
        <v>0</v>
      </c>
      <c r="AQ72" s="74" t="s">
        <v>535</v>
      </c>
      <c r="AR72" s="40"/>
      <c r="AS72" s="40"/>
      <c r="AT72" s="11">
        <f t="shared" si="35"/>
        <v>13201120</v>
      </c>
      <c r="AU72" s="38"/>
      <c r="AV72" s="38"/>
      <c r="AW72" s="38"/>
      <c r="AX72" s="38"/>
      <c r="AY72" s="11" t="str">
        <f t="shared" ref="AY72" si="59">_xlfn.TEXTJOIN("~",1,AZ72:BA72)</f>
        <v>8~8</v>
      </c>
      <c r="AZ72" s="27">
        <v>8</v>
      </c>
      <c r="BA72" s="27">
        <v>8</v>
      </c>
      <c r="BB72" s="50">
        <v>1</v>
      </c>
      <c r="BC72" s="74" t="s">
        <v>652</v>
      </c>
      <c r="BD72" s="11" t="s">
        <v>150</v>
      </c>
      <c r="BE72" s="28" t="str" cm="1">
        <f t="array" ref="BE72">IF(BD72&lt;&gt;"",_xlfn.TEXTJOIN("; ",1,VLOOKUP(VALUE(_xlfn.TEXTSPLIT(BD72,";")),device_cubicles!A:B,2,0)),"")</f>
        <v>弹匣装填; 瞄准射击</v>
      </c>
    </row>
    <row r="73" spans="1:57">
      <c r="A73" s="14">
        <v>13201121</v>
      </c>
      <c r="B73" s="11">
        <v>0</v>
      </c>
      <c r="C73" s="15" t="s">
        <v>617</v>
      </c>
      <c r="D73" s="15" t="s">
        <v>507</v>
      </c>
      <c r="E73" s="15" t="s">
        <v>561</v>
      </c>
      <c r="F73" s="11">
        <v>1</v>
      </c>
      <c r="G73" s="31" t="s">
        <v>194</v>
      </c>
      <c r="H73" s="84" t="str" cm="1">
        <f t="array" aca="1" ref="H73" ca="1">_xlfn.IFS($A73="","",OR($F73=99,$F73=""),_xlfn.TEXTJOIN("_",1,"device_name",$A73,$Y73),TRUE,OFFSET(H73,-1,0))</f>
        <v>device_name_1320112_anti_riot_revolver</v>
      </c>
      <c r="J73" s="14" t="str">
        <f>_xlfn.LET(_xlpm.get_device_type,VLOOKUP(VALUE(MID(A73,3,1)),tb_device_info_type[#All],3,0),_xlpm.check_if_wheel,IF(LEFT(A73,2)="12","wheel",_xlpm.get_device_type),_xlpm.raw_output,IF($A73&lt;&gt;"",_xlfn.TEXTJOIN("_",1,"device_alt",_xlpm.check_if_wheel),""),IFERROR(_xlpm.raw_output,"information missing"))</f>
        <v>device_alt_ranged</v>
      </c>
      <c r="K73" s="14" t="str" cm="1">
        <f t="array" ref="K73">_xlfn.IFS($A73="","",ISTEXT($L73),_xlfn.CONCAT("dwt","[device_wheel_thumbnail_",RIGHT($A73,1)-1,"]"),TRUE,_xlfn.CONCAT("dt","[device_thumbnail_",IF($L73&lt;&gt;"",$L73,0),"]"))</f>
        <v>dt[device_thumbnail_1]</v>
      </c>
      <c r="L73" s="34">
        <v>1</v>
      </c>
      <c r="M73" s="14" t="s">
        <v>79</v>
      </c>
      <c r="N73" s="14" t="s">
        <v>80</v>
      </c>
      <c r="O73" s="36" t="s">
        <v>153</v>
      </c>
      <c r="P73" s="15" t="str" cm="1">
        <f t="array" ref="P73">IFERROR(_xlfn.TEXTJOIN(";",1,_xlfn.MAP(_xlfn.TEXTSPLIT(O73,";"),_xlfn.LAMBDA(_xlpm.x,IFERROR(VLOOKUP(VALUE(_xlpm.x),device_tag!A:B,2,0),"error")))),"")</f>
        <v>远程武器;枪械;手枪</v>
      </c>
      <c r="Q73" s="11" t="s">
        <v>109</v>
      </c>
      <c r="S73" s="24">
        <v>0</v>
      </c>
      <c r="V73" s="24">
        <v>0</v>
      </c>
      <c r="W73" s="24">
        <v>0</v>
      </c>
      <c r="X73" s="24" t="s">
        <v>82</v>
      </c>
      <c r="Y73" s="24" t="s">
        <v>195</v>
      </c>
      <c r="Z73" s="85" t="str" cm="1">
        <f t="array" aca="1" ref="Z73" ca="1">_xlfn.IFS($A73="","",OR(F73=99,F73=""),_xlfn.TEXTJOIN("_",1,X73,$A73,Y73),TRUE,OFFSET($Z73,-1,0))</f>
        <v>device_1321101_anti_riot_revolver</v>
      </c>
      <c r="AA73" s="91">
        <v>2</v>
      </c>
      <c r="AB73" s="90">
        <f t="shared" si="57"/>
        <v>2</v>
      </c>
      <c r="AC73" s="76">
        <f>ROUND($AD73*$AE73^$F73,0)</f>
        <v>31</v>
      </c>
      <c r="AD73" s="16">
        <v>12</v>
      </c>
      <c r="AE73" s="16">
        <f>POWER(1.6,2)</f>
        <v>2.5600000000000005</v>
      </c>
      <c r="AF73" s="11">
        <v>1</v>
      </c>
      <c r="AG73" s="11">
        <v>60</v>
      </c>
      <c r="AH73" s="11" t="str">
        <f t="shared" ref="AH73" si="60">_xlfn.TEXTJOIN("~",1,AI73:AJ73)</f>
        <v>1.4~11</v>
      </c>
      <c r="AI73" s="27">
        <v>1.4</v>
      </c>
      <c r="AJ73" s="27">
        <v>11</v>
      </c>
      <c r="AK73" s="110">
        <v>0</v>
      </c>
      <c r="AL73" s="110">
        <v>0</v>
      </c>
      <c r="AM73" s="110">
        <v>0</v>
      </c>
      <c r="AN73" s="110">
        <v>0</v>
      </c>
      <c r="AO73" s="110">
        <v>0</v>
      </c>
      <c r="AP73" s="14" t="b">
        <v>0</v>
      </c>
      <c r="AQ73" s="74" t="s">
        <v>535</v>
      </c>
      <c r="AR73" s="40"/>
      <c r="AS73" s="40"/>
      <c r="AT73" s="11">
        <f t="shared" si="35"/>
        <v>13201121</v>
      </c>
      <c r="AU73" s="38"/>
      <c r="AV73" s="38"/>
      <c r="AW73" s="38"/>
      <c r="AX73" s="38"/>
      <c r="AY73" s="11" t="str">
        <f t="shared" ref="AY73" si="61">_xlfn.TEXTJOIN("~",1,AZ73:BA73)</f>
        <v>8~8</v>
      </c>
      <c r="AZ73" s="27">
        <v>8</v>
      </c>
      <c r="BA73" s="27">
        <v>8</v>
      </c>
      <c r="BB73" s="50">
        <v>1</v>
      </c>
      <c r="BC73" s="74" t="s">
        <v>652</v>
      </c>
      <c r="BD73" s="11" t="s">
        <v>150</v>
      </c>
      <c r="BE73" s="28" t="str" cm="1">
        <f t="array" ref="BE73">IF(BD73&lt;&gt;"",_xlfn.TEXTJOIN("; ",1,VLOOKUP(VALUE(_xlfn.TEXTSPLIT(BD73,";")),device_cubicles!A:B,2,0)),"")</f>
        <v>弹匣装填; 瞄准射击</v>
      </c>
    </row>
    <row r="74" spans="1:57">
      <c r="A74" s="14">
        <v>13201122</v>
      </c>
      <c r="B74" s="11">
        <v>0</v>
      </c>
      <c r="C74" s="15" t="s">
        <v>617</v>
      </c>
      <c r="D74" s="15" t="s">
        <v>507</v>
      </c>
      <c r="E74" s="15" t="s">
        <v>564</v>
      </c>
      <c r="F74" s="11">
        <v>2</v>
      </c>
      <c r="G74" s="31" t="s">
        <v>194</v>
      </c>
      <c r="H74" s="84" t="str" cm="1">
        <f t="array" aca="1" ref="H74" ca="1">_xlfn.IFS($A74="","",OR($F74=99,$F74=""),_xlfn.TEXTJOIN("_",1,"device_name",$A74,$Y74),TRUE,OFFSET(H74,-1,0))</f>
        <v>device_name_1320112_anti_riot_revolver</v>
      </c>
      <c r="J74" s="14" t="str">
        <f>_xlfn.LET(_xlpm.get_device_type,VLOOKUP(VALUE(MID(A74,3,1)),tb_device_info_type[#All],3,0),_xlpm.check_if_wheel,IF(LEFT(A74,2)="12","wheel",_xlpm.get_device_type),_xlpm.raw_output,IF($A74&lt;&gt;"",_xlfn.TEXTJOIN("_",1,"device_alt",_xlpm.check_if_wheel),""),IFERROR(_xlpm.raw_output,"information missing"))</f>
        <v>device_alt_ranged</v>
      </c>
      <c r="K74" s="14" t="str" cm="1">
        <f t="array" ref="K74">_xlfn.IFS($A74="","",ISTEXT($L74),_xlfn.CONCAT("dwt","[device_wheel_thumbnail_",RIGHT($A74,1)-1,"]"),TRUE,_xlfn.CONCAT("dt","[device_thumbnail_",IF($L74&lt;&gt;"",$L74,0),"]"))</f>
        <v>dt[device_thumbnail_1]</v>
      </c>
      <c r="L74" s="34">
        <v>1</v>
      </c>
      <c r="M74" s="14" t="s">
        <v>79</v>
      </c>
      <c r="N74" s="14" t="s">
        <v>80</v>
      </c>
      <c r="O74" s="36" t="s">
        <v>153</v>
      </c>
      <c r="P74" s="15" t="str" cm="1">
        <f t="array" ref="P74">IFERROR(_xlfn.TEXTJOIN(";",1,_xlfn.MAP(_xlfn.TEXTSPLIT(O74,";"),_xlfn.LAMBDA(_xlpm.x,IFERROR(VLOOKUP(VALUE(_xlpm.x),device_tag!A:B,2,0),"error")))),"")</f>
        <v>远程武器;枪械;手枪</v>
      </c>
      <c r="Q74" s="11" t="s">
        <v>109</v>
      </c>
      <c r="S74" s="24">
        <v>0</v>
      </c>
      <c r="V74" s="24">
        <v>0</v>
      </c>
      <c r="W74" s="24">
        <v>0</v>
      </c>
      <c r="X74" s="24" t="s">
        <v>82</v>
      </c>
      <c r="Y74" s="24" t="s">
        <v>195</v>
      </c>
      <c r="Z74" s="85" t="str" cm="1">
        <f t="array" aca="1" ref="Z74" ca="1">_xlfn.IFS($A74="","",OR(F74=99,F74=""),_xlfn.TEXTJOIN("_",1,X74,$A74,Y74),TRUE,OFFSET($Z74,-1,0))</f>
        <v>device_1321101_anti_riot_revolver</v>
      </c>
      <c r="AA74" s="91">
        <v>2</v>
      </c>
      <c r="AB74" s="90">
        <f t="shared" si="57"/>
        <v>2</v>
      </c>
      <c r="AC74" s="76">
        <f>ROUND($AD74*$AE74^$F74,0)</f>
        <v>79</v>
      </c>
      <c r="AD74" s="16">
        <v>12</v>
      </c>
      <c r="AE74" s="16">
        <f>POWER(1.6,2)</f>
        <v>2.5600000000000005</v>
      </c>
      <c r="AF74" s="11">
        <v>1</v>
      </c>
      <c r="AG74" s="11">
        <v>60</v>
      </c>
      <c r="AH74" s="11" t="str">
        <f t="shared" ref="AH74" si="62">_xlfn.TEXTJOIN("~",1,AI74:AJ74)</f>
        <v>1.4~13</v>
      </c>
      <c r="AI74" s="27">
        <v>1.4</v>
      </c>
      <c r="AJ74" s="27">
        <v>13</v>
      </c>
      <c r="AK74" s="110">
        <v>0</v>
      </c>
      <c r="AL74" s="110">
        <v>0</v>
      </c>
      <c r="AM74" s="110">
        <v>0</v>
      </c>
      <c r="AN74" s="110">
        <v>0</v>
      </c>
      <c r="AO74" s="110">
        <v>0</v>
      </c>
      <c r="AP74" s="14" t="b">
        <v>0</v>
      </c>
      <c r="AQ74" s="74" t="s">
        <v>535</v>
      </c>
      <c r="AR74" s="40"/>
      <c r="AS74" s="40"/>
      <c r="AT74" s="11">
        <f t="shared" si="35"/>
        <v>13201122</v>
      </c>
      <c r="AU74" s="38"/>
      <c r="AV74" s="38"/>
      <c r="AW74" s="38"/>
      <c r="AX74" s="38"/>
      <c r="AY74" s="11" t="str">
        <f t="shared" ref="AY74" si="63">_xlfn.TEXTJOIN("~",1,AZ74:BA74)</f>
        <v>8~8</v>
      </c>
      <c r="AZ74" s="27">
        <v>8</v>
      </c>
      <c r="BA74" s="27">
        <v>8</v>
      </c>
      <c r="BB74" s="50">
        <v>1</v>
      </c>
      <c r="BC74" s="74" t="s">
        <v>652</v>
      </c>
      <c r="BD74" s="11" t="s">
        <v>150</v>
      </c>
      <c r="BE74" s="28" t="str" cm="1">
        <f t="array" ref="BE74">IF(BD74&lt;&gt;"",_xlfn.TEXTJOIN("; ",1,VLOOKUP(VALUE(_xlfn.TEXTSPLIT(BD74,";")),device_cubicles!A:B,2,0)),"")</f>
        <v>弹匣装填; 瞄准射击</v>
      </c>
    </row>
    <row r="75" spans="1:57">
      <c r="A75" s="14">
        <v>1320113</v>
      </c>
      <c r="B75" s="11">
        <v>0</v>
      </c>
      <c r="C75" s="15" t="s">
        <v>199</v>
      </c>
      <c r="D75" s="15" t="s">
        <v>507</v>
      </c>
      <c r="G75" s="15" t="s">
        <v>200</v>
      </c>
      <c r="H75" s="84" t="str" cm="1">
        <f t="array" aca="1" ref="H75" ca="1">_xlfn.IFS($A75="","",OR($F75=99,$F75=""),_xlfn.TEXTJOIN("_",1,"device_name",$A75,$Y75),TRUE,OFFSET(H75,-1,0))</f>
        <v>device_name_1320113_huge_ballista</v>
      </c>
      <c r="J75" s="14" t="str">
        <f>_xlfn.LET(_xlpm.get_device_type,VLOOKUP(VALUE(MID(A75,3,1)),tb_device_info_type[#All],3,0),_xlpm.check_if_wheel,IF(LEFT(A75,2)="12","wheel",_xlpm.get_device_type),_xlpm.raw_output,IF($A75&lt;&gt;"",_xlfn.TEXTJOIN("_",1,"device_alt",_xlpm.check_if_wheel),""),IFERROR(_xlpm.raw_output,"information missing"))</f>
        <v>device_alt_ranged</v>
      </c>
      <c r="K75" s="14" t="str" cm="1">
        <f t="array" ref="K75">_xlfn.IFS($A75="","",ISTEXT($L75),_xlfn.CONCAT("dwt","[device_wheel_thumbnail_",RIGHT($A75,1)-1,"]"),TRUE,_xlfn.CONCAT("dt","[device_thumbnail_",IF($L75&lt;&gt;"",$L75,0),"]"))</f>
        <v>dt[device_thumbnail_35]</v>
      </c>
      <c r="L75" s="34">
        <v>35</v>
      </c>
      <c r="M75" s="14" t="s">
        <v>79</v>
      </c>
      <c r="N75" s="14" t="s">
        <v>80</v>
      </c>
      <c r="O75" s="36">
        <v>1420200</v>
      </c>
      <c r="P75" s="15" t="str" cm="1">
        <f t="array" ref="P75">IFERROR(_xlfn.TEXTJOIN(";",1,_xlfn.MAP(_xlfn.TEXTSPLIT(O75,";"),_xlfn.LAMBDA(_xlpm.x,IFERROR(VLOOKUP(VALUE(_xlpm.x),device_tag!A:B,2,0),"error")))),"")</f>
        <v>远程武器</v>
      </c>
      <c r="Q75" s="11" t="s">
        <v>109</v>
      </c>
      <c r="S75" s="24">
        <v>0</v>
      </c>
      <c r="X75" s="24" t="s">
        <v>82</v>
      </c>
      <c r="Y75" s="24" t="s">
        <v>201</v>
      </c>
      <c r="Z75" s="85" t="str" cm="1">
        <f t="array" aca="1" ref="Z75" ca="1">_xlfn.IFS($A75="","",OR(F75=99,F75=""),_xlfn.TEXTJOIN("_",1,X75,$A75,Y75),TRUE,OFFSET($Z75,-1,0))</f>
        <v>device_1320113_huge_ballista</v>
      </c>
      <c r="AA75" s="11">
        <v>100</v>
      </c>
      <c r="AB75" s="11">
        <v>1</v>
      </c>
      <c r="AC75" s="11">
        <v>25</v>
      </c>
      <c r="AF75" s="11">
        <v>1</v>
      </c>
      <c r="AG75" s="11">
        <v>60</v>
      </c>
      <c r="AH75" s="11" t="str">
        <f t="shared" si="55"/>
        <v>1.4~12.5</v>
      </c>
      <c r="AI75" s="27">
        <v>1.4</v>
      </c>
      <c r="AJ75" s="27">
        <v>12.5</v>
      </c>
      <c r="AK75" s="110">
        <v>0</v>
      </c>
      <c r="AL75" s="110">
        <v>0</v>
      </c>
      <c r="AM75" s="110">
        <v>0</v>
      </c>
      <c r="AN75" s="110">
        <v>0</v>
      </c>
      <c r="AO75" s="110">
        <v>0</v>
      </c>
      <c r="AP75" s="14" t="b">
        <v>0</v>
      </c>
      <c r="AQ75" s="46" t="s">
        <v>202</v>
      </c>
      <c r="AR75" s="40"/>
      <c r="AS75" s="40"/>
      <c r="AT75" s="11">
        <f t="shared" si="35"/>
        <v>1320113</v>
      </c>
      <c r="AU75" s="38"/>
      <c r="AV75" s="38"/>
      <c r="AW75" s="38"/>
      <c r="AX75" s="38"/>
      <c r="AY75" s="38"/>
      <c r="AZ75" s="38"/>
      <c r="BA75" s="38"/>
      <c r="BB75" s="50">
        <v>1</v>
      </c>
      <c r="BC75" s="51" t="s">
        <v>203</v>
      </c>
      <c r="BD75" s="11" t="s">
        <v>204</v>
      </c>
      <c r="BE75" s="28" t="str" cm="1">
        <f t="array" ref="BE75">IF(BD75&lt;&gt;"",_xlfn.TEXTJOIN("; ",1,VLOOKUP(VALUE(_xlfn.TEXTSPLIT(BD75,";")),device_cubicles!A:B,2,0)),"")</f>
        <v>上紧绞盘; 瞄准射击; 调整朝向</v>
      </c>
    </row>
    <row r="76" spans="1:57">
      <c r="A76" s="14">
        <v>1320114</v>
      </c>
      <c r="B76" s="11">
        <v>0</v>
      </c>
      <c r="C76" s="15" t="s">
        <v>205</v>
      </c>
      <c r="D76" s="15" t="s">
        <v>507</v>
      </c>
      <c r="G76" s="15" t="s">
        <v>206</v>
      </c>
      <c r="H76" s="84" t="str" cm="1">
        <f t="array" aca="1" ref="H76" ca="1">_xlfn.IFS($A76="","",OR($F76=99,$F76=""),_xlfn.TEXTJOIN("_",1,"device_name",$A76,$Y76),TRUE,OFFSET(H76,-1,0))</f>
        <v>device_name_1320114_catapult</v>
      </c>
      <c r="J76" s="14" t="str">
        <f>_xlfn.LET(_xlpm.get_device_type,VLOOKUP(VALUE(MID(A76,3,1)),tb_device_info_type[#All],3,0),_xlpm.check_if_wheel,IF(LEFT(A76,2)="12","wheel",_xlpm.get_device_type),_xlpm.raw_output,IF($A76&lt;&gt;"",_xlfn.TEXTJOIN("_",1,"device_alt",_xlpm.check_if_wheel),""),IFERROR(_xlpm.raw_output,"information missing"))</f>
        <v>device_alt_ranged</v>
      </c>
      <c r="K76" s="14" t="str" cm="1">
        <f t="array" ref="K76">_xlfn.IFS($A76="","",ISTEXT($L76),_xlfn.CONCAT("dwt","[device_wheel_thumbnail_",RIGHT($A76,1)-1,"]"),TRUE,_xlfn.CONCAT("dt","[device_thumbnail_",IF($L76&lt;&gt;"",$L76,0),"]"))</f>
        <v>dt[device_thumbnail_5]</v>
      </c>
      <c r="L76" s="34">
        <v>5</v>
      </c>
      <c r="M76" s="14" t="s">
        <v>79</v>
      </c>
      <c r="N76" s="14" t="s">
        <v>80</v>
      </c>
      <c r="O76" s="36">
        <v>1420200</v>
      </c>
      <c r="P76" s="15" t="str" cm="1">
        <f t="array" ref="P76">IFERROR(_xlfn.TEXTJOIN(";",1,_xlfn.MAP(_xlfn.TEXTSPLIT(O76,";"),_xlfn.LAMBDA(_xlpm.x,IFERROR(VLOOKUP(VALUE(_xlpm.x),device_tag!A:B,2,0),"error")))),"")</f>
        <v>远程武器</v>
      </c>
      <c r="Q76" s="11" t="s">
        <v>109</v>
      </c>
      <c r="S76" s="24">
        <v>0</v>
      </c>
      <c r="V76" s="24">
        <v>0</v>
      </c>
      <c r="W76" s="24">
        <v>0</v>
      </c>
      <c r="X76" s="24" t="s">
        <v>82</v>
      </c>
      <c r="Y76" s="24" t="s">
        <v>207</v>
      </c>
      <c r="Z76" s="85" t="str" cm="1">
        <f t="array" aca="1" ref="Z76" ca="1">_xlfn.IFS($A76="","",OR(F76=99,F76=""),_xlfn.TEXTJOIN("_",1,X76,$A76,Y76),TRUE,OFFSET($Z76,-1,0))</f>
        <v>device_1320114_catapult</v>
      </c>
      <c r="AA76" s="11">
        <v>100</v>
      </c>
      <c r="AB76" s="11">
        <v>1</v>
      </c>
      <c r="AC76" s="11">
        <v>27</v>
      </c>
      <c r="AF76" s="11">
        <v>1</v>
      </c>
      <c r="AG76" s="11">
        <v>60</v>
      </c>
      <c r="AH76" s="11" t="str">
        <f t="shared" si="55"/>
        <v>0~12</v>
      </c>
      <c r="AI76" s="38">
        <v>0</v>
      </c>
      <c r="AJ76" s="27">
        <v>12</v>
      </c>
      <c r="AK76" s="110">
        <v>0</v>
      </c>
      <c r="AL76" s="110">
        <v>0</v>
      </c>
      <c r="AM76" s="110">
        <v>0</v>
      </c>
      <c r="AN76" s="110">
        <v>0</v>
      </c>
      <c r="AO76" s="110">
        <v>0</v>
      </c>
      <c r="AP76" s="14" t="b">
        <v>1</v>
      </c>
      <c r="AQ76" s="46" t="s">
        <v>208</v>
      </c>
      <c r="AR76" s="40"/>
      <c r="AS76" s="40"/>
      <c r="AT76" s="11">
        <f t="shared" si="35"/>
        <v>1320114</v>
      </c>
      <c r="AU76" s="38"/>
      <c r="AV76" s="38"/>
      <c r="AW76" s="38"/>
      <c r="AX76" s="38"/>
      <c r="AY76" s="11" t="str">
        <f t="shared" ref="AY76:AY77" si="64">_xlfn.TEXTJOIN("~",1,AZ76:BA76)</f>
        <v>2~2</v>
      </c>
      <c r="AZ76" s="27">
        <v>2</v>
      </c>
      <c r="BA76" s="27">
        <v>2</v>
      </c>
      <c r="BB76" s="11" t="str">
        <f t="shared" ref="BB76" si="65">REPLACE($A76,1,1,6)</f>
        <v>6320114</v>
      </c>
      <c r="BC76" s="66" t="s">
        <v>502</v>
      </c>
      <c r="BD76" s="11" t="s">
        <v>209</v>
      </c>
      <c r="BE76" s="28" t="str" cm="1">
        <f t="array" ref="BE76">IF(BD76&lt;&gt;"",_xlfn.TEXTJOIN("; ",1,VLOOKUP(VALUE(_xlfn.TEXTSPLIT(BD76,";")),device_cubicles!A:B,2,0)),"")</f>
        <v>上紧绞盘; 瞄准射击</v>
      </c>
    </row>
    <row r="77" spans="1:57">
      <c r="A77" s="14">
        <v>1320115</v>
      </c>
      <c r="B77" s="11">
        <v>0</v>
      </c>
      <c r="C77" s="15" t="s">
        <v>210</v>
      </c>
      <c r="D77" s="15" t="s">
        <v>507</v>
      </c>
      <c r="G77" s="31" t="s">
        <v>178</v>
      </c>
      <c r="H77" s="84" t="str" cm="1">
        <f t="array" aca="1" ref="H77" ca="1">_xlfn.IFS($A77="","",OR($F77=99,$F77=""),_xlfn.TEXTJOIN("_",1,"device_name",$A77,$Y77),TRUE,OFFSET(H77,-1,0))</f>
        <v>device_name_1320115_roll_wood</v>
      </c>
      <c r="J77" s="14" t="str">
        <f>_xlfn.LET(_xlpm.get_device_type,VLOOKUP(VALUE(MID(A77,3,1)),tb_device_info_type[#All],3,0),_xlpm.check_if_wheel,IF(LEFT(A77,2)="12","wheel",_xlpm.get_device_type),_xlpm.raw_output,IF($A77&lt;&gt;"",_xlfn.TEXTJOIN("_",1,"device_alt",_xlpm.check_if_wheel),""),IFERROR(_xlpm.raw_output,"information missing"))</f>
        <v>device_alt_ranged</v>
      </c>
      <c r="K77" s="14" t="str" cm="1">
        <f t="array" ref="K77">_xlfn.IFS($A77="","",ISTEXT($L77),_xlfn.CONCAT("dwt","[device_wheel_thumbnail_",RIGHT($A77,1)-1,"]"),TRUE,_xlfn.CONCAT("dt","[device_thumbnail_",IF($L77&lt;&gt;"",$L77,0),"]"))</f>
        <v>dt[device_thumbnail_119]</v>
      </c>
      <c r="L77" s="61">
        <v>119</v>
      </c>
      <c r="M77" s="14" t="s">
        <v>79</v>
      </c>
      <c r="N77" s="14" t="s">
        <v>80</v>
      </c>
      <c r="O77" s="36">
        <v>1420300</v>
      </c>
      <c r="P77" s="15" t="str" cm="1">
        <f t="array" ref="P77">IFERROR(_xlfn.TEXTJOIN(";",1,_xlfn.MAP(_xlfn.TEXTSPLIT(O77,";"),_xlfn.LAMBDA(_xlpm.x,IFERROR(VLOOKUP(VALUE(_xlpm.x),device_tag!A:B,2,0),"error")))),"")</f>
        <v>独特设备</v>
      </c>
      <c r="Q77" s="11" t="s">
        <v>109</v>
      </c>
      <c r="X77" s="24" t="s">
        <v>82</v>
      </c>
      <c r="Y77" s="24" t="s">
        <v>212</v>
      </c>
      <c r="Z77" s="85" t="str" cm="1">
        <f t="array" aca="1" ref="Z77" ca="1">_xlfn.IFS($A77="","",OR(F77=99,F77=""),_xlfn.TEXTJOIN("_",1,X77,$A77,Y77),TRUE,OFFSET($Z77,-1,0))</f>
        <v>device_1320115_roll_wood</v>
      </c>
      <c r="AA77" s="11">
        <v>5</v>
      </c>
      <c r="AB77" s="11">
        <v>1</v>
      </c>
      <c r="AC77" s="11">
        <v>16</v>
      </c>
      <c r="AF77" s="11">
        <v>1</v>
      </c>
      <c r="AG77" s="11">
        <v>60</v>
      </c>
      <c r="AH77" s="11" t="str">
        <f t="shared" si="55"/>
        <v>1.4~12.5</v>
      </c>
      <c r="AI77" s="27">
        <v>1.4</v>
      </c>
      <c r="AJ77" s="27">
        <v>12.5</v>
      </c>
      <c r="AK77" s="110">
        <v>0</v>
      </c>
      <c r="AL77" s="110">
        <v>0</v>
      </c>
      <c r="AM77" s="110">
        <v>0</v>
      </c>
      <c r="AN77" s="110">
        <v>0</v>
      </c>
      <c r="AO77" s="110">
        <v>0</v>
      </c>
      <c r="AP77" s="14" t="b">
        <v>0</v>
      </c>
      <c r="AQ77" s="63" t="s">
        <v>504</v>
      </c>
      <c r="AR77" s="40"/>
      <c r="AS77" s="40"/>
      <c r="AT77" s="11">
        <f t="shared" si="35"/>
        <v>1320115</v>
      </c>
      <c r="AU77" s="38"/>
      <c r="AV77" s="38"/>
      <c r="AW77" s="38"/>
      <c r="AX77" s="38"/>
      <c r="AY77" s="11" t="str">
        <f t="shared" si="64"/>
        <v>6~3</v>
      </c>
      <c r="AZ77" s="27">
        <v>6</v>
      </c>
      <c r="BA77" s="27">
        <v>3</v>
      </c>
      <c r="BB77" s="50">
        <v>1</v>
      </c>
      <c r="BC77" s="66" t="s">
        <v>503</v>
      </c>
      <c r="BD77" s="11" t="s">
        <v>150</v>
      </c>
      <c r="BE77" s="28" t="str" cm="1">
        <f t="array" ref="BE77">IF(BD77&lt;&gt;"",_xlfn.TEXTJOIN("; ",1,VLOOKUP(VALUE(_xlfn.TEXTSPLIT(BD77,";")),device_cubicles!A:B,2,0)),"")</f>
        <v>弹匣装填; 瞄准射击</v>
      </c>
    </row>
    <row r="78" spans="1:57">
      <c r="A78" s="14">
        <v>1321101</v>
      </c>
      <c r="B78" s="11">
        <v>0</v>
      </c>
      <c r="C78" s="15" t="s">
        <v>213</v>
      </c>
      <c r="D78" s="15" t="s">
        <v>127</v>
      </c>
      <c r="G78" s="15" t="s">
        <v>194</v>
      </c>
      <c r="H78" s="84" t="str" cm="1">
        <f t="array" aca="1" ref="H78" ca="1">_xlfn.IFS($A78="","",OR($F78=99,$F78=""),_xlfn.TEXTJOIN("_",1,"device_name",$A78,$Y78),TRUE,OFFSET(H78,-1,0))</f>
        <v>device_name_1321101_anti_riot_revolver</v>
      </c>
      <c r="J78" s="14" t="str">
        <f>_xlfn.LET(_xlpm.get_device_type,VLOOKUP(VALUE(MID(A78,3,1)),tb_device_info_type[#All],3,0),_xlpm.check_if_wheel,IF(LEFT(A78,2)="12","wheel",_xlpm.get_device_type),_xlpm.raw_output,IF($A78&lt;&gt;"",_xlfn.TEXTJOIN("_",1,"device_alt",_xlpm.check_if_wheel),""),IFERROR(_xlpm.raw_output,"information missing"))</f>
        <v>device_alt_ranged</v>
      </c>
      <c r="K78" s="14" t="str" cm="1">
        <f t="array" ref="K78">_xlfn.IFS($A78="","",ISTEXT($L78),_xlfn.CONCAT("dwt","[device_wheel_thumbnail_",RIGHT($A78,1)-1,"]"),TRUE,_xlfn.CONCAT("dt","[device_thumbnail_",IF($L78&lt;&gt;"",$L78,0),"]"))</f>
        <v>dt[device_thumbnail_1]</v>
      </c>
      <c r="L78" s="34">
        <v>1</v>
      </c>
      <c r="M78" s="14" t="s">
        <v>79</v>
      </c>
      <c r="N78" s="14" t="s">
        <v>80</v>
      </c>
      <c r="O78" s="36" t="s">
        <v>153</v>
      </c>
      <c r="P78" s="15" t="str" cm="1">
        <f t="array" ref="P78">IFERROR(_xlfn.TEXTJOIN(";",1,_xlfn.MAP(_xlfn.TEXTSPLIT(O78,";"),_xlfn.LAMBDA(_xlpm.x,IFERROR(VLOOKUP(VALUE(_xlpm.x),device_tag!A:B,2,0),"error")))),"")</f>
        <v>远程武器;枪械;手枪</v>
      </c>
      <c r="Q78" s="11" t="s">
        <v>109</v>
      </c>
      <c r="S78" s="24">
        <v>0</v>
      </c>
      <c r="V78" s="24">
        <v>0</v>
      </c>
      <c r="W78" s="24">
        <v>0</v>
      </c>
      <c r="X78" s="24" t="s">
        <v>82</v>
      </c>
      <c r="Y78" s="24" t="s">
        <v>195</v>
      </c>
      <c r="Z78" s="85" t="str" cm="1">
        <f t="array" aca="1" ref="Z78" ca="1">_xlfn.IFS($A78="","",OR(F78=99,F78=""),_xlfn.TEXTJOIN("_",1,X78,$A78,Y78),TRUE,OFFSET($Z78,-1,0))</f>
        <v>device_1321101_anti_riot_revolver</v>
      </c>
      <c r="AA78" s="11">
        <v>2</v>
      </c>
      <c r="AB78" s="11">
        <v>1</v>
      </c>
      <c r="AC78" s="11">
        <v>18</v>
      </c>
      <c r="AF78" s="11">
        <v>1</v>
      </c>
      <c r="AG78" s="11">
        <v>60</v>
      </c>
      <c r="AH78" s="11" t="str">
        <f t="shared" ref="AH78" si="66">_xlfn.TEXTJOIN("~",1,AI78:AJ78)</f>
        <v>1.4~10</v>
      </c>
      <c r="AI78" s="27">
        <v>1.4</v>
      </c>
      <c r="AJ78" s="27">
        <v>10</v>
      </c>
      <c r="AK78" s="110">
        <v>0</v>
      </c>
      <c r="AL78" s="110">
        <v>0</v>
      </c>
      <c r="AM78" s="110">
        <v>0</v>
      </c>
      <c r="AN78" s="110">
        <v>0</v>
      </c>
      <c r="AO78" s="110">
        <v>0</v>
      </c>
      <c r="AP78" s="14" t="b">
        <v>0</v>
      </c>
      <c r="AQ78" s="46" t="s">
        <v>197</v>
      </c>
      <c r="AR78" s="40"/>
      <c r="AS78" s="40"/>
      <c r="AT78" s="11">
        <f t="shared" si="35"/>
        <v>1321101</v>
      </c>
      <c r="AU78" s="38"/>
      <c r="AV78" s="38"/>
      <c r="AW78" s="38"/>
      <c r="AX78" s="38"/>
      <c r="AY78" s="11" t="str">
        <f t="shared" ref="AY78" si="67">_xlfn.TEXTJOIN("~",1,AZ78:BA78)</f>
        <v>8~8</v>
      </c>
      <c r="AZ78" s="27">
        <v>8</v>
      </c>
      <c r="BA78" s="27">
        <v>8</v>
      </c>
      <c r="BB78" s="11" t="str">
        <f t="shared" si="37"/>
        <v>6321101</v>
      </c>
      <c r="BC78" s="51" t="s">
        <v>198</v>
      </c>
      <c r="BD78" s="11" t="s">
        <v>150</v>
      </c>
      <c r="BE78" s="28" t="str" cm="1">
        <f t="array" ref="BE78">IF(BD78&lt;&gt;"",_xlfn.TEXTJOIN("; ",1,VLOOKUP(VALUE(_xlfn.TEXTSPLIT(BD78,";")),device_cubicles!A:B,2,0)),"")</f>
        <v>弹匣装填; 瞄准射击</v>
      </c>
    </row>
    <row r="79" spans="1:57">
      <c r="A79" s="14">
        <v>1321102</v>
      </c>
      <c r="B79" s="11">
        <v>0</v>
      </c>
      <c r="C79" s="15" t="s">
        <v>214</v>
      </c>
      <c r="D79" s="15" t="s">
        <v>127</v>
      </c>
      <c r="G79" s="15" t="s">
        <v>215</v>
      </c>
      <c r="H79" s="84" t="str" cm="1">
        <f t="array" aca="1" ref="H79" ca="1">_xlfn.IFS($A79="","",OR($F79=99,$F79=""),_xlfn.TEXTJOIN("_",1,"device_name",$A79,$Y79),TRUE,OFFSET(H79,-1,0))</f>
        <v>device_name_1321102_anti_riot_shotgun</v>
      </c>
      <c r="J79" s="14" t="str">
        <f>_xlfn.LET(_xlpm.get_device_type,VLOOKUP(VALUE(MID(A79,3,1)),tb_device_info_type[#All],3,0),_xlpm.check_if_wheel,IF(LEFT(A79,2)="12","wheel",_xlpm.get_device_type),_xlpm.raw_output,IF($A79&lt;&gt;"",_xlfn.TEXTJOIN("_",1,"device_alt",_xlpm.check_if_wheel),""),IFERROR(_xlpm.raw_output,"information missing"))</f>
        <v>device_alt_ranged</v>
      </c>
      <c r="K79" s="14" t="str" cm="1">
        <f t="array" ref="K79">_xlfn.IFS($A79="","",ISTEXT($L79),_xlfn.CONCAT("dwt","[device_wheel_thumbnail_",RIGHT($A79,1)-1,"]"),TRUE,_xlfn.CONCAT("dt","[device_thumbnail_",IF($L79&lt;&gt;"",$L79,0),"]"))</f>
        <v>dt[device_thumbnail_0]</v>
      </c>
      <c r="L79" s="34">
        <v>0</v>
      </c>
      <c r="M79" s="14" t="s">
        <v>79</v>
      </c>
      <c r="N79" s="14" t="s">
        <v>80</v>
      </c>
      <c r="O79" s="36" t="s">
        <v>157</v>
      </c>
      <c r="P79" s="15" t="str" cm="1">
        <f t="array" ref="P79">IFERROR(_xlfn.TEXTJOIN(";",1,_xlfn.MAP(_xlfn.TEXTSPLIT(O79,";"),_xlfn.LAMBDA(_xlpm.x,IFERROR(VLOOKUP(VALUE(_xlpm.x),device_tag!A:B,2,0),"error")))),"")</f>
        <v>远程武器;枪械;霰弹枪</v>
      </c>
      <c r="Q79" s="11" t="s">
        <v>109</v>
      </c>
      <c r="S79" s="24">
        <v>0</v>
      </c>
      <c r="V79" s="24">
        <v>0</v>
      </c>
      <c r="W79" s="24">
        <v>0</v>
      </c>
      <c r="X79" s="24" t="s">
        <v>82</v>
      </c>
      <c r="Y79" s="24" t="s">
        <v>216</v>
      </c>
      <c r="Z79" s="85" t="str" cm="1">
        <f t="array" aca="1" ref="Z79" ca="1">_xlfn.IFS($A79="","",OR(F79=99,F79=""),_xlfn.TEXTJOIN("_",1,X79,$A79,Y79),TRUE,OFFSET($Z79,-1,0))</f>
        <v>device_1321102_anti_riot_shotgun</v>
      </c>
      <c r="AA79" s="11">
        <v>5</v>
      </c>
      <c r="AB79" s="11">
        <v>1</v>
      </c>
      <c r="AC79" s="11">
        <v>21</v>
      </c>
      <c r="AF79" s="11">
        <v>1</v>
      </c>
      <c r="AG79" s="11">
        <v>60</v>
      </c>
      <c r="AH79" s="11" t="str">
        <f t="shared" ref="AH79:AH81" si="68">_xlfn.TEXTJOIN("~",1,AI79:AJ79)</f>
        <v>1.8~10</v>
      </c>
      <c r="AI79" s="27">
        <v>1.8</v>
      </c>
      <c r="AJ79" s="27">
        <v>10</v>
      </c>
      <c r="AK79" s="110">
        <v>0</v>
      </c>
      <c r="AL79" s="110">
        <v>0</v>
      </c>
      <c r="AM79" s="110">
        <v>0</v>
      </c>
      <c r="AN79" s="110">
        <v>0</v>
      </c>
      <c r="AO79" s="110">
        <v>0</v>
      </c>
      <c r="AP79" s="14" t="b">
        <v>0</v>
      </c>
      <c r="AQ79" s="14" t="s">
        <v>185</v>
      </c>
      <c r="AR79" s="40"/>
      <c r="AS79" s="40"/>
      <c r="AT79" s="11">
        <f t="shared" si="35"/>
        <v>1321102</v>
      </c>
      <c r="AU79" s="38"/>
      <c r="AV79" s="38"/>
      <c r="AW79" s="38"/>
      <c r="AX79" s="38"/>
      <c r="AY79" s="11" t="str">
        <f t="shared" ref="AY79:AY81" si="69">_xlfn.TEXTJOIN("~",1,AZ79:BA79)</f>
        <v>6~6</v>
      </c>
      <c r="AZ79" s="27">
        <v>6</v>
      </c>
      <c r="BA79" s="27">
        <v>6</v>
      </c>
      <c r="BB79" s="11" t="str">
        <f t="shared" si="37"/>
        <v>6321102</v>
      </c>
      <c r="BC79" s="11" t="s">
        <v>186</v>
      </c>
      <c r="BE79" s="28" t="str" cm="1">
        <f t="array" ref="BE79">IF(BD79&lt;&gt;"",_xlfn.TEXTJOIN("; ",1,VLOOKUP(VALUE(_xlfn.TEXTSPLIT(BD79,";")),device_cubicles!A:B,2,0)),"")</f>
        <v/>
      </c>
    </row>
    <row r="80" spans="1:57">
      <c r="A80" s="72">
        <v>1329000</v>
      </c>
      <c r="B80" s="11">
        <v>0</v>
      </c>
      <c r="C80" s="15" t="s">
        <v>532</v>
      </c>
      <c r="D80" s="15" t="s">
        <v>507</v>
      </c>
      <c r="G80" s="15" t="s">
        <v>152</v>
      </c>
      <c r="H80" s="65" t="s">
        <v>331</v>
      </c>
      <c r="J80" s="14" t="str">
        <f>_xlfn.LET(_xlpm.get_device_type,VLOOKUP(VALUE(MID(A80,3,1)),tb_device_info_type[#All],3,0),_xlpm.check_if_wheel,IF(LEFT(A80,2)="12","wheel",_xlpm.get_device_type),_xlpm.raw_output,IF($A80&lt;&gt;"",_xlfn.TEXTJOIN("_",1,"device_alt",_xlpm.check_if_wheel),""),IFERROR(_xlpm.raw_output,"information missing"))</f>
        <v>device_alt_ranged</v>
      </c>
      <c r="K80" s="14" t="str" cm="1">
        <f t="array" ref="K80">_xlfn.IFS($A80="","",ISTEXT($L80),_xlfn.CONCAT("dwt","[device_wheel_thumbnail_",RIGHT($A80,1)-1,"]"),TRUE,_xlfn.CONCAT("dt","[device_thumbnail_",IF($L80&lt;&gt;"",$L80,0),"]"))</f>
        <v>dt[device_thumbnail_21]</v>
      </c>
      <c r="L80" s="34">
        <v>21</v>
      </c>
      <c r="M80" s="14" t="s">
        <v>79</v>
      </c>
      <c r="N80" s="14" t="s">
        <v>80</v>
      </c>
      <c r="O80" s="36" t="s">
        <v>153</v>
      </c>
      <c r="P80" s="15" t="str" cm="1">
        <f t="array" ref="P80">IFERROR(_xlfn.TEXTJOIN(";",1,_xlfn.MAP(_xlfn.TEXTSPLIT(O80,";"),_xlfn.LAMBDA(_xlpm.x,IFERROR(VLOOKUP(VALUE(_xlpm.x),device_tag!A:B,2,0),"error")))),"")</f>
        <v>远程武器;枪械;手枪</v>
      </c>
      <c r="Q80" s="11" t="s">
        <v>109</v>
      </c>
      <c r="S80" s="24">
        <v>0</v>
      </c>
      <c r="V80" s="24">
        <v>0</v>
      </c>
      <c r="W80" s="24">
        <v>0</v>
      </c>
      <c r="X80" s="24" t="s">
        <v>82</v>
      </c>
      <c r="Y80" s="24" t="s">
        <v>154</v>
      </c>
      <c r="Z80" s="73" t="s">
        <v>332</v>
      </c>
      <c r="AA80" s="11">
        <v>5</v>
      </c>
      <c r="AB80" s="11">
        <v>1</v>
      </c>
      <c r="AC80" s="11">
        <v>12</v>
      </c>
      <c r="AF80" s="11">
        <v>1</v>
      </c>
      <c r="AG80" s="11">
        <v>60</v>
      </c>
      <c r="AH80" s="11" t="str">
        <f t="shared" ref="AH80" si="70">_xlfn.TEXTJOIN("~",1,AI80:AJ80)</f>
        <v>1.4~12.5</v>
      </c>
      <c r="AI80" s="27">
        <v>1.4</v>
      </c>
      <c r="AJ80" s="27">
        <v>12.5</v>
      </c>
      <c r="AK80" s="110">
        <v>0</v>
      </c>
      <c r="AL80" s="110">
        <v>0</v>
      </c>
      <c r="AM80" s="110">
        <v>0</v>
      </c>
      <c r="AN80" s="110">
        <v>0</v>
      </c>
      <c r="AO80" s="110">
        <v>0</v>
      </c>
      <c r="AP80" s="14" t="b">
        <v>0</v>
      </c>
      <c r="AQ80" s="74" t="s">
        <v>533</v>
      </c>
      <c r="AR80" s="40"/>
      <c r="AS80" s="40"/>
      <c r="AT80" s="13">
        <v>1320102</v>
      </c>
      <c r="AU80" s="38"/>
      <c r="AV80" s="38"/>
      <c r="AW80" s="38"/>
      <c r="AX80" s="38"/>
      <c r="AY80" s="11" t="str">
        <f t="shared" ref="AY80" si="71">_xlfn.TEXTJOIN("~",1,AZ80:BA80)</f>
        <v>6~3</v>
      </c>
      <c r="AZ80" s="27">
        <v>6</v>
      </c>
      <c r="BA80" s="27">
        <v>3</v>
      </c>
      <c r="BB80" s="50">
        <v>1</v>
      </c>
      <c r="BC80" s="74" t="s">
        <v>534</v>
      </c>
      <c r="BD80" s="11" t="s">
        <v>150</v>
      </c>
      <c r="BE80" s="28" t="str" cm="1">
        <f t="array" ref="BE80">IF(BD80&lt;&gt;"",_xlfn.TEXTJOIN("; ",1,VLOOKUP(VALUE(_xlfn.TEXTSPLIT(BD80,";")),device_cubicles!A:B,2,0)),"")</f>
        <v>弹匣装填; 瞄准射击</v>
      </c>
    </row>
    <row r="81" spans="1:57">
      <c r="A81" s="14">
        <v>1329001</v>
      </c>
      <c r="B81" s="11">
        <v>0</v>
      </c>
      <c r="C81" s="15" t="s">
        <v>530</v>
      </c>
      <c r="D81" s="15" t="s">
        <v>557</v>
      </c>
      <c r="E81" s="15" t="s">
        <v>618</v>
      </c>
      <c r="F81" s="86"/>
      <c r="G81" s="31" t="s">
        <v>194</v>
      </c>
      <c r="H81" s="65" t="s">
        <v>531</v>
      </c>
      <c r="J81" s="14" t="str">
        <f>_xlfn.LET(_xlpm.get_device_type,VLOOKUP(VALUE(MID(A81,3,1)),tb_device_info_type[#All],3,0),_xlpm.check_if_wheel,IF(LEFT(A81,2)="12","wheel",_xlpm.get_device_type),_xlpm.raw_output,IF($A81&lt;&gt;"",_xlfn.TEXTJOIN("_",1,"device_alt",_xlpm.check_if_wheel),""),IFERROR(_xlpm.raw_output,"information missing"))</f>
        <v>device_alt_ranged</v>
      </c>
      <c r="K81" s="14" t="str" cm="1">
        <f t="array" ref="K81">_xlfn.IFS($A81="","",ISTEXT($L81),_xlfn.CONCAT("dwt","[device_wheel_thumbnail_",RIGHT($A81,1)-1,"]"),TRUE,_xlfn.CONCAT("dt","[device_thumbnail_",IF($L81&lt;&gt;"",$L81,0),"]"))</f>
        <v>dt[device_thumbnail_1]</v>
      </c>
      <c r="L81" s="34">
        <v>1</v>
      </c>
      <c r="M81" s="14" t="s">
        <v>79</v>
      </c>
      <c r="N81" s="14" t="s">
        <v>80</v>
      </c>
      <c r="O81" s="36" t="s">
        <v>153</v>
      </c>
      <c r="P81" s="15" t="str" cm="1">
        <f t="array" ref="P81">IFERROR(_xlfn.TEXTJOIN(";",1,_xlfn.MAP(_xlfn.TEXTSPLIT(O81,";"),_xlfn.LAMBDA(_xlpm.x,IFERROR(VLOOKUP(VALUE(_xlpm.x),device_tag!A:B,2,0),"error")))),"")</f>
        <v>远程武器;枪械;手枪</v>
      </c>
      <c r="Q81" s="11" t="s">
        <v>109</v>
      </c>
      <c r="S81" s="24">
        <v>0</v>
      </c>
      <c r="V81" s="24">
        <v>0</v>
      </c>
      <c r="W81" s="24">
        <v>0</v>
      </c>
      <c r="X81" s="24" t="s">
        <v>82</v>
      </c>
      <c r="Y81" s="24" t="s">
        <v>195</v>
      </c>
      <c r="Z81" s="73" t="s">
        <v>196</v>
      </c>
      <c r="AA81" s="11">
        <v>2</v>
      </c>
      <c r="AB81" s="90">
        <f t="shared" ref="AB81" si="72">COLUMNS(_xlfn.TEXTSPLIT(BD81,";"))</f>
        <v>2</v>
      </c>
      <c r="AC81" s="77">
        <v>13</v>
      </c>
      <c r="AF81" s="11">
        <v>1</v>
      </c>
      <c r="AG81" s="11">
        <v>60</v>
      </c>
      <c r="AH81" s="11" t="str">
        <f t="shared" si="68"/>
        <v>1.4~9</v>
      </c>
      <c r="AI81" s="27">
        <v>1.4</v>
      </c>
      <c r="AJ81" s="27">
        <v>9</v>
      </c>
      <c r="AK81" s="110">
        <v>0</v>
      </c>
      <c r="AL81" s="110">
        <v>0</v>
      </c>
      <c r="AM81" s="110">
        <v>0</v>
      </c>
      <c r="AN81" s="110">
        <v>0</v>
      </c>
      <c r="AO81" s="110">
        <v>0</v>
      </c>
      <c r="AP81" s="14" t="b">
        <v>0</v>
      </c>
      <c r="AQ81" s="74" t="s">
        <v>619</v>
      </c>
      <c r="AR81" s="40"/>
      <c r="AS81" s="40"/>
      <c r="AT81" s="11">
        <f t="shared" si="35"/>
        <v>1329001</v>
      </c>
      <c r="AU81" s="38"/>
      <c r="AV81" s="38"/>
      <c r="AW81" s="38"/>
      <c r="AX81" s="38"/>
      <c r="AY81" s="11" t="str">
        <f t="shared" si="69"/>
        <v>8~8</v>
      </c>
      <c r="AZ81" s="27">
        <v>8</v>
      </c>
      <c r="BA81" s="27">
        <v>8</v>
      </c>
      <c r="BB81" s="50">
        <v>1</v>
      </c>
      <c r="BC81" s="87" t="s">
        <v>620</v>
      </c>
      <c r="BD81" s="11" t="s">
        <v>150</v>
      </c>
      <c r="BE81" s="28" t="str" cm="1">
        <f t="array" ref="BE81">IF(BD81&lt;&gt;"",_xlfn.TEXTJOIN("; ",1,VLOOKUP(VALUE(_xlfn.TEXTSPLIT(BD81,";")),device_cubicles!A:B,2,0)),"")</f>
        <v>弹匣装填; 瞄准射击</v>
      </c>
    </row>
    <row r="82" spans="1:57">
      <c r="A82" s="14">
        <v>130002007</v>
      </c>
      <c r="B82" s="11">
        <v>0</v>
      </c>
      <c r="C82" s="15" t="s">
        <v>217</v>
      </c>
      <c r="H82" s="84" t="str" cm="1">
        <f t="array" aca="1" ref="H82" ca="1">_xlfn.IFS($A82="","",OR($F82=99,$F82=""),_xlfn.TEXTJOIN("_",1,"device_name",$A82,$Y82),TRUE,OFFSET(H82,-1,0))</f>
        <v>device_name_130002007_heave_crossbow</v>
      </c>
      <c r="J82" s="14" t="str">
        <f>_xlfn.LET(_xlpm.get_device_type,VLOOKUP(VALUE(MID(A82,3,1)),tb_device_info_type[#All],3,0),_xlpm.check_if_wheel,IF(LEFT(A82,2)="12","wheel",_xlpm.get_device_type),_xlpm.raw_output,IF($A82&lt;&gt;"",_xlfn.TEXTJOIN("_",1,"device_alt",_xlpm.check_if_wheel),""),IFERROR(_xlpm.raw_output,"information missing"))</f>
        <v>information missing</v>
      </c>
      <c r="K82" s="14" t="str" cm="1">
        <f t="array" ref="K82">_xlfn.IFS($A82="","",ISTEXT($L82),_xlfn.CONCAT("dwt","[device_wheel_thumbnail_",RIGHT($A82,1)-1,"]"),TRUE,_xlfn.CONCAT("dt","[device_thumbnail_",IF($L82&lt;&gt;"",$L82,0),"]"))</f>
        <v>dt[device_thumbnail_0]</v>
      </c>
      <c r="M82" s="14" t="s">
        <v>79</v>
      </c>
      <c r="N82" s="14" t="s">
        <v>80</v>
      </c>
      <c r="O82" s="36"/>
      <c r="P82" s="15" t="str" cm="1">
        <f t="array" ref="P82">IFERROR(_xlfn.TEXTJOIN(";",1,_xlfn.MAP(_xlfn.TEXTSPLIT(O82,";"),_xlfn.LAMBDA(_xlpm.x,IFERROR(VLOOKUP(VALUE(_xlpm.x),device_tag!A:B,2,0),"error")))),"")</f>
        <v/>
      </c>
      <c r="Q82" s="11" t="s">
        <v>109</v>
      </c>
      <c r="S82" s="24">
        <v>0</v>
      </c>
      <c r="V82" s="24">
        <v>0</v>
      </c>
      <c r="W82" s="24">
        <v>0</v>
      </c>
      <c r="X82" s="24" t="s">
        <v>91</v>
      </c>
      <c r="Y82" s="24" t="s">
        <v>218</v>
      </c>
      <c r="Z82" s="25" t="str">
        <f t="shared" ref="Z82:Z83" si="73">IF($A82&lt;&gt;"",_xlfn.TEXTJOIN("_",1,X82,$A82,Y82),"")</f>
        <v>dp_130002007_heave_crossbow</v>
      </c>
      <c r="AA82" s="11">
        <v>100</v>
      </c>
      <c r="AB82" s="11">
        <v>1</v>
      </c>
      <c r="AC82" s="11" t="s">
        <v>526</v>
      </c>
      <c r="AK82" s="110">
        <v>0</v>
      </c>
      <c r="AL82" s="110">
        <v>0</v>
      </c>
      <c r="AM82" s="110">
        <v>0</v>
      </c>
      <c r="AN82" s="110">
        <v>0</v>
      </c>
      <c r="AO82" s="110">
        <v>0</v>
      </c>
      <c r="BE82" s="28" t="str" cm="1">
        <f t="array" ref="BE82">IF(BD82&lt;&gt;"",_xlfn.TEXTJOIN("; ",1,VLOOKUP(VALUE(_xlfn.TEXTSPLIT(BD82,";")),device_cubicles!A:B,2,0)),"")</f>
        <v/>
      </c>
    </row>
    <row r="83" spans="1:57">
      <c r="H83" s="14" t="str">
        <f>IF($A83&lt;&gt;"",_xlfn.TEXTJOIN("_",1,"device_name",$A83,$Y83),"")</f>
        <v/>
      </c>
      <c r="J83" s="14" t="str">
        <f>_xlfn.LET(_xlpm.get_device_type,VLOOKUP(VALUE(MID(A83,3,1)),tb_device_info_type[#All],3,0),_xlpm.check_if_wheel,IF(LEFT(A83,2)="12","wheel",_xlpm.get_device_type),_xlpm.raw_output,IF($A83&lt;&gt;"",_xlfn.TEXTJOIN("_",1,"device_alt",_xlpm.check_if_wheel),""),IFERROR(_xlpm.raw_output,"information missing"))</f>
        <v/>
      </c>
      <c r="K83" s="14" t="str" cm="1">
        <f t="array" ref="K83">_xlfn.IFS($A83="","",ISTEXT($L83),_xlfn.CONCAT("dwt","[device_wheel_thumbnail_",RIGHT($A83,1)-1,"]"),TRUE,_xlfn.CONCAT("dt","[device_thumbnail_",IF($L83&lt;&gt;"",$L83,0),"]"))</f>
        <v/>
      </c>
      <c r="O83" s="36"/>
      <c r="P83" s="15" t="str" cm="1">
        <f t="array" ref="P83">IFERROR(_xlfn.TEXTJOIN(";",1,_xlfn.MAP(_xlfn.TEXTSPLIT(O83,";"),_xlfn.LAMBDA(_xlpm.x,IFERROR(VLOOKUP(VALUE(_xlpm.x),device_tag!A:B,2,0),"error")))),"")</f>
        <v/>
      </c>
      <c r="Z83" s="25" t="str">
        <f t="shared" si="73"/>
        <v/>
      </c>
      <c r="AC83" s="11" t="s">
        <v>526</v>
      </c>
      <c r="AK83" s="110"/>
      <c r="AL83" s="110"/>
      <c r="AM83" s="110"/>
      <c r="AN83" s="110"/>
      <c r="AO83" s="110"/>
      <c r="BE83" s="28" t="str" cm="1">
        <f t="array" ref="BE83">IF(BD83&lt;&gt;"",_xlfn.TEXTJOIN("; ",1,VLOOKUP(VALUE(_xlfn.TEXTSPLIT(BD83,";")),device_cubicles!A:B,2,0)),"")</f>
        <v/>
      </c>
    </row>
    <row r="84" spans="1:57">
      <c r="A84" s="14">
        <v>1330101</v>
      </c>
      <c r="B84" s="11">
        <v>0</v>
      </c>
      <c r="C84" s="15" t="s">
        <v>699</v>
      </c>
      <c r="D84" s="15" t="s">
        <v>625</v>
      </c>
      <c r="F84" s="86"/>
      <c r="G84" s="89" t="s">
        <v>654</v>
      </c>
      <c r="H84" s="84" t="str" cm="1">
        <f t="array" aca="1" ref="H84" ca="1">_xlfn.IFS($A84="","",OR($F84=99,$F84=""),_xlfn.TEXTJOIN("_",1,"device_name",$A84,$Y84),TRUE,OFFSET(H84,-1,0))</f>
        <v>device_name_1330101_solid_rocket</v>
      </c>
      <c r="J84" s="14" t="str">
        <f>_xlfn.LET(_xlpm.get_device_type,VLOOKUP(VALUE(MID(A84,3,1)),tb_device_info_type[#All],3,0),_xlpm.check_if_wheel,IF(LEFT(A84,2)="12","wheel",_xlpm.get_device_type),_xlpm.raw_output,IF($A84&lt;&gt;"",_xlfn.TEXTJOIN("_",1,"device_alt",_xlpm.check_if_wheel),""),IFERROR(_xlpm.raw_output,"information missing"))</f>
        <v>device_alt_unique</v>
      </c>
      <c r="K84" s="14" t="str" cm="1">
        <f t="array" ref="K84">_xlfn.IFS($A84="","",ISTEXT($L84),_xlfn.CONCAT("dwt","[device_wheel_thumbnail_",RIGHT($A84,1)-1,"]"),TRUE,_xlfn.CONCAT("dt","[device_thumbnail_",IF($L84&lt;&gt;"",$L84,0),"]"))</f>
        <v>dt[device_thumbnail_40]</v>
      </c>
      <c r="L84" s="34">
        <v>40</v>
      </c>
      <c r="M84" s="14" t="s">
        <v>79</v>
      </c>
      <c r="N84" s="14" t="s">
        <v>80</v>
      </c>
      <c r="O84" s="36">
        <v>1420300</v>
      </c>
      <c r="P84" s="15" t="str" cm="1">
        <f t="array" ref="P84">IFERROR(_xlfn.TEXTJOIN(";",1,_xlfn.MAP(_xlfn.TEXTSPLIT(O84,";"),_xlfn.LAMBDA(_xlpm.x,IFERROR(VLOOKUP(VALUE(_xlpm.x),device_tag!A:B,2,0),"error")))),"")</f>
        <v>独特设备</v>
      </c>
      <c r="Q84" s="11" t="s">
        <v>109</v>
      </c>
      <c r="S84" s="24">
        <v>0</v>
      </c>
      <c r="X84" s="24" t="s">
        <v>82</v>
      </c>
      <c r="Y84" s="62" t="s">
        <v>676</v>
      </c>
      <c r="Z84" s="85" t="str" cm="1">
        <f t="array" aca="1" ref="Z84" ca="1">_xlfn.IFS($A84="","",OR(F84=99,F84=""),_xlfn.TEXTJOIN("_",1,X84,$A84,Y84),TRUE,OFFSET($Z84,-1,0))</f>
        <v>device_1330101_solid_rocket</v>
      </c>
      <c r="AA84" s="91">
        <v>80</v>
      </c>
      <c r="AB84" s="90">
        <f>COLUMNS(_xlfn.TEXTSPLIT(BD84,";"))</f>
        <v>1</v>
      </c>
      <c r="AC84" s="77">
        <v>40</v>
      </c>
      <c r="AF84" s="11">
        <v>1</v>
      </c>
      <c r="AG84" s="11">
        <v>60</v>
      </c>
      <c r="AH84" s="11" t="str">
        <f t="shared" ref="AH84" si="74">_xlfn.TEXTJOIN("~",1,AI84:AJ84)</f>
        <v>0~4</v>
      </c>
      <c r="AI84" s="38">
        <v>0</v>
      </c>
      <c r="AJ84" s="27">
        <v>4</v>
      </c>
      <c r="AK84" s="110">
        <v>0</v>
      </c>
      <c r="AL84" s="110">
        <v>0</v>
      </c>
      <c r="AM84" s="110">
        <v>0</v>
      </c>
      <c r="AN84" s="110">
        <v>0</v>
      </c>
      <c r="AO84" s="110">
        <v>0</v>
      </c>
      <c r="AP84" s="14" t="b">
        <v>0</v>
      </c>
      <c r="AQ84" s="74" t="s">
        <v>682</v>
      </c>
      <c r="AR84" s="40"/>
      <c r="AS84" s="40"/>
      <c r="AT84" s="40"/>
      <c r="AU84" s="38"/>
      <c r="AV84" s="38"/>
      <c r="AW84" s="38"/>
      <c r="AX84" s="11">
        <f>$A84</f>
        <v>1330101</v>
      </c>
      <c r="AY84" s="11" t="str">
        <f t="shared" ref="AY84" si="75">_xlfn.TEXTJOIN("~",1,AZ84:BA84)</f>
        <v>4~0.2</v>
      </c>
      <c r="AZ84" s="27">
        <v>4</v>
      </c>
      <c r="BA84" s="27">
        <v>0.2</v>
      </c>
      <c r="BB84" s="50">
        <v>1</v>
      </c>
      <c r="BC84" s="88" t="s">
        <v>683</v>
      </c>
      <c r="BD84" s="11">
        <v>201</v>
      </c>
      <c r="BE84" s="28" t="str" cm="1">
        <f t="array" ref="BE84">IF(BD84&lt;&gt;"",_xlfn.TEXTJOIN("; ",1,VLOOKUP(VALUE(_xlfn.TEXTSPLIT(BD84,";")),device_cubicles!A:B,2,0)),"")</f>
        <v>近战攻击</v>
      </c>
    </row>
    <row r="85" spans="1:57">
      <c r="A85" s="14">
        <v>13301012</v>
      </c>
      <c r="B85" s="11">
        <v>0</v>
      </c>
      <c r="C85" s="15" t="s">
        <v>700</v>
      </c>
      <c r="D85" s="15" t="s">
        <v>625</v>
      </c>
      <c r="E85" s="15" t="str">
        <f>"Lv."&amp;F85</f>
        <v>Lv.2</v>
      </c>
      <c r="F85" s="11">
        <v>2</v>
      </c>
      <c r="G85" s="89" t="s">
        <v>654</v>
      </c>
      <c r="H85" s="84" t="str" cm="1">
        <f t="array" aca="1" ref="H85" ca="1">_xlfn.IFS($A85="","",OR($F85=99,$F85=""),_xlfn.TEXTJOIN("_",1,"device_name",$A85,$Y85),TRUE,OFFSET(H85,-1,0))</f>
        <v>device_name_1330101_solid_rocket</v>
      </c>
      <c r="J85" s="14" t="str">
        <f>_xlfn.LET(_xlpm.get_device_type,VLOOKUP(VALUE(MID(A85,3,1)),tb_device_info_type[#All],3,0),_xlpm.check_if_wheel,IF(LEFT(A85,2)="12","wheel",_xlpm.get_device_type),_xlpm.raw_output,IF($A85&lt;&gt;"",_xlfn.TEXTJOIN("_",1,"device_alt",_xlpm.check_if_wheel),""),IFERROR(_xlpm.raw_output,"information missing"))</f>
        <v>device_alt_unique</v>
      </c>
      <c r="K85" s="14" t="str" cm="1">
        <f t="array" ref="K85">_xlfn.IFS($A85="","",ISTEXT($L85),_xlfn.CONCAT("dwt","[device_wheel_thumbnail_",RIGHT($A85,1)-1,"]"),TRUE,_xlfn.CONCAT("dt","[device_thumbnail_",IF($L85&lt;&gt;"",$L85,0),"]"))</f>
        <v>dt[device_thumbnail_40]</v>
      </c>
      <c r="L85" s="34">
        <v>40</v>
      </c>
      <c r="M85" s="14" t="s">
        <v>79</v>
      </c>
      <c r="N85" s="14" t="s">
        <v>80</v>
      </c>
      <c r="O85" s="36">
        <v>1420300</v>
      </c>
      <c r="P85" s="15" t="str" cm="1">
        <f t="array" ref="P85">IFERROR(_xlfn.TEXTJOIN(";",1,_xlfn.MAP(_xlfn.TEXTSPLIT(O85,";"),_xlfn.LAMBDA(_xlpm.x,IFERROR(VLOOKUP(VALUE(_xlpm.x),device_tag!A:B,2,0),"error")))),"")</f>
        <v>独特设备</v>
      </c>
      <c r="Q85" s="11" t="s">
        <v>109</v>
      </c>
      <c r="S85" s="24">
        <v>0</v>
      </c>
      <c r="X85" s="24" t="s">
        <v>82</v>
      </c>
      <c r="Y85" s="62" t="s">
        <v>676</v>
      </c>
      <c r="Z85" s="85" t="str" cm="1">
        <f t="array" aca="1" ref="Z85" ca="1">_xlfn.IFS($A85="","",OR(F85=99,F85=""),_xlfn.TEXTJOIN("_",1,X85,$A85,Y85),TRUE,OFFSET($Z85,-1,0))</f>
        <v>device_1330101_solid_rocket</v>
      </c>
      <c r="AA85" s="91">
        <v>80</v>
      </c>
      <c r="AB85" s="90">
        <f t="shared" ref="AB85:AB86" si="76">COLUMNS(_xlfn.TEXTSPLIT(BD85,";"))</f>
        <v>1</v>
      </c>
      <c r="AC85" s="76">
        <f>ROUND($AD85*$AE85^$F85,0)</f>
        <v>87</v>
      </c>
      <c r="AD85" s="16">
        <v>13.3</v>
      </c>
      <c r="AE85" s="16">
        <f>POWER(1.6,2)</f>
        <v>2.5600000000000005</v>
      </c>
      <c r="AF85" s="11">
        <v>1</v>
      </c>
      <c r="AG85" s="11">
        <v>60</v>
      </c>
      <c r="AH85" s="11" t="str">
        <f t="shared" ref="AH85:AH86" si="77">_xlfn.TEXTJOIN("~",1,AI85:AJ85)</f>
        <v>0~4</v>
      </c>
      <c r="AI85" s="38">
        <v>0</v>
      </c>
      <c r="AJ85" s="27">
        <v>4</v>
      </c>
      <c r="AK85" s="110">
        <v>0</v>
      </c>
      <c r="AL85" s="110">
        <v>0</v>
      </c>
      <c r="AM85" s="110">
        <v>0</v>
      </c>
      <c r="AN85" s="110">
        <v>0</v>
      </c>
      <c r="AO85" s="110">
        <v>0</v>
      </c>
      <c r="AP85" s="14" t="b">
        <v>0</v>
      </c>
      <c r="AQ85" s="74" t="s">
        <v>682</v>
      </c>
      <c r="AR85" s="40"/>
      <c r="AS85" s="40"/>
      <c r="AT85" s="40"/>
      <c r="AU85" s="38"/>
      <c r="AV85" s="38"/>
      <c r="AW85" s="38"/>
      <c r="AX85" s="11">
        <f>$A85</f>
        <v>13301012</v>
      </c>
      <c r="AY85" s="11" t="str">
        <f t="shared" ref="AY85:AY86" si="78">_xlfn.TEXTJOIN("~",1,AZ85:BA85)</f>
        <v>4~0.2</v>
      </c>
      <c r="AZ85" s="27">
        <v>4</v>
      </c>
      <c r="BA85" s="27">
        <v>0.2</v>
      </c>
      <c r="BB85" s="50">
        <v>1</v>
      </c>
      <c r="BC85" s="88" t="s">
        <v>683</v>
      </c>
      <c r="BD85" s="11">
        <v>201</v>
      </c>
      <c r="BE85" s="28" t="str" cm="1">
        <f t="array" ref="BE85">IF(BD85&lt;&gt;"",_xlfn.TEXTJOIN("; ",1,VLOOKUP(VALUE(_xlfn.TEXTSPLIT(BD85,";")),device_cubicles!A:B,2,0)),"")</f>
        <v>近战攻击</v>
      </c>
    </row>
    <row r="86" spans="1:57">
      <c r="A86" s="14">
        <v>13301013</v>
      </c>
      <c r="B86" s="11">
        <v>0</v>
      </c>
      <c r="C86" s="15" t="s">
        <v>701</v>
      </c>
      <c r="D86" s="15" t="s">
        <v>625</v>
      </c>
      <c r="E86" s="15" t="str">
        <f t="shared" ref="E86:E87" si="79">"Lv."&amp;F86</f>
        <v>Lv.3</v>
      </c>
      <c r="F86" s="11">
        <v>3</v>
      </c>
      <c r="G86" s="89" t="s">
        <v>654</v>
      </c>
      <c r="H86" s="84" t="str" cm="1">
        <f t="array" aca="1" ref="H86" ca="1">_xlfn.IFS($A86="","",OR($F86=99,$F86=""),_xlfn.TEXTJOIN("_",1,"device_name",$A86,$Y86),TRUE,OFFSET(H86,-1,0))</f>
        <v>device_name_1330101_solid_rocket</v>
      </c>
      <c r="J86" s="14" t="str">
        <f>_xlfn.LET(_xlpm.get_device_type,VLOOKUP(VALUE(MID(A86,3,1)),tb_device_info_type[#All],3,0),_xlpm.check_if_wheel,IF(LEFT(A86,2)="12","wheel",_xlpm.get_device_type),_xlpm.raw_output,IF($A86&lt;&gt;"",_xlfn.TEXTJOIN("_",1,"device_alt",_xlpm.check_if_wheel),""),IFERROR(_xlpm.raw_output,"information missing"))</f>
        <v>device_alt_unique</v>
      </c>
      <c r="K86" s="14" t="str" cm="1">
        <f t="array" ref="K86">_xlfn.IFS($A86="","",ISTEXT($L86),_xlfn.CONCAT("dwt","[device_wheel_thumbnail_",RIGHT($A86,1)-1,"]"),TRUE,_xlfn.CONCAT("dt","[device_thumbnail_",IF($L86&lt;&gt;"",$L86,0),"]"))</f>
        <v>dt[device_thumbnail_40]</v>
      </c>
      <c r="L86" s="34">
        <v>40</v>
      </c>
      <c r="M86" s="14" t="s">
        <v>79</v>
      </c>
      <c r="N86" s="14" t="s">
        <v>80</v>
      </c>
      <c r="O86" s="36">
        <v>1420300</v>
      </c>
      <c r="P86" s="15" t="str" cm="1">
        <f t="array" ref="P86">IFERROR(_xlfn.TEXTJOIN(";",1,_xlfn.MAP(_xlfn.TEXTSPLIT(O86,";"),_xlfn.LAMBDA(_xlpm.x,IFERROR(VLOOKUP(VALUE(_xlpm.x),device_tag!A:B,2,0),"error")))),"")</f>
        <v>独特设备</v>
      </c>
      <c r="Q86" s="11" t="s">
        <v>109</v>
      </c>
      <c r="S86" s="24">
        <v>0</v>
      </c>
      <c r="X86" s="24" t="s">
        <v>82</v>
      </c>
      <c r="Y86" s="62" t="s">
        <v>676</v>
      </c>
      <c r="Z86" s="85" t="str" cm="1">
        <f t="array" aca="1" ref="Z86" ca="1">_xlfn.IFS($A86="","",OR(F86=99,F86=""),_xlfn.TEXTJOIN("_",1,X86,$A86,Y86),TRUE,OFFSET($Z86,-1,0))</f>
        <v>device_1330101_solid_rocket</v>
      </c>
      <c r="AA86" s="91">
        <v>80</v>
      </c>
      <c r="AB86" s="90">
        <f t="shared" si="76"/>
        <v>1</v>
      </c>
      <c r="AC86" s="76">
        <f>ROUND($AD86*$AE86^$F86,0)</f>
        <v>223</v>
      </c>
      <c r="AD86" s="16">
        <v>13.3</v>
      </c>
      <c r="AE86" s="16">
        <f>POWER(1.6,2)</f>
        <v>2.5600000000000005</v>
      </c>
      <c r="AF86" s="11">
        <v>1</v>
      </c>
      <c r="AG86" s="11">
        <v>60</v>
      </c>
      <c r="AH86" s="11" t="str">
        <f t="shared" si="77"/>
        <v>0~4</v>
      </c>
      <c r="AI86" s="38">
        <v>0</v>
      </c>
      <c r="AJ86" s="27">
        <v>4</v>
      </c>
      <c r="AK86" s="110">
        <v>0</v>
      </c>
      <c r="AL86" s="110">
        <v>0</v>
      </c>
      <c r="AM86" s="110">
        <v>0</v>
      </c>
      <c r="AN86" s="110">
        <v>0</v>
      </c>
      <c r="AO86" s="110">
        <v>0</v>
      </c>
      <c r="AP86" s="14" t="b">
        <v>0</v>
      </c>
      <c r="AQ86" s="74" t="s">
        <v>682</v>
      </c>
      <c r="AR86" s="40"/>
      <c r="AS86" s="40"/>
      <c r="AT86" s="40"/>
      <c r="AU86" s="38"/>
      <c r="AV86" s="38"/>
      <c r="AW86" s="38"/>
      <c r="AX86" s="11">
        <f>$A86</f>
        <v>13301013</v>
      </c>
      <c r="AY86" s="11" t="str">
        <f t="shared" si="78"/>
        <v>4~0.2</v>
      </c>
      <c r="AZ86" s="27">
        <v>4</v>
      </c>
      <c r="BA86" s="27">
        <v>0.2</v>
      </c>
      <c r="BB86" s="50">
        <v>1</v>
      </c>
      <c r="BC86" s="88" t="s">
        <v>683</v>
      </c>
      <c r="BD86" s="11">
        <v>201</v>
      </c>
      <c r="BE86" s="28" t="str" cm="1">
        <f t="array" ref="BE86">IF(BD86&lt;&gt;"",_xlfn.TEXTJOIN("; ",1,VLOOKUP(VALUE(_xlfn.TEXTSPLIT(BD86,";")),device_cubicles!A:B,2,0)),"")</f>
        <v>近战攻击</v>
      </c>
    </row>
    <row r="87" spans="1:57">
      <c r="A87" s="14">
        <v>13301014</v>
      </c>
      <c r="B87" s="11">
        <v>0</v>
      </c>
      <c r="C87" s="15" t="s">
        <v>702</v>
      </c>
      <c r="D87" s="15" t="s">
        <v>625</v>
      </c>
      <c r="E87" s="15" t="str">
        <f t="shared" si="79"/>
        <v>Lv.4</v>
      </c>
      <c r="F87" s="11">
        <v>4</v>
      </c>
      <c r="G87" s="89" t="s">
        <v>654</v>
      </c>
      <c r="H87" s="84" t="str" cm="1">
        <f t="array" aca="1" ref="H87" ca="1">_xlfn.IFS($A87="","",OR($F87=99,$F87=""),_xlfn.TEXTJOIN("_",1,"device_name",$A87,$Y87),TRUE,OFFSET(H87,-1,0))</f>
        <v>device_name_1330101_solid_rocket</v>
      </c>
      <c r="J87" s="14" t="str">
        <f>_xlfn.LET(_xlpm.get_device_type,VLOOKUP(VALUE(MID(A87,3,1)),tb_device_info_type[#All],3,0),_xlpm.check_if_wheel,IF(LEFT(A87,2)="12","wheel",_xlpm.get_device_type),_xlpm.raw_output,IF($A87&lt;&gt;"",_xlfn.TEXTJOIN("_",1,"device_alt",_xlpm.check_if_wheel),""),IFERROR(_xlpm.raw_output,"information missing"))</f>
        <v>device_alt_unique</v>
      </c>
      <c r="K87" s="14" t="str" cm="1">
        <f t="array" ref="K87">_xlfn.IFS($A87="","",ISTEXT($L87),_xlfn.CONCAT("dwt","[device_wheel_thumbnail_",RIGHT($A87,1)-1,"]"),TRUE,_xlfn.CONCAT("dt","[device_thumbnail_",IF($L87&lt;&gt;"",$L87,0),"]"))</f>
        <v>dt[device_thumbnail_40]</v>
      </c>
      <c r="L87" s="34">
        <v>40</v>
      </c>
      <c r="M87" s="14" t="s">
        <v>79</v>
      </c>
      <c r="N87" s="14" t="s">
        <v>80</v>
      </c>
      <c r="O87" s="36">
        <v>1420300</v>
      </c>
      <c r="P87" s="15" t="str" cm="1">
        <f t="array" ref="P87">IFERROR(_xlfn.TEXTJOIN(";",1,_xlfn.MAP(_xlfn.TEXTSPLIT(O87,";"),_xlfn.LAMBDA(_xlpm.x,IFERROR(VLOOKUP(VALUE(_xlpm.x),device_tag!A:B,2,0),"error")))),"")</f>
        <v>独特设备</v>
      </c>
      <c r="Q87" s="11" t="s">
        <v>109</v>
      </c>
      <c r="S87" s="24">
        <v>0</v>
      </c>
      <c r="X87" s="24" t="s">
        <v>82</v>
      </c>
      <c r="Y87" s="62" t="s">
        <v>676</v>
      </c>
      <c r="Z87" s="85" t="str" cm="1">
        <f t="array" aca="1" ref="Z87" ca="1">_xlfn.IFS($A87="","",OR(F87=99,F87=""),_xlfn.TEXTJOIN("_",1,X87,$A87,Y87),TRUE,OFFSET($Z87,-1,0))</f>
        <v>device_1330101_solid_rocket</v>
      </c>
      <c r="AA87" s="91">
        <v>80</v>
      </c>
      <c r="AB87" s="90">
        <f t="shared" ref="AB87" si="80">COLUMNS(_xlfn.TEXTSPLIT(BD87,";"))</f>
        <v>1</v>
      </c>
      <c r="AC87" s="76">
        <f>ROUND($AD87*$AE87^$F87,0)</f>
        <v>571</v>
      </c>
      <c r="AD87" s="16">
        <v>13.3</v>
      </c>
      <c r="AE87" s="16">
        <f>POWER(1.6,2)</f>
        <v>2.5600000000000005</v>
      </c>
      <c r="AF87" s="11">
        <v>1</v>
      </c>
      <c r="AG87" s="11">
        <v>60</v>
      </c>
      <c r="AH87" s="11" t="str">
        <f t="shared" ref="AH87" si="81">_xlfn.TEXTJOIN("~",1,AI87:AJ87)</f>
        <v>0~4</v>
      </c>
      <c r="AI87" s="38">
        <v>0</v>
      </c>
      <c r="AJ87" s="27">
        <v>4</v>
      </c>
      <c r="AK87" s="110">
        <v>0</v>
      </c>
      <c r="AL87" s="110">
        <v>0</v>
      </c>
      <c r="AM87" s="110">
        <v>0</v>
      </c>
      <c r="AN87" s="110">
        <v>0</v>
      </c>
      <c r="AO87" s="110">
        <v>0</v>
      </c>
      <c r="AP87" s="14" t="b">
        <v>0</v>
      </c>
      <c r="AQ87" s="74" t="s">
        <v>682</v>
      </c>
      <c r="AR87" s="40"/>
      <c r="AS87" s="40"/>
      <c r="AT87" s="40"/>
      <c r="AU87" s="38"/>
      <c r="AV87" s="38"/>
      <c r="AW87" s="38"/>
      <c r="AX87" s="11">
        <f>$A87</f>
        <v>13301014</v>
      </c>
      <c r="AY87" s="11" t="str">
        <f t="shared" ref="AY87" si="82">_xlfn.TEXTJOIN("~",1,AZ87:BA87)</f>
        <v>4~0.2</v>
      </c>
      <c r="AZ87" s="27">
        <v>4</v>
      </c>
      <c r="BA87" s="27">
        <v>0.2</v>
      </c>
      <c r="BB87" s="50">
        <v>1</v>
      </c>
      <c r="BC87" s="88" t="s">
        <v>683</v>
      </c>
      <c r="BD87" s="11">
        <v>201</v>
      </c>
      <c r="BE87" s="28" t="str" cm="1">
        <f t="array" ref="BE87">IF(BD87&lt;&gt;"",_xlfn.TEXTJOIN("; ",1,VLOOKUP(VALUE(_xlfn.TEXTSPLIT(BD87,";")),device_cubicles!A:B,2,0)),"")</f>
        <v>近战攻击</v>
      </c>
    </row>
    <row r="88" spans="1:57">
      <c r="A88" s="14">
        <v>1330102</v>
      </c>
      <c r="B88" s="11">
        <v>0</v>
      </c>
      <c r="C88" s="15" t="s">
        <v>219</v>
      </c>
      <c r="D88" s="15" t="s">
        <v>77</v>
      </c>
      <c r="G88" s="15" t="s">
        <v>220</v>
      </c>
      <c r="H88" s="84" t="str" cm="1">
        <f t="array" aca="1" ref="H88" ca="1">_xlfn.IFS($A88="","",OR($F88=99,$F88=""),_xlfn.TEXTJOIN("_",1,"device_name",$A88,$Y88),TRUE,OFFSET(H88,-1,0))</f>
        <v>device_name_1330102_war_drum</v>
      </c>
      <c r="J88" s="14" t="str">
        <f>_xlfn.LET(_xlpm.get_device_type,VLOOKUP(VALUE(MID(A88,3,1)),tb_device_info_type[#All],3,0),_xlpm.check_if_wheel,IF(LEFT(A88,2)="12","wheel",_xlpm.get_device_type),_xlpm.raw_output,IF($A88&lt;&gt;"",_xlfn.TEXTJOIN("_",1,"device_alt",_xlpm.check_if_wheel),""),IFERROR(_xlpm.raw_output,"information missing"))</f>
        <v>device_alt_unique</v>
      </c>
      <c r="K88" s="14" t="str" cm="1">
        <f t="array" ref="K88">_xlfn.IFS($A88="","",ISTEXT($L88),_xlfn.CONCAT("dwt","[device_wheel_thumbnail_",RIGHT($A88,1)-1,"]"),TRUE,_xlfn.CONCAT("dt","[device_thumbnail_",IF($L88&lt;&gt;"",$L88,0),"]"))</f>
        <v>dt[device_thumbnail_34]</v>
      </c>
      <c r="L88" s="34">
        <v>34</v>
      </c>
      <c r="M88" s="14" t="s">
        <v>79</v>
      </c>
      <c r="N88" s="14" t="s">
        <v>80</v>
      </c>
      <c r="O88" s="36">
        <v>1420300</v>
      </c>
      <c r="P88" s="15" t="str" cm="1">
        <f t="array" ref="P88">IFERROR(_xlfn.TEXTJOIN(";",1,_xlfn.MAP(_xlfn.TEXTSPLIT(O88,";"),_xlfn.LAMBDA(_xlpm.x,IFERROR(VLOOKUP(VALUE(_xlpm.x),device_tag!A:B,2,0),"error")))),"")</f>
        <v>独特设备</v>
      </c>
      <c r="Q88" s="11" t="s">
        <v>109</v>
      </c>
      <c r="S88" s="24">
        <v>0</v>
      </c>
      <c r="X88" s="24" t="s">
        <v>82</v>
      </c>
      <c r="Y88" s="24" t="s">
        <v>221</v>
      </c>
      <c r="Z88" s="85" t="str" cm="1">
        <f t="array" aca="1" ref="Z88" ca="1">_xlfn.IFS($A88="","",OR(F88=99,F88=""),_xlfn.TEXTJOIN("_",1,X88,$A88,Y88),TRUE,OFFSET($Z88,-1,0))</f>
        <v>device_1330102_war_drum</v>
      </c>
      <c r="AA88" s="11">
        <v>80</v>
      </c>
      <c r="AB88" s="11">
        <v>1</v>
      </c>
      <c r="AC88" s="11">
        <v>22</v>
      </c>
      <c r="AF88" s="11">
        <v>1</v>
      </c>
      <c r="AG88" s="11">
        <v>60</v>
      </c>
      <c r="AH88" s="11" t="str">
        <f>_xlfn.TEXTJOIN("~",1,AI88:AJ88)</f>
        <v>0~5</v>
      </c>
      <c r="AI88" s="38">
        <v>0</v>
      </c>
      <c r="AJ88" s="27">
        <v>5</v>
      </c>
      <c r="AK88" s="110">
        <v>0</v>
      </c>
      <c r="AL88" s="110">
        <v>0</v>
      </c>
      <c r="AM88" s="110">
        <v>0</v>
      </c>
      <c r="AN88" s="110">
        <v>0</v>
      </c>
      <c r="AO88" s="110">
        <v>0</v>
      </c>
      <c r="AP88" s="14" t="b">
        <v>1</v>
      </c>
      <c r="AQ88" s="14" t="s">
        <v>222</v>
      </c>
      <c r="AR88" s="38"/>
      <c r="AS88" s="38"/>
      <c r="AT88" s="38"/>
      <c r="AU88" s="38"/>
      <c r="AV88" s="38"/>
      <c r="AW88" s="38"/>
      <c r="AX88" s="11">
        <f>$A88</f>
        <v>1330102</v>
      </c>
      <c r="AY88" s="38"/>
      <c r="AZ88" s="38"/>
      <c r="BA88" s="38"/>
      <c r="BB88" s="11" t="str">
        <f t="shared" ref="BB88" si="83">REPLACE($A88,1,1,6)</f>
        <v>6330102</v>
      </c>
      <c r="BC88" s="11" t="s">
        <v>223</v>
      </c>
      <c r="BD88" s="11">
        <v>204</v>
      </c>
      <c r="BE88" s="28" t="str" cm="1">
        <f t="array" ref="BE88">IF(BD88&lt;&gt;"",_xlfn.TEXTJOIN("; ",1,VLOOKUP(VALUE(_xlfn.TEXTSPLIT(BD88,";")),device_cubicles!A:B,2,0)),"")</f>
        <v xml:space="preserve">鼓攻击 </v>
      </c>
    </row>
    <row r="89" spans="1:57">
      <c r="A89" s="14">
        <v>1330103</v>
      </c>
      <c r="B89" s="11">
        <v>0</v>
      </c>
      <c r="C89" s="15" t="s">
        <v>224</v>
      </c>
      <c r="D89" s="15" t="s">
        <v>225</v>
      </c>
      <c r="G89" s="33" t="s">
        <v>226</v>
      </c>
      <c r="H89" s="84" t="str" cm="1">
        <f t="array" aca="1" ref="H89" ca="1">_xlfn.IFS($A89="","",OR($F89=99,$F89=""),_xlfn.TEXTJOIN("_",1,"device_name",$A89,$Y89),TRUE,OFFSET(H89,-1,0))</f>
        <v>device_name_1330103_catching_flower</v>
      </c>
      <c r="J89" s="14" t="str">
        <f>_xlfn.LET(_xlpm.get_device_type,VLOOKUP(VALUE(MID(A89,3,1)),tb_device_info_type[#All],3,0),_xlpm.check_if_wheel,IF(LEFT(A89,2)="12","wheel",_xlpm.get_device_type),_xlpm.raw_output,IF($A89&lt;&gt;"",_xlfn.TEXTJOIN("_",1,"device_alt",_xlpm.check_if_wheel),""),IFERROR(_xlpm.raw_output,"information missing"))</f>
        <v>device_alt_unique</v>
      </c>
      <c r="K89" s="14" t="str" cm="1">
        <f t="array" ref="K89">_xlfn.IFS($A89="","",ISTEXT($L89),_xlfn.CONCAT("dwt","[device_wheel_thumbnail_",RIGHT($A89,1)-1,"]"),TRUE,_xlfn.CONCAT("dt","[device_thumbnail_",IF($L89&lt;&gt;"",$L89,0),"]"))</f>
        <v>dt[device_thumbnail_6]</v>
      </c>
      <c r="L89" s="34">
        <v>6</v>
      </c>
      <c r="M89" s="14" t="s">
        <v>79</v>
      </c>
      <c r="N89" s="14" t="s">
        <v>80</v>
      </c>
      <c r="O89" s="36">
        <v>1420300</v>
      </c>
      <c r="P89" s="15" t="str" cm="1">
        <f t="array" ref="P89">IFERROR(_xlfn.TEXTJOIN(";",1,_xlfn.MAP(_xlfn.TEXTSPLIT(O89,";"),_xlfn.LAMBDA(_xlpm.x,IFERROR(VLOOKUP(VALUE(_xlpm.x),device_tag!A:B,2,0),"error")))),"")</f>
        <v>独特设备</v>
      </c>
      <c r="Q89" s="11" t="s">
        <v>109</v>
      </c>
      <c r="S89" s="24">
        <v>0</v>
      </c>
      <c r="X89" s="24" t="s">
        <v>82</v>
      </c>
      <c r="Y89" s="24" t="s">
        <v>227</v>
      </c>
      <c r="Z89" s="85" t="str" cm="1">
        <f t="array" aca="1" ref="Z89" ca="1">_xlfn.IFS($A89="","",OR(F89=99,F89=""),_xlfn.TEXTJOIN("_",1,X89,$A89,Y89),TRUE,OFFSET($Z89,-1,0))</f>
        <v>device_1330103_catching_flower</v>
      </c>
      <c r="AA89" s="11">
        <v>10</v>
      </c>
      <c r="AB89" s="11">
        <v>1</v>
      </c>
      <c r="AC89" s="11" t="s">
        <v>526</v>
      </c>
      <c r="AF89" s="11">
        <v>1</v>
      </c>
      <c r="AG89" s="11">
        <v>60</v>
      </c>
      <c r="AH89" s="11" t="str">
        <f>_xlfn.TEXTJOIN("~",1,AI89:AJ89)</f>
        <v>0~4</v>
      </c>
      <c r="AI89" s="38">
        <v>0</v>
      </c>
      <c r="AJ89" s="27">
        <v>4</v>
      </c>
      <c r="AK89" s="110">
        <v>0</v>
      </c>
      <c r="AL89" s="110">
        <v>0</v>
      </c>
      <c r="AM89" s="110">
        <v>0</v>
      </c>
      <c r="AN89" s="110">
        <v>0</v>
      </c>
      <c r="AO89" s="110">
        <v>0</v>
      </c>
      <c r="AP89" s="14" t="b">
        <v>0</v>
      </c>
      <c r="AQ89" s="14" t="s">
        <v>228</v>
      </c>
      <c r="AR89" s="11">
        <v>9</v>
      </c>
      <c r="AS89" s="38"/>
      <c r="AT89" s="38"/>
      <c r="AU89" s="38"/>
      <c r="AV89" s="38"/>
      <c r="AW89" s="38"/>
      <c r="AX89" s="38"/>
      <c r="AY89" s="11" t="str">
        <f>_xlfn.TEXTJOIN("~",0,AZ89:BA89)</f>
        <v>5~0</v>
      </c>
      <c r="AZ89" s="27">
        <v>5</v>
      </c>
      <c r="BA89" s="38">
        <v>0</v>
      </c>
      <c r="BB89" s="50">
        <v>1</v>
      </c>
      <c r="BC89" s="11" t="s">
        <v>229</v>
      </c>
      <c r="BE89" s="28" t="str" cm="1">
        <f t="array" ref="BE89">IF(BD89&lt;&gt;"",_xlfn.TEXTJOIN("; ",1,VLOOKUP(VALUE(_xlfn.TEXTSPLIT(BD89,";")),device_cubicles!A:B,2,0)),"")</f>
        <v/>
      </c>
    </row>
    <row r="90" spans="1:57">
      <c r="A90" s="14">
        <v>1330104</v>
      </c>
      <c r="B90" s="11">
        <v>0</v>
      </c>
      <c r="C90" s="15" t="s">
        <v>230</v>
      </c>
      <c r="D90" s="15" t="s">
        <v>77</v>
      </c>
      <c r="G90" s="15" t="s">
        <v>231</v>
      </c>
      <c r="H90" s="84" t="str" cm="1">
        <f t="array" aca="1" ref="H90" ca="1">_xlfn.IFS($A90="","",OR($F90=99,$F90=""),_xlfn.TEXTJOIN("_",1,"device_name",$A90,$Y90),TRUE,OFFSET(H90,-1,0))</f>
        <v>device_name_1330104_gyroscope</v>
      </c>
      <c r="J90" s="14" t="str">
        <f>_xlfn.LET(_xlpm.get_device_type,VLOOKUP(VALUE(MID(A90,3,1)),tb_device_info_type[#All],3,0),_xlpm.check_if_wheel,IF(LEFT(A90,2)="12","wheel",_xlpm.get_device_type),_xlpm.raw_output,IF($A90&lt;&gt;"",_xlfn.TEXTJOIN("_",1,"device_alt",_xlpm.check_if_wheel),""),IFERROR(_xlpm.raw_output,"information missing"))</f>
        <v>device_alt_unique</v>
      </c>
      <c r="K90" s="14" t="str" cm="1">
        <f t="array" ref="K90">_xlfn.IFS($A90="","",ISTEXT($L90),_xlfn.CONCAT("dwt","[device_wheel_thumbnail_",RIGHT($A90,1)-1,"]"),TRUE,_xlfn.CONCAT("dt","[device_thumbnail_",IF($L90&lt;&gt;"",$L90,0),"]"))</f>
        <v>dt[device_thumbnail_12]</v>
      </c>
      <c r="L90" s="34">
        <v>12</v>
      </c>
      <c r="M90" s="14" t="s">
        <v>79</v>
      </c>
      <c r="N90" s="14" t="s">
        <v>80</v>
      </c>
      <c r="O90" s="36">
        <v>1420300</v>
      </c>
      <c r="P90" s="15" t="str" cm="1">
        <f t="array" ref="P90">IFERROR(_xlfn.TEXTJOIN(";",1,_xlfn.MAP(_xlfn.TEXTSPLIT(O90,";"),_xlfn.LAMBDA(_xlpm.x,IFERROR(VLOOKUP(VALUE(_xlpm.x),device_tag!A:B,2,0),"error")))),"")</f>
        <v>独特设备</v>
      </c>
      <c r="Q90" s="11" t="s">
        <v>109</v>
      </c>
      <c r="S90" s="24">
        <v>0</v>
      </c>
      <c r="V90" s="24">
        <v>0</v>
      </c>
      <c r="W90" s="24">
        <v>0</v>
      </c>
      <c r="X90" s="24" t="s">
        <v>82</v>
      </c>
      <c r="Y90" s="24" t="s">
        <v>232</v>
      </c>
      <c r="Z90" s="85" t="str" cm="1">
        <f t="array" aca="1" ref="Z90" ca="1">_xlfn.IFS($A90="","",OR(F90=99,F90=""),_xlfn.TEXTJOIN("_",1,X90,$A90,Y90),TRUE,OFFSET($Z90,-1,0))</f>
        <v>device_1330104_gyroscope</v>
      </c>
      <c r="AA90" s="11">
        <v>50</v>
      </c>
      <c r="AB90" s="11">
        <v>1</v>
      </c>
      <c r="AC90" s="11" t="s">
        <v>526</v>
      </c>
      <c r="AF90" s="11">
        <v>1</v>
      </c>
      <c r="AG90" s="11">
        <v>60</v>
      </c>
      <c r="AH90" s="40"/>
      <c r="AI90" s="38"/>
      <c r="AJ90" s="38"/>
      <c r="AK90" s="110">
        <v>0</v>
      </c>
      <c r="AL90" s="110">
        <v>0</v>
      </c>
      <c r="AM90" s="110">
        <v>0</v>
      </c>
      <c r="AN90" s="110">
        <v>0</v>
      </c>
      <c r="AO90" s="110">
        <v>0</v>
      </c>
      <c r="AP90" s="14" t="b">
        <v>0</v>
      </c>
      <c r="AQ90" s="14" t="s">
        <v>233</v>
      </c>
      <c r="AR90" s="40"/>
      <c r="AS90" s="40"/>
      <c r="AT90" s="11">
        <f>$A90</f>
        <v>1330104</v>
      </c>
      <c r="AU90" s="38"/>
      <c r="AV90" s="38"/>
      <c r="AW90" s="38"/>
      <c r="AX90" s="38"/>
      <c r="AY90" s="38"/>
      <c r="AZ90" s="38"/>
      <c r="BA90" s="38"/>
      <c r="BB90" s="50">
        <v>1</v>
      </c>
      <c r="BC90" s="11" t="s">
        <v>234</v>
      </c>
      <c r="BE90" s="28" t="str" cm="1">
        <f t="array" ref="BE90">IF(BD90&lt;&gt;"",_xlfn.TEXTJOIN("; ",1,VLOOKUP(VALUE(_xlfn.TEXTSPLIT(BD90,";")),device_cubicles!A:B,2,0)),"")</f>
        <v/>
      </c>
    </row>
    <row r="91" spans="1:57">
      <c r="A91" s="14">
        <v>1330105</v>
      </c>
      <c r="B91" s="11">
        <v>0</v>
      </c>
      <c r="C91" s="15" t="s">
        <v>235</v>
      </c>
      <c r="H91" s="84" t="str" cm="1">
        <f t="array" aca="1" ref="H91" ca="1">_xlfn.IFS($A91="","",OR($F91=99,$F91=""),_xlfn.TEXTJOIN("_",1,"device_name",$A91,$Y91),TRUE,OFFSET(H91,-1,0))</f>
        <v>device_name_1330105_bird_slingshot</v>
      </c>
      <c r="J91" s="14" t="str">
        <f>_xlfn.LET(_xlpm.get_device_type,VLOOKUP(VALUE(MID(A91,3,1)),tb_device_info_type[#All],3,0),_xlpm.check_if_wheel,IF(LEFT(A91,2)="12","wheel",_xlpm.get_device_type),_xlpm.raw_output,IF($A91&lt;&gt;"",_xlfn.TEXTJOIN("_",1,"device_alt",_xlpm.check_if_wheel),""),IFERROR(_xlpm.raw_output,"information missing"))</f>
        <v>device_alt_unique</v>
      </c>
      <c r="K91" s="14" t="str" cm="1">
        <f t="array" ref="K91">_xlfn.IFS($A91="","",ISTEXT($L91),_xlfn.CONCAT("dwt","[device_wheel_thumbnail_",RIGHT($A91,1)-1,"]"),TRUE,_xlfn.CONCAT("dt","[device_thumbnail_",IF($L91&lt;&gt;"",$L91,0),"]"))</f>
        <v>dt[device_thumbnail_0]</v>
      </c>
      <c r="M91" s="14" t="s">
        <v>79</v>
      </c>
      <c r="N91" s="14" t="s">
        <v>80</v>
      </c>
      <c r="O91" s="36">
        <v>1420300</v>
      </c>
      <c r="P91" s="15" t="str" cm="1">
        <f t="array" ref="P91">IFERROR(_xlfn.TEXTJOIN(";",1,_xlfn.MAP(_xlfn.TEXTSPLIT(O91,";"),_xlfn.LAMBDA(_xlpm.x,IFERROR(VLOOKUP(VALUE(_xlpm.x),device_tag!A:B,2,0),"error")))),"")</f>
        <v>独特设备</v>
      </c>
      <c r="Q91" s="11" t="s">
        <v>109</v>
      </c>
      <c r="S91" s="24">
        <v>0</v>
      </c>
      <c r="X91" s="24" t="s">
        <v>91</v>
      </c>
      <c r="Y91" s="24" t="s">
        <v>236</v>
      </c>
      <c r="Z91" s="85" t="str" cm="1">
        <f t="array" aca="1" ref="Z91" ca="1">_xlfn.IFS($A91="","",OR(F91=99,F91=""),_xlfn.TEXTJOIN("_",1,X91,$A91,Y91),TRUE,OFFSET($Z91,-1,0))</f>
        <v>dp_1330105_bird_slingshot</v>
      </c>
      <c r="AA91" s="11">
        <v>100</v>
      </c>
      <c r="AB91" s="11">
        <v>1</v>
      </c>
      <c r="AC91" s="11" t="s">
        <v>526</v>
      </c>
      <c r="AF91" s="11">
        <v>1</v>
      </c>
      <c r="AG91" s="11">
        <v>60</v>
      </c>
      <c r="AK91" s="110">
        <v>0</v>
      </c>
      <c r="AL91" s="110">
        <v>0</v>
      </c>
      <c r="AM91" s="110">
        <v>0</v>
      </c>
      <c r="AN91" s="110">
        <v>0</v>
      </c>
      <c r="AO91" s="110">
        <v>0</v>
      </c>
      <c r="BE91" s="28" t="str" cm="1">
        <f t="array" ref="BE91">IF(BD91&lt;&gt;"",_xlfn.TEXTJOIN("; ",1,VLOOKUP(VALUE(_xlfn.TEXTSPLIT(BD91,";")),device_cubicles!A:B,2,0)),"")</f>
        <v/>
      </c>
    </row>
    <row r="92" spans="1:57">
      <c r="A92" s="14">
        <v>1330106</v>
      </c>
      <c r="B92" s="11">
        <v>0</v>
      </c>
      <c r="C92" s="15" t="s">
        <v>703</v>
      </c>
      <c r="D92" s="15" t="s">
        <v>625</v>
      </c>
      <c r="F92" s="86"/>
      <c r="G92" s="15" t="s">
        <v>678</v>
      </c>
      <c r="H92" s="84" t="str" cm="1">
        <f t="array" aca="1" ref="H92" ca="1">_xlfn.IFS($A92="","",OR($F92=99,$F92=""),_xlfn.TEXTJOIN("_",1,"device_name",$A92,$Y92),TRUE,OFFSET(H92,-1,0))</f>
        <v>device_name_1330106_car_bomb</v>
      </c>
      <c r="J92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2" s="14" t="str" cm="1">
        <f t="array" ref="K92">_xlfn.IFS($A92="","",ISTEXT($L92),_xlfn.CONCAT("dwt","[device_wheel_thumbnail_",RIGHT($A92,1)-1,"]"),TRUE,_xlfn.CONCAT("dt","[device_thumbnail_",IF($L92&lt;&gt;"",$L92,0),"]"))</f>
        <v>dt[device_thumbnail_41]</v>
      </c>
      <c r="L92" s="34">
        <v>41</v>
      </c>
      <c r="M92" s="14" t="s">
        <v>79</v>
      </c>
      <c r="N92" s="14" t="s">
        <v>80</v>
      </c>
      <c r="O92" s="36">
        <v>1420300</v>
      </c>
      <c r="P92" s="15" t="str" cm="1">
        <f t="array" ref="P92">IFERROR(_xlfn.TEXTJOIN(";",1,_xlfn.MAP(_xlfn.TEXTSPLIT(O92,";"),_xlfn.LAMBDA(_xlpm.x,IFERROR(VLOOKUP(VALUE(_xlpm.x),device_tag!A:B,2,0),"error")))),"")</f>
        <v>独特设备</v>
      </c>
      <c r="Q92" s="11" t="s">
        <v>109</v>
      </c>
      <c r="S92" s="24">
        <v>0</v>
      </c>
      <c r="V92" s="24">
        <v>0</v>
      </c>
      <c r="W92" s="24">
        <v>0</v>
      </c>
      <c r="X92" s="24" t="s">
        <v>82</v>
      </c>
      <c r="Y92" s="62" t="s">
        <v>696</v>
      </c>
      <c r="Z92" s="85" t="str" cm="1">
        <f t="array" aca="1" ref="Z92" ca="1">_xlfn.IFS($A92="","",OR(F92=99,F92=""),_xlfn.TEXTJOIN("_",1,X92,$A92,Y92),TRUE,OFFSET($Z92,-1,0))</f>
        <v>device_1330106_car_bomb</v>
      </c>
      <c r="AA92" s="91">
        <v>10</v>
      </c>
      <c r="AB92" s="90">
        <f t="shared" ref="AB92" si="84">COLUMNS(_xlfn.TEXTSPLIT(BD92,";"))</f>
        <v>1</v>
      </c>
      <c r="AC92" s="77">
        <v>11</v>
      </c>
      <c r="AF92" s="11">
        <v>1</v>
      </c>
      <c r="AG92" s="11">
        <v>60</v>
      </c>
      <c r="AH92" s="11" t="str">
        <f t="shared" ref="AH92" si="85">_xlfn.TEXTJOIN("~",1,AI92:AJ92)</f>
        <v>2~8</v>
      </c>
      <c r="AI92" s="27">
        <v>2</v>
      </c>
      <c r="AJ92" s="27">
        <v>8</v>
      </c>
      <c r="AK92" s="110">
        <v>-90</v>
      </c>
      <c r="AL92" s="110">
        <v>0</v>
      </c>
      <c r="AM92" s="110">
        <v>0</v>
      </c>
      <c r="AN92" s="110">
        <v>0</v>
      </c>
      <c r="AO92" s="110">
        <v>90</v>
      </c>
      <c r="AP92" s="14" t="b">
        <v>0</v>
      </c>
      <c r="AQ92" s="74" t="s">
        <v>697</v>
      </c>
      <c r="AR92" s="40"/>
      <c r="AS92" s="40"/>
      <c r="AT92" s="40"/>
      <c r="AU92" s="38"/>
      <c r="AV92" s="38"/>
      <c r="AW92" s="38"/>
      <c r="AX92" s="11">
        <f t="shared" ref="AX92:AX97" si="86">$A92</f>
        <v>1330106</v>
      </c>
      <c r="AY92" s="11" t="str">
        <f t="shared" ref="AY92" si="87">_xlfn.TEXTJOIN("~",1,AZ92:BA92)</f>
        <v>4~0.2</v>
      </c>
      <c r="AZ92" s="27">
        <v>4</v>
      </c>
      <c r="BA92" s="27">
        <v>0.2</v>
      </c>
      <c r="BB92" s="50">
        <v>1</v>
      </c>
      <c r="BC92" s="87" t="s">
        <v>620</v>
      </c>
      <c r="BD92" s="11">
        <v>201</v>
      </c>
      <c r="BE92" s="28" t="str" cm="1">
        <f t="array" ref="BE92">IF(BD92&lt;&gt;"",_xlfn.TEXTJOIN("; ",1,VLOOKUP(VALUE(_xlfn.TEXTSPLIT(BD92,";")),device_cubicles!A:B,2,0)),"")</f>
        <v>近战攻击</v>
      </c>
    </row>
    <row r="93" spans="1:57">
      <c r="A93" s="14">
        <v>13301060</v>
      </c>
      <c r="B93" s="11">
        <v>0</v>
      </c>
      <c r="C93" s="15" t="s">
        <v>704</v>
      </c>
      <c r="D93" s="15" t="s">
        <v>625</v>
      </c>
      <c r="E93" s="15" t="str">
        <f>"Lv."&amp;F93</f>
        <v>Lv.0</v>
      </c>
      <c r="F93" s="11">
        <v>0</v>
      </c>
      <c r="G93" s="15" t="s">
        <v>678</v>
      </c>
      <c r="H93" s="84" t="str" cm="1">
        <f t="array" aca="1" ref="H93" ca="1">_xlfn.IFS($A93="","",OR($F93=99,$F93=""),_xlfn.TEXTJOIN("_",1,"device_name",$A93,$Y93),TRUE,OFFSET(H93,-1,0))</f>
        <v>device_name_1330106_car_bomb</v>
      </c>
      <c r="J93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3" s="14" t="str" cm="1">
        <f t="array" ref="K93">_xlfn.IFS($A93="","",ISTEXT($L93),_xlfn.CONCAT("dwt","[device_wheel_thumbnail_",RIGHT($A93,1)-1,"]"),TRUE,_xlfn.CONCAT("dt","[device_thumbnail_",IF($L93&lt;&gt;"",$L93,0),"]"))</f>
        <v>dt[device_thumbnail_41]</v>
      </c>
      <c r="L93" s="34">
        <v>41</v>
      </c>
      <c r="M93" s="14" t="s">
        <v>79</v>
      </c>
      <c r="N93" s="14" t="s">
        <v>80</v>
      </c>
      <c r="O93" s="36">
        <v>1420300</v>
      </c>
      <c r="P93" s="15" t="str" cm="1">
        <f t="array" ref="P93">IFERROR(_xlfn.TEXTJOIN(";",1,_xlfn.MAP(_xlfn.TEXTSPLIT(O93,";"),_xlfn.LAMBDA(_xlpm.x,IFERROR(VLOOKUP(VALUE(_xlpm.x),device_tag!A:B,2,0),"error")))),"")</f>
        <v>独特设备</v>
      </c>
      <c r="Q93" s="11" t="s">
        <v>109</v>
      </c>
      <c r="S93" s="24">
        <v>0</v>
      </c>
      <c r="V93" s="24">
        <v>0</v>
      </c>
      <c r="W93" s="24">
        <v>0</v>
      </c>
      <c r="X93" s="24" t="s">
        <v>82</v>
      </c>
      <c r="Y93" s="62" t="s">
        <v>696</v>
      </c>
      <c r="Z93" s="85" t="str" cm="1">
        <f t="array" aca="1" ref="Z93" ca="1">_xlfn.IFS($A93="","",OR(F93=99,F93=""),_xlfn.TEXTJOIN("_",1,X93,$A93,Y93),TRUE,OFFSET($Z93,-1,0))</f>
        <v>device_1330106_car_bomb</v>
      </c>
      <c r="AA93" s="91">
        <v>10</v>
      </c>
      <c r="AB93" s="90">
        <f t="shared" ref="AB93:AB94" si="88">COLUMNS(_xlfn.TEXTSPLIT(BD93,";"))</f>
        <v>1</v>
      </c>
      <c r="AC93" s="76">
        <f>ROUND($AD93*$AE93^$F93,0)</f>
        <v>6</v>
      </c>
      <c r="AD93" s="16">
        <v>6</v>
      </c>
      <c r="AE93" s="16">
        <f>POWER(1.6,2)</f>
        <v>2.5600000000000005</v>
      </c>
      <c r="AF93" s="11">
        <v>1</v>
      </c>
      <c r="AG93" s="11">
        <v>60</v>
      </c>
      <c r="AH93" s="11" t="str">
        <f t="shared" ref="AH93:AH94" si="89">_xlfn.TEXTJOIN("~",1,AI93:AJ93)</f>
        <v>2~8</v>
      </c>
      <c r="AI93" s="27">
        <v>2</v>
      </c>
      <c r="AJ93" s="27">
        <v>8</v>
      </c>
      <c r="AK93" s="110">
        <v>-90</v>
      </c>
      <c r="AL93" s="110">
        <v>0</v>
      </c>
      <c r="AM93" s="110">
        <v>0</v>
      </c>
      <c r="AN93" s="110">
        <v>0</v>
      </c>
      <c r="AO93" s="110">
        <v>90</v>
      </c>
      <c r="AP93" s="14" t="b">
        <v>0</v>
      </c>
      <c r="AQ93" s="74" t="s">
        <v>697</v>
      </c>
      <c r="AR93" s="40"/>
      <c r="AS93" s="40"/>
      <c r="AT93" s="40"/>
      <c r="AU93" s="38"/>
      <c r="AV93" s="38"/>
      <c r="AW93" s="38"/>
      <c r="AX93" s="11">
        <f t="shared" si="86"/>
        <v>13301060</v>
      </c>
      <c r="AY93" s="11" t="str">
        <f t="shared" ref="AY93:AY94" si="90">_xlfn.TEXTJOIN("~",1,AZ93:BA93)</f>
        <v>4~0.2</v>
      </c>
      <c r="AZ93" s="27">
        <v>4</v>
      </c>
      <c r="BA93" s="27">
        <v>0.2</v>
      </c>
      <c r="BB93" s="50">
        <v>1</v>
      </c>
      <c r="BC93" s="88" t="s">
        <v>698</v>
      </c>
      <c r="BD93" s="11">
        <v>201</v>
      </c>
      <c r="BE93" s="28" t="str" cm="1">
        <f t="array" ref="BE93">IF(BD93&lt;&gt;"",_xlfn.TEXTJOIN("; ",1,VLOOKUP(VALUE(_xlfn.TEXTSPLIT(BD93,";")),device_cubicles!A:B,2,0)),"")</f>
        <v>近战攻击</v>
      </c>
    </row>
    <row r="94" spans="1:57">
      <c r="A94" s="14">
        <v>13301061</v>
      </c>
      <c r="B94" s="11">
        <v>0</v>
      </c>
      <c r="C94" s="15" t="s">
        <v>705</v>
      </c>
      <c r="D94" s="15" t="s">
        <v>625</v>
      </c>
      <c r="E94" s="15" t="str">
        <f t="shared" ref="E94:E97" si="91">"Lv."&amp;F94</f>
        <v>Lv.1</v>
      </c>
      <c r="F94" s="11">
        <v>1</v>
      </c>
      <c r="G94" s="15" t="s">
        <v>678</v>
      </c>
      <c r="H94" s="84" t="str" cm="1">
        <f t="array" aca="1" ref="H94" ca="1">_xlfn.IFS($A94="","",OR($F94=99,$F94=""),_xlfn.TEXTJOIN("_",1,"device_name",$A94,$Y94),TRUE,OFFSET(H94,-1,0))</f>
        <v>device_name_1330106_car_bomb</v>
      </c>
      <c r="J94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4" s="14" t="str" cm="1">
        <f t="array" ref="K94">_xlfn.IFS($A94="","",ISTEXT($L94),_xlfn.CONCAT("dwt","[device_wheel_thumbnail_",RIGHT($A94,1)-1,"]"),TRUE,_xlfn.CONCAT("dt","[device_thumbnail_",IF($L94&lt;&gt;"",$L94,0),"]"))</f>
        <v>dt[device_thumbnail_41]</v>
      </c>
      <c r="L94" s="34">
        <v>41</v>
      </c>
      <c r="M94" s="14" t="s">
        <v>79</v>
      </c>
      <c r="N94" s="14" t="s">
        <v>80</v>
      </c>
      <c r="O94" s="36">
        <v>1420300</v>
      </c>
      <c r="P94" s="15" t="str" cm="1">
        <f t="array" ref="P94">IFERROR(_xlfn.TEXTJOIN(";",1,_xlfn.MAP(_xlfn.TEXTSPLIT(O94,";"),_xlfn.LAMBDA(_xlpm.x,IFERROR(VLOOKUP(VALUE(_xlpm.x),device_tag!A:B,2,0),"error")))),"")</f>
        <v>独特设备</v>
      </c>
      <c r="Q94" s="11" t="s">
        <v>109</v>
      </c>
      <c r="S94" s="24">
        <v>0</v>
      </c>
      <c r="V94" s="24">
        <v>0</v>
      </c>
      <c r="W94" s="24">
        <v>0</v>
      </c>
      <c r="X94" s="24" t="s">
        <v>82</v>
      </c>
      <c r="Y94" s="62" t="s">
        <v>696</v>
      </c>
      <c r="Z94" s="85" t="str" cm="1">
        <f t="array" aca="1" ref="Z94" ca="1">_xlfn.IFS($A94="","",OR(F94=99,F94=""),_xlfn.TEXTJOIN("_",1,X94,$A94,Y94),TRUE,OFFSET($Z94,-1,0))</f>
        <v>device_1330106_car_bomb</v>
      </c>
      <c r="AA94" s="91">
        <v>10</v>
      </c>
      <c r="AB94" s="90">
        <f t="shared" si="88"/>
        <v>1</v>
      </c>
      <c r="AC94" s="76">
        <f>ROUND($AD94*$AE94^$F94,0)</f>
        <v>16</v>
      </c>
      <c r="AD94" s="16">
        <f>ROUND($AD$93*1.05^F94,4)</f>
        <v>6.3</v>
      </c>
      <c r="AE94" s="16">
        <f>POWER(1.6,2)</f>
        <v>2.5600000000000005</v>
      </c>
      <c r="AF94" s="11">
        <v>1</v>
      </c>
      <c r="AG94" s="11">
        <v>60</v>
      </c>
      <c r="AH94" s="11" t="str">
        <f t="shared" si="89"/>
        <v>2~8</v>
      </c>
      <c r="AI94" s="27">
        <v>2</v>
      </c>
      <c r="AJ94" s="27">
        <v>8</v>
      </c>
      <c r="AK94" s="110">
        <v>-90</v>
      </c>
      <c r="AL94" s="110">
        <v>0</v>
      </c>
      <c r="AM94" s="110">
        <v>0</v>
      </c>
      <c r="AN94" s="110">
        <v>0</v>
      </c>
      <c r="AO94" s="110">
        <v>90</v>
      </c>
      <c r="AP94" s="14" t="b">
        <v>0</v>
      </c>
      <c r="AQ94" s="74" t="s">
        <v>697</v>
      </c>
      <c r="AR94" s="40"/>
      <c r="AS94" s="40"/>
      <c r="AT94" s="40"/>
      <c r="AU94" s="38"/>
      <c r="AV94" s="38"/>
      <c r="AW94" s="38"/>
      <c r="AX94" s="11">
        <f t="shared" si="86"/>
        <v>13301061</v>
      </c>
      <c r="AY94" s="11" t="str">
        <f t="shared" si="90"/>
        <v>4~0.2</v>
      </c>
      <c r="AZ94" s="27">
        <v>4</v>
      </c>
      <c r="BA94" s="27">
        <v>0.2</v>
      </c>
      <c r="BB94" s="50">
        <v>1</v>
      </c>
      <c r="BC94" s="88" t="s">
        <v>698</v>
      </c>
      <c r="BD94" s="11">
        <v>201</v>
      </c>
      <c r="BE94" s="28" t="str" cm="1">
        <f t="array" ref="BE94">IF(BD94&lt;&gt;"",_xlfn.TEXTJOIN("; ",1,VLOOKUP(VALUE(_xlfn.TEXTSPLIT(BD94,";")),device_cubicles!A:B,2,0)),"")</f>
        <v>近战攻击</v>
      </c>
    </row>
    <row r="95" spans="1:57">
      <c r="A95" s="14">
        <v>13301062</v>
      </c>
      <c r="B95" s="11">
        <v>0</v>
      </c>
      <c r="C95" s="15" t="s">
        <v>706</v>
      </c>
      <c r="D95" s="15" t="s">
        <v>625</v>
      </c>
      <c r="E95" s="15" t="str">
        <f t="shared" si="91"/>
        <v>Lv.2</v>
      </c>
      <c r="F95" s="11">
        <v>2</v>
      </c>
      <c r="G95" s="15" t="s">
        <v>678</v>
      </c>
      <c r="H95" s="84" t="str" cm="1">
        <f t="array" aca="1" ref="H95" ca="1">_xlfn.IFS($A95="","",OR($F95=99,$F95=""),_xlfn.TEXTJOIN("_",1,"device_name",$A95,$Y95),TRUE,OFFSET(H95,-1,0))</f>
        <v>device_name_1330106_car_bomb</v>
      </c>
      <c r="J95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5" s="14" t="str" cm="1">
        <f t="array" ref="K95">_xlfn.IFS($A95="","",ISTEXT($L95),_xlfn.CONCAT("dwt","[device_wheel_thumbnail_",RIGHT($A95,1)-1,"]"),TRUE,_xlfn.CONCAT("dt","[device_thumbnail_",IF($L95&lt;&gt;"",$L95,0),"]"))</f>
        <v>dt[device_thumbnail_41]</v>
      </c>
      <c r="L95" s="34">
        <v>41</v>
      </c>
      <c r="M95" s="14" t="s">
        <v>79</v>
      </c>
      <c r="N95" s="14" t="s">
        <v>80</v>
      </c>
      <c r="O95" s="36">
        <v>1420300</v>
      </c>
      <c r="P95" s="15" t="str" cm="1">
        <f t="array" ref="P95">IFERROR(_xlfn.TEXTJOIN(";",1,_xlfn.MAP(_xlfn.TEXTSPLIT(O95,";"),_xlfn.LAMBDA(_xlpm.x,IFERROR(VLOOKUP(VALUE(_xlpm.x),device_tag!A:B,2,0),"error")))),"")</f>
        <v>独特设备</v>
      </c>
      <c r="Q95" s="11" t="s">
        <v>109</v>
      </c>
      <c r="S95" s="24">
        <v>0</v>
      </c>
      <c r="V95" s="24">
        <v>0</v>
      </c>
      <c r="W95" s="24">
        <v>0</v>
      </c>
      <c r="X95" s="24" t="s">
        <v>82</v>
      </c>
      <c r="Y95" s="62" t="s">
        <v>696</v>
      </c>
      <c r="Z95" s="85" t="str" cm="1">
        <f t="array" aca="1" ref="Z95" ca="1">_xlfn.IFS($A95="","",OR(F95=99,F95=""),_xlfn.TEXTJOIN("_",1,X95,$A95,Y95),TRUE,OFFSET($Z95,-1,0))</f>
        <v>device_1330106_car_bomb</v>
      </c>
      <c r="AA95" s="91">
        <v>10</v>
      </c>
      <c r="AB95" s="90">
        <f t="shared" ref="AB95" si="92">COLUMNS(_xlfn.TEXTSPLIT(BD95,";"))</f>
        <v>1</v>
      </c>
      <c r="AC95" s="76">
        <f>ROUND($AD95*$AE95^$F95,0)</f>
        <v>43</v>
      </c>
      <c r="AD95" s="16">
        <f>ROUND($AD$93*1.05^F95,4)</f>
        <v>6.6150000000000002</v>
      </c>
      <c r="AE95" s="16">
        <f>POWER(1.6,2)</f>
        <v>2.5600000000000005</v>
      </c>
      <c r="AF95" s="11">
        <v>1</v>
      </c>
      <c r="AG95" s="11">
        <v>60</v>
      </c>
      <c r="AH95" s="11" t="str">
        <f t="shared" ref="AH95" si="93">_xlfn.TEXTJOIN("~",1,AI95:AJ95)</f>
        <v>2~8</v>
      </c>
      <c r="AI95" s="27">
        <v>2</v>
      </c>
      <c r="AJ95" s="27">
        <v>8</v>
      </c>
      <c r="AK95" s="110">
        <v>-90</v>
      </c>
      <c r="AL95" s="110">
        <v>0</v>
      </c>
      <c r="AM95" s="110">
        <v>0</v>
      </c>
      <c r="AN95" s="110">
        <v>0</v>
      </c>
      <c r="AO95" s="110">
        <v>90</v>
      </c>
      <c r="AP95" s="14" t="b">
        <v>0</v>
      </c>
      <c r="AQ95" s="74" t="s">
        <v>697</v>
      </c>
      <c r="AR95" s="40"/>
      <c r="AS95" s="40"/>
      <c r="AT95" s="40"/>
      <c r="AU95" s="38"/>
      <c r="AV95" s="38"/>
      <c r="AW95" s="38"/>
      <c r="AX95" s="11">
        <f t="shared" si="86"/>
        <v>13301062</v>
      </c>
      <c r="AY95" s="11" t="str">
        <f t="shared" ref="AY95" si="94">_xlfn.TEXTJOIN("~",1,AZ95:BA95)</f>
        <v>4~0.2</v>
      </c>
      <c r="AZ95" s="27">
        <v>4</v>
      </c>
      <c r="BA95" s="27">
        <v>0.2</v>
      </c>
      <c r="BB95" s="50">
        <v>1</v>
      </c>
      <c r="BC95" s="88" t="s">
        <v>698</v>
      </c>
      <c r="BD95" s="11">
        <v>201</v>
      </c>
      <c r="BE95" s="28" t="str" cm="1">
        <f t="array" ref="BE95">IF(BD95&lt;&gt;"",_xlfn.TEXTJOIN("; ",1,VLOOKUP(VALUE(_xlfn.TEXTSPLIT(BD95,";")),device_cubicles!A:B,2,0)),"")</f>
        <v>近战攻击</v>
      </c>
    </row>
    <row r="96" spans="1:57">
      <c r="A96" s="14">
        <v>13301063</v>
      </c>
      <c r="B96" s="11">
        <v>0</v>
      </c>
      <c r="C96" s="15" t="s">
        <v>707</v>
      </c>
      <c r="D96" s="15" t="s">
        <v>625</v>
      </c>
      <c r="E96" s="15" t="str">
        <f t="shared" si="91"/>
        <v>Lv.3</v>
      </c>
      <c r="F96" s="11">
        <v>3</v>
      </c>
      <c r="G96" s="15" t="s">
        <v>678</v>
      </c>
      <c r="H96" s="84" t="str" cm="1">
        <f t="array" aca="1" ref="H96" ca="1">_xlfn.IFS($A96="","",OR($F96=99,$F96=""),_xlfn.TEXTJOIN("_",1,"device_name",$A96,$Y96),TRUE,OFFSET(H96,-1,0))</f>
        <v>device_name_1330106_car_bomb</v>
      </c>
      <c r="J96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6" s="14" t="str" cm="1">
        <f t="array" ref="K96">_xlfn.IFS($A96="","",ISTEXT($L96),_xlfn.CONCAT("dwt","[device_wheel_thumbnail_",RIGHT($A96,1)-1,"]"),TRUE,_xlfn.CONCAT("dt","[device_thumbnail_",IF($L96&lt;&gt;"",$L96,0),"]"))</f>
        <v>dt[device_thumbnail_41]</v>
      </c>
      <c r="L96" s="34">
        <v>41</v>
      </c>
      <c r="M96" s="14" t="s">
        <v>79</v>
      </c>
      <c r="N96" s="14" t="s">
        <v>80</v>
      </c>
      <c r="O96" s="36">
        <v>1420300</v>
      </c>
      <c r="P96" s="15" t="str" cm="1">
        <f t="array" ref="P96">IFERROR(_xlfn.TEXTJOIN(";",1,_xlfn.MAP(_xlfn.TEXTSPLIT(O96,";"),_xlfn.LAMBDA(_xlpm.x,IFERROR(VLOOKUP(VALUE(_xlpm.x),device_tag!A:B,2,0),"error")))),"")</f>
        <v>独特设备</v>
      </c>
      <c r="Q96" s="11" t="s">
        <v>109</v>
      </c>
      <c r="S96" s="24">
        <v>0</v>
      </c>
      <c r="V96" s="24">
        <v>0</v>
      </c>
      <c r="W96" s="24">
        <v>0</v>
      </c>
      <c r="X96" s="24" t="s">
        <v>82</v>
      </c>
      <c r="Y96" s="62" t="s">
        <v>696</v>
      </c>
      <c r="Z96" s="85" t="str" cm="1">
        <f t="array" aca="1" ref="Z96" ca="1">_xlfn.IFS($A96="","",OR(F96=99,F96=""),_xlfn.TEXTJOIN("_",1,X96,$A96,Y96),TRUE,OFFSET($Z96,-1,0))</f>
        <v>device_1330106_car_bomb</v>
      </c>
      <c r="AA96" s="91">
        <v>10</v>
      </c>
      <c r="AB96" s="90">
        <f t="shared" ref="AB96" si="95">COLUMNS(_xlfn.TEXTSPLIT(BD96,";"))</f>
        <v>1</v>
      </c>
      <c r="AC96" s="76">
        <f>ROUND($AD96*$AE96^$F96,0)</f>
        <v>117</v>
      </c>
      <c r="AD96" s="16">
        <f>ROUND($AD$93*1.05^F96,4)</f>
        <v>6.9458000000000002</v>
      </c>
      <c r="AE96" s="16">
        <f>POWER(1.6,2)</f>
        <v>2.5600000000000005</v>
      </c>
      <c r="AF96" s="11">
        <v>1</v>
      </c>
      <c r="AG96" s="11">
        <v>60</v>
      </c>
      <c r="AH96" s="11" t="str">
        <f t="shared" ref="AH96" si="96">_xlfn.TEXTJOIN("~",1,AI96:AJ96)</f>
        <v>2~8</v>
      </c>
      <c r="AI96" s="27">
        <v>2</v>
      </c>
      <c r="AJ96" s="27">
        <v>8</v>
      </c>
      <c r="AK96" s="110">
        <v>-90</v>
      </c>
      <c r="AL96" s="110">
        <v>0</v>
      </c>
      <c r="AM96" s="110">
        <v>0</v>
      </c>
      <c r="AN96" s="110">
        <v>0</v>
      </c>
      <c r="AO96" s="110">
        <v>90</v>
      </c>
      <c r="AP96" s="14" t="b">
        <v>0</v>
      </c>
      <c r="AQ96" s="74" t="s">
        <v>697</v>
      </c>
      <c r="AR96" s="40"/>
      <c r="AS96" s="40"/>
      <c r="AT96" s="40"/>
      <c r="AU96" s="38"/>
      <c r="AV96" s="38"/>
      <c r="AW96" s="38"/>
      <c r="AX96" s="11">
        <f t="shared" si="86"/>
        <v>13301063</v>
      </c>
      <c r="AY96" s="11" t="str">
        <f t="shared" ref="AY96" si="97">_xlfn.TEXTJOIN("~",1,AZ96:BA96)</f>
        <v>4~0.2</v>
      </c>
      <c r="AZ96" s="27">
        <v>4</v>
      </c>
      <c r="BA96" s="27">
        <v>0.2</v>
      </c>
      <c r="BB96" s="50">
        <v>1</v>
      </c>
      <c r="BC96" s="88" t="s">
        <v>698</v>
      </c>
      <c r="BD96" s="11">
        <v>201</v>
      </c>
      <c r="BE96" s="28" t="str" cm="1">
        <f t="array" ref="BE96">IF(BD96&lt;&gt;"",_xlfn.TEXTJOIN("; ",1,VLOOKUP(VALUE(_xlfn.TEXTSPLIT(BD96,";")),device_cubicles!A:B,2,0)),"")</f>
        <v>近战攻击</v>
      </c>
    </row>
    <row r="97" spans="1:57">
      <c r="A97" s="14">
        <v>13301064</v>
      </c>
      <c r="B97" s="11">
        <v>0</v>
      </c>
      <c r="C97" s="15" t="s">
        <v>708</v>
      </c>
      <c r="D97" s="15" t="s">
        <v>625</v>
      </c>
      <c r="E97" s="15" t="str">
        <f t="shared" si="91"/>
        <v>Lv.4</v>
      </c>
      <c r="F97" s="11">
        <v>4</v>
      </c>
      <c r="G97" s="15" t="s">
        <v>678</v>
      </c>
      <c r="H97" s="84" t="str" cm="1">
        <f t="array" aca="1" ref="H97" ca="1">_xlfn.IFS($A97="","",OR($F97=99,$F97=""),_xlfn.TEXTJOIN("_",1,"device_name",$A97,$Y97),TRUE,OFFSET(H97,-1,0))</f>
        <v>device_name_1330106_car_bomb</v>
      </c>
      <c r="J97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97" s="14" t="str" cm="1">
        <f t="array" ref="K97">_xlfn.IFS($A97="","",ISTEXT($L97),_xlfn.CONCAT("dwt","[device_wheel_thumbnail_",RIGHT($A97,1)-1,"]"),TRUE,_xlfn.CONCAT("dt","[device_thumbnail_",IF($L97&lt;&gt;"",$L97,0),"]"))</f>
        <v>dt[device_thumbnail_41]</v>
      </c>
      <c r="L97" s="34">
        <v>41</v>
      </c>
      <c r="M97" s="14" t="s">
        <v>79</v>
      </c>
      <c r="N97" s="14" t="s">
        <v>80</v>
      </c>
      <c r="O97" s="36">
        <v>1420300</v>
      </c>
      <c r="P97" s="15" t="str" cm="1">
        <f t="array" ref="P97">IFERROR(_xlfn.TEXTJOIN(";",1,_xlfn.MAP(_xlfn.TEXTSPLIT(O97,";"),_xlfn.LAMBDA(_xlpm.x,IFERROR(VLOOKUP(VALUE(_xlpm.x),device_tag!A:B,2,0),"error")))),"")</f>
        <v>独特设备</v>
      </c>
      <c r="Q97" s="11" t="s">
        <v>109</v>
      </c>
      <c r="S97" s="24">
        <v>0</v>
      </c>
      <c r="V97" s="24">
        <v>0</v>
      </c>
      <c r="W97" s="24">
        <v>0</v>
      </c>
      <c r="X97" s="24" t="s">
        <v>82</v>
      </c>
      <c r="Y97" s="62" t="s">
        <v>696</v>
      </c>
      <c r="Z97" s="85" t="str" cm="1">
        <f t="array" aca="1" ref="Z97" ca="1">_xlfn.IFS($A97="","",OR(F97=99,F97=""),_xlfn.TEXTJOIN("_",1,X97,$A97,Y97),TRUE,OFFSET($Z97,-1,0))</f>
        <v>device_1330106_car_bomb</v>
      </c>
      <c r="AA97" s="91">
        <v>10</v>
      </c>
      <c r="AB97" s="90">
        <f t="shared" ref="AB97" si="98">COLUMNS(_xlfn.TEXTSPLIT(BD97,";"))</f>
        <v>1</v>
      </c>
      <c r="AC97" s="76">
        <f>ROUND($AD97*$AE97^$F97,0)</f>
        <v>313</v>
      </c>
      <c r="AD97" s="16">
        <f>ROUND($AD$93*1.05^F97,4)</f>
        <v>7.2930000000000001</v>
      </c>
      <c r="AE97" s="16">
        <f>POWER(1.6,2)</f>
        <v>2.5600000000000005</v>
      </c>
      <c r="AF97" s="11">
        <v>1</v>
      </c>
      <c r="AG97" s="11">
        <v>60</v>
      </c>
      <c r="AH97" s="11" t="str">
        <f t="shared" ref="AH97" si="99">_xlfn.TEXTJOIN("~",1,AI97:AJ97)</f>
        <v>2~8</v>
      </c>
      <c r="AI97" s="27">
        <v>2</v>
      </c>
      <c r="AJ97" s="27">
        <v>8</v>
      </c>
      <c r="AK97" s="110">
        <v>-90</v>
      </c>
      <c r="AL97" s="110">
        <v>0</v>
      </c>
      <c r="AM97" s="110">
        <v>0</v>
      </c>
      <c r="AN97" s="110">
        <v>0</v>
      </c>
      <c r="AO97" s="110">
        <v>90</v>
      </c>
      <c r="AP97" s="14" t="b">
        <v>0</v>
      </c>
      <c r="AQ97" s="74" t="s">
        <v>697</v>
      </c>
      <c r="AR97" s="40"/>
      <c r="AS97" s="40"/>
      <c r="AT97" s="40"/>
      <c r="AU97" s="38"/>
      <c r="AV97" s="38"/>
      <c r="AW97" s="38"/>
      <c r="AX97" s="11">
        <f t="shared" si="86"/>
        <v>13301064</v>
      </c>
      <c r="AY97" s="11" t="str">
        <f t="shared" ref="AY97" si="100">_xlfn.TEXTJOIN("~",1,AZ97:BA97)</f>
        <v>4~0.2</v>
      </c>
      <c r="AZ97" s="27">
        <v>4</v>
      </c>
      <c r="BA97" s="27">
        <v>0.2</v>
      </c>
      <c r="BB97" s="50">
        <v>1</v>
      </c>
      <c r="BC97" s="88" t="s">
        <v>698</v>
      </c>
      <c r="BD97" s="11">
        <v>201</v>
      </c>
      <c r="BE97" s="28" t="str" cm="1">
        <f t="array" ref="BE97">IF(BD97&lt;&gt;"",_xlfn.TEXTJOIN("; ",1,VLOOKUP(VALUE(_xlfn.TEXTSPLIT(BD97,";")),device_cubicles!A:B,2,0)),"")</f>
        <v>近战攻击</v>
      </c>
    </row>
    <row r="98" spans="1:57">
      <c r="A98" s="14">
        <v>1330107</v>
      </c>
      <c r="B98" s="11">
        <v>0</v>
      </c>
      <c r="C98" s="15" t="s">
        <v>237</v>
      </c>
      <c r="D98" s="15" t="s">
        <v>238</v>
      </c>
      <c r="G98" s="31" t="s">
        <v>178</v>
      </c>
      <c r="H98" s="84" t="str" cm="1">
        <f t="array" aca="1" ref="H98" ca="1">_xlfn.IFS($A98="","",OR($F98=99,$F98=""),_xlfn.TEXTJOIN("_",1,"device_name",$A98,$Y98),TRUE,OFFSET(H98,-1,0))</f>
        <v>device_name_1330107</v>
      </c>
      <c r="J98" s="14" t="str">
        <f>_xlfn.LET(_xlpm.get_device_type,VLOOKUP(VALUE(MID(A98,3,1)),tb_device_info_type[#All],3,0),_xlpm.check_if_wheel,IF(LEFT(A98,2)="12","wheel",_xlpm.get_device_type),_xlpm.raw_output,IF($A98&lt;&gt;"",_xlfn.TEXTJOIN("_",1,"device_alt",_xlpm.check_if_wheel),""),IFERROR(_xlpm.raw_output,"information missing"))</f>
        <v>device_alt_unique</v>
      </c>
      <c r="K98" s="14" t="str" cm="1">
        <f t="array" ref="K98">_xlfn.IFS($A98="","",ISTEXT($L98),_xlfn.CONCAT("dwt","[device_wheel_thumbnail_",RIGHT($A98,1)-1,"]"),TRUE,_xlfn.CONCAT("dt","[device_thumbnail_",IF($L98&lt;&gt;"",$L98,0),"]"))</f>
        <v>dt[device_thumbnail_0]</v>
      </c>
      <c r="M98" s="14" t="s">
        <v>79</v>
      </c>
      <c r="N98" s="14" t="s">
        <v>80</v>
      </c>
      <c r="O98" s="36">
        <v>1420300</v>
      </c>
      <c r="P98" s="15" t="str" cm="1">
        <f t="array" ref="P98">IFERROR(_xlfn.TEXTJOIN(";",1,_xlfn.MAP(_xlfn.TEXTSPLIT(O98,";"),_xlfn.LAMBDA(_xlpm.x,IFERROR(VLOOKUP(VALUE(_xlpm.x),device_tag!A:B,2,0),"error")))),"")</f>
        <v>独特设备</v>
      </c>
      <c r="Q98" s="11" t="s">
        <v>109</v>
      </c>
      <c r="X98" s="24" t="s">
        <v>82</v>
      </c>
      <c r="Z98" s="25" t="str">
        <f t="shared" ref="Z98:Z104" si="101">_xlfn.TEXTJOIN("_",TRUE,"device",A98,AQ98)</f>
        <v>device_1330107_BlackHole</v>
      </c>
      <c r="AA98" s="11">
        <v>5</v>
      </c>
      <c r="AB98" s="11">
        <v>1</v>
      </c>
      <c r="AC98" s="11" t="s">
        <v>526</v>
      </c>
      <c r="AF98" s="11">
        <v>1</v>
      </c>
      <c r="AG98" s="11">
        <v>60</v>
      </c>
      <c r="AH98" s="11" t="str">
        <f t="shared" ref="AH98:AH99" si="102">_xlfn.TEXTJOIN("~",1,AI98:AJ98)</f>
        <v>1.4~12.5</v>
      </c>
      <c r="AI98" s="27">
        <v>1.4</v>
      </c>
      <c r="AJ98" s="27">
        <v>12.5</v>
      </c>
      <c r="AK98" s="110">
        <v>0</v>
      </c>
      <c r="AL98" s="110">
        <v>0</v>
      </c>
      <c r="AM98" s="110">
        <v>0</v>
      </c>
      <c r="AN98" s="110">
        <v>0</v>
      </c>
      <c r="AO98" s="110">
        <v>0</v>
      </c>
      <c r="AP98" s="14" t="b">
        <v>0</v>
      </c>
      <c r="AQ98" s="36" t="s">
        <v>239</v>
      </c>
      <c r="AR98" s="40"/>
      <c r="AS98" s="40"/>
      <c r="AT98" s="40"/>
      <c r="AU98" s="38"/>
      <c r="AV98" s="38"/>
      <c r="AW98" s="38"/>
      <c r="AX98" s="38"/>
      <c r="AY98" s="11" t="str">
        <f t="shared" ref="AY98:AY99" si="103">_xlfn.TEXTJOIN("~",1,AZ98:BA98)</f>
        <v>6~3</v>
      </c>
      <c r="AZ98" s="27">
        <v>6</v>
      </c>
      <c r="BA98" s="27">
        <v>3</v>
      </c>
      <c r="BB98" s="50">
        <v>1</v>
      </c>
      <c r="BC98" s="11" t="s">
        <v>240</v>
      </c>
      <c r="BE98" s="28" t="str" cm="1">
        <f t="array" ref="BE98">IF(BD98&lt;&gt;"",_xlfn.TEXTJOIN("; ",1,VLOOKUP(VALUE(_xlfn.TEXTSPLIT(BD98,";")),device_cubicles!A:B,2,0)),"")</f>
        <v/>
      </c>
    </row>
    <row r="99" spans="1:57">
      <c r="A99" s="14">
        <v>1330108</v>
      </c>
      <c r="B99" s="11">
        <v>0</v>
      </c>
      <c r="C99" s="15" t="s">
        <v>241</v>
      </c>
      <c r="D99" s="15" t="s">
        <v>238</v>
      </c>
      <c r="G99" s="31" t="s">
        <v>178</v>
      </c>
      <c r="H99" s="84" t="str" cm="1">
        <f t="array" aca="1" ref="H99" ca="1">_xlfn.IFS($A99="","",OR($F99=99,$F99=""),_xlfn.TEXTJOIN("_",1,"device_name",$A99,$Y99),TRUE,OFFSET(H99,-1,0))</f>
        <v>device_name_1330108</v>
      </c>
      <c r="J99" s="14" t="str">
        <f>_xlfn.LET(_xlpm.get_device_type,VLOOKUP(VALUE(MID(A99,3,1)),tb_device_info_type[#All],3,0),_xlpm.check_if_wheel,IF(LEFT(A99,2)="12","wheel",_xlpm.get_device_type),_xlpm.raw_output,IF($A99&lt;&gt;"",_xlfn.TEXTJOIN("_",1,"device_alt",_xlpm.check_if_wheel),""),IFERROR(_xlpm.raw_output,"information missing"))</f>
        <v>device_alt_unique</v>
      </c>
      <c r="K99" s="14" t="str" cm="1">
        <f t="array" ref="K99">_xlfn.IFS($A99="","",ISTEXT($L99),_xlfn.CONCAT("dwt","[device_wheel_thumbnail_",RIGHT($A99,1)-1,"]"),TRUE,_xlfn.CONCAT("dt","[device_thumbnail_",IF($L99&lt;&gt;"",$L99,0),"]"))</f>
        <v>dt[device_thumbnail_0]</v>
      </c>
      <c r="M99" s="14" t="s">
        <v>79</v>
      </c>
      <c r="N99" s="14" t="s">
        <v>80</v>
      </c>
      <c r="O99" s="36">
        <v>1420300</v>
      </c>
      <c r="P99" s="15" t="str" cm="1">
        <f t="array" ref="P99">IFERROR(_xlfn.TEXTJOIN(";",1,_xlfn.MAP(_xlfn.TEXTSPLIT(O99,";"),_xlfn.LAMBDA(_xlpm.x,IFERROR(VLOOKUP(VALUE(_xlpm.x),device_tag!A:B,2,0),"error")))),"")</f>
        <v>独特设备</v>
      </c>
      <c r="Q99" s="11" t="s">
        <v>109</v>
      </c>
      <c r="X99" s="24" t="s">
        <v>82</v>
      </c>
      <c r="Z99" s="25" t="str">
        <f t="shared" si="101"/>
        <v>device_1330108_Magnet</v>
      </c>
      <c r="AA99" s="11">
        <v>5</v>
      </c>
      <c r="AB99" s="11">
        <v>1</v>
      </c>
      <c r="AC99" s="11" t="s">
        <v>526</v>
      </c>
      <c r="AF99" s="11">
        <v>1</v>
      </c>
      <c r="AG99" s="11">
        <v>60</v>
      </c>
      <c r="AH99" s="11" t="str">
        <f t="shared" si="102"/>
        <v>1.4~12.5</v>
      </c>
      <c r="AI99" s="27">
        <v>1.4</v>
      </c>
      <c r="AJ99" s="27">
        <v>12.5</v>
      </c>
      <c r="AK99" s="110">
        <v>0</v>
      </c>
      <c r="AL99" s="110">
        <v>0</v>
      </c>
      <c r="AM99" s="110">
        <v>0</v>
      </c>
      <c r="AN99" s="110">
        <v>0</v>
      </c>
      <c r="AO99" s="110">
        <v>0</v>
      </c>
      <c r="AP99" s="14" t="b">
        <v>0</v>
      </c>
      <c r="AQ99" s="36" t="s">
        <v>242</v>
      </c>
      <c r="AR99" s="40"/>
      <c r="AS99" s="40"/>
      <c r="AT99" s="40"/>
      <c r="AU99" s="38"/>
      <c r="AV99" s="38"/>
      <c r="AW99" s="38"/>
      <c r="AX99" s="38"/>
      <c r="AY99" s="11" t="str">
        <f t="shared" si="103"/>
        <v>6~3</v>
      </c>
      <c r="AZ99" s="27">
        <v>6</v>
      </c>
      <c r="BA99" s="27">
        <v>3</v>
      </c>
      <c r="BB99" s="50">
        <v>1</v>
      </c>
      <c r="BC99" s="11" t="s">
        <v>243</v>
      </c>
      <c r="BE99" s="28" t="str" cm="1">
        <f t="array" ref="BE99">IF(BD99&lt;&gt;"",_xlfn.TEXTJOIN("; ",1,VLOOKUP(VALUE(_xlfn.TEXTSPLIT(BD99,";")),device_cubicles!A:B,2,0)),"")</f>
        <v/>
      </c>
    </row>
    <row r="100" spans="1:57">
      <c r="A100" s="14">
        <v>1330109</v>
      </c>
      <c r="B100" s="11">
        <v>0</v>
      </c>
      <c r="C100" s="15" t="s">
        <v>244</v>
      </c>
      <c r="D100" s="15" t="s">
        <v>238</v>
      </c>
      <c r="G100" s="31" t="s">
        <v>178</v>
      </c>
      <c r="H100" s="84" t="str" cm="1">
        <f t="array" aca="1" ref="H100" ca="1">_xlfn.IFS($A100="","",OR($F100=99,$F100=""),_xlfn.TEXTJOIN("_",1,"device_name",$A100,$Y100),TRUE,OFFSET(H100,-1,0))</f>
        <v>device_name_1330109</v>
      </c>
      <c r="J100" s="14" t="str">
        <f>_xlfn.LET(_xlpm.get_device_type,VLOOKUP(VALUE(MID(A100,3,1)),tb_device_info_type[#All],3,0),_xlpm.check_if_wheel,IF(LEFT(A100,2)="12","wheel",_xlpm.get_device_type),_xlpm.raw_output,IF($A100&lt;&gt;"",_xlfn.TEXTJOIN("_",1,"device_alt",_xlpm.check_if_wheel),""),IFERROR(_xlpm.raw_output,"information missing"))</f>
        <v>device_alt_unique</v>
      </c>
      <c r="K100" s="14" t="str" cm="1">
        <f t="array" ref="K100">_xlfn.IFS($A100="","",ISTEXT($L100),_xlfn.CONCAT("dwt","[device_wheel_thumbnail_",RIGHT($A100,1)-1,"]"),TRUE,_xlfn.CONCAT("dt","[device_thumbnail_",IF($L100&lt;&gt;"",$L100,0),"]"))</f>
        <v>dt[device_thumbnail_0]</v>
      </c>
      <c r="M100" s="14" t="s">
        <v>79</v>
      </c>
      <c r="N100" s="14" t="s">
        <v>80</v>
      </c>
      <c r="O100" s="36">
        <v>1420300</v>
      </c>
      <c r="P100" s="15" t="str" cm="1">
        <f t="array" ref="P100">IFERROR(_xlfn.TEXTJOIN(";",1,_xlfn.MAP(_xlfn.TEXTSPLIT(O100,";"),_xlfn.LAMBDA(_xlpm.x,IFERROR(VLOOKUP(VALUE(_xlpm.x),device_tag!A:B,2,0),"error")))),"")</f>
        <v>独特设备</v>
      </c>
      <c r="Q100" s="11" t="s">
        <v>109</v>
      </c>
      <c r="X100" s="24" t="s">
        <v>82</v>
      </c>
      <c r="Z100" s="25" t="str">
        <f t="shared" si="101"/>
        <v>device_1330109_Recycler</v>
      </c>
      <c r="AA100" s="11">
        <v>5</v>
      </c>
      <c r="AB100" s="11">
        <v>1</v>
      </c>
      <c r="AC100" s="11" t="s">
        <v>526</v>
      </c>
      <c r="AF100" s="11">
        <v>1</v>
      </c>
      <c r="AG100" s="11">
        <v>60</v>
      </c>
      <c r="AH100" s="11" t="str">
        <f t="shared" ref="AH100:AH102" si="104">_xlfn.TEXTJOIN("~",1,AI100:AJ100)</f>
        <v>1.4~12.5</v>
      </c>
      <c r="AI100" s="27">
        <v>1.4</v>
      </c>
      <c r="AJ100" s="27">
        <v>12.5</v>
      </c>
      <c r="AK100" s="110">
        <v>0</v>
      </c>
      <c r="AL100" s="110">
        <v>0</v>
      </c>
      <c r="AM100" s="110">
        <v>0</v>
      </c>
      <c r="AN100" s="110">
        <v>0</v>
      </c>
      <c r="AO100" s="110">
        <v>0</v>
      </c>
      <c r="AP100" s="14" t="b">
        <v>0</v>
      </c>
      <c r="AQ100" s="36" t="s">
        <v>245</v>
      </c>
      <c r="AR100" s="40"/>
      <c r="AS100" s="40"/>
      <c r="AT100" s="40"/>
      <c r="AU100" s="38"/>
      <c r="AV100" s="38"/>
      <c r="AW100" s="38"/>
      <c r="AX100" s="38"/>
      <c r="AY100" s="11" t="str">
        <f t="shared" ref="AY100:AY102" si="105">_xlfn.TEXTJOIN("~",1,AZ100:BA100)</f>
        <v>6~3</v>
      </c>
      <c r="AZ100" s="27">
        <v>6</v>
      </c>
      <c r="BA100" s="27">
        <v>3</v>
      </c>
      <c r="BB100" s="50">
        <v>1</v>
      </c>
      <c r="BC100" s="11" t="s">
        <v>246</v>
      </c>
      <c r="BE100" s="28" t="str" cm="1">
        <f t="array" ref="BE100">IF(BD100&lt;&gt;"",_xlfn.TEXTJOIN("; ",1,VLOOKUP(VALUE(_xlfn.TEXTSPLIT(BD100,";")),device_cubicles!A:B,2,0)),"")</f>
        <v/>
      </c>
    </row>
    <row r="101" spans="1:57">
      <c r="A101" s="14">
        <v>1330110</v>
      </c>
      <c r="B101" s="11">
        <v>0</v>
      </c>
      <c r="C101" s="15" t="s">
        <v>247</v>
      </c>
      <c r="D101" s="15" t="s">
        <v>238</v>
      </c>
      <c r="G101" s="31" t="s">
        <v>178</v>
      </c>
      <c r="H101" s="84" t="str" cm="1">
        <f t="array" aca="1" ref="H101" ca="1">_xlfn.IFS($A101="","",OR($F101=99,$F101=""),_xlfn.TEXTJOIN("_",1,"device_name",$A101,$Y101),TRUE,OFFSET(H101,-1,0))</f>
        <v>device_name_1330110</v>
      </c>
      <c r="J101" s="14" t="str">
        <f>_xlfn.LET(_xlpm.get_device_type,VLOOKUP(VALUE(MID(A101,3,1)),tb_device_info_type[#All],3,0),_xlpm.check_if_wheel,IF(LEFT(A101,2)="12","wheel",_xlpm.get_device_type),_xlpm.raw_output,IF($A101&lt;&gt;"",_xlfn.TEXTJOIN("_",1,"device_alt",_xlpm.check_if_wheel),""),IFERROR(_xlpm.raw_output,"information missing"))</f>
        <v>device_alt_unique</v>
      </c>
      <c r="K101" s="14" t="str" cm="1">
        <f t="array" ref="K101">_xlfn.IFS($A101="","",ISTEXT($L101),_xlfn.CONCAT("dwt","[device_wheel_thumbnail_",RIGHT($A101,1)-1,"]"),TRUE,_xlfn.CONCAT("dt","[device_thumbnail_",IF($L101&lt;&gt;"",$L101,0),"]"))</f>
        <v>dt[device_thumbnail_0]</v>
      </c>
      <c r="M101" s="14" t="s">
        <v>79</v>
      </c>
      <c r="N101" s="14" t="s">
        <v>80</v>
      </c>
      <c r="O101" s="36">
        <v>1420300</v>
      </c>
      <c r="P101" s="15" t="str" cm="1">
        <f t="array" ref="P101">IFERROR(_xlfn.TEXTJOIN(";",1,_xlfn.MAP(_xlfn.TEXTSPLIT(O101,";"),_xlfn.LAMBDA(_xlpm.x,IFERROR(VLOOKUP(VALUE(_xlpm.x),device_tag!A:B,2,0),"error")))),"")</f>
        <v>独特设备</v>
      </c>
      <c r="Q101" s="11" t="s">
        <v>109</v>
      </c>
      <c r="X101" s="24" t="s">
        <v>82</v>
      </c>
      <c r="Z101" s="25" t="str">
        <f t="shared" si="101"/>
        <v>device_1330110_BigDitto</v>
      </c>
      <c r="AA101" s="11">
        <v>5</v>
      </c>
      <c r="AB101" s="11">
        <v>1</v>
      </c>
      <c r="AC101" s="11" t="s">
        <v>526</v>
      </c>
      <c r="AF101" s="11">
        <v>1</v>
      </c>
      <c r="AG101" s="11">
        <v>60</v>
      </c>
      <c r="AH101" s="11" t="str">
        <f t="shared" si="104"/>
        <v>1.4~12.5</v>
      </c>
      <c r="AI101" s="27">
        <v>1.4</v>
      </c>
      <c r="AJ101" s="27">
        <v>12.5</v>
      </c>
      <c r="AK101" s="110">
        <v>0</v>
      </c>
      <c r="AL101" s="110">
        <v>0</v>
      </c>
      <c r="AM101" s="110">
        <v>0</v>
      </c>
      <c r="AN101" s="110">
        <v>0</v>
      </c>
      <c r="AO101" s="110">
        <v>0</v>
      </c>
      <c r="AP101" s="14" t="b">
        <v>0</v>
      </c>
      <c r="AQ101" s="36" t="s">
        <v>248</v>
      </c>
      <c r="AR101" s="40"/>
      <c r="AS101" s="40"/>
      <c r="AT101" s="40"/>
      <c r="AU101" s="38"/>
      <c r="AV101" s="38"/>
      <c r="AW101" s="38"/>
      <c r="AX101" s="38"/>
      <c r="AY101" s="11" t="str">
        <f t="shared" si="105"/>
        <v>6~3</v>
      </c>
      <c r="AZ101" s="27">
        <v>6</v>
      </c>
      <c r="BA101" s="27">
        <v>3</v>
      </c>
      <c r="BB101" s="50">
        <v>1</v>
      </c>
      <c r="BC101" s="11" t="s">
        <v>249</v>
      </c>
      <c r="BE101" s="28" t="str" cm="1">
        <f t="array" ref="BE101">IF(BD101&lt;&gt;"",_xlfn.TEXTJOIN("; ",1,VLOOKUP(VALUE(_xlfn.TEXTSPLIT(BD101,";")),device_cubicles!A:B,2,0)),"")</f>
        <v/>
      </c>
    </row>
    <row r="102" spans="1:57">
      <c r="A102" s="14">
        <v>1330111</v>
      </c>
      <c r="B102" s="11">
        <v>0</v>
      </c>
      <c r="C102" s="15" t="s">
        <v>250</v>
      </c>
      <c r="D102" s="15" t="s">
        <v>238</v>
      </c>
      <c r="G102" s="31" t="s">
        <v>178</v>
      </c>
      <c r="H102" s="84" t="str" cm="1">
        <f t="array" aca="1" ref="H102" ca="1">_xlfn.IFS($A102="","",OR($F102=99,$F102=""),_xlfn.TEXTJOIN("_",1,"device_name",$A102,$Y102),TRUE,OFFSET(H102,-1,0))</f>
        <v>device_name_1330111</v>
      </c>
      <c r="J102" s="14" t="str">
        <f>_xlfn.LET(_xlpm.get_device_type,VLOOKUP(VALUE(MID(A102,3,1)),tb_device_info_type[#All],3,0),_xlpm.check_if_wheel,IF(LEFT(A102,2)="12","wheel",_xlpm.get_device_type),_xlpm.raw_output,IF($A102&lt;&gt;"",_xlfn.TEXTJOIN("_",1,"device_alt",_xlpm.check_if_wheel),""),IFERROR(_xlpm.raw_output,"information missing"))</f>
        <v>device_alt_unique</v>
      </c>
      <c r="K102" s="14" t="str" cm="1">
        <f t="array" ref="K102">_xlfn.IFS($A102="","",ISTEXT($L102),_xlfn.CONCAT("dwt","[device_wheel_thumbnail_",RIGHT($A102,1)-1,"]"),TRUE,_xlfn.CONCAT("dt","[device_thumbnail_",IF($L102&lt;&gt;"",$L102,0),"]"))</f>
        <v>dt[device_thumbnail_0]</v>
      </c>
      <c r="M102" s="14" t="s">
        <v>79</v>
      </c>
      <c r="N102" s="14" t="s">
        <v>80</v>
      </c>
      <c r="O102" s="36">
        <v>1420300</v>
      </c>
      <c r="P102" s="15" t="str" cm="1">
        <f t="array" ref="P102">IFERROR(_xlfn.TEXTJOIN(";",1,_xlfn.MAP(_xlfn.TEXTSPLIT(O102,";"),_xlfn.LAMBDA(_xlpm.x,IFERROR(VLOOKUP(VALUE(_xlpm.x),device_tag!A:B,2,0),"error")))),"")</f>
        <v>独特设备</v>
      </c>
      <c r="Q102" s="11" t="s">
        <v>109</v>
      </c>
      <c r="X102" s="24" t="s">
        <v>82</v>
      </c>
      <c r="Z102" s="25" t="str">
        <f t="shared" si="101"/>
        <v>device_1330111_SmallDitto</v>
      </c>
      <c r="AA102" s="11">
        <v>5</v>
      </c>
      <c r="AB102" s="11">
        <v>1</v>
      </c>
      <c r="AC102" s="11" t="s">
        <v>526</v>
      </c>
      <c r="AF102" s="11">
        <v>1</v>
      </c>
      <c r="AG102" s="11">
        <v>60</v>
      </c>
      <c r="AH102" s="11" t="str">
        <f t="shared" si="104"/>
        <v>1.4~12.5</v>
      </c>
      <c r="AI102" s="27">
        <v>1.4</v>
      </c>
      <c r="AJ102" s="27">
        <v>12.5</v>
      </c>
      <c r="AK102" s="110">
        <v>0</v>
      </c>
      <c r="AL102" s="110">
        <v>0</v>
      </c>
      <c r="AM102" s="110">
        <v>0</v>
      </c>
      <c r="AN102" s="110">
        <v>0</v>
      </c>
      <c r="AO102" s="110">
        <v>0</v>
      </c>
      <c r="AP102" s="14" t="b">
        <v>0</v>
      </c>
      <c r="AQ102" s="36" t="s">
        <v>251</v>
      </c>
      <c r="AR102" s="40"/>
      <c r="AS102" s="40"/>
      <c r="AT102" s="40"/>
      <c r="AU102" s="38"/>
      <c r="AV102" s="38"/>
      <c r="AW102" s="38"/>
      <c r="AX102" s="38"/>
      <c r="AY102" s="11" t="str">
        <f t="shared" si="105"/>
        <v>6~3</v>
      </c>
      <c r="AZ102" s="27">
        <v>6</v>
      </c>
      <c r="BA102" s="27">
        <v>3</v>
      </c>
      <c r="BB102" s="50">
        <v>1</v>
      </c>
      <c r="BC102" s="11" t="s">
        <v>249</v>
      </c>
      <c r="BE102" s="28" t="str" cm="1">
        <f t="array" ref="BE102">IF(BD102&lt;&gt;"",_xlfn.TEXTJOIN("; ",1,VLOOKUP(VALUE(_xlfn.TEXTSPLIT(BD102,";")),device_cubicles!A:B,2,0)),"")</f>
        <v/>
      </c>
    </row>
    <row r="103" spans="1:57">
      <c r="A103" s="14">
        <v>1330112</v>
      </c>
      <c r="B103" s="11">
        <v>0</v>
      </c>
      <c r="C103" s="15" t="s">
        <v>252</v>
      </c>
      <c r="D103" s="15" t="s">
        <v>238</v>
      </c>
      <c r="G103" s="31" t="s">
        <v>178</v>
      </c>
      <c r="H103" s="84" t="str" cm="1">
        <f t="array" aca="1" ref="H103" ca="1">_xlfn.IFS($A103="","",OR($F103=99,$F103=""),_xlfn.TEXTJOIN("_",1,"device_name",$A103,$Y103),TRUE,OFFSET(H103,-1,0))</f>
        <v>device_name_1330112</v>
      </c>
      <c r="J103" s="14" t="str">
        <f>_xlfn.LET(_xlpm.get_device_type,VLOOKUP(VALUE(MID(A103,3,1)),tb_device_info_type[#All],3,0),_xlpm.check_if_wheel,IF(LEFT(A103,2)="12","wheel",_xlpm.get_device_type),_xlpm.raw_output,IF($A103&lt;&gt;"",_xlfn.TEXTJOIN("_",1,"device_alt",_xlpm.check_if_wheel),""),IFERROR(_xlpm.raw_output,"information missing"))</f>
        <v>device_alt_unique</v>
      </c>
      <c r="K103" s="14" t="str" cm="1">
        <f t="array" ref="K103">_xlfn.IFS($A103="","",ISTEXT($L103),_xlfn.CONCAT("dwt","[device_wheel_thumbnail_",RIGHT($A103,1)-1,"]"),TRUE,_xlfn.CONCAT("dt","[device_thumbnail_",IF($L103&lt;&gt;"",$L103,0),"]"))</f>
        <v>dt[device_thumbnail_0]</v>
      </c>
      <c r="M103" s="14" t="s">
        <v>79</v>
      </c>
      <c r="N103" s="14" t="s">
        <v>80</v>
      </c>
      <c r="O103" s="36">
        <v>1420300</v>
      </c>
      <c r="P103" s="15" t="str" cm="1">
        <f t="array" ref="P103">IFERROR(_xlfn.TEXTJOIN(";",1,_xlfn.MAP(_xlfn.TEXTSPLIT(O103,";"),_xlfn.LAMBDA(_xlpm.x,IFERROR(VLOOKUP(VALUE(_xlpm.x),device_tag!A:B,2,0),"error")))),"")</f>
        <v>独特设备</v>
      </c>
      <c r="Q103" s="11" t="s">
        <v>109</v>
      </c>
      <c r="X103" s="24" t="s">
        <v>82</v>
      </c>
      <c r="Z103" s="25" t="str">
        <f t="shared" si="101"/>
        <v>device_1330112_Shooter_Balloon</v>
      </c>
      <c r="AA103" s="11">
        <v>5</v>
      </c>
      <c r="AB103" s="11">
        <v>1</v>
      </c>
      <c r="AC103" s="11" t="s">
        <v>526</v>
      </c>
      <c r="AF103" s="11">
        <v>1</v>
      </c>
      <c r="AG103" s="11">
        <v>60</v>
      </c>
      <c r="AH103" s="11" t="str">
        <f t="shared" ref="AH103" si="106">_xlfn.TEXTJOIN("~",1,AI103:AJ103)</f>
        <v>1.4~12.5</v>
      </c>
      <c r="AI103" s="27">
        <v>1.4</v>
      </c>
      <c r="AJ103" s="27">
        <v>12.5</v>
      </c>
      <c r="AK103" s="110">
        <v>0</v>
      </c>
      <c r="AL103" s="110">
        <v>0</v>
      </c>
      <c r="AM103" s="110">
        <v>0</v>
      </c>
      <c r="AN103" s="110">
        <v>0</v>
      </c>
      <c r="AO103" s="110">
        <v>0</v>
      </c>
      <c r="AP103" s="14" t="b">
        <v>0</v>
      </c>
      <c r="AQ103" s="36" t="s">
        <v>253</v>
      </c>
      <c r="AR103" s="40"/>
      <c r="AS103" s="40"/>
      <c r="AT103" s="47">
        <v>1321104</v>
      </c>
      <c r="AU103" s="38"/>
      <c r="AV103" s="38"/>
      <c r="AW103" s="38"/>
      <c r="AX103" s="38"/>
      <c r="AY103" s="11" t="str">
        <f t="shared" ref="AY103" si="107">_xlfn.TEXTJOIN("~",1,AZ103:BA103)</f>
        <v>6~3</v>
      </c>
      <c r="AZ103" s="27">
        <v>6</v>
      </c>
      <c r="BA103" s="27">
        <v>3</v>
      </c>
      <c r="BB103" s="50">
        <v>1</v>
      </c>
      <c r="BC103" s="11" t="s">
        <v>254</v>
      </c>
      <c r="BE103" s="28" t="str" cm="1">
        <f t="array" ref="BE103">IF(BD103&lt;&gt;"",_xlfn.TEXTJOIN("; ",1,VLOOKUP(VALUE(_xlfn.TEXTSPLIT(BD103,";")),device_cubicles!A:B,2,0)),"")</f>
        <v/>
      </c>
    </row>
    <row r="104" spans="1:57">
      <c r="A104" s="14">
        <v>1330113</v>
      </c>
      <c r="B104" s="11">
        <v>0</v>
      </c>
      <c r="C104" s="15" t="s">
        <v>255</v>
      </c>
      <c r="D104" s="15" t="s">
        <v>238</v>
      </c>
      <c r="G104" s="31" t="s">
        <v>178</v>
      </c>
      <c r="H104" s="84" t="str" cm="1">
        <f t="array" aca="1" ref="H104" ca="1">_xlfn.IFS($A104="","",OR($F104=99,$F104=""),_xlfn.TEXTJOIN("_",1,"device_name",$A104,$Y104),TRUE,OFFSET(H104,-1,0))</f>
        <v>device_name_1330113</v>
      </c>
      <c r="J104" s="14" t="str">
        <f>_xlfn.LET(_xlpm.get_device_type,VLOOKUP(VALUE(MID(A104,3,1)),tb_device_info_type[#All],3,0),_xlpm.check_if_wheel,IF(LEFT(A104,2)="12","wheel",_xlpm.get_device_type),_xlpm.raw_output,IF($A104&lt;&gt;"",_xlfn.TEXTJOIN("_",1,"device_alt",_xlpm.check_if_wheel),""),IFERROR(_xlpm.raw_output,"information missing"))</f>
        <v>device_alt_unique</v>
      </c>
      <c r="K104" s="14" t="str" cm="1">
        <f t="array" ref="K104">_xlfn.IFS($A104="","",ISTEXT($L104),_xlfn.CONCAT("dwt","[device_wheel_thumbnail_",RIGHT($A104,1)-1,"]"),TRUE,_xlfn.CONCAT("dt","[device_thumbnail_",IF($L104&lt;&gt;"",$L104,0),"]"))</f>
        <v>dt[device_thumbnail_0]</v>
      </c>
      <c r="M104" s="14" t="s">
        <v>79</v>
      </c>
      <c r="N104" s="14" t="s">
        <v>80</v>
      </c>
      <c r="O104" s="36">
        <v>1420300</v>
      </c>
      <c r="P104" s="15" t="str" cm="1">
        <f t="array" ref="P104">IFERROR(_xlfn.TEXTJOIN(";",1,_xlfn.MAP(_xlfn.TEXTSPLIT(O104,";"),_xlfn.LAMBDA(_xlpm.x,IFERROR(VLOOKUP(VALUE(_xlpm.x),device_tag!A:B,2,0),"error")))),"")</f>
        <v>独特设备</v>
      </c>
      <c r="Q104" s="11" t="s">
        <v>109</v>
      </c>
      <c r="X104" s="24" t="s">
        <v>82</v>
      </c>
      <c r="Z104" s="25" t="str">
        <f t="shared" si="101"/>
        <v>device_1330113_Shooter_IronBall</v>
      </c>
      <c r="AA104" s="11">
        <v>5</v>
      </c>
      <c r="AB104" s="11">
        <v>1</v>
      </c>
      <c r="AC104" s="11" t="s">
        <v>526</v>
      </c>
      <c r="AF104" s="11">
        <v>1</v>
      </c>
      <c r="AG104" s="11">
        <v>60</v>
      </c>
      <c r="AH104" s="11" t="str">
        <f t="shared" ref="AH104" si="108">_xlfn.TEXTJOIN("~",1,AI104:AJ104)</f>
        <v>1.4~12.5</v>
      </c>
      <c r="AI104" s="27">
        <v>1.4</v>
      </c>
      <c r="AJ104" s="27">
        <v>12.5</v>
      </c>
      <c r="AK104" s="110">
        <v>0</v>
      </c>
      <c r="AL104" s="110">
        <v>0</v>
      </c>
      <c r="AM104" s="110">
        <v>0</v>
      </c>
      <c r="AN104" s="110">
        <v>0</v>
      </c>
      <c r="AO104" s="110">
        <v>0</v>
      </c>
      <c r="AP104" s="14" t="b">
        <v>0</v>
      </c>
      <c r="AQ104" s="36" t="s">
        <v>256</v>
      </c>
      <c r="AR104" s="40"/>
      <c r="AS104" s="40"/>
      <c r="AT104" s="47">
        <v>1321104</v>
      </c>
      <c r="AU104" s="38"/>
      <c r="AV104" s="38"/>
      <c r="AW104" s="38"/>
      <c r="AX104" s="38"/>
      <c r="AY104" s="11" t="str">
        <f t="shared" ref="AY104" si="109">_xlfn.TEXTJOIN("~",1,AZ104:BA104)</f>
        <v>6~3</v>
      </c>
      <c r="AZ104" s="27">
        <v>6</v>
      </c>
      <c r="BA104" s="27">
        <v>3</v>
      </c>
      <c r="BB104" s="50">
        <v>1</v>
      </c>
      <c r="BC104" s="11" t="s">
        <v>254</v>
      </c>
      <c r="BE104" s="28" t="str" cm="1">
        <f t="array" ref="BE104">IF(BD104&lt;&gt;"",_xlfn.TEXTJOIN("; ",1,VLOOKUP(VALUE(_xlfn.TEXTSPLIT(BD104,";")),device_cubicles!A:B,2,0)),"")</f>
        <v/>
      </c>
    </row>
    <row r="105" spans="1:57">
      <c r="A105" s="14">
        <v>1330128</v>
      </c>
      <c r="B105" s="11">
        <v>0</v>
      </c>
      <c r="C105" s="15" t="s">
        <v>257</v>
      </c>
      <c r="D105" s="15" t="s">
        <v>634</v>
      </c>
      <c r="G105" s="31" t="s">
        <v>178</v>
      </c>
      <c r="H105" s="84" t="str" cm="1">
        <f t="array" aca="1" ref="H105" ca="1">_xlfn.IFS($A105="","",OR($F105=99,$F105=""),_xlfn.TEXTJOIN("_",1,"device_name",$A105,$Y105),TRUE,OFFSET(H105,-1,0))</f>
        <v>device_name_1330128</v>
      </c>
      <c r="J105" s="14" t="str">
        <f>_xlfn.LET(_xlpm.get_device_type,VLOOKUP(VALUE(MID(A105,3,1)),tb_device_info_type[#All],3,0),_xlpm.check_if_wheel,IF(LEFT(A105,2)="12","wheel",_xlpm.get_device_type),_xlpm.raw_output,IF($A105&lt;&gt;"",_xlfn.TEXTJOIN("_",1,"device_alt",_xlpm.check_if_wheel),""),IFERROR(_xlpm.raw_output,"information missing"))</f>
        <v>device_alt_unique</v>
      </c>
      <c r="K105" s="14" t="str" cm="1">
        <f t="array" ref="K105">_xlfn.IFS($A105="","",ISTEXT($L105),_xlfn.CONCAT("dwt","[device_wheel_thumbnail_",RIGHT($A105,1)-1,"]"),TRUE,_xlfn.CONCAT("dt","[device_thumbnail_",IF($L105&lt;&gt;"",$L105,0),"]"))</f>
        <v>dt[device_thumbnail_0]</v>
      </c>
      <c r="M105" s="14" t="s">
        <v>79</v>
      </c>
      <c r="N105" s="14" t="s">
        <v>80</v>
      </c>
      <c r="O105" s="36">
        <v>1420300</v>
      </c>
      <c r="P105" s="15" t="str" cm="1">
        <f t="array" ref="P105">IFERROR(_xlfn.TEXTJOIN(";",1,_xlfn.MAP(_xlfn.TEXTSPLIT(O105,";"),_xlfn.LAMBDA(_xlpm.x,IFERROR(VLOOKUP(VALUE(_xlpm.x),device_tag!A:B,2,0),"error")))),"")</f>
        <v>独特设备</v>
      </c>
      <c r="Q105" s="11" t="s">
        <v>109</v>
      </c>
      <c r="X105" s="24" t="s">
        <v>82</v>
      </c>
      <c r="Z105" s="39" t="s">
        <v>258</v>
      </c>
      <c r="AA105" s="11">
        <v>5</v>
      </c>
      <c r="AB105" s="11">
        <v>1</v>
      </c>
      <c r="AC105" s="11" t="s">
        <v>526</v>
      </c>
      <c r="AF105" s="11">
        <v>1</v>
      </c>
      <c r="AG105" s="11">
        <v>60</v>
      </c>
      <c r="AH105" s="11" t="str">
        <f t="shared" ref="AH105:AH107" si="110">_xlfn.TEXTJOIN("~",1,AI105:AJ105)</f>
        <v>1.4~12.5</v>
      </c>
      <c r="AI105" s="27">
        <v>1.4</v>
      </c>
      <c r="AJ105" s="27">
        <v>12.5</v>
      </c>
      <c r="AK105" s="110">
        <v>0</v>
      </c>
      <c r="AL105" s="110">
        <v>0</v>
      </c>
      <c r="AM105" s="110">
        <v>0</v>
      </c>
      <c r="AN105" s="110">
        <v>0</v>
      </c>
      <c r="AO105" s="110">
        <v>0</v>
      </c>
      <c r="AP105" s="14" t="b">
        <v>0</v>
      </c>
      <c r="AQ105" s="14" t="s">
        <v>259</v>
      </c>
      <c r="AR105" s="40"/>
      <c r="AS105" s="40"/>
      <c r="AT105" s="40"/>
      <c r="AU105" s="38"/>
      <c r="AV105" s="38"/>
      <c r="AW105" s="38"/>
      <c r="AX105" s="38"/>
      <c r="AY105" s="11" t="str">
        <f t="shared" ref="AY105:AY107" si="111">_xlfn.TEXTJOIN("~",1,AZ105:BA105)</f>
        <v>6~3</v>
      </c>
      <c r="AZ105" s="27">
        <v>6</v>
      </c>
      <c r="BA105" s="27">
        <v>3</v>
      </c>
      <c r="BB105" s="50">
        <v>1</v>
      </c>
      <c r="BC105" s="11" t="s">
        <v>260</v>
      </c>
      <c r="BE105" s="28" t="str" cm="1">
        <f t="array" ref="BE105">IF(BD105&lt;&gt;"",_xlfn.TEXTJOIN("; ",1,VLOOKUP(VALUE(_xlfn.TEXTSPLIT(BD105,";")),device_cubicles!A:B,2,0)),"")</f>
        <v/>
      </c>
    </row>
    <row r="106" spans="1:57">
      <c r="A106" s="14">
        <v>1330129</v>
      </c>
      <c r="B106" s="11">
        <v>0</v>
      </c>
      <c r="C106" s="15" t="s">
        <v>261</v>
      </c>
      <c r="D106" s="15" t="s">
        <v>634</v>
      </c>
      <c r="G106" s="31" t="s">
        <v>178</v>
      </c>
      <c r="H106" s="84" t="str" cm="1">
        <f t="array" aca="1" ref="H106" ca="1">_xlfn.IFS($A106="","",OR($F106=99,$F106=""),_xlfn.TEXTJOIN("_",1,"device_name",$A106,$Y106),TRUE,OFFSET(H106,-1,0))</f>
        <v>device_name_1330129</v>
      </c>
      <c r="J106" s="14" t="str">
        <f>_xlfn.LET(_xlpm.get_device_type,VLOOKUP(VALUE(MID(A106,3,1)),tb_device_info_type[#All],3,0),_xlpm.check_if_wheel,IF(LEFT(A106,2)="12","wheel",_xlpm.get_device_type),_xlpm.raw_output,IF($A106&lt;&gt;"",_xlfn.TEXTJOIN("_",1,"device_alt",_xlpm.check_if_wheel),""),IFERROR(_xlpm.raw_output,"information missing"))</f>
        <v>device_alt_unique</v>
      </c>
      <c r="K106" s="14" t="str" cm="1">
        <f t="array" ref="K106">_xlfn.IFS($A106="","",ISTEXT($L106),_xlfn.CONCAT("dwt","[device_wheel_thumbnail_",RIGHT($A106,1)-1,"]"),TRUE,_xlfn.CONCAT("dt","[device_thumbnail_",IF($L106&lt;&gt;"",$L106,0),"]"))</f>
        <v>dt[device_thumbnail_0]</v>
      </c>
      <c r="M106" s="14" t="s">
        <v>79</v>
      </c>
      <c r="N106" s="14" t="s">
        <v>80</v>
      </c>
      <c r="O106" s="36">
        <v>1420300</v>
      </c>
      <c r="P106" s="15" t="str" cm="1">
        <f t="array" ref="P106">IFERROR(_xlfn.TEXTJOIN(";",1,_xlfn.MAP(_xlfn.TEXTSPLIT(O106,";"),_xlfn.LAMBDA(_xlpm.x,IFERROR(VLOOKUP(VALUE(_xlpm.x),device_tag!A:B,2,0),"error")))),"")</f>
        <v>独特设备</v>
      </c>
      <c r="Q106" s="11" t="s">
        <v>109</v>
      </c>
      <c r="X106" s="24" t="s">
        <v>82</v>
      </c>
      <c r="Z106" s="39" t="s">
        <v>262</v>
      </c>
      <c r="AA106" s="11">
        <v>5</v>
      </c>
      <c r="AB106" s="11">
        <v>1</v>
      </c>
      <c r="AC106" s="11" t="s">
        <v>526</v>
      </c>
      <c r="AF106" s="11">
        <v>1</v>
      </c>
      <c r="AG106" s="11">
        <v>60</v>
      </c>
      <c r="AH106" s="11" t="str">
        <f t="shared" si="110"/>
        <v>1.4~12.5</v>
      </c>
      <c r="AI106" s="27">
        <v>1.4</v>
      </c>
      <c r="AJ106" s="27">
        <v>12.5</v>
      </c>
      <c r="AK106" s="110">
        <v>0</v>
      </c>
      <c r="AL106" s="110">
        <v>0</v>
      </c>
      <c r="AM106" s="110">
        <v>0</v>
      </c>
      <c r="AN106" s="110">
        <v>0</v>
      </c>
      <c r="AO106" s="110">
        <v>0</v>
      </c>
      <c r="AP106" s="14" t="b">
        <v>0</v>
      </c>
      <c r="AQ106" s="14" t="s">
        <v>263</v>
      </c>
      <c r="AR106" s="40"/>
      <c r="AS106" s="11">
        <v>1310103</v>
      </c>
      <c r="AT106" s="40"/>
      <c r="AU106" s="38"/>
      <c r="AV106" s="38"/>
      <c r="AW106" s="38"/>
      <c r="AX106" s="38"/>
      <c r="AY106" s="11" t="str">
        <f t="shared" si="111"/>
        <v>6~3</v>
      </c>
      <c r="AZ106" s="27">
        <v>6</v>
      </c>
      <c r="BA106" s="27">
        <v>3</v>
      </c>
      <c r="BB106" s="50">
        <v>1</v>
      </c>
      <c r="BC106" s="11" t="s">
        <v>264</v>
      </c>
      <c r="BE106" s="28" t="str" cm="1">
        <f t="array" ref="BE106">IF(BD106&lt;&gt;"",_xlfn.TEXTJOIN("; ",1,VLOOKUP(VALUE(_xlfn.TEXTSPLIT(BD106,";")),device_cubicles!A:B,2,0)),"")</f>
        <v/>
      </c>
    </row>
    <row r="107" spans="1:57">
      <c r="A107" s="14">
        <v>1331801</v>
      </c>
      <c r="B107" s="11">
        <v>0</v>
      </c>
      <c r="C107" s="15" t="s">
        <v>594</v>
      </c>
      <c r="D107" s="15" t="s">
        <v>211</v>
      </c>
      <c r="F107" s="86"/>
      <c r="G107" s="15" t="s">
        <v>595</v>
      </c>
      <c r="H107" s="84" t="str" cm="1">
        <f t="array" aca="1" ref="H107" ca="1">_xlfn.IFS($A107="","",OR($F107=99,$F107=""),_xlfn.TEXTJOIN("_",1,"device_name",$A107,$Y107),TRUE,OFFSET(H107,-1,0))</f>
        <v>device_name_1331801_tesla</v>
      </c>
      <c r="J107" s="14" t="str">
        <f>_xlfn.LET(_xlpm.get_device_type,VLOOKUP(VALUE(MID(A107,3,1)),tb_device_info_type[#All],3,0),_xlpm.check_if_wheel,IF(LEFT(A107,2)="12","wheel",_xlpm.get_device_type),_xlpm.raw_output,IF($A107&lt;&gt;"",_xlfn.TEXTJOIN("_",1,"device_alt",_xlpm.check_if_wheel),""),IFERROR(_xlpm.raw_output,"information missing"))</f>
        <v>device_alt_unique</v>
      </c>
      <c r="K107" s="14" t="str" cm="1">
        <f t="array" ref="K107">_xlfn.IFS($A107="","",ISTEXT($L107),_xlfn.CONCAT("dwt","[device_wheel_thumbnail_",RIGHT($A107,1)-1,"]"),TRUE,_xlfn.CONCAT("dt","[device_thumbnail_",IF($L107&lt;&gt;"",$L107,0),"]"))</f>
        <v>dt[device_thumbnail_37]</v>
      </c>
      <c r="L107" s="34">
        <v>37</v>
      </c>
      <c r="M107" s="14" t="s">
        <v>79</v>
      </c>
      <c r="N107" s="14" t="s">
        <v>80</v>
      </c>
      <c r="O107" s="36">
        <v>1420300</v>
      </c>
      <c r="P107" s="15" t="str" cm="1">
        <f t="array" ref="P107">IFERROR(_xlfn.TEXTJOIN(";",1,_xlfn.MAP(_xlfn.TEXTSPLIT(O107,";"),_xlfn.LAMBDA(_xlpm.x,IFERROR(VLOOKUP(VALUE(_xlpm.x),device_tag!A:B,2,0),"error")))),"")</f>
        <v>独特设备</v>
      </c>
      <c r="Q107" s="11" t="s">
        <v>109</v>
      </c>
      <c r="X107" s="24" t="s">
        <v>82</v>
      </c>
      <c r="Y107" s="62" t="s">
        <v>612</v>
      </c>
      <c r="Z107" s="85" t="str" cm="1">
        <f t="array" aca="1" ref="Z107" ca="1">_xlfn.IFS($A107="","",OR(F107=99,F107=""),_xlfn.TEXTJOIN("_",1,X107,$A107,Y107),TRUE,OFFSET($Z107,-1,0))</f>
        <v>device_1331801_tesla</v>
      </c>
      <c r="AA107" s="91">
        <v>15</v>
      </c>
      <c r="AB107" s="90">
        <f t="shared" ref="AB107:AB110" si="112">COLUMNS(_xlfn.TEXTSPLIT(BD107,";"))</f>
        <v>2</v>
      </c>
      <c r="AC107" s="77">
        <v>13</v>
      </c>
      <c r="AF107" s="11">
        <v>1</v>
      </c>
      <c r="AG107" s="11">
        <v>60</v>
      </c>
      <c r="AH107" s="11" t="str">
        <f t="shared" si="110"/>
        <v>1.4~12.5</v>
      </c>
      <c r="AI107" s="27">
        <v>1.4</v>
      </c>
      <c r="AJ107" s="27">
        <v>12.5</v>
      </c>
      <c r="AK107" s="110">
        <v>0</v>
      </c>
      <c r="AL107" s="110">
        <v>0</v>
      </c>
      <c r="AM107" s="110">
        <v>0</v>
      </c>
      <c r="AN107" s="110">
        <v>0</v>
      </c>
      <c r="AO107" s="110">
        <v>0</v>
      </c>
      <c r="AP107" s="14" t="b">
        <v>0</v>
      </c>
      <c r="AQ107" s="84" t="s">
        <v>596</v>
      </c>
      <c r="AR107" s="40"/>
      <c r="AS107" s="40"/>
      <c r="AT107" s="40"/>
      <c r="AU107" s="38"/>
      <c r="AV107" s="38"/>
      <c r="AW107" s="38"/>
      <c r="AX107" s="11">
        <f>A107</f>
        <v>1331801</v>
      </c>
      <c r="AY107" s="11" t="str">
        <f t="shared" si="111"/>
        <v>6~3</v>
      </c>
      <c r="AZ107" s="27">
        <v>6</v>
      </c>
      <c r="BA107" s="27">
        <v>3</v>
      </c>
      <c r="BB107" s="50">
        <v>1</v>
      </c>
      <c r="BC107" s="87" t="s">
        <v>620</v>
      </c>
      <c r="BD107" s="59" t="s">
        <v>610</v>
      </c>
      <c r="BE107" s="28" t="str" cm="1">
        <f t="array" ref="BE107">IF(BD107&lt;&gt;"",_xlfn.TEXTJOIN("; ",1,VLOOKUP(VALUE(_xlfn.TEXTSPLIT(BD107,";")),device_cubicles!A:B,2,0)),"")</f>
        <v>近战攻击; 电磁充能</v>
      </c>
    </row>
    <row r="108" spans="1:57">
      <c r="A108" s="14">
        <v>13318012</v>
      </c>
      <c r="B108" s="11">
        <v>0</v>
      </c>
      <c r="C108" s="15" t="s">
        <v>647</v>
      </c>
      <c r="D108" s="15" t="s">
        <v>211</v>
      </c>
      <c r="E108" s="15" t="s">
        <v>646</v>
      </c>
      <c r="F108" s="11">
        <v>2</v>
      </c>
      <c r="G108" s="15" t="s">
        <v>595</v>
      </c>
      <c r="H108" s="84" t="str" cm="1">
        <f t="array" aca="1" ref="H108" ca="1">_xlfn.IFS($A108="","",OR($F108=99,$F108=""),_xlfn.TEXTJOIN("_",1,"device_name",$A108,$Y108),TRUE,OFFSET(H108,-1,0))</f>
        <v>device_name_1331801_tesla</v>
      </c>
      <c r="J108" s="14" t="str">
        <f>_xlfn.LET(_xlpm.get_device_type,VLOOKUP(VALUE(MID(A108,3,1)),tb_device_info_type[#All],3,0),_xlpm.check_if_wheel,IF(LEFT(A108,2)="12","wheel",_xlpm.get_device_type),_xlpm.raw_output,IF($A108&lt;&gt;"",_xlfn.TEXTJOIN("_",1,"device_alt",_xlpm.check_if_wheel),""),IFERROR(_xlpm.raw_output,"information missing"))</f>
        <v>device_alt_unique</v>
      </c>
      <c r="K108" s="14" t="str" cm="1">
        <f t="array" ref="K108">_xlfn.IFS($A108="","",ISTEXT($L108),_xlfn.CONCAT("dwt","[device_wheel_thumbnail_",RIGHT($A108,1)-1,"]"),TRUE,_xlfn.CONCAT("dt","[device_thumbnail_",IF($L108&lt;&gt;"",$L108,0),"]"))</f>
        <v>dt[device_thumbnail_37]</v>
      </c>
      <c r="L108" s="34">
        <v>37</v>
      </c>
      <c r="M108" s="14" t="s">
        <v>79</v>
      </c>
      <c r="N108" s="14" t="s">
        <v>80</v>
      </c>
      <c r="O108" s="36">
        <v>1420300</v>
      </c>
      <c r="P108" s="15" t="str" cm="1">
        <f t="array" ref="P108">IFERROR(_xlfn.TEXTJOIN(";",1,_xlfn.MAP(_xlfn.TEXTSPLIT(O108,";"),_xlfn.LAMBDA(_xlpm.x,IFERROR(VLOOKUP(VALUE(_xlpm.x),device_tag!A:B,2,0),"error")))),"")</f>
        <v>独特设备</v>
      </c>
      <c r="Q108" s="11" t="s">
        <v>109</v>
      </c>
      <c r="X108" s="24" t="s">
        <v>82</v>
      </c>
      <c r="Y108" s="62" t="s">
        <v>612</v>
      </c>
      <c r="Z108" s="85" t="str" cm="1">
        <f t="array" aca="1" ref="Z108" ca="1">_xlfn.IFS($A108="","",OR(F108=99,F108=""),_xlfn.TEXTJOIN("_",1,X108,$A108,Y108),TRUE,OFFSET($Z108,-1,0))</f>
        <v>device_1331801_tesla</v>
      </c>
      <c r="AA108" s="91">
        <v>15</v>
      </c>
      <c r="AB108" s="90">
        <f t="shared" si="112"/>
        <v>2</v>
      </c>
      <c r="AC108" s="76">
        <f>ROUND($AD108*$AE108^$F108,0)</f>
        <v>86</v>
      </c>
      <c r="AD108" s="16">
        <v>13.05</v>
      </c>
      <c r="AE108" s="16">
        <f>POWER(1.6,2)</f>
        <v>2.5600000000000005</v>
      </c>
      <c r="AF108" s="11">
        <v>1</v>
      </c>
      <c r="AG108" s="11">
        <v>60</v>
      </c>
      <c r="AH108" s="11" t="str">
        <f t="shared" ref="AH108" si="113">_xlfn.TEXTJOIN("~",1,AI108:AJ108)</f>
        <v>1.4~12.5</v>
      </c>
      <c r="AI108" s="27">
        <v>1.4</v>
      </c>
      <c r="AJ108" s="27">
        <v>12.5</v>
      </c>
      <c r="AK108" s="110">
        <v>0</v>
      </c>
      <c r="AL108" s="110">
        <v>0</v>
      </c>
      <c r="AM108" s="110">
        <v>0</v>
      </c>
      <c r="AN108" s="110">
        <v>0</v>
      </c>
      <c r="AO108" s="110">
        <v>0</v>
      </c>
      <c r="AP108" s="14" t="b">
        <v>0</v>
      </c>
      <c r="AQ108" s="84" t="s">
        <v>596</v>
      </c>
      <c r="AR108" s="40"/>
      <c r="AS108" s="40"/>
      <c r="AT108" s="40"/>
      <c r="AU108" s="38"/>
      <c r="AV108" s="38"/>
      <c r="AW108" s="38"/>
      <c r="AX108" s="11">
        <f>A108</f>
        <v>13318012</v>
      </c>
      <c r="AY108" s="11" t="str">
        <f t="shared" ref="AY108" si="114">_xlfn.TEXTJOIN("~",1,AZ108:BA108)</f>
        <v>6~3</v>
      </c>
      <c r="AZ108" s="27">
        <v>6</v>
      </c>
      <c r="BA108" s="27">
        <v>3</v>
      </c>
      <c r="BB108" s="50">
        <v>1</v>
      </c>
      <c r="BC108" s="88" t="s">
        <v>597</v>
      </c>
      <c r="BD108" s="59" t="s">
        <v>610</v>
      </c>
      <c r="BE108" s="28" t="str" cm="1">
        <f t="array" ref="BE108">IF(BD108&lt;&gt;"",_xlfn.TEXTJOIN("; ",1,VLOOKUP(VALUE(_xlfn.TEXTSPLIT(BD108,";")),device_cubicles!A:B,2,0)),"")</f>
        <v>近战攻击; 电磁充能</v>
      </c>
    </row>
    <row r="109" spans="1:57">
      <c r="A109" s="14">
        <v>13318013</v>
      </c>
      <c r="B109" s="11">
        <v>0</v>
      </c>
      <c r="C109" s="15" t="s">
        <v>649</v>
      </c>
      <c r="D109" s="15" t="s">
        <v>211</v>
      </c>
      <c r="E109" s="15" t="s">
        <v>648</v>
      </c>
      <c r="F109" s="11">
        <v>3</v>
      </c>
      <c r="G109" s="15" t="s">
        <v>595</v>
      </c>
      <c r="H109" s="84" t="str" cm="1">
        <f t="array" aca="1" ref="H109" ca="1">_xlfn.IFS($A109="","",OR($F109=99,$F109=""),_xlfn.TEXTJOIN("_",1,"device_name",$A109,$Y109),TRUE,OFFSET(H109,-1,0))</f>
        <v>device_name_1331801_tesla</v>
      </c>
      <c r="J109" s="14" t="str">
        <f>_xlfn.LET(_xlpm.get_device_type,VLOOKUP(VALUE(MID(A109,3,1)),tb_device_info_type[#All],3,0),_xlpm.check_if_wheel,IF(LEFT(A109,2)="12","wheel",_xlpm.get_device_type),_xlpm.raw_output,IF($A109&lt;&gt;"",_xlfn.TEXTJOIN("_",1,"device_alt",_xlpm.check_if_wheel),""),IFERROR(_xlpm.raw_output,"information missing"))</f>
        <v>device_alt_unique</v>
      </c>
      <c r="K109" s="14" t="str" cm="1">
        <f t="array" ref="K109">_xlfn.IFS($A109="","",ISTEXT($L109),_xlfn.CONCAT("dwt","[device_wheel_thumbnail_",RIGHT($A109,1)-1,"]"),TRUE,_xlfn.CONCAT("dt","[device_thumbnail_",IF($L109&lt;&gt;"",$L109,0),"]"))</f>
        <v>dt[device_thumbnail_37]</v>
      </c>
      <c r="L109" s="34">
        <v>37</v>
      </c>
      <c r="M109" s="14" t="s">
        <v>79</v>
      </c>
      <c r="N109" s="14" t="s">
        <v>80</v>
      </c>
      <c r="O109" s="36">
        <v>1420300</v>
      </c>
      <c r="P109" s="15" t="str" cm="1">
        <f t="array" ref="P109">IFERROR(_xlfn.TEXTJOIN(";",1,_xlfn.MAP(_xlfn.TEXTSPLIT(O109,";"),_xlfn.LAMBDA(_xlpm.x,IFERROR(VLOOKUP(VALUE(_xlpm.x),device_tag!A:B,2,0),"error")))),"")</f>
        <v>独特设备</v>
      </c>
      <c r="Q109" s="11" t="s">
        <v>109</v>
      </c>
      <c r="X109" s="24" t="s">
        <v>82</v>
      </c>
      <c r="Y109" s="62" t="s">
        <v>612</v>
      </c>
      <c r="Z109" s="85" t="str" cm="1">
        <f t="array" aca="1" ref="Z109" ca="1">_xlfn.IFS($A109="","",OR(F109=99,F109=""),_xlfn.TEXTJOIN("_",1,X109,$A109,Y109),TRUE,OFFSET($Z109,-1,0))</f>
        <v>device_1331801_tesla</v>
      </c>
      <c r="AA109" s="91">
        <v>15</v>
      </c>
      <c r="AB109" s="90">
        <f t="shared" si="112"/>
        <v>2</v>
      </c>
      <c r="AC109" s="76">
        <f>ROUND($AD109*$AE109^$F109,0)</f>
        <v>219</v>
      </c>
      <c r="AD109" s="16">
        <v>13.05</v>
      </c>
      <c r="AE109" s="16">
        <f>POWER(1.6,2)</f>
        <v>2.5600000000000005</v>
      </c>
      <c r="AF109" s="11">
        <v>1</v>
      </c>
      <c r="AG109" s="11">
        <v>60</v>
      </c>
      <c r="AH109" s="11" t="str">
        <f t="shared" ref="AH109" si="115">_xlfn.TEXTJOIN("~",1,AI109:AJ109)</f>
        <v>1.4~12.5</v>
      </c>
      <c r="AI109" s="27">
        <v>1.4</v>
      </c>
      <c r="AJ109" s="27">
        <v>12.5</v>
      </c>
      <c r="AK109" s="110">
        <v>0</v>
      </c>
      <c r="AL109" s="110">
        <v>0</v>
      </c>
      <c r="AM109" s="110">
        <v>0</v>
      </c>
      <c r="AN109" s="110">
        <v>0</v>
      </c>
      <c r="AO109" s="110">
        <v>0</v>
      </c>
      <c r="AP109" s="14" t="b">
        <v>0</v>
      </c>
      <c r="AQ109" s="84" t="s">
        <v>596</v>
      </c>
      <c r="AR109" s="40"/>
      <c r="AS109" s="40"/>
      <c r="AT109" s="40"/>
      <c r="AU109" s="38"/>
      <c r="AV109" s="38"/>
      <c r="AW109" s="38"/>
      <c r="AX109" s="11">
        <f>A109</f>
        <v>13318013</v>
      </c>
      <c r="AY109" s="11" t="str">
        <f t="shared" ref="AY109" si="116">_xlfn.TEXTJOIN("~",1,AZ109:BA109)</f>
        <v>6~3</v>
      </c>
      <c r="AZ109" s="27">
        <v>6</v>
      </c>
      <c r="BA109" s="27">
        <v>3</v>
      </c>
      <c r="BB109" s="50">
        <v>1</v>
      </c>
      <c r="BC109" s="88" t="s">
        <v>597</v>
      </c>
      <c r="BD109" s="59" t="s">
        <v>610</v>
      </c>
      <c r="BE109" s="28" t="str" cm="1">
        <f t="array" ref="BE109">IF(BD109&lt;&gt;"",_xlfn.TEXTJOIN("; ",1,VLOOKUP(VALUE(_xlfn.TEXTSPLIT(BD109,";")),device_cubicles!A:B,2,0)),"")</f>
        <v>近战攻击; 电磁充能</v>
      </c>
    </row>
    <row r="110" spans="1:57">
      <c r="A110" s="14">
        <v>13318014</v>
      </c>
      <c r="B110" s="11">
        <v>0</v>
      </c>
      <c r="C110" s="15" t="s">
        <v>651</v>
      </c>
      <c r="D110" s="15" t="s">
        <v>211</v>
      </c>
      <c r="E110" s="15" t="s">
        <v>650</v>
      </c>
      <c r="F110" s="11">
        <v>4</v>
      </c>
      <c r="G110" s="15" t="s">
        <v>595</v>
      </c>
      <c r="H110" s="84" t="str" cm="1">
        <f t="array" aca="1" ref="H110" ca="1">_xlfn.IFS($A110="","",OR($F110=99,$F110=""),_xlfn.TEXTJOIN("_",1,"device_name",$A110,$Y110),TRUE,OFFSET(H110,-1,0))</f>
        <v>device_name_1331801_tesla</v>
      </c>
      <c r="J110" s="14" t="str">
        <f>_xlfn.LET(_xlpm.get_device_type,VLOOKUP(VALUE(MID(A110,3,1)),tb_device_info_type[#All],3,0),_xlpm.check_if_wheel,IF(LEFT(A110,2)="12","wheel",_xlpm.get_device_type),_xlpm.raw_output,IF($A110&lt;&gt;"",_xlfn.TEXTJOIN("_",1,"device_alt",_xlpm.check_if_wheel),""),IFERROR(_xlpm.raw_output,"information missing"))</f>
        <v>device_alt_unique</v>
      </c>
      <c r="K110" s="14" t="str" cm="1">
        <f t="array" ref="K110">_xlfn.IFS($A110="","",ISTEXT($L110),_xlfn.CONCAT("dwt","[device_wheel_thumbnail_",RIGHT($A110,1)-1,"]"),TRUE,_xlfn.CONCAT("dt","[device_thumbnail_",IF($L110&lt;&gt;"",$L110,0),"]"))</f>
        <v>dt[device_thumbnail_37]</v>
      </c>
      <c r="L110" s="34">
        <v>37</v>
      </c>
      <c r="M110" s="14" t="s">
        <v>79</v>
      </c>
      <c r="N110" s="14" t="s">
        <v>80</v>
      </c>
      <c r="O110" s="36">
        <v>1420300</v>
      </c>
      <c r="P110" s="15" t="str" cm="1">
        <f t="array" ref="P110">IFERROR(_xlfn.TEXTJOIN(";",1,_xlfn.MAP(_xlfn.TEXTSPLIT(O110,";"),_xlfn.LAMBDA(_xlpm.x,IFERROR(VLOOKUP(VALUE(_xlpm.x),device_tag!A:B,2,0),"error")))),"")</f>
        <v>独特设备</v>
      </c>
      <c r="Q110" s="11" t="s">
        <v>109</v>
      </c>
      <c r="X110" s="24" t="s">
        <v>82</v>
      </c>
      <c r="Y110" s="62" t="s">
        <v>612</v>
      </c>
      <c r="Z110" s="85" t="str" cm="1">
        <f t="array" aca="1" ref="Z110" ca="1">_xlfn.IFS($A110="","",OR(F110=99,F110=""),_xlfn.TEXTJOIN("_",1,X110,$A110,Y110),TRUE,OFFSET($Z110,-1,0))</f>
        <v>device_1331801_tesla</v>
      </c>
      <c r="AA110" s="91">
        <v>15</v>
      </c>
      <c r="AB110" s="90">
        <f t="shared" si="112"/>
        <v>2</v>
      </c>
      <c r="AC110" s="76">
        <f>ROUND($AD110*$AE110^$F110,0)</f>
        <v>560</v>
      </c>
      <c r="AD110" s="16">
        <v>13.05</v>
      </c>
      <c r="AE110" s="16">
        <f>POWER(1.6,2)</f>
        <v>2.5600000000000005</v>
      </c>
      <c r="AF110" s="11">
        <v>1</v>
      </c>
      <c r="AG110" s="11">
        <v>60</v>
      </c>
      <c r="AH110" s="11" t="str">
        <f t="shared" ref="AH110" si="117">_xlfn.TEXTJOIN("~",1,AI110:AJ110)</f>
        <v>1.4~12.5</v>
      </c>
      <c r="AI110" s="27">
        <v>1.4</v>
      </c>
      <c r="AJ110" s="27">
        <v>12.5</v>
      </c>
      <c r="AK110" s="110">
        <v>0</v>
      </c>
      <c r="AL110" s="110">
        <v>0</v>
      </c>
      <c r="AM110" s="110">
        <v>0</v>
      </c>
      <c r="AN110" s="110">
        <v>0</v>
      </c>
      <c r="AO110" s="110">
        <v>0</v>
      </c>
      <c r="AP110" s="14" t="b">
        <v>0</v>
      </c>
      <c r="AQ110" s="84" t="s">
        <v>596</v>
      </c>
      <c r="AR110" s="40"/>
      <c r="AS110" s="40"/>
      <c r="AT110" s="40"/>
      <c r="AU110" s="38"/>
      <c r="AV110" s="38"/>
      <c r="AW110" s="38"/>
      <c r="AX110" s="11">
        <f>A110</f>
        <v>13318014</v>
      </c>
      <c r="AY110" s="11" t="str">
        <f t="shared" ref="AY110" si="118">_xlfn.TEXTJOIN("~",1,AZ110:BA110)</f>
        <v>6~3</v>
      </c>
      <c r="AZ110" s="27">
        <v>6</v>
      </c>
      <c r="BA110" s="27">
        <v>3</v>
      </c>
      <c r="BB110" s="50">
        <v>1</v>
      </c>
      <c r="BC110" s="88" t="s">
        <v>597</v>
      </c>
      <c r="BD110" s="59" t="s">
        <v>610</v>
      </c>
      <c r="BE110" s="28" t="str" cm="1">
        <f t="array" ref="BE110">IF(BD110&lt;&gt;"",_xlfn.TEXTJOIN("; ",1,VLOOKUP(VALUE(_xlfn.TEXTSPLIT(BD110,";")),device_cubicles!A:B,2,0)),"")</f>
        <v>近战攻击; 电磁充能</v>
      </c>
    </row>
    <row r="111" spans="1:57">
      <c r="A111" s="14">
        <v>130003002</v>
      </c>
      <c r="B111" s="11">
        <v>0</v>
      </c>
      <c r="C111" s="15" t="s">
        <v>265</v>
      </c>
      <c r="H111" s="14" t="str">
        <f t="shared" ref="H111:H115" si="119">IF($A111&lt;&gt;"",_xlfn.TEXTJOIN("_",1,"device_name",$A111,$Y111),"")</f>
        <v>device_name_130003002_waterthrower</v>
      </c>
      <c r="J111" s="14" t="str">
        <f>_xlfn.LET(_xlpm.get_device_type,VLOOKUP(VALUE(MID(A111,3,1)),tb_device_info_type[#All],3,0),_xlpm.check_if_wheel,IF(LEFT(A111,2)="12","wheel",_xlpm.get_device_type),_xlpm.raw_output,IF($A111&lt;&gt;"",_xlfn.TEXTJOIN("_",1,"device_alt",_xlpm.check_if_wheel),""),IFERROR(_xlpm.raw_output,"information missing"))</f>
        <v>information missing</v>
      </c>
      <c r="K111" s="14" t="str" cm="1">
        <f t="array" ref="K111">_xlfn.IFS($A111="","",ISTEXT($L111),_xlfn.CONCAT("dwt","[device_wheel_thumbnail_",RIGHT($A111,1)-1,"]"),TRUE,_xlfn.CONCAT("dt","[device_thumbnail_",IF($L111&lt;&gt;"",$L111,0),"]"))</f>
        <v>dt[device_thumbnail_0]</v>
      </c>
      <c r="M111" s="14" t="s">
        <v>79</v>
      </c>
      <c r="N111" s="14" t="s">
        <v>80</v>
      </c>
      <c r="O111" s="36"/>
      <c r="P111" s="15" t="str" cm="1">
        <f t="array" ref="P111">IFERROR(_xlfn.TEXTJOIN(";",1,_xlfn.MAP(_xlfn.TEXTSPLIT(O111,";"),_xlfn.LAMBDA(_xlpm.x,IFERROR(VLOOKUP(VALUE(_xlpm.x),device_tag!A:B,2,0),"error")))),"")</f>
        <v/>
      </c>
      <c r="Q111" s="11" t="s">
        <v>109</v>
      </c>
      <c r="S111" s="24">
        <v>0</v>
      </c>
      <c r="X111" s="24" t="s">
        <v>91</v>
      </c>
      <c r="Y111" s="24" t="s">
        <v>266</v>
      </c>
      <c r="Z111" s="85" t="str" cm="1">
        <f t="array" aca="1" ref="Z111" ca="1">_xlfn.IFS($A111="","",OR(F111=99,F111=""),_xlfn.TEXTJOIN("_",1,X111,$A111,Y111),TRUE,OFFSET($Z111,-1,0))</f>
        <v>dp_130003002_waterthrower</v>
      </c>
      <c r="AA111" s="11">
        <v>100</v>
      </c>
      <c r="AB111" s="11">
        <v>1</v>
      </c>
      <c r="AC111" s="11" t="s">
        <v>526</v>
      </c>
      <c r="AF111" s="40"/>
      <c r="AK111" s="110"/>
      <c r="AL111" s="110"/>
      <c r="AM111" s="110"/>
      <c r="AN111" s="110"/>
      <c r="AO111" s="110"/>
      <c r="BE111" s="28" t="str" cm="1">
        <f t="array" ref="BE111">IF(BD111&lt;&gt;"",_xlfn.TEXTJOIN("; ",1,VLOOKUP(VALUE(_xlfn.TEXTSPLIT(BD111,";")),device_cubicles!A:B,2,0)),"")</f>
        <v/>
      </c>
    </row>
    <row r="112" spans="1:57">
      <c r="A112" s="14">
        <v>130003004</v>
      </c>
      <c r="B112" s="11">
        <v>0</v>
      </c>
      <c r="C112" s="15" t="s">
        <v>267</v>
      </c>
      <c r="H112" s="14" t="str">
        <f t="shared" si="119"/>
        <v>device_name_130003004_bronze cannon</v>
      </c>
      <c r="J112" s="14" t="str">
        <f>_xlfn.LET(_xlpm.get_device_type,VLOOKUP(VALUE(MID(A112,3,1)),tb_device_info_type[#All],3,0),_xlpm.check_if_wheel,IF(LEFT(A112,2)="12","wheel",_xlpm.get_device_type),_xlpm.raw_output,IF($A112&lt;&gt;"",_xlfn.TEXTJOIN("_",1,"device_alt",_xlpm.check_if_wheel),""),IFERROR(_xlpm.raw_output,"information missing"))</f>
        <v>information missing</v>
      </c>
      <c r="K112" s="14" t="str" cm="1">
        <f t="array" ref="K112">_xlfn.IFS($A112="","",ISTEXT($L112),_xlfn.CONCAT("dwt","[device_wheel_thumbnail_",RIGHT($A112,1)-1,"]"),TRUE,_xlfn.CONCAT("dt","[device_thumbnail_",IF($L112&lt;&gt;"",$L112,0),"]"))</f>
        <v>dt[device_thumbnail_0]</v>
      </c>
      <c r="M112" s="14" t="s">
        <v>79</v>
      </c>
      <c r="N112" s="14" t="s">
        <v>80</v>
      </c>
      <c r="O112" s="36"/>
      <c r="P112" s="15" t="str" cm="1">
        <f t="array" ref="P112">IFERROR(_xlfn.TEXTJOIN(";",1,_xlfn.MAP(_xlfn.TEXTSPLIT(O112,";"),_xlfn.LAMBDA(_xlpm.x,IFERROR(VLOOKUP(VALUE(_xlpm.x),device_tag!A:B,2,0),"error")))),"")</f>
        <v/>
      </c>
      <c r="Q112" s="11" t="s">
        <v>109</v>
      </c>
      <c r="S112" s="24">
        <v>0</v>
      </c>
      <c r="X112" s="24" t="s">
        <v>91</v>
      </c>
      <c r="Y112" s="24" t="s">
        <v>268</v>
      </c>
      <c r="Z112" s="85" t="str" cm="1">
        <f t="array" aca="1" ref="Z112" ca="1">_xlfn.IFS($A112="","",OR(F112=99,F112=""),_xlfn.TEXTJOIN("_",1,X112,$A112,Y112),TRUE,OFFSET($Z112,-1,0))</f>
        <v>dp_130003004_bronze cannon</v>
      </c>
      <c r="AA112" s="11">
        <v>100</v>
      </c>
      <c r="AB112" s="11">
        <v>1</v>
      </c>
      <c r="AC112" s="11" t="s">
        <v>526</v>
      </c>
      <c r="AF112" s="40"/>
      <c r="AK112" s="110"/>
      <c r="AL112" s="110"/>
      <c r="AM112" s="110"/>
      <c r="AN112" s="110"/>
      <c r="AO112" s="110"/>
      <c r="BE112" s="28" t="str" cm="1">
        <f t="array" ref="BE112">IF(BD112&lt;&gt;"",_xlfn.TEXTJOIN("; ",1,VLOOKUP(VALUE(_xlfn.TEXTSPLIT(BD112,";")),device_cubicles!A:B,2,0)),"")</f>
        <v/>
      </c>
    </row>
    <row r="113" spans="1:59">
      <c r="A113" s="14">
        <v>130003005</v>
      </c>
      <c r="B113" s="11">
        <v>0</v>
      </c>
      <c r="C113" s="15" t="s">
        <v>269</v>
      </c>
      <c r="H113" s="14" t="str">
        <f t="shared" si="119"/>
        <v>device_name_130003005_giant_lance</v>
      </c>
      <c r="J113" s="14" t="str">
        <f>_xlfn.LET(_xlpm.get_device_type,VLOOKUP(VALUE(MID(A113,3,1)),tb_device_info_type[#All],3,0),_xlpm.check_if_wheel,IF(LEFT(A113,2)="12","wheel",_xlpm.get_device_type),_xlpm.raw_output,IF($A113&lt;&gt;"",_xlfn.TEXTJOIN("_",1,"device_alt",_xlpm.check_if_wheel),""),IFERROR(_xlpm.raw_output,"information missing"))</f>
        <v>information missing</v>
      </c>
      <c r="K113" s="14" t="str" cm="1">
        <f t="array" ref="K113">_xlfn.IFS($A113="","",ISTEXT($L113),_xlfn.CONCAT("dwt","[device_wheel_thumbnail_",RIGHT($A113,1)-1,"]"),TRUE,_xlfn.CONCAT("dt","[device_thumbnail_",IF($L113&lt;&gt;"",$L113,0),"]"))</f>
        <v>dt[device_thumbnail_0]</v>
      </c>
      <c r="M113" s="14" t="s">
        <v>79</v>
      </c>
      <c r="N113" s="14" t="s">
        <v>80</v>
      </c>
      <c r="O113" s="36"/>
      <c r="P113" s="15" t="str" cm="1">
        <f t="array" ref="P113">IFERROR(_xlfn.TEXTJOIN(";",1,_xlfn.MAP(_xlfn.TEXTSPLIT(O113,";"),_xlfn.LAMBDA(_xlpm.x,IFERROR(VLOOKUP(VALUE(_xlpm.x),device_tag!A:B,2,0),"error")))),"")</f>
        <v/>
      </c>
      <c r="Q113" s="11" t="s">
        <v>109</v>
      </c>
      <c r="S113" s="24">
        <v>0</v>
      </c>
      <c r="X113" s="24" t="s">
        <v>91</v>
      </c>
      <c r="Y113" s="24" t="s">
        <v>270</v>
      </c>
      <c r="Z113" s="85" t="str" cm="1">
        <f t="array" aca="1" ref="Z113" ca="1">_xlfn.IFS($A113="","",OR(F113=99,F113=""),_xlfn.TEXTJOIN("_",1,X113,$A113,Y113),TRUE,OFFSET($Z113,-1,0))</f>
        <v>dp_130003005_giant_lance</v>
      </c>
      <c r="AA113" s="11">
        <v>100</v>
      </c>
      <c r="AB113" s="11">
        <v>1</v>
      </c>
      <c r="AC113" s="11" t="s">
        <v>526</v>
      </c>
      <c r="AF113" s="40"/>
      <c r="AK113" s="110"/>
      <c r="AL113" s="110"/>
      <c r="AM113" s="110"/>
      <c r="AN113" s="110"/>
      <c r="AO113" s="110"/>
      <c r="BE113" s="28" t="str" cm="1">
        <f t="array" ref="BE113">IF(BD113&lt;&gt;"",_xlfn.TEXTJOIN("; ",1,VLOOKUP(VALUE(_xlfn.TEXTSPLIT(BD113,";")),device_cubicles!A:B,2,0)),"")</f>
        <v/>
      </c>
    </row>
    <row r="114" spans="1:59">
      <c r="A114" s="14">
        <v>130003006</v>
      </c>
      <c r="B114" s="11">
        <v>0</v>
      </c>
      <c r="C114" s="15" t="s">
        <v>271</v>
      </c>
      <c r="H114" s="14" t="str">
        <f t="shared" si="119"/>
        <v>device_name_130003006_dragon_rocket</v>
      </c>
      <c r="J114" s="14" t="str">
        <f>_xlfn.LET(_xlpm.get_device_type,VLOOKUP(VALUE(MID(A114,3,1)),tb_device_info_type[#All],3,0),_xlpm.check_if_wheel,IF(LEFT(A114,2)="12","wheel",_xlpm.get_device_type),_xlpm.raw_output,IF($A114&lt;&gt;"",_xlfn.TEXTJOIN("_",1,"device_alt",_xlpm.check_if_wheel),""),IFERROR(_xlpm.raw_output,"information missing"))</f>
        <v>information missing</v>
      </c>
      <c r="K114" s="14" t="str" cm="1">
        <f t="array" ref="K114">_xlfn.IFS($A114="","",ISTEXT($L114),_xlfn.CONCAT("dwt","[device_wheel_thumbnail_",RIGHT($A114,1)-1,"]"),TRUE,_xlfn.CONCAT("dt","[device_thumbnail_",IF($L114&lt;&gt;"",$L114,0),"]"))</f>
        <v>dt[device_thumbnail_0]</v>
      </c>
      <c r="M114" s="14" t="s">
        <v>79</v>
      </c>
      <c r="N114" s="14" t="s">
        <v>80</v>
      </c>
      <c r="O114" s="36"/>
      <c r="P114" s="15" t="str" cm="1">
        <f t="array" ref="P114">IFERROR(_xlfn.TEXTJOIN(";",1,_xlfn.MAP(_xlfn.TEXTSPLIT(O114,";"),_xlfn.LAMBDA(_xlpm.x,IFERROR(VLOOKUP(VALUE(_xlpm.x),device_tag!A:B,2,0),"error")))),"")</f>
        <v/>
      </c>
      <c r="Q114" s="11" t="s">
        <v>109</v>
      </c>
      <c r="S114" s="24">
        <v>0</v>
      </c>
      <c r="X114" s="24" t="s">
        <v>91</v>
      </c>
      <c r="Y114" s="24" t="s">
        <v>272</v>
      </c>
      <c r="Z114" s="85" t="str" cm="1">
        <f t="array" aca="1" ref="Z114" ca="1">_xlfn.IFS($A114="","",OR(F114=99,F114=""),_xlfn.TEXTJOIN("_",1,X114,$A114,Y114),TRUE,OFFSET($Z114,-1,0))</f>
        <v>dp_130003006_dragon_rocket</v>
      </c>
      <c r="AA114" s="11">
        <v>100</v>
      </c>
      <c r="AB114" s="11">
        <v>1</v>
      </c>
      <c r="AC114" s="11" t="s">
        <v>526</v>
      </c>
      <c r="AF114" s="40"/>
      <c r="AK114" s="110"/>
      <c r="AL114" s="110"/>
      <c r="AM114" s="110"/>
      <c r="AN114" s="110"/>
      <c r="AO114" s="110"/>
      <c r="BE114" s="28" t="str" cm="1">
        <f t="array" ref="BE114">IF(BD114&lt;&gt;"",_xlfn.TEXTJOIN("; ",1,VLOOKUP(VALUE(_xlfn.TEXTSPLIT(BD114,";")),device_cubicles!A:B,2,0)),"")</f>
        <v/>
      </c>
    </row>
    <row r="115" spans="1:59">
      <c r="A115" s="14">
        <v>130003007</v>
      </c>
      <c r="B115" s="11">
        <v>0</v>
      </c>
      <c r="C115" s="15" t="s">
        <v>273</v>
      </c>
      <c r="H115" s="14" t="str">
        <f t="shared" si="119"/>
        <v>device_name_130003007_cluster_rocket</v>
      </c>
      <c r="J115" s="14" t="str">
        <f>_xlfn.LET(_xlpm.get_device_type,VLOOKUP(VALUE(MID(A115,3,1)),tb_device_info_type[#All],3,0),_xlpm.check_if_wheel,IF(LEFT(A115,2)="12","wheel",_xlpm.get_device_type),_xlpm.raw_output,IF($A115&lt;&gt;"",_xlfn.TEXTJOIN("_",1,"device_alt",_xlpm.check_if_wheel),""),IFERROR(_xlpm.raw_output,"information missing"))</f>
        <v>information missing</v>
      </c>
      <c r="K115" s="14" t="str" cm="1">
        <f t="array" ref="K115">_xlfn.IFS($A115="","",ISTEXT($L115),_xlfn.CONCAT("dwt","[device_wheel_thumbnail_",RIGHT($A115,1)-1,"]"),TRUE,_xlfn.CONCAT("dt","[device_thumbnail_",IF($L115&lt;&gt;"",$L115,0),"]"))</f>
        <v>dt[device_thumbnail_0]</v>
      </c>
      <c r="M115" s="14" t="s">
        <v>79</v>
      </c>
      <c r="N115" s="14" t="s">
        <v>80</v>
      </c>
      <c r="O115" s="36"/>
      <c r="P115" s="15" t="str" cm="1">
        <f t="array" ref="P115">IFERROR(_xlfn.TEXTJOIN(";",1,_xlfn.MAP(_xlfn.TEXTSPLIT(O115,";"),_xlfn.LAMBDA(_xlpm.x,IFERROR(VLOOKUP(VALUE(_xlpm.x),device_tag!A:B,2,0),"error")))),"")</f>
        <v/>
      </c>
      <c r="Q115" s="11" t="s">
        <v>109</v>
      </c>
      <c r="S115" s="24">
        <v>0</v>
      </c>
      <c r="X115" s="24" t="s">
        <v>91</v>
      </c>
      <c r="Y115" s="24" t="s">
        <v>274</v>
      </c>
      <c r="Z115" s="85" t="str" cm="1">
        <f t="array" aca="1" ref="Z115" ca="1">_xlfn.IFS($A115="","",OR(F115=99,F115=""),_xlfn.TEXTJOIN("_",1,X115,$A115,Y115),TRUE,OFFSET($Z115,-1,0))</f>
        <v>dp_130003007_cluster_rocket</v>
      </c>
      <c r="AA115" s="11">
        <v>100</v>
      </c>
      <c r="AB115" s="11">
        <v>1</v>
      </c>
      <c r="AC115" s="11" t="s">
        <v>526</v>
      </c>
      <c r="AF115" s="40"/>
      <c r="AK115" s="110"/>
      <c r="AL115" s="110"/>
      <c r="AM115" s="110"/>
      <c r="AN115" s="110"/>
      <c r="AO115" s="110"/>
      <c r="BE115" s="28" t="str" cm="1">
        <f t="array" ref="BE115">IF(BD115&lt;&gt;"",_xlfn.TEXTJOIN("; ",1,VLOOKUP(VALUE(_xlfn.TEXTSPLIT(BD115,";")),device_cubicles!A:B,2,0)),"")</f>
        <v/>
      </c>
    </row>
    <row r="116" spans="1:59">
      <c r="J116" s="14" t="str">
        <f>_xlfn.LET(_xlpm.get_device_type,VLOOKUP(VALUE(MID(A116,3,1)),tb_device_info_type[#All],3,0),_xlpm.check_if_wheel,IF(LEFT(A116,2)="12","wheel",_xlpm.get_device_type),_xlpm.raw_output,IF($A116&lt;&gt;"",_xlfn.TEXTJOIN("_",1,"device_alt",_xlpm.check_if_wheel),""),IFERROR(_xlpm.raw_output,"information missing"))</f>
        <v/>
      </c>
      <c r="K116" s="14" t="str" cm="1">
        <f t="array" ref="K116">_xlfn.IFS($A116="","",ISTEXT($L116),_xlfn.CONCAT("dwt","[device_wheel_thumbnail_",RIGHT($A116,1)-1,"]"),TRUE,_xlfn.CONCAT("dt","[device_thumbnail_",IF($L116&lt;&gt;"",$L116,0),"]"))</f>
        <v/>
      </c>
      <c r="O116" s="36"/>
      <c r="P116" s="15" t="str" cm="1">
        <f t="array" ref="P116">IFERROR(_xlfn.TEXTJOIN(";",1,_xlfn.MAP(_xlfn.TEXTSPLIT(O116,";"),_xlfn.LAMBDA(_xlpm.x,IFERROR(VLOOKUP(VALUE(_xlpm.x),device_tag!A:B,2,0),"error")))),"")</f>
        <v/>
      </c>
      <c r="AC116" s="11" t="s">
        <v>526</v>
      </c>
      <c r="AK116" s="110"/>
      <c r="AL116" s="110"/>
      <c r="AM116" s="110"/>
      <c r="AN116" s="110"/>
      <c r="AO116" s="110"/>
      <c r="BE116" s="28" t="str" cm="1">
        <f t="array" ref="BE116">IF(BD116&lt;&gt;"",_xlfn.TEXTJOIN("; ",1,VLOOKUP(VALUE(_xlfn.TEXTSPLIT(BD116,";")),device_cubicles!A:B,2,0)),"")</f>
        <v/>
      </c>
    </row>
    <row r="117" spans="1:59">
      <c r="A117" s="14">
        <v>1340101</v>
      </c>
      <c r="B117" s="11">
        <v>0</v>
      </c>
      <c r="C117" s="15" t="s">
        <v>275</v>
      </c>
      <c r="D117" s="15" t="s">
        <v>77</v>
      </c>
      <c r="G117" s="15" t="s">
        <v>276</v>
      </c>
      <c r="H117" s="14" t="str">
        <f t="shared" ref="H117:H134" si="120">IF($A117&lt;&gt;"",_xlfn.TEXTJOIN("_",1,"device_name",$A117,$Y117),"")</f>
        <v>device_name_1340101_buckler</v>
      </c>
      <c r="J117" s="14" t="str">
        <f>_xlfn.LET(_xlpm.get_device_type,VLOOKUP(VALUE(MID(A117,3,1)),tb_device_info_type[#All],3,0),_xlpm.check_if_wheel,IF(LEFT(A117,2)="12","wheel",_xlpm.get_device_type),_xlpm.raw_output,IF($A117&lt;&gt;"",_xlfn.TEXTJOIN("_",1,"device_alt",_xlpm.check_if_wheel),""),IFERROR(_xlpm.raw_output,"information missing"))</f>
        <v>device_alt_shield</v>
      </c>
      <c r="K117" s="14" t="str" cm="1">
        <f t="array" ref="K117">_xlfn.IFS($A117="","",ISTEXT($L117),_xlfn.CONCAT("dwt","[device_wheel_thumbnail_",RIGHT($A117,1)-1,"]"),TRUE,_xlfn.CONCAT("dt","[device_thumbnail_",IF($L117&lt;&gt;"",$L117,0),"]"))</f>
        <v>dt[device_thumbnail_4]</v>
      </c>
      <c r="L117" s="34">
        <v>4</v>
      </c>
      <c r="M117" s="14" t="s">
        <v>79</v>
      </c>
      <c r="N117" s="14" t="s">
        <v>80</v>
      </c>
      <c r="O117" s="36">
        <v>1420400</v>
      </c>
      <c r="P117" s="15" t="str" cm="1">
        <f t="array" ref="P117">IFERROR(_xlfn.TEXTJOIN(";",1,_xlfn.MAP(_xlfn.TEXTSPLIT(O117,";"),_xlfn.LAMBDA(_xlpm.x,IFERROR(VLOOKUP(VALUE(_xlpm.x),device_tag!A:B,2,0),"error")))),"")</f>
        <v>盾牌</v>
      </c>
      <c r="Q117" s="11" t="s">
        <v>109</v>
      </c>
      <c r="V117" s="24">
        <v>0</v>
      </c>
      <c r="W117" s="24">
        <v>0</v>
      </c>
      <c r="X117" s="24" t="s">
        <v>82</v>
      </c>
      <c r="Y117" s="24" t="s">
        <v>277</v>
      </c>
      <c r="Z117" s="85" t="str" cm="1">
        <f t="array" aca="1" ref="Z117" ca="1">_xlfn.IFS($A117="","",OR(F117=99,F117=""),_xlfn.TEXTJOIN("_",1,X117,$A117,Y117),TRUE,OFFSET($Z117,-1,0))</f>
        <v>device_1340101_buckler</v>
      </c>
      <c r="AA117" s="11">
        <v>5</v>
      </c>
      <c r="AB117" s="11">
        <v>1</v>
      </c>
      <c r="AC117" s="11" t="s">
        <v>526</v>
      </c>
      <c r="AF117" s="40"/>
      <c r="AH117" s="11" t="str">
        <f t="shared" ref="AH117:AH125" si="121">_xlfn.TEXTJOIN("~",1,AI117:AJ117)</f>
        <v>0~6</v>
      </c>
      <c r="AI117" s="27">
        <v>0</v>
      </c>
      <c r="AJ117" s="27">
        <v>6</v>
      </c>
      <c r="AK117" s="110">
        <v>0</v>
      </c>
      <c r="AL117" s="110">
        <v>0</v>
      </c>
      <c r="AM117" s="110">
        <v>0</v>
      </c>
      <c r="AN117" s="110">
        <v>0</v>
      </c>
      <c r="AO117" s="110">
        <v>0</v>
      </c>
      <c r="AP117" s="14" t="b">
        <v>1</v>
      </c>
      <c r="AQ117" s="46" t="s">
        <v>278</v>
      </c>
      <c r="AR117" s="11">
        <v>10</v>
      </c>
      <c r="AS117" s="40"/>
      <c r="AT117" s="40"/>
      <c r="AU117" s="11">
        <f t="shared" ref="AU117:AU124" si="122">$A117</f>
        <v>1340101</v>
      </c>
      <c r="AV117" s="40"/>
      <c r="AW117" s="40"/>
      <c r="AX117" s="40"/>
      <c r="AY117" s="11" t="str">
        <f t="shared" ref="AY117" si="123">_xlfn.TEXTJOIN("~",1,AZ117:BA117)</f>
        <v>10~6</v>
      </c>
      <c r="AZ117" s="27">
        <v>10</v>
      </c>
      <c r="BA117" s="27">
        <v>6</v>
      </c>
      <c r="BB117" s="11" t="str">
        <f t="shared" ref="BB117" si="124">REPLACE($A117,1,1,6)</f>
        <v>6340101</v>
      </c>
      <c r="BC117" s="51" t="s">
        <v>279</v>
      </c>
      <c r="BE117" s="28" t="str" cm="1">
        <f t="array" ref="BE117">IF(BD117&lt;&gt;"",_xlfn.TEXTJOIN("; ",1,VLOOKUP(VALUE(_xlfn.TEXTSPLIT(BD117,";")),device_cubicles!A:B,2,0)),"")</f>
        <v/>
      </c>
    </row>
    <row r="118" spans="1:59">
      <c r="A118" s="14">
        <v>1340102</v>
      </c>
      <c r="B118" s="11">
        <v>0</v>
      </c>
      <c r="C118" s="15" t="s">
        <v>280</v>
      </c>
      <c r="D118" s="15" t="s">
        <v>77</v>
      </c>
      <c r="G118" s="15" t="s">
        <v>281</v>
      </c>
      <c r="H118" s="14" t="str">
        <f t="shared" si="120"/>
        <v>device_name_1340102_wooden_shield</v>
      </c>
      <c r="J118" s="14" t="str">
        <f>_xlfn.LET(_xlpm.get_device_type,VLOOKUP(VALUE(MID(A118,3,1)),tb_device_info_type[#All],3,0),_xlpm.check_if_wheel,IF(LEFT(A118,2)="12","wheel",_xlpm.get_device_type),_xlpm.raw_output,IF($A118&lt;&gt;"",_xlfn.TEXTJOIN("_",1,"device_alt",_xlpm.check_if_wheel),""),IFERROR(_xlpm.raw_output,"information missing"))</f>
        <v>device_alt_shield</v>
      </c>
      <c r="K118" s="14" t="str" cm="1">
        <f t="array" ref="K118">_xlfn.IFS($A118="","",ISTEXT($L118),_xlfn.CONCAT("dwt","[device_wheel_thumbnail_",RIGHT($A118,1)-1,"]"),TRUE,_xlfn.CONCAT("dt","[device_thumbnail_",IF($L118&lt;&gt;"",$L118,0),"]"))</f>
        <v>dt[device_thumbnail_25]</v>
      </c>
      <c r="L118" s="34">
        <v>25</v>
      </c>
      <c r="M118" s="14" t="s">
        <v>79</v>
      </c>
      <c r="N118" s="14" t="s">
        <v>80</v>
      </c>
      <c r="O118" s="36">
        <v>1420400</v>
      </c>
      <c r="P118" s="15" t="str" cm="1">
        <f t="array" ref="P118">IFERROR(_xlfn.TEXTJOIN(";",1,_xlfn.MAP(_xlfn.TEXTSPLIT(O118,";"),_xlfn.LAMBDA(_xlpm.x,IFERROR(VLOOKUP(VALUE(_xlpm.x),device_tag!A:B,2,0),"error")))),"")</f>
        <v>盾牌</v>
      </c>
      <c r="Q118" s="11" t="s">
        <v>109</v>
      </c>
      <c r="V118" s="24">
        <v>0</v>
      </c>
      <c r="W118" s="24">
        <v>0</v>
      </c>
      <c r="X118" s="24" t="s">
        <v>82</v>
      </c>
      <c r="Y118" s="24" t="s">
        <v>282</v>
      </c>
      <c r="Z118" s="85" t="str" cm="1">
        <f t="array" aca="1" ref="Z118" ca="1">_xlfn.IFS($A118="","",OR(F118=99,F118=""),_xlfn.TEXTJOIN("_",1,X118,$A118,Y118),TRUE,OFFSET($Z118,-1,0))</f>
        <v>device_1340102_wooden_shield</v>
      </c>
      <c r="AA118" s="11">
        <v>5</v>
      </c>
      <c r="AB118" s="11">
        <v>1</v>
      </c>
      <c r="AC118" s="11" t="s">
        <v>526</v>
      </c>
      <c r="AF118" s="40"/>
      <c r="AH118" s="11" t="str">
        <f t="shared" si="121"/>
        <v>0~6</v>
      </c>
      <c r="AI118" s="27">
        <v>0</v>
      </c>
      <c r="AJ118" s="27">
        <v>6</v>
      </c>
      <c r="AK118" s="110">
        <v>0</v>
      </c>
      <c r="AL118" s="110">
        <v>0</v>
      </c>
      <c r="AM118" s="110">
        <v>0</v>
      </c>
      <c r="AN118" s="110">
        <v>0</v>
      </c>
      <c r="AO118" s="110">
        <v>0</v>
      </c>
      <c r="AP118" s="14" t="b">
        <v>1</v>
      </c>
      <c r="AQ118" s="46" t="s">
        <v>278</v>
      </c>
      <c r="AR118" s="11">
        <v>10</v>
      </c>
      <c r="AS118" s="40"/>
      <c r="AT118" s="40"/>
      <c r="AU118" s="11">
        <f t="shared" si="122"/>
        <v>1340102</v>
      </c>
      <c r="AV118" s="40"/>
      <c r="AW118" s="40"/>
      <c r="AX118" s="40"/>
      <c r="AY118" s="11" t="str">
        <f t="shared" ref="AY118:AY119" si="125">_xlfn.TEXTJOIN("~",1,AZ118:BA118)</f>
        <v>10~6</v>
      </c>
      <c r="AZ118" s="27">
        <v>10</v>
      </c>
      <c r="BA118" s="27">
        <v>6</v>
      </c>
      <c r="BB118" s="50">
        <v>1</v>
      </c>
      <c r="BC118" s="51" t="s">
        <v>279</v>
      </c>
      <c r="BE118" s="28" t="str" cm="1">
        <f t="array" ref="BE118">IF(BD118&lt;&gt;"",_xlfn.TEXTJOIN("; ",1,VLOOKUP(VALUE(_xlfn.TEXTSPLIT(BD118,";")),device_cubicles!A:B,2,0)),"")</f>
        <v/>
      </c>
      <c r="BG118" s="53"/>
    </row>
    <row r="119" spans="1:59">
      <c r="A119" s="14">
        <v>1340103</v>
      </c>
      <c r="B119" s="11">
        <v>0</v>
      </c>
      <c r="C119" s="15" t="s">
        <v>283</v>
      </c>
      <c r="D119" s="15" t="s">
        <v>77</v>
      </c>
      <c r="G119" s="15" t="s">
        <v>284</v>
      </c>
      <c r="H119" s="14" t="str">
        <f t="shared" si="120"/>
        <v>device_name_1340103_testudo</v>
      </c>
      <c r="J119" s="14" t="str">
        <f>_xlfn.LET(_xlpm.get_device_type,VLOOKUP(VALUE(MID(A119,3,1)),tb_device_info_type[#All],3,0),_xlpm.check_if_wheel,IF(LEFT(A119,2)="12","wheel",_xlpm.get_device_type),_xlpm.raw_output,IF($A119&lt;&gt;"",_xlfn.TEXTJOIN("_",1,"device_alt",_xlpm.check_if_wheel),""),IFERROR(_xlpm.raw_output,"information missing"))</f>
        <v>device_alt_shield</v>
      </c>
      <c r="K119" s="14" t="str" cm="1">
        <f t="array" ref="K119">_xlfn.IFS($A119="","",ISTEXT($L119),_xlfn.CONCAT("dwt","[device_wheel_thumbnail_",RIGHT($A119,1)-1,"]"),TRUE,_xlfn.CONCAT("dt","[device_thumbnail_",IF($L119&lt;&gt;"",$L119,0),"]"))</f>
        <v>dt[device_thumbnail_31]</v>
      </c>
      <c r="L119" s="34">
        <v>31</v>
      </c>
      <c r="M119" s="14" t="s">
        <v>79</v>
      </c>
      <c r="N119" s="14" t="s">
        <v>80</v>
      </c>
      <c r="O119" s="36">
        <v>1420400</v>
      </c>
      <c r="P119" s="15" t="str" cm="1">
        <f t="array" ref="P119">IFERROR(_xlfn.TEXTJOIN(";",1,_xlfn.MAP(_xlfn.TEXTSPLIT(O119,";"),_xlfn.LAMBDA(_xlpm.x,IFERROR(VLOOKUP(VALUE(_xlpm.x),device_tag!A:B,2,0),"error")))),"")</f>
        <v>盾牌</v>
      </c>
      <c r="Q119" s="11" t="s">
        <v>109</v>
      </c>
      <c r="V119" s="24">
        <v>0</v>
      </c>
      <c r="W119" s="24">
        <v>0</v>
      </c>
      <c r="X119" s="24" t="s">
        <v>82</v>
      </c>
      <c r="Y119" s="24" t="s">
        <v>285</v>
      </c>
      <c r="Z119" s="85" t="str" cm="1">
        <f t="array" aca="1" ref="Z119" ca="1">_xlfn.IFS($A119="","",OR(F119=99,F119=""),_xlfn.TEXTJOIN("_",1,X119,$A119,Y119),TRUE,OFFSET($Z119,-1,0))</f>
        <v>device_1340103_testudo</v>
      </c>
      <c r="AA119" s="11">
        <v>5</v>
      </c>
      <c r="AB119" s="11">
        <v>1</v>
      </c>
      <c r="AC119" s="11" t="s">
        <v>526</v>
      </c>
      <c r="AF119" s="40"/>
      <c r="AH119" s="11" t="str">
        <f t="shared" si="121"/>
        <v>0~6</v>
      </c>
      <c r="AI119" s="27">
        <v>0</v>
      </c>
      <c r="AJ119" s="27">
        <v>6</v>
      </c>
      <c r="AK119" s="110">
        <v>0</v>
      </c>
      <c r="AL119" s="110">
        <v>0</v>
      </c>
      <c r="AM119" s="110">
        <v>0</v>
      </c>
      <c r="AN119" s="110">
        <v>0</v>
      </c>
      <c r="AO119" s="110">
        <v>0</v>
      </c>
      <c r="AP119" s="14" t="b">
        <v>1</v>
      </c>
      <c r="AQ119" s="46" t="s">
        <v>278</v>
      </c>
      <c r="AR119" s="11">
        <v>10</v>
      </c>
      <c r="AS119" s="40"/>
      <c r="AT119" s="40"/>
      <c r="AU119" s="11">
        <f t="shared" si="122"/>
        <v>1340103</v>
      </c>
      <c r="AV119" s="40"/>
      <c r="AW119" s="40"/>
      <c r="AX119" s="40"/>
      <c r="AY119" s="11" t="str">
        <f t="shared" si="125"/>
        <v>10~6</v>
      </c>
      <c r="AZ119" s="27">
        <v>10</v>
      </c>
      <c r="BA119" s="27">
        <v>6</v>
      </c>
      <c r="BB119" s="50">
        <v>1</v>
      </c>
      <c r="BC119" s="51" t="s">
        <v>279</v>
      </c>
      <c r="BE119" s="28" t="str" cm="1">
        <f t="array" ref="BE119">IF(BD119&lt;&gt;"",_xlfn.TEXTJOIN("; ",1,VLOOKUP(VALUE(_xlfn.TEXTSPLIT(BD119,";")),device_cubicles!A:B,2,0)),"")</f>
        <v/>
      </c>
    </row>
    <row r="120" spans="1:59">
      <c r="A120" s="14">
        <v>1340104</v>
      </c>
      <c r="B120" s="11">
        <v>0</v>
      </c>
      <c r="C120" s="15" t="s">
        <v>286</v>
      </c>
      <c r="D120" s="15" t="s">
        <v>77</v>
      </c>
      <c r="G120" s="15" t="s">
        <v>287</v>
      </c>
      <c r="H120" s="14" t="str">
        <f t="shared" si="120"/>
        <v>device_name_1340104_leather_shield</v>
      </c>
      <c r="J120" s="14" t="str">
        <f>_xlfn.LET(_xlpm.get_device_type,VLOOKUP(VALUE(MID(A120,3,1)),tb_device_info_type[#All],3,0),_xlpm.check_if_wheel,IF(LEFT(A120,2)="12","wheel",_xlpm.get_device_type),_xlpm.raw_output,IF($A120&lt;&gt;"",_xlfn.TEXTJOIN("_",1,"device_alt",_xlpm.check_if_wheel),""),IFERROR(_xlpm.raw_output,"information missing"))</f>
        <v>device_alt_shield</v>
      </c>
      <c r="K120" s="14" t="str" cm="1">
        <f t="array" ref="K120">_xlfn.IFS($A120="","",ISTEXT($L120),_xlfn.CONCAT("dwt","[device_wheel_thumbnail_",RIGHT($A120,1)-1,"]"),TRUE,_xlfn.CONCAT("dt","[device_thumbnail_",IF($L120&lt;&gt;"",$L120,0),"]"))</f>
        <v>dt[device_thumbnail_14]</v>
      </c>
      <c r="L120" s="34">
        <v>14</v>
      </c>
      <c r="M120" s="14" t="s">
        <v>79</v>
      </c>
      <c r="N120" s="14" t="s">
        <v>80</v>
      </c>
      <c r="O120" s="36">
        <v>1420400</v>
      </c>
      <c r="P120" s="15" t="str" cm="1">
        <f t="array" ref="P120">IFERROR(_xlfn.TEXTJOIN(";",1,_xlfn.MAP(_xlfn.TEXTSPLIT(O120,";"),_xlfn.LAMBDA(_xlpm.x,IFERROR(VLOOKUP(VALUE(_xlpm.x),device_tag!A:B,2,0),"error")))),"")</f>
        <v>盾牌</v>
      </c>
      <c r="Q120" s="11" t="s">
        <v>109</v>
      </c>
      <c r="V120" s="24">
        <v>0</v>
      </c>
      <c r="W120" s="24">
        <v>0</v>
      </c>
      <c r="X120" s="24" t="s">
        <v>82</v>
      </c>
      <c r="Y120" s="24" t="s">
        <v>288</v>
      </c>
      <c r="Z120" s="85" t="str" cm="1">
        <f t="array" aca="1" ref="Z120" ca="1">_xlfn.IFS($A120="","",OR(F120=99,F120=""),_xlfn.TEXTJOIN("_",1,X120,$A120,Y120),TRUE,OFFSET($Z120,-1,0))</f>
        <v>device_1340104_leather_shield</v>
      </c>
      <c r="AA120" s="11">
        <v>5</v>
      </c>
      <c r="AB120" s="11">
        <v>1</v>
      </c>
      <c r="AC120" s="11" t="s">
        <v>526</v>
      </c>
      <c r="AF120" s="40"/>
      <c r="AH120" s="11" t="str">
        <f t="shared" si="121"/>
        <v>0~6</v>
      </c>
      <c r="AI120" s="27">
        <v>0</v>
      </c>
      <c r="AJ120" s="27">
        <v>6</v>
      </c>
      <c r="AK120" s="110">
        <v>0</v>
      </c>
      <c r="AL120" s="110">
        <v>0</v>
      </c>
      <c r="AM120" s="110">
        <v>0</v>
      </c>
      <c r="AN120" s="110">
        <v>0</v>
      </c>
      <c r="AO120" s="110">
        <v>0</v>
      </c>
      <c r="AP120" s="14" t="b">
        <v>1</v>
      </c>
      <c r="AQ120" s="46" t="s">
        <v>278</v>
      </c>
      <c r="AR120" s="11">
        <v>10</v>
      </c>
      <c r="AS120" s="40"/>
      <c r="AT120" s="40"/>
      <c r="AU120" s="11">
        <f t="shared" si="122"/>
        <v>1340104</v>
      </c>
      <c r="AV120" s="40"/>
      <c r="AW120" s="40"/>
      <c r="AX120" s="40"/>
      <c r="AY120" s="11" t="str">
        <f t="shared" ref="AY120:AY121" si="126">_xlfn.TEXTJOIN("~",1,AZ120:BA120)</f>
        <v>10~6</v>
      </c>
      <c r="AZ120" s="27">
        <v>10</v>
      </c>
      <c r="BA120" s="27">
        <v>6</v>
      </c>
      <c r="BB120" s="50">
        <v>1</v>
      </c>
      <c r="BC120" s="51" t="s">
        <v>279</v>
      </c>
      <c r="BE120" s="28" t="str" cm="1">
        <f t="array" ref="BE120">IF(BD120&lt;&gt;"",_xlfn.TEXTJOIN("; ",1,VLOOKUP(VALUE(_xlfn.TEXTSPLIT(BD120,";")),device_cubicles!A:B,2,0)),"")</f>
        <v/>
      </c>
    </row>
    <row r="121" spans="1:59">
      <c r="A121" s="14">
        <v>1340105</v>
      </c>
      <c r="B121" s="11">
        <v>0</v>
      </c>
      <c r="C121" s="15" t="s">
        <v>289</v>
      </c>
      <c r="D121" s="15" t="s">
        <v>77</v>
      </c>
      <c r="G121" s="15" t="s">
        <v>290</v>
      </c>
      <c r="H121" s="14" t="str">
        <f t="shared" si="120"/>
        <v>device_name_1340105_metal_plate</v>
      </c>
      <c r="J121" s="14" t="str">
        <f>_xlfn.LET(_xlpm.get_device_type,VLOOKUP(VALUE(MID(A121,3,1)),tb_device_info_type[#All],3,0),_xlpm.check_if_wheel,IF(LEFT(A121,2)="12","wheel",_xlpm.get_device_type),_xlpm.raw_output,IF($A121&lt;&gt;"",_xlfn.TEXTJOIN("_",1,"device_alt",_xlpm.check_if_wheel),""),IFERROR(_xlpm.raw_output,"information missing"))</f>
        <v>device_alt_shield</v>
      </c>
      <c r="K121" s="14" t="str" cm="1">
        <f t="array" ref="K121">_xlfn.IFS($A121="","",ISTEXT($L121),_xlfn.CONCAT("dwt","[device_wheel_thumbnail_",RIGHT($A121,1)-1,"]"),TRUE,_xlfn.CONCAT("dt","[device_thumbnail_",IF($L121&lt;&gt;"",$L121,0),"]"))</f>
        <v>dt[device_thumbnail_18]</v>
      </c>
      <c r="L121" s="34">
        <v>18</v>
      </c>
      <c r="M121" s="14" t="s">
        <v>79</v>
      </c>
      <c r="N121" s="14" t="s">
        <v>80</v>
      </c>
      <c r="O121" s="36">
        <v>1420400</v>
      </c>
      <c r="P121" s="15" t="str" cm="1">
        <f t="array" ref="P121">IFERROR(_xlfn.TEXTJOIN(";",1,_xlfn.MAP(_xlfn.TEXTSPLIT(O121,";"),_xlfn.LAMBDA(_xlpm.x,IFERROR(VLOOKUP(VALUE(_xlpm.x),device_tag!A:B,2,0),"error")))),"")</f>
        <v>盾牌</v>
      </c>
      <c r="Q121" s="11" t="s">
        <v>109</v>
      </c>
      <c r="V121" s="24">
        <v>0</v>
      </c>
      <c r="W121" s="24">
        <v>0</v>
      </c>
      <c r="X121" s="24" t="s">
        <v>82</v>
      </c>
      <c r="Y121" s="24" t="s">
        <v>291</v>
      </c>
      <c r="Z121" s="85" t="str" cm="1">
        <f t="array" aca="1" ref="Z121" ca="1">_xlfn.IFS($A121="","",OR(F121=99,F121=""),_xlfn.TEXTJOIN("_",1,X121,$A121,Y121),TRUE,OFFSET($Z121,-1,0))</f>
        <v>device_1340105_metal_plate</v>
      </c>
      <c r="AA121" s="11">
        <v>5</v>
      </c>
      <c r="AB121" s="11">
        <v>1</v>
      </c>
      <c r="AC121" s="11" t="s">
        <v>526</v>
      </c>
      <c r="AF121" s="40"/>
      <c r="AH121" s="11" t="str">
        <f t="shared" si="121"/>
        <v>0~6</v>
      </c>
      <c r="AI121" s="27">
        <v>0</v>
      </c>
      <c r="AJ121" s="27">
        <v>6</v>
      </c>
      <c r="AK121" s="110">
        <v>0</v>
      </c>
      <c r="AL121" s="110">
        <v>0</v>
      </c>
      <c r="AM121" s="110">
        <v>0</v>
      </c>
      <c r="AN121" s="110">
        <v>0</v>
      </c>
      <c r="AO121" s="110">
        <v>0</v>
      </c>
      <c r="AP121" s="14" t="b">
        <v>1</v>
      </c>
      <c r="AQ121" s="46" t="s">
        <v>278</v>
      </c>
      <c r="AR121" s="11">
        <v>10</v>
      </c>
      <c r="AS121" s="40"/>
      <c r="AT121" s="40"/>
      <c r="AU121" s="11">
        <f t="shared" si="122"/>
        <v>1340105</v>
      </c>
      <c r="AV121" s="40"/>
      <c r="AW121" s="40"/>
      <c r="AX121" s="40"/>
      <c r="AY121" s="11" t="str">
        <f t="shared" si="126"/>
        <v>10~6</v>
      </c>
      <c r="AZ121" s="27">
        <v>10</v>
      </c>
      <c r="BA121" s="27">
        <v>6</v>
      </c>
      <c r="BB121" s="50">
        <v>1</v>
      </c>
      <c r="BC121" s="51" t="s">
        <v>279</v>
      </c>
      <c r="BE121" s="28" t="str" cm="1">
        <f t="array" ref="BE121">IF(BD121&lt;&gt;"",_xlfn.TEXTJOIN("; ",1,VLOOKUP(VALUE(_xlfn.TEXTSPLIT(BD121,";")),device_cubicles!A:B,2,0)),"")</f>
        <v/>
      </c>
    </row>
    <row r="122" spans="1:59">
      <c r="A122" s="14">
        <v>1340106</v>
      </c>
      <c r="B122" s="11">
        <v>0</v>
      </c>
      <c r="C122" s="15" t="s">
        <v>292</v>
      </c>
      <c r="D122" s="15" t="s">
        <v>77</v>
      </c>
      <c r="G122" s="15" t="s">
        <v>293</v>
      </c>
      <c r="H122" s="14" t="str">
        <f t="shared" si="120"/>
        <v>device_name_1340106_spiked_shield</v>
      </c>
      <c r="J122" s="14" t="str">
        <f>_xlfn.LET(_xlpm.get_device_type,VLOOKUP(VALUE(MID(A122,3,1)),tb_device_info_type[#All],3,0),_xlpm.check_if_wheel,IF(LEFT(A122,2)="12","wheel",_xlpm.get_device_type),_xlpm.raw_output,IF($A122&lt;&gt;"",_xlfn.TEXTJOIN("_",1,"device_alt",_xlpm.check_if_wheel),""),IFERROR(_xlpm.raw_output,"information missing"))</f>
        <v>device_alt_shield</v>
      </c>
      <c r="K122" s="14" t="str" cm="1">
        <f t="array" ref="K122">_xlfn.IFS($A122="","",ISTEXT($L122),_xlfn.CONCAT("dwt","[device_wheel_thumbnail_",RIGHT($A122,1)-1,"]"),TRUE,_xlfn.CONCAT("dt","[device_thumbnail_",IF($L122&lt;&gt;"",$L122,0),"]"))</f>
        <v>dt[device_thumbnail_30]</v>
      </c>
      <c r="L122" s="34">
        <v>30</v>
      </c>
      <c r="M122" s="14" t="s">
        <v>79</v>
      </c>
      <c r="N122" s="14" t="s">
        <v>80</v>
      </c>
      <c r="O122" s="36">
        <v>1420400</v>
      </c>
      <c r="P122" s="15" t="str" cm="1">
        <f t="array" ref="P122">IFERROR(_xlfn.TEXTJOIN(";",1,_xlfn.MAP(_xlfn.TEXTSPLIT(O122,";"),_xlfn.LAMBDA(_xlpm.x,IFERROR(VLOOKUP(VALUE(_xlpm.x),device_tag!A:B,2,0),"error")))),"")</f>
        <v>盾牌</v>
      </c>
      <c r="Q122" s="11" t="s">
        <v>109</v>
      </c>
      <c r="V122" s="24">
        <v>0</v>
      </c>
      <c r="W122" s="24">
        <v>0</v>
      </c>
      <c r="X122" s="24" t="s">
        <v>82</v>
      </c>
      <c r="Y122" s="24" t="s">
        <v>294</v>
      </c>
      <c r="Z122" s="85" t="str" cm="1">
        <f t="array" aca="1" ref="Z122" ca="1">_xlfn.IFS($A122="","",OR(F122=99,F122=""),_xlfn.TEXTJOIN("_",1,X122,$A122,Y122),TRUE,OFFSET($Z122,-1,0))</f>
        <v>device_1340106_spiked_shield</v>
      </c>
      <c r="AA122" s="11">
        <v>5</v>
      </c>
      <c r="AB122" s="11">
        <v>1</v>
      </c>
      <c r="AC122" s="11" t="s">
        <v>526</v>
      </c>
      <c r="AF122" s="40"/>
      <c r="AH122" s="11" t="str">
        <f t="shared" si="121"/>
        <v>0~6</v>
      </c>
      <c r="AI122" s="27">
        <v>0</v>
      </c>
      <c r="AJ122" s="27">
        <v>6</v>
      </c>
      <c r="AK122" s="110">
        <v>0</v>
      </c>
      <c r="AL122" s="110">
        <v>0</v>
      </c>
      <c r="AM122" s="110">
        <v>0</v>
      </c>
      <c r="AN122" s="110">
        <v>0</v>
      </c>
      <c r="AO122" s="110">
        <v>0</v>
      </c>
      <c r="AP122" s="14" t="b">
        <v>1</v>
      </c>
      <c r="AQ122" s="46" t="s">
        <v>278</v>
      </c>
      <c r="AR122" s="11">
        <v>10</v>
      </c>
      <c r="AS122" s="40"/>
      <c r="AT122" s="40"/>
      <c r="AU122" s="11">
        <f t="shared" si="122"/>
        <v>1340106</v>
      </c>
      <c r="AV122" s="40"/>
      <c r="AW122" s="40"/>
      <c r="AX122" s="40"/>
      <c r="AY122" s="11" t="str">
        <f t="shared" ref="AY122:AY123" si="127">_xlfn.TEXTJOIN("~",1,AZ122:BA122)</f>
        <v>10~6</v>
      </c>
      <c r="AZ122" s="27">
        <v>10</v>
      </c>
      <c r="BA122" s="27">
        <v>6</v>
      </c>
      <c r="BB122" s="50">
        <v>1</v>
      </c>
      <c r="BC122" s="51" t="s">
        <v>279</v>
      </c>
      <c r="BE122" s="28" t="str" cm="1">
        <f t="array" ref="BE122">IF(BD122&lt;&gt;"",_xlfn.TEXTJOIN("; ",1,VLOOKUP(VALUE(_xlfn.TEXTSPLIT(BD122,";")),device_cubicles!A:B,2,0)),"")</f>
        <v/>
      </c>
    </row>
    <row r="123" spans="1:59">
      <c r="A123" s="14">
        <v>1340107</v>
      </c>
      <c r="B123" s="11">
        <v>0</v>
      </c>
      <c r="C123" s="15" t="s">
        <v>295</v>
      </c>
      <c r="D123" s="15" t="s">
        <v>77</v>
      </c>
      <c r="G123" s="15" t="s">
        <v>296</v>
      </c>
      <c r="H123" s="14" t="str">
        <f t="shared" si="120"/>
        <v>device_name_1340107_vine_shield</v>
      </c>
      <c r="J123" s="14" t="str">
        <f>_xlfn.LET(_xlpm.get_device_type,VLOOKUP(VALUE(MID(A123,3,1)),tb_device_info_type[#All],3,0),_xlpm.check_if_wheel,IF(LEFT(A123,2)="12","wheel",_xlpm.get_device_type),_xlpm.raw_output,IF($A123&lt;&gt;"",_xlfn.TEXTJOIN("_",1,"device_alt",_xlpm.check_if_wheel),""),IFERROR(_xlpm.raw_output,"information missing"))</f>
        <v>device_alt_shield</v>
      </c>
      <c r="K123" s="14" t="str" cm="1">
        <f t="array" ref="K123">_xlfn.IFS($A123="","",ISTEXT($L123),_xlfn.CONCAT("dwt","[device_wheel_thumbnail_",RIGHT($A123,1)-1,"]"),TRUE,_xlfn.CONCAT("dt","[device_thumbnail_",IF($L123&lt;&gt;"",$L123,0),"]"))</f>
        <v>dt[device_thumbnail_32]</v>
      </c>
      <c r="L123" s="34">
        <v>32</v>
      </c>
      <c r="M123" s="14" t="s">
        <v>79</v>
      </c>
      <c r="N123" s="14" t="s">
        <v>80</v>
      </c>
      <c r="O123" s="36">
        <v>1420400</v>
      </c>
      <c r="P123" s="15" t="str" cm="1">
        <f t="array" ref="P123">IFERROR(_xlfn.TEXTJOIN(";",1,_xlfn.MAP(_xlfn.TEXTSPLIT(O123,";"),_xlfn.LAMBDA(_xlpm.x,IFERROR(VLOOKUP(VALUE(_xlpm.x),device_tag!A:B,2,0),"error")))),"")</f>
        <v>盾牌</v>
      </c>
      <c r="Q123" s="11" t="s">
        <v>109</v>
      </c>
      <c r="V123" s="24">
        <v>0</v>
      </c>
      <c r="W123" s="24">
        <v>0</v>
      </c>
      <c r="X123" s="24" t="s">
        <v>82</v>
      </c>
      <c r="Y123" s="24" t="s">
        <v>297</v>
      </c>
      <c r="Z123" s="85" t="str" cm="1">
        <f t="array" aca="1" ref="Z123" ca="1">_xlfn.IFS($A123="","",OR(F123=99,F123=""),_xlfn.TEXTJOIN("_",1,X123,$A123,Y123),TRUE,OFFSET($Z123,-1,0))</f>
        <v>device_1340107_vine_shield</v>
      </c>
      <c r="AA123" s="11">
        <v>5</v>
      </c>
      <c r="AB123" s="11">
        <v>1</v>
      </c>
      <c r="AC123" s="11" t="s">
        <v>526</v>
      </c>
      <c r="AF123" s="40"/>
      <c r="AH123" s="11" t="str">
        <f t="shared" si="121"/>
        <v>0~6</v>
      </c>
      <c r="AI123" s="27">
        <v>0</v>
      </c>
      <c r="AJ123" s="27">
        <v>6</v>
      </c>
      <c r="AK123" s="110">
        <v>0</v>
      </c>
      <c r="AL123" s="110">
        <v>0</v>
      </c>
      <c r="AM123" s="110">
        <v>0</v>
      </c>
      <c r="AN123" s="110">
        <v>0</v>
      </c>
      <c r="AO123" s="110">
        <v>0</v>
      </c>
      <c r="AP123" s="14" t="b">
        <v>1</v>
      </c>
      <c r="AQ123" s="46" t="s">
        <v>278</v>
      </c>
      <c r="AR123" s="11">
        <v>10</v>
      </c>
      <c r="AS123" s="40"/>
      <c r="AT123" s="40"/>
      <c r="AU123" s="11">
        <f t="shared" si="122"/>
        <v>1340107</v>
      </c>
      <c r="AV123" s="40"/>
      <c r="AW123" s="40"/>
      <c r="AX123" s="40"/>
      <c r="AY123" s="11" t="str">
        <f t="shared" si="127"/>
        <v>10~6</v>
      </c>
      <c r="AZ123" s="27">
        <v>10</v>
      </c>
      <c r="BA123" s="27">
        <v>6</v>
      </c>
      <c r="BB123" s="50">
        <v>1</v>
      </c>
      <c r="BC123" s="51" t="s">
        <v>279</v>
      </c>
      <c r="BE123" s="28" t="str" cm="1">
        <f t="array" ref="BE123">IF(BD123&lt;&gt;"",_xlfn.TEXTJOIN("; ",1,VLOOKUP(VALUE(_xlfn.TEXTSPLIT(BD123,";")),device_cubicles!A:B,2,0)),"")</f>
        <v/>
      </c>
    </row>
    <row r="124" spans="1:59">
      <c r="A124" s="14">
        <v>1340108</v>
      </c>
      <c r="B124" s="11">
        <v>0</v>
      </c>
      <c r="C124" s="15" t="s">
        <v>298</v>
      </c>
      <c r="D124" s="15" t="s">
        <v>77</v>
      </c>
      <c r="G124" s="15" t="s">
        <v>299</v>
      </c>
      <c r="H124" s="14" t="str">
        <f t="shared" si="120"/>
        <v>device_name_1340108_protective_short_sword</v>
      </c>
      <c r="J124" s="14" t="str">
        <f>_xlfn.LET(_xlpm.get_device_type,VLOOKUP(VALUE(MID(A124,3,1)),tb_device_info_type[#All],3,0),_xlpm.check_if_wheel,IF(LEFT(A124,2)="12","wheel",_xlpm.get_device_type),_xlpm.raw_output,IF($A124&lt;&gt;"",_xlfn.TEXTJOIN("_",1,"device_alt",_xlpm.check_if_wheel),""),IFERROR(_xlpm.raw_output,"information missing"))</f>
        <v>device_alt_shield</v>
      </c>
      <c r="K124" s="14" t="str" cm="1">
        <f t="array" ref="K124">_xlfn.IFS($A124="","",ISTEXT($L124),_xlfn.CONCAT("dwt","[device_wheel_thumbnail_",RIGHT($A124,1)-1,"]"),TRUE,_xlfn.CONCAT("dt","[device_thumbnail_",IF($L124&lt;&gt;"",$L124,0),"]"))</f>
        <v>dt[device_thumbnail_22]</v>
      </c>
      <c r="L124" s="34">
        <v>22</v>
      </c>
      <c r="M124" s="14" t="s">
        <v>79</v>
      </c>
      <c r="N124" s="14" t="s">
        <v>80</v>
      </c>
      <c r="O124" s="36">
        <v>1420400</v>
      </c>
      <c r="P124" s="15" t="str" cm="1">
        <f t="array" ref="P124">IFERROR(_xlfn.TEXTJOIN(";",1,_xlfn.MAP(_xlfn.TEXTSPLIT(O124,";"),_xlfn.LAMBDA(_xlpm.x,IFERROR(VLOOKUP(VALUE(_xlpm.x),device_tag!A:B,2,0),"error")))),"")</f>
        <v>盾牌</v>
      </c>
      <c r="Q124" s="11" t="s">
        <v>109</v>
      </c>
      <c r="V124" s="24">
        <v>0</v>
      </c>
      <c r="W124" s="24">
        <v>0</v>
      </c>
      <c r="X124" s="24" t="s">
        <v>82</v>
      </c>
      <c r="Y124" s="24" t="s">
        <v>300</v>
      </c>
      <c r="Z124" s="85" t="str" cm="1">
        <f t="array" aca="1" ref="Z124" ca="1">_xlfn.IFS($A124="","",OR(F124=99,F124=""),_xlfn.TEXTJOIN("_",1,X124,$A124,Y124),TRUE,OFFSET($Z124,-1,0))</f>
        <v>device_1340108_protective_short_sword</v>
      </c>
      <c r="AA124" s="11">
        <v>5</v>
      </c>
      <c r="AB124" s="11">
        <v>1</v>
      </c>
      <c r="AC124" s="11" t="s">
        <v>526</v>
      </c>
      <c r="AF124" s="40"/>
      <c r="AH124" s="11" t="str">
        <f t="shared" si="121"/>
        <v>0~6</v>
      </c>
      <c r="AI124" s="27">
        <v>0</v>
      </c>
      <c r="AJ124" s="27">
        <v>6</v>
      </c>
      <c r="AK124" s="110">
        <v>0</v>
      </c>
      <c r="AL124" s="110">
        <v>0</v>
      </c>
      <c r="AM124" s="110">
        <v>0</v>
      </c>
      <c r="AN124" s="110">
        <v>0</v>
      </c>
      <c r="AO124" s="110">
        <v>0</v>
      </c>
      <c r="AP124" s="14" t="b">
        <v>1</v>
      </c>
      <c r="AQ124" s="46" t="s">
        <v>278</v>
      </c>
      <c r="AR124" s="11">
        <v>10</v>
      </c>
      <c r="AS124" s="40"/>
      <c r="AT124" s="40"/>
      <c r="AU124" s="11">
        <f t="shared" si="122"/>
        <v>1340108</v>
      </c>
      <c r="AV124" s="40"/>
      <c r="AW124" s="40"/>
      <c r="AX124" s="40"/>
      <c r="AY124" s="11" t="str">
        <f t="shared" ref="AY124:AY125" si="128">_xlfn.TEXTJOIN("~",1,AZ124:BA124)</f>
        <v>10~6</v>
      </c>
      <c r="AZ124" s="27">
        <v>10</v>
      </c>
      <c r="BA124" s="27">
        <v>6</v>
      </c>
      <c r="BB124" s="50">
        <v>1</v>
      </c>
      <c r="BC124" s="51" t="s">
        <v>279</v>
      </c>
      <c r="BE124" s="28" t="str" cm="1">
        <f t="array" ref="BE124">IF(BD124&lt;&gt;"",_xlfn.TEXTJOIN("; ",1,VLOOKUP(VALUE(_xlfn.TEXTSPLIT(BD124,";")),device_cubicles!A:B,2,0)),"")</f>
        <v/>
      </c>
    </row>
    <row r="125" spans="1:59">
      <c r="A125" s="14">
        <v>1340109</v>
      </c>
      <c r="B125" s="11">
        <v>0</v>
      </c>
      <c r="C125" s="15" t="s">
        <v>301</v>
      </c>
      <c r="D125" s="15" t="s">
        <v>211</v>
      </c>
      <c r="G125" s="15" t="s">
        <v>302</v>
      </c>
      <c r="H125" s="14" t="str">
        <f t="shared" si="120"/>
        <v>device_name_1340109_shield_generator</v>
      </c>
      <c r="J125" s="14" t="str">
        <f>_xlfn.LET(_xlpm.get_device_type,VLOOKUP(VALUE(MID(A125,3,1)),tb_device_info_type[#All],3,0),_xlpm.check_if_wheel,IF(LEFT(A125,2)="12","wheel",_xlpm.get_device_type),_xlpm.raw_output,IF($A125&lt;&gt;"",_xlfn.TEXTJOIN("_",1,"device_alt",_xlpm.check_if_wheel),""),IFERROR(_xlpm.raw_output,"information missing"))</f>
        <v>device_alt_shield</v>
      </c>
      <c r="K125" s="14" t="str" cm="1">
        <f t="array" ref="K125">_xlfn.IFS($A125="","",ISTEXT($L125),_xlfn.CONCAT("dwt","[device_wheel_thumbnail_",RIGHT($A125,1)-1,"]"),TRUE,_xlfn.CONCAT("dt","[device_thumbnail_",IF($L125&lt;&gt;"",$L125,0),"]"))</f>
        <v>dt[device_thumbnail_22]</v>
      </c>
      <c r="L125" s="16">
        <v>22</v>
      </c>
      <c r="M125" s="14" t="s">
        <v>79</v>
      </c>
      <c r="N125" s="14" t="s">
        <v>80</v>
      </c>
      <c r="O125" s="36">
        <v>1420400</v>
      </c>
      <c r="P125" s="15" t="str" cm="1">
        <f t="array" ref="P125">IFERROR(_xlfn.TEXTJOIN(";",1,_xlfn.MAP(_xlfn.TEXTSPLIT(O125,";"),_xlfn.LAMBDA(_xlpm.x,IFERROR(VLOOKUP(VALUE(_xlpm.x),device_tag!A:B,2,0),"error")))),"")</f>
        <v>盾牌</v>
      </c>
      <c r="Q125" s="11" t="s">
        <v>109</v>
      </c>
      <c r="V125" s="24">
        <v>0</v>
      </c>
      <c r="W125" s="24">
        <v>0</v>
      </c>
      <c r="X125" s="24" t="s">
        <v>82</v>
      </c>
      <c r="Y125" s="24" t="s">
        <v>303</v>
      </c>
      <c r="Z125" s="85" t="str" cm="1">
        <f t="array" aca="1" ref="Z125" ca="1">_xlfn.IFS($A125="","",OR(F125=99,F125=""),_xlfn.TEXTJOIN("_",1,X125,$A125,Y125),TRUE,OFFSET($Z125,-1,0))</f>
        <v>device_1340109_shield_generator</v>
      </c>
      <c r="AA125" s="11">
        <v>5</v>
      </c>
      <c r="AB125" s="11">
        <v>1</v>
      </c>
      <c r="AC125" s="11" t="s">
        <v>526</v>
      </c>
      <c r="AH125" s="11" t="str">
        <f t="shared" si="121"/>
        <v>0~0</v>
      </c>
      <c r="AI125" s="27">
        <v>0</v>
      </c>
      <c r="AJ125" s="27">
        <v>0</v>
      </c>
      <c r="AK125" s="110">
        <v>0</v>
      </c>
      <c r="AL125" s="110">
        <v>0</v>
      </c>
      <c r="AM125" s="110">
        <v>0</v>
      </c>
      <c r="AN125" s="110">
        <v>0</v>
      </c>
      <c r="AO125" s="110">
        <v>0</v>
      </c>
      <c r="AP125" s="14" t="b">
        <v>0</v>
      </c>
      <c r="AQ125" s="14" t="s">
        <v>304</v>
      </c>
      <c r="AR125" s="11">
        <v>10</v>
      </c>
      <c r="AU125" s="11">
        <v>1340101</v>
      </c>
      <c r="AY125" s="11" t="str">
        <f t="shared" si="128"/>
        <v>10~6</v>
      </c>
      <c r="AZ125" s="27">
        <v>10</v>
      </c>
      <c r="BA125" s="27">
        <v>6</v>
      </c>
      <c r="BB125" s="50">
        <v>1</v>
      </c>
      <c r="BC125" s="11" t="s">
        <v>305</v>
      </c>
      <c r="BE125" s="28" t="str" cm="1">
        <f t="array" ref="BE125">IF(BD125&lt;&gt;"",_xlfn.TEXTJOIN("; ",1,VLOOKUP(VALUE(_xlfn.TEXTSPLIT(BD125,";")),device_cubicles!A:B,2,0)),"")</f>
        <v/>
      </c>
    </row>
    <row r="126" spans="1:59">
      <c r="H126" s="14" t="str">
        <f t="shared" si="120"/>
        <v/>
      </c>
      <c r="J126" s="14" t="str">
        <f>_xlfn.LET(_xlpm.get_device_type,VLOOKUP(VALUE(MID(A126,3,1)),tb_device_info_type[#All],3,0),_xlpm.check_if_wheel,IF(LEFT(A126,2)="12","wheel",_xlpm.get_device_type),_xlpm.raw_output,IF($A126&lt;&gt;"",_xlfn.TEXTJOIN("_",1,"device_alt",_xlpm.check_if_wheel),""),IFERROR(_xlpm.raw_output,"information missing"))</f>
        <v/>
      </c>
      <c r="K126" s="14" t="str" cm="1">
        <f t="array" ref="K126">_xlfn.IFS($A126="","",ISTEXT($L126),_xlfn.CONCAT("dwt","[device_wheel_thumbnail_",RIGHT($A126,1)-1,"]"),TRUE,_xlfn.CONCAT("dt","[device_thumbnail_",IF($L126&lt;&gt;"",$L126,0),"]"))</f>
        <v/>
      </c>
      <c r="O126" s="36"/>
      <c r="P126" s="15" t="str" cm="1">
        <f t="array" ref="P126">IFERROR(_xlfn.TEXTJOIN(";",1,_xlfn.MAP(_xlfn.TEXTSPLIT(O126,";"),_xlfn.LAMBDA(_xlpm.x,IFERROR(VLOOKUP(VALUE(_xlpm.x),device_tag!A:B,2,0),"error")))),"")</f>
        <v/>
      </c>
      <c r="Z126" s="25" t="str">
        <f t="shared" ref="Z126:Z127" si="129">IF($A126&lt;&gt;"",_xlfn.TEXTJOIN("_",1,X126,$A126,Y126),"")</f>
        <v/>
      </c>
      <c r="AC126" s="11" t="s">
        <v>526</v>
      </c>
      <c r="AK126" s="110">
        <v>0</v>
      </c>
      <c r="AL126" s="110">
        <v>0</v>
      </c>
      <c r="AM126" s="110">
        <v>0</v>
      </c>
      <c r="AN126" s="110">
        <v>0</v>
      </c>
      <c r="AO126" s="110">
        <v>0</v>
      </c>
      <c r="BE126" s="28" t="str" cm="1">
        <f t="array" ref="BE126">IF(BD126&lt;&gt;"",_xlfn.TEXTJOIN("; ",1,VLOOKUP(VALUE(_xlfn.TEXTSPLIT(BD126,";")),device_cubicles!A:B,2,0)),"")</f>
        <v/>
      </c>
    </row>
    <row r="127" spans="1:59">
      <c r="A127" s="14">
        <v>1350101</v>
      </c>
      <c r="B127" s="11">
        <v>0</v>
      </c>
      <c r="C127" s="15" t="s">
        <v>306</v>
      </c>
      <c r="D127" s="15" t="s">
        <v>507</v>
      </c>
      <c r="G127" s="15" t="s">
        <v>307</v>
      </c>
      <c r="H127" s="14" t="str">
        <f t="shared" si="120"/>
        <v>device_name_1350101_hookrope</v>
      </c>
      <c r="J127" s="14" t="str">
        <f>_xlfn.LET(_xlpm.get_device_type,VLOOKUP(VALUE(MID(A127,3,1)),tb_device_info_type[#All],3,0),_xlpm.check_if_wheel,IF(LEFT(A127,2)="12","wheel",_xlpm.get_device_type),_xlpm.raw_output,IF($A127&lt;&gt;"",_xlfn.TEXTJOIN("_",1,"device_alt",_xlpm.check_if_wheel),""),IFERROR(_xlpm.raw_output,"information missing"))</f>
        <v>device_alt_hook</v>
      </c>
      <c r="K127" s="14" t="str" cm="1">
        <f t="array" ref="K127">_xlfn.IFS($A127="","",ISTEXT($L127),_xlfn.CONCAT("dwt","[device_wheel_thumbnail_",RIGHT($A127,1)-1,"]"),TRUE,_xlfn.CONCAT("dt","[device_thumbnail_",IF($L127&lt;&gt;"",$L127,0),"]"))</f>
        <v>dt[device_thumbnail_13]</v>
      </c>
      <c r="L127" s="34">
        <v>13</v>
      </c>
      <c r="M127" s="14" t="s">
        <v>79</v>
      </c>
      <c r="N127" s="14" t="s">
        <v>80</v>
      </c>
      <c r="O127" s="36">
        <v>1420500</v>
      </c>
      <c r="P127" s="15" t="str" cm="1">
        <f t="array" ref="P127">IFERROR(_xlfn.TEXTJOIN(";",1,_xlfn.MAP(_xlfn.TEXTSPLIT(O127,";"),_xlfn.LAMBDA(_xlpm.x,IFERROR(VLOOKUP(VALUE(_xlpm.x),device_tag!A:B,2,0),"error")))),"")</f>
        <v>钩索</v>
      </c>
      <c r="Q127" s="11" t="s">
        <v>109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 t="s">
        <v>82</v>
      </c>
      <c r="Y127" s="24" t="s">
        <v>308</v>
      </c>
      <c r="Z127" s="25" t="str">
        <f t="shared" si="129"/>
        <v>device_1350101_hookrope</v>
      </c>
      <c r="AA127" s="11">
        <v>20</v>
      </c>
      <c r="AB127" s="11">
        <v>1</v>
      </c>
      <c r="AC127" s="11" t="s">
        <v>526</v>
      </c>
      <c r="AF127" s="11">
        <v>1</v>
      </c>
      <c r="AG127" s="11">
        <v>0</v>
      </c>
      <c r="AH127" s="11" t="str">
        <f t="shared" ref="AH127:AH133" si="130">_xlfn.TEXTJOIN("~",1,AI127:AJ127)</f>
        <v>3~10</v>
      </c>
      <c r="AI127" s="27">
        <v>3</v>
      </c>
      <c r="AJ127" s="27">
        <v>10</v>
      </c>
      <c r="AK127" s="110">
        <v>0</v>
      </c>
      <c r="AL127" s="110">
        <v>0</v>
      </c>
      <c r="AM127" s="110">
        <v>0</v>
      </c>
      <c r="AN127" s="110">
        <v>0</v>
      </c>
      <c r="AO127" s="110">
        <v>0</v>
      </c>
      <c r="AP127" s="14" t="b">
        <v>0</v>
      </c>
      <c r="AQ127" s="14" t="s">
        <v>309</v>
      </c>
      <c r="AR127" s="11">
        <v>2</v>
      </c>
      <c r="AS127" s="40"/>
      <c r="AT127" s="40"/>
      <c r="AU127" s="40"/>
      <c r="AV127" s="11">
        <f>$A127</f>
        <v>1350101</v>
      </c>
      <c r="AW127" s="40"/>
      <c r="AX127" s="40"/>
      <c r="AY127" s="11" t="str">
        <f>_xlfn.TEXTJOIN("~",0,AZ127:BA127)</f>
        <v>2~0</v>
      </c>
      <c r="AZ127" s="27">
        <v>2</v>
      </c>
      <c r="BA127" s="38">
        <v>0</v>
      </c>
      <c r="BB127" s="11" t="str">
        <f t="shared" ref="BB127:BB142" si="131">REPLACE($A127,1,1,6)</f>
        <v>6350101</v>
      </c>
      <c r="BC127" s="11" t="s">
        <v>310</v>
      </c>
      <c r="BD127" s="11">
        <v>205</v>
      </c>
      <c r="BE127" s="28" t="str" cm="1">
        <f t="array" ref="BE127">IF(BD127&lt;&gt;"",_xlfn.TEXTJOIN("; ",1,VLOOKUP(VALUE(_xlfn.TEXTSPLIT(BD127,";")),device_cubicles!A:B,2,0)),"")</f>
        <v>钩爪收放</v>
      </c>
    </row>
    <row r="128" spans="1:59">
      <c r="A128" s="14">
        <v>1350102</v>
      </c>
      <c r="B128" s="11">
        <v>0</v>
      </c>
      <c r="C128" s="15" t="s">
        <v>311</v>
      </c>
      <c r="D128" s="15" t="s">
        <v>507</v>
      </c>
      <c r="G128" s="15" t="s">
        <v>312</v>
      </c>
      <c r="H128" s="14" t="str">
        <f t="shared" si="120"/>
        <v>device_name_1350102_merchant_crane</v>
      </c>
      <c r="J128" s="14" t="str">
        <f>_xlfn.LET(_xlpm.get_device_type,VLOOKUP(VALUE(MID(A128,3,1)),tb_device_info_type[#All],3,0),_xlpm.check_if_wheel,IF(LEFT(A128,2)="12","wheel",_xlpm.get_device_type),_xlpm.raw_output,IF($A128&lt;&gt;"",_xlfn.TEXTJOIN("_",1,"device_alt",_xlpm.check_if_wheel),""),IFERROR(_xlpm.raw_output,"information missing"))</f>
        <v>device_alt_hook</v>
      </c>
      <c r="K128" s="14" t="str" cm="1">
        <f t="array" ref="K128">_xlfn.IFS($A128="","",ISTEXT($L128),_xlfn.CONCAT("dwt","[device_wheel_thumbnail_",RIGHT($A128,1)-1,"]"),TRUE,_xlfn.CONCAT("dt","[device_thumbnail_",IF($L128&lt;&gt;"",$L128,0),"]"))</f>
        <v>dt[device_thumbnail_16]</v>
      </c>
      <c r="L128" s="34">
        <v>16</v>
      </c>
      <c r="M128" s="14" t="s">
        <v>79</v>
      </c>
      <c r="N128" s="14" t="s">
        <v>80</v>
      </c>
      <c r="O128" s="36">
        <v>1420500</v>
      </c>
      <c r="P128" s="15" t="str" cm="1">
        <f t="array" ref="P128">IFERROR(_xlfn.TEXTJOIN(";",1,_xlfn.MAP(_xlfn.TEXTSPLIT(O128,";"),_xlfn.LAMBDA(_xlpm.x,IFERROR(VLOOKUP(VALUE(_xlpm.x),device_tag!A:B,2,0),"error")))),"")</f>
        <v>钩索</v>
      </c>
      <c r="Q128" s="11" t="s">
        <v>109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 t="s">
        <v>82</v>
      </c>
      <c r="Y128" s="24" t="s">
        <v>313</v>
      </c>
      <c r="Z128" s="25" t="str">
        <f t="shared" ref="Z128:Z130" si="132">IF($A128&lt;&gt;"",_xlfn.TEXTJOIN("_",1,X128,$A128,Y128),"")</f>
        <v>device_1350102_merchant_crane</v>
      </c>
      <c r="AA128" s="11">
        <v>20</v>
      </c>
      <c r="AB128" s="11">
        <v>1</v>
      </c>
      <c r="AC128" s="11" t="s">
        <v>526</v>
      </c>
      <c r="AF128" s="11">
        <v>1</v>
      </c>
      <c r="AG128" s="11">
        <v>0</v>
      </c>
      <c r="AH128" s="11" t="str">
        <f t="shared" si="130"/>
        <v>2.5~9</v>
      </c>
      <c r="AI128" s="27">
        <v>2.5</v>
      </c>
      <c r="AJ128" s="27">
        <v>9</v>
      </c>
      <c r="AK128" s="110">
        <v>0</v>
      </c>
      <c r="AL128" s="110">
        <v>0</v>
      </c>
      <c r="AM128" s="110">
        <v>0</v>
      </c>
      <c r="AN128" s="110">
        <v>0</v>
      </c>
      <c r="AO128" s="110">
        <v>0</v>
      </c>
      <c r="AP128" s="14" t="b">
        <v>0</v>
      </c>
      <c r="AQ128" s="14" t="s">
        <v>309</v>
      </c>
      <c r="AR128" s="11">
        <v>1</v>
      </c>
      <c r="AS128" s="40"/>
      <c r="AT128" s="40"/>
      <c r="AU128" s="40"/>
      <c r="AV128" s="11">
        <f t="shared" ref="AV128:AW148" si="133">$A128</f>
        <v>1350102</v>
      </c>
      <c r="AW128" s="40"/>
      <c r="AX128" s="40"/>
      <c r="AY128" s="11" t="str">
        <f t="shared" ref="AY128:AY132" si="134">_xlfn.TEXTJOIN("~",0,AZ128:BA128)</f>
        <v>2.5~0</v>
      </c>
      <c r="AZ128" s="27">
        <v>2.5</v>
      </c>
      <c r="BA128" s="38">
        <v>0</v>
      </c>
      <c r="BB128" s="11" t="str">
        <f t="shared" si="131"/>
        <v>6350102</v>
      </c>
      <c r="BC128" s="11" t="s">
        <v>310</v>
      </c>
      <c r="BD128" s="11">
        <v>205</v>
      </c>
      <c r="BE128" s="28" t="str" cm="1">
        <f t="array" ref="BE128">IF(BD128&lt;&gt;"",_xlfn.TEXTJOIN("; ",1,VLOOKUP(VALUE(_xlfn.TEXTSPLIT(BD128,";")),device_cubicles!A:B,2,0)),"")</f>
        <v>钩爪收放</v>
      </c>
    </row>
    <row r="129" spans="1:57">
      <c r="A129" s="14">
        <v>1350103</v>
      </c>
      <c r="B129" s="11">
        <v>0</v>
      </c>
      <c r="C129" s="15" t="s">
        <v>314</v>
      </c>
      <c r="D129" s="15" t="s">
        <v>507</v>
      </c>
      <c r="G129" s="15" t="s">
        <v>315</v>
      </c>
      <c r="H129" s="14" t="str">
        <f t="shared" si="120"/>
        <v>device_name_1350103_merchant_tower_crane</v>
      </c>
      <c r="J129" s="14" t="str">
        <f>_xlfn.LET(_xlpm.get_device_type,VLOOKUP(VALUE(MID(A129,3,1)),tb_device_info_type[#All],3,0),_xlpm.check_if_wheel,IF(LEFT(A129,2)="12","wheel",_xlpm.get_device_type),_xlpm.raw_output,IF($A129&lt;&gt;"",_xlfn.TEXTJOIN("_",1,"device_alt",_xlpm.check_if_wheel),""),IFERROR(_xlpm.raw_output,"information missing"))</f>
        <v>device_alt_hook</v>
      </c>
      <c r="K129" s="14" t="str" cm="1">
        <f t="array" ref="K129">_xlfn.IFS($A129="","",ISTEXT($L129),_xlfn.CONCAT("dwt","[device_wheel_thumbnail_",RIGHT($A129,1)-1,"]"),TRUE,_xlfn.CONCAT("dt","[device_thumbnail_",IF($L129&lt;&gt;"",$L129,0),"]"))</f>
        <v>dt[device_thumbnail_17]</v>
      </c>
      <c r="L129" s="34">
        <v>17</v>
      </c>
      <c r="M129" s="14" t="s">
        <v>79</v>
      </c>
      <c r="N129" s="14" t="s">
        <v>80</v>
      </c>
      <c r="O129" s="36">
        <v>1420500</v>
      </c>
      <c r="P129" s="15" t="str" cm="1">
        <f t="array" ref="P129">IFERROR(_xlfn.TEXTJOIN(";",1,_xlfn.MAP(_xlfn.TEXTSPLIT(O129,";"),_xlfn.LAMBDA(_xlpm.x,IFERROR(VLOOKUP(VALUE(_xlpm.x),device_tag!A:B,2,0),"error")))),"")</f>
        <v>钩索</v>
      </c>
      <c r="Q129" s="11" t="s">
        <v>109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 t="s">
        <v>82</v>
      </c>
      <c r="Y129" s="24" t="s">
        <v>316</v>
      </c>
      <c r="Z129" s="25" t="str">
        <f t="shared" ref="Z129" si="135">IF($A129&lt;&gt;"",_xlfn.TEXTJOIN("_",1,X129,$A129,Y129),"")</f>
        <v>device_1350103_merchant_tower_crane</v>
      </c>
      <c r="AA129" s="11">
        <v>20</v>
      </c>
      <c r="AB129" s="11">
        <v>1</v>
      </c>
      <c r="AC129" s="11" t="s">
        <v>526</v>
      </c>
      <c r="AF129" s="11">
        <v>1</v>
      </c>
      <c r="AG129" s="11">
        <v>0</v>
      </c>
      <c r="AH129" s="11" t="str">
        <f t="shared" si="130"/>
        <v>3~13</v>
      </c>
      <c r="AI129" s="27">
        <v>3</v>
      </c>
      <c r="AJ129" s="27">
        <v>13</v>
      </c>
      <c r="AK129" s="110">
        <v>0</v>
      </c>
      <c r="AL129" s="110">
        <v>0</v>
      </c>
      <c r="AM129" s="110">
        <v>0</v>
      </c>
      <c r="AN129" s="110">
        <v>0</v>
      </c>
      <c r="AO129" s="110">
        <v>0</v>
      </c>
      <c r="AP129" s="14" t="b">
        <v>1</v>
      </c>
      <c r="AQ129" s="14" t="s">
        <v>309</v>
      </c>
      <c r="AR129" s="11">
        <v>1</v>
      </c>
      <c r="AS129" s="40"/>
      <c r="AT129" s="40"/>
      <c r="AU129" s="40"/>
      <c r="AV129" s="11">
        <f t="shared" si="133"/>
        <v>1350103</v>
      </c>
      <c r="AW129" s="40"/>
      <c r="AX129" s="40"/>
      <c r="AY129" s="11" t="str">
        <f t="shared" ref="AY129" si="136">_xlfn.TEXTJOIN("~",0,AZ129:BA129)</f>
        <v>2.5~0</v>
      </c>
      <c r="AZ129" s="27">
        <v>2.5</v>
      </c>
      <c r="BA129" s="38">
        <v>0</v>
      </c>
      <c r="BB129" s="11" t="str">
        <f t="shared" si="131"/>
        <v>6350103</v>
      </c>
      <c r="BC129" s="11" t="s">
        <v>310</v>
      </c>
      <c r="BD129" s="11">
        <v>205</v>
      </c>
      <c r="BE129" s="28" t="str" cm="1">
        <f t="array" ref="BE129">IF(BD129&lt;&gt;"",_xlfn.TEXTJOIN("; ",1,VLOOKUP(VALUE(_xlfn.TEXTSPLIT(BD129,";")),device_cubicles!A:B,2,0)),"")</f>
        <v>钩爪收放</v>
      </c>
    </row>
    <row r="130" spans="1:57">
      <c r="A130" s="14">
        <v>1351101</v>
      </c>
      <c r="B130" s="11">
        <v>0</v>
      </c>
      <c r="C130" s="15" t="s">
        <v>317</v>
      </c>
      <c r="D130" s="15" t="s">
        <v>506</v>
      </c>
      <c r="G130" s="15" t="s">
        <v>318</v>
      </c>
      <c r="H130" s="14" t="str">
        <f t="shared" si="120"/>
        <v>device_name_1351101_slave_hookrope</v>
      </c>
      <c r="J130" s="14" t="str">
        <f>_xlfn.LET(_xlpm.get_device_type,VLOOKUP(VALUE(MID(A130,3,1)),tb_device_info_type[#All],3,0),_xlpm.check_if_wheel,IF(LEFT(A130,2)="12","wheel",_xlpm.get_device_type),_xlpm.raw_output,IF($A130&lt;&gt;"",_xlfn.TEXTJOIN("_",1,"device_alt",_xlpm.check_if_wheel),""),IFERROR(_xlpm.raw_output,"information missing"))</f>
        <v>device_alt_hook</v>
      </c>
      <c r="K130" s="14" t="str" cm="1">
        <f t="array" ref="K130">_xlfn.IFS($A130="","",ISTEXT($L130),_xlfn.CONCAT("dwt","[device_wheel_thumbnail_",RIGHT($A130,1)-1,"]"),TRUE,_xlfn.CONCAT("dt","[device_thumbnail_",IF($L130&lt;&gt;"",$L130,0),"]"))</f>
        <v>dt[device_thumbnail_27]</v>
      </c>
      <c r="L130" s="34">
        <v>27</v>
      </c>
      <c r="M130" s="14" t="s">
        <v>79</v>
      </c>
      <c r="N130" s="14" t="s">
        <v>80</v>
      </c>
      <c r="O130" s="36">
        <v>1420500</v>
      </c>
      <c r="P130" s="15" t="str" cm="1">
        <f t="array" ref="P130">IFERROR(_xlfn.TEXTJOIN(";",1,_xlfn.MAP(_xlfn.TEXTSPLIT(O130,";"),_xlfn.LAMBDA(_xlpm.x,IFERROR(VLOOKUP(VALUE(_xlpm.x),device_tag!A:B,2,0),"error")))),"")</f>
        <v>钩索</v>
      </c>
      <c r="Q130" s="11" t="s">
        <v>109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 t="s">
        <v>82</v>
      </c>
      <c r="Y130" s="24" t="s">
        <v>319</v>
      </c>
      <c r="Z130" s="25" t="str">
        <f t="shared" si="132"/>
        <v>device_1351101_slave_hookrope</v>
      </c>
      <c r="AA130" s="11">
        <v>20</v>
      </c>
      <c r="AB130" s="11">
        <v>1</v>
      </c>
      <c r="AC130" s="11" t="s">
        <v>526</v>
      </c>
      <c r="AF130" s="11">
        <v>1</v>
      </c>
      <c r="AG130" s="11">
        <v>0</v>
      </c>
      <c r="AH130" s="11" t="str">
        <f t="shared" si="130"/>
        <v>2~13</v>
      </c>
      <c r="AI130" s="27">
        <v>2</v>
      </c>
      <c r="AJ130" s="27">
        <v>13</v>
      </c>
      <c r="AK130" s="110">
        <v>0</v>
      </c>
      <c r="AL130" s="110">
        <v>0</v>
      </c>
      <c r="AM130" s="110">
        <v>0</v>
      </c>
      <c r="AN130" s="110">
        <v>0</v>
      </c>
      <c r="AO130" s="110">
        <v>0</v>
      </c>
      <c r="AP130" s="14" t="b">
        <v>0</v>
      </c>
      <c r="AQ130" s="14" t="s">
        <v>309</v>
      </c>
      <c r="AR130" s="11">
        <v>2</v>
      </c>
      <c r="AS130" s="40"/>
      <c r="AT130" s="40"/>
      <c r="AU130" s="40"/>
      <c r="AV130" s="11">
        <f t="shared" si="133"/>
        <v>1351101</v>
      </c>
      <c r="AW130" s="40"/>
      <c r="AX130" s="40"/>
      <c r="AY130" s="11" t="str">
        <f t="shared" si="134"/>
        <v>6~0</v>
      </c>
      <c r="AZ130" s="27">
        <v>6</v>
      </c>
      <c r="BA130" s="38">
        <v>0</v>
      </c>
      <c r="BB130" s="11" t="str">
        <f t="shared" si="131"/>
        <v>6351101</v>
      </c>
      <c r="BC130" s="11" t="s">
        <v>310</v>
      </c>
      <c r="BD130" s="11">
        <v>205</v>
      </c>
      <c r="BE130" s="28" t="str" cm="1">
        <f t="array" ref="BE130">IF(BD130&lt;&gt;"",_xlfn.TEXTJOIN("; ",1,VLOOKUP(VALUE(_xlfn.TEXTSPLIT(BD130,";")),device_cubicles!A:B,2,0)),"")</f>
        <v>钩爪收放</v>
      </c>
    </row>
    <row r="131" spans="1:57">
      <c r="A131" s="14">
        <v>1351102</v>
      </c>
      <c r="B131" s="11">
        <v>0</v>
      </c>
      <c r="C131" s="15" t="s">
        <v>509</v>
      </c>
      <c r="D131" s="15" t="s">
        <v>506</v>
      </c>
      <c r="G131" s="15" t="s">
        <v>320</v>
      </c>
      <c r="H131" s="14" t="str">
        <f t="shared" si="120"/>
        <v>device_name_1351102_executioner_hookrope</v>
      </c>
      <c r="J131" s="14" t="str">
        <f>_xlfn.LET(_xlpm.get_device_type,VLOOKUP(VALUE(MID(A131,3,1)),tb_device_info_type[#All],3,0),_xlpm.check_if_wheel,IF(LEFT(A131,2)="12","wheel",_xlpm.get_device_type),_xlpm.raw_output,IF($A131&lt;&gt;"",_xlfn.TEXTJOIN("_",1,"device_alt",_xlpm.check_if_wheel),""),IFERROR(_xlpm.raw_output,"information missing"))</f>
        <v>device_alt_hook</v>
      </c>
      <c r="K131" s="14" t="str" cm="1">
        <f t="array" ref="K131">_xlfn.IFS($A131="","",ISTEXT($L131),_xlfn.CONCAT("dwt","[device_wheel_thumbnail_",RIGHT($A131,1)-1,"]"),TRUE,_xlfn.CONCAT("dt","[device_thumbnail_",IF($L131&lt;&gt;"",$L131,0),"]"))</f>
        <v>dt[device_thumbnail_11]</v>
      </c>
      <c r="L131" s="34">
        <v>11</v>
      </c>
      <c r="M131" s="14" t="s">
        <v>79</v>
      </c>
      <c r="N131" s="14" t="s">
        <v>80</v>
      </c>
      <c r="O131" s="36">
        <v>1420500</v>
      </c>
      <c r="P131" s="15" t="str" cm="1">
        <f t="array" ref="P131">IFERROR(_xlfn.TEXTJOIN(";",1,_xlfn.MAP(_xlfn.TEXTSPLIT(O131,";"),_xlfn.LAMBDA(_xlpm.x,IFERROR(VLOOKUP(VALUE(_xlpm.x),device_tag!A:B,2,0),"error")))),"")</f>
        <v>钩索</v>
      </c>
      <c r="Q131" s="11" t="s">
        <v>109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 t="s">
        <v>82</v>
      </c>
      <c r="Y131" s="24" t="s">
        <v>321</v>
      </c>
      <c r="Z131" s="25" t="str">
        <f t="shared" ref="Z131:Z134" si="137">IF($A131&lt;&gt;"",_xlfn.TEXTJOIN("_",1,X131,$A131,Y131),"")</f>
        <v>device_1351102_executioner_hookrope</v>
      </c>
      <c r="AA131" s="11">
        <v>20</v>
      </c>
      <c r="AB131" s="11">
        <v>1</v>
      </c>
      <c r="AC131" s="11" t="s">
        <v>526</v>
      </c>
      <c r="AF131" s="11">
        <v>1</v>
      </c>
      <c r="AG131" s="11">
        <v>0</v>
      </c>
      <c r="AH131" s="11" t="str">
        <f t="shared" si="130"/>
        <v>2~9</v>
      </c>
      <c r="AI131" s="27">
        <v>2</v>
      </c>
      <c r="AJ131" s="27">
        <v>9</v>
      </c>
      <c r="AK131" s="110">
        <v>0</v>
      </c>
      <c r="AL131" s="110">
        <v>0</v>
      </c>
      <c r="AM131" s="110">
        <v>0</v>
      </c>
      <c r="AN131" s="110">
        <v>0</v>
      </c>
      <c r="AO131" s="110">
        <v>0</v>
      </c>
      <c r="AP131" s="14" t="b">
        <v>0</v>
      </c>
      <c r="AQ131" s="14" t="s">
        <v>309</v>
      </c>
      <c r="AR131" s="11">
        <v>4</v>
      </c>
      <c r="AS131" s="40"/>
      <c r="AT131" s="40"/>
      <c r="AU131" s="40"/>
      <c r="AV131" s="11">
        <f t="shared" si="133"/>
        <v>1351102</v>
      </c>
      <c r="AW131" s="40"/>
      <c r="AX131" s="40"/>
      <c r="AY131" s="11" t="str">
        <f t="shared" si="134"/>
        <v>2~0</v>
      </c>
      <c r="AZ131" s="27">
        <v>2</v>
      </c>
      <c r="BA131" s="38">
        <v>0</v>
      </c>
      <c r="BB131" s="11" t="str">
        <f t="shared" si="131"/>
        <v>6351102</v>
      </c>
      <c r="BC131" s="11" t="s">
        <v>310</v>
      </c>
      <c r="BD131" s="11">
        <v>205</v>
      </c>
      <c r="BE131" s="28" t="str" cm="1">
        <f t="array" ref="BE131">IF(BD131&lt;&gt;"",_xlfn.TEXTJOIN("; ",1,VLOOKUP(VALUE(_xlfn.TEXTSPLIT(BD131,";")),device_cubicles!A:B,2,0)),"")</f>
        <v>钩爪收放</v>
      </c>
    </row>
    <row r="132" spans="1:57">
      <c r="A132" s="14">
        <v>1351401</v>
      </c>
      <c r="B132" s="11">
        <v>0</v>
      </c>
      <c r="C132" s="15" t="s">
        <v>511</v>
      </c>
      <c r="D132" s="15" t="s">
        <v>510</v>
      </c>
      <c r="G132" s="31" t="s">
        <v>307</v>
      </c>
      <c r="H132" s="14" t="str">
        <f t="shared" si="120"/>
        <v>device_name_1351401</v>
      </c>
      <c r="J132" s="14" t="str">
        <f>_xlfn.LET(_xlpm.get_device_type,VLOOKUP(VALUE(MID(A132,3,1)),tb_device_info_type[#All],3,0),_xlpm.check_if_wheel,IF(LEFT(A132,2)="12","wheel",_xlpm.get_device_type),_xlpm.raw_output,IF($A132&lt;&gt;"",_xlfn.TEXTJOIN("_",1,"device_alt",_xlpm.check_if_wheel),""),IFERROR(_xlpm.raw_output,"information missing"))</f>
        <v>device_alt_hook</v>
      </c>
      <c r="K132" s="14" t="str" cm="1">
        <f t="array" ref="K132">_xlfn.IFS($A132="","",ISTEXT($L132),_xlfn.CONCAT("dwt","[device_wheel_thumbnail_",RIGHT($A132,1)-1,"]"),TRUE,_xlfn.CONCAT("dt","[device_thumbnail_",IF($L132&lt;&gt;"",$L132,0),"]"))</f>
        <v>dt[device_thumbnail_119]</v>
      </c>
      <c r="L132" s="61">
        <v>119</v>
      </c>
      <c r="M132" s="14" t="s">
        <v>79</v>
      </c>
      <c r="N132" s="14" t="s">
        <v>80</v>
      </c>
      <c r="O132" s="36">
        <v>1420500</v>
      </c>
      <c r="P132" s="15" t="str" cm="1">
        <f t="array" ref="P132">IFERROR(_xlfn.TEXTJOIN(";",1,_xlfn.MAP(_xlfn.TEXTSPLIT(O132,";"),_xlfn.LAMBDA(_xlpm.x,IFERROR(VLOOKUP(VALUE(_xlpm.x),device_tag!A:B,2,0),"error")))),"")</f>
        <v>钩索</v>
      </c>
      <c r="Q132" s="11" t="s">
        <v>109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 t="s">
        <v>82</v>
      </c>
      <c r="Z132" s="25" t="str">
        <f t="shared" si="137"/>
        <v>device_1351401</v>
      </c>
      <c r="AA132" s="11">
        <v>20</v>
      </c>
      <c r="AB132" s="11">
        <v>1</v>
      </c>
      <c r="AC132" s="11" t="s">
        <v>526</v>
      </c>
      <c r="AF132" s="11">
        <v>1</v>
      </c>
      <c r="AG132" s="11">
        <v>0</v>
      </c>
      <c r="AH132" s="11" t="str">
        <f t="shared" ref="AH132" si="138">_xlfn.TEXTJOIN("~",1,AI132:AJ132)</f>
        <v>2~9</v>
      </c>
      <c r="AI132" s="27">
        <v>2</v>
      </c>
      <c r="AJ132" s="27">
        <v>9</v>
      </c>
      <c r="AK132" s="110">
        <v>0</v>
      </c>
      <c r="AL132" s="110">
        <v>0</v>
      </c>
      <c r="AM132" s="110">
        <v>0</v>
      </c>
      <c r="AN132" s="110">
        <v>0</v>
      </c>
      <c r="AO132" s="110">
        <v>0</v>
      </c>
      <c r="AP132" s="14" t="b">
        <v>0</v>
      </c>
      <c r="AQ132" s="14" t="s">
        <v>309</v>
      </c>
      <c r="AR132" s="11">
        <v>4</v>
      </c>
      <c r="AS132" s="40"/>
      <c r="AT132" s="40"/>
      <c r="AU132" s="40"/>
      <c r="AV132" s="11">
        <f t="shared" si="133"/>
        <v>1351401</v>
      </c>
      <c r="AW132" s="40"/>
      <c r="AX132" s="40"/>
      <c r="AY132" s="11" t="str">
        <f t="shared" si="134"/>
        <v>2~0</v>
      </c>
      <c r="AZ132" s="27">
        <v>2</v>
      </c>
      <c r="BA132" s="38">
        <v>0</v>
      </c>
      <c r="BB132" s="50">
        <v>1</v>
      </c>
      <c r="BC132" s="11" t="s">
        <v>310</v>
      </c>
      <c r="BD132" s="11">
        <v>205</v>
      </c>
      <c r="BE132" s="28" t="str" cm="1">
        <f t="array" ref="BE132">IF(BD132&lt;&gt;"",_xlfn.TEXTJOIN("; ",1,VLOOKUP(VALUE(_xlfn.TEXTSPLIT(BD132,";")),device_cubicles!A:B,2,0)),"")</f>
        <v>钩爪收放</v>
      </c>
    </row>
    <row r="133" spans="1:57">
      <c r="A133" s="14">
        <v>1351801</v>
      </c>
      <c r="B133" s="11">
        <v>0</v>
      </c>
      <c r="C133" s="15" t="s">
        <v>508</v>
      </c>
      <c r="D133" s="15" t="s">
        <v>505</v>
      </c>
      <c r="G133" s="15" t="s">
        <v>517</v>
      </c>
      <c r="H133" s="14" t="str">
        <f t="shared" si="120"/>
        <v>device_name_1351801_harpoon_gun</v>
      </c>
      <c r="J133" s="14" t="str">
        <f>_xlfn.LET(_xlpm.get_device_type,VLOOKUP(VALUE(MID(A133,3,1)),tb_device_info_type[#All],3,0),_xlpm.check_if_wheel,IF(LEFT(A133,2)="12","wheel",_xlpm.get_device_type),_xlpm.raw_output,IF($A133&lt;&gt;"",_xlfn.TEXTJOIN("_",1,"device_alt",_xlpm.check_if_wheel),""),IFERROR(_xlpm.raw_output,"information missing"))</f>
        <v>device_alt_hook</v>
      </c>
      <c r="K133" s="14" t="str" cm="1">
        <f t="array" ref="K133">_xlfn.IFS($A133="","",ISTEXT($L133),_xlfn.CONCAT("dwt","[device_wheel_thumbnail_",RIGHT($A133,1)-1,"]"),TRUE,_xlfn.CONCAT("dt","[device_thumbnail_",IF($L133&lt;&gt;"",$L133,0),"]"))</f>
        <v>dt[device_thumbnail_119]</v>
      </c>
      <c r="L133" s="61">
        <v>119</v>
      </c>
      <c r="M133" s="14" t="s">
        <v>79</v>
      </c>
      <c r="N133" s="14" t="s">
        <v>80</v>
      </c>
      <c r="O133" s="36">
        <v>1420500</v>
      </c>
      <c r="P133" s="15" t="str" cm="1">
        <f t="array" ref="P133">IFERROR(_xlfn.TEXTJOIN(";",1,_xlfn.MAP(_xlfn.TEXTSPLIT(O133,";"),_xlfn.LAMBDA(_xlpm.x,IFERROR(VLOOKUP(VALUE(_xlpm.x),device_tag!A:B,2,0),"error")))),"")</f>
        <v>钩索</v>
      </c>
      <c r="Q133" s="11" t="s">
        <v>109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 t="s">
        <v>82</v>
      </c>
      <c r="Y133" s="62" t="s">
        <v>518</v>
      </c>
      <c r="Z133" s="25" t="str">
        <f t="shared" ref="Z133" si="139">IF($A133&lt;&gt;"",_xlfn.TEXTJOIN("_",1,X133,$A133,Y133),"")</f>
        <v>device_1351801_harpoon_gun</v>
      </c>
      <c r="AA133" s="11">
        <v>20</v>
      </c>
      <c r="AB133" s="11">
        <v>1</v>
      </c>
      <c r="AC133" s="11" t="s">
        <v>526</v>
      </c>
      <c r="AF133" s="11">
        <v>1</v>
      </c>
      <c r="AG133" s="11">
        <v>0</v>
      </c>
      <c r="AH133" s="11" t="str">
        <f t="shared" si="130"/>
        <v>2~9</v>
      </c>
      <c r="AI133" s="27">
        <v>2</v>
      </c>
      <c r="AJ133" s="27">
        <v>9</v>
      </c>
      <c r="AK133" s="110">
        <v>0</v>
      </c>
      <c r="AL133" s="110">
        <v>0</v>
      </c>
      <c r="AM133" s="110">
        <v>0</v>
      </c>
      <c r="AN133" s="110">
        <v>0</v>
      </c>
      <c r="AO133" s="110">
        <v>0</v>
      </c>
      <c r="AP133" s="14" t="b">
        <v>0</v>
      </c>
      <c r="AQ133" s="14" t="s">
        <v>309</v>
      </c>
      <c r="AR133" s="11">
        <v>4</v>
      </c>
      <c r="AS133" s="40"/>
      <c r="AT133" s="40"/>
      <c r="AU133" s="40"/>
      <c r="AV133" s="11">
        <f t="shared" si="133"/>
        <v>1351801</v>
      </c>
      <c r="AW133" s="40"/>
      <c r="AX133" s="40"/>
      <c r="AY133" s="11" t="str">
        <f t="shared" ref="AY133" si="140">_xlfn.TEXTJOIN("~",0,AZ133:BA133)</f>
        <v>2~0</v>
      </c>
      <c r="AZ133" s="27">
        <v>2</v>
      </c>
      <c r="BA133" s="38">
        <v>0</v>
      </c>
      <c r="BB133" s="50">
        <v>1</v>
      </c>
      <c r="BC133" s="11" t="s">
        <v>310</v>
      </c>
      <c r="BD133" s="11">
        <v>205</v>
      </c>
      <c r="BE133" s="28" t="str" cm="1">
        <f t="array" ref="BE133">IF(BD133&lt;&gt;"",_xlfn.TEXTJOIN("; ",1,VLOOKUP(VALUE(_xlfn.TEXTSPLIT(BD133,";")),device_cubicles!A:B,2,0)),"")</f>
        <v>钩爪收放</v>
      </c>
    </row>
    <row r="134" spans="1:57">
      <c r="H134" s="14" t="str">
        <f t="shared" si="120"/>
        <v/>
      </c>
      <c r="J134" s="14" t="str">
        <f>_xlfn.LET(_xlpm.get_device_type,VLOOKUP(VALUE(MID(A134,3,1)),tb_device_info_type[#All],3,0),_xlpm.check_if_wheel,IF(LEFT(A134,2)="12","wheel",_xlpm.get_device_type),_xlpm.raw_output,IF($A134&lt;&gt;"",_xlfn.TEXTJOIN("_",1,"device_alt",_xlpm.check_if_wheel),""),IFERROR(_xlpm.raw_output,"information missing"))</f>
        <v/>
      </c>
      <c r="K134" s="14" t="str" cm="1">
        <f t="array" ref="K134">_xlfn.IFS($A134="","",ISTEXT($L134),_xlfn.CONCAT("dwt","[device_wheel_thumbnail_",RIGHT($A134,1)-1,"]"),TRUE,_xlfn.CONCAT("dt","[device_thumbnail_",IF($L134&lt;&gt;"",$L134,0),"]"))</f>
        <v/>
      </c>
      <c r="O134" s="36"/>
      <c r="P134" s="15" t="str" cm="1">
        <f t="array" ref="P134">IFERROR(_xlfn.TEXTJOIN(";",1,_xlfn.MAP(_xlfn.TEXTSPLIT(O134,";"),_xlfn.LAMBDA(_xlpm.x,IFERROR(VLOOKUP(VALUE(_xlpm.x),device_tag!A:B,2,0),"error")))),"")</f>
        <v/>
      </c>
      <c r="Z134" s="25" t="str">
        <f t="shared" si="137"/>
        <v/>
      </c>
      <c r="AC134" s="11" t="s">
        <v>526</v>
      </c>
      <c r="AK134" s="110"/>
      <c r="AL134" s="110"/>
      <c r="AM134" s="110"/>
      <c r="AN134" s="110"/>
      <c r="AO134" s="110"/>
      <c r="BE134" s="28" t="str" cm="1">
        <f t="array" ref="BE134">IF(BD134&lt;&gt;"",_xlfn.TEXTJOIN("; ",1,VLOOKUP(VALUE(_xlfn.TEXTSPLIT(BD134,";")),device_cubicles!A:B,2,0)),"")</f>
        <v/>
      </c>
    </row>
    <row r="135" spans="1:57">
      <c r="A135" s="14">
        <v>1360101</v>
      </c>
      <c r="B135" s="11">
        <v>0</v>
      </c>
      <c r="C135" s="15" t="s">
        <v>322</v>
      </c>
      <c r="D135" s="15" t="s">
        <v>77</v>
      </c>
      <c r="F135" s="86"/>
      <c r="G135" s="15" t="s">
        <v>323</v>
      </c>
      <c r="H135" s="84" t="str" cm="1">
        <f t="array" aca="1" ref="H135" ca="1">_xlfn.IFS($A135="","",OR($F135=99,$F135=""),_xlfn.TEXTJOIN("_",1,"device_name",$A135,$Y135),TRUE,OFFSET(H135,-1,0))</f>
        <v>device_name_1360101_spear_ram</v>
      </c>
      <c r="J135" s="14" t="str">
        <f>_xlfn.LET(_xlpm.get_device_type,VLOOKUP(VALUE(MID(A135,3,1)),tb_device_info_type[#All],3,0),_xlpm.check_if_wheel,IF(LEFT(A135,2)="12","wheel",_xlpm.get_device_type),_xlpm.raw_output,IF($A135&lt;&gt;"",_xlfn.TEXTJOIN("_",1,"device_alt",_xlpm.check_if_wheel),""),IFERROR(_xlpm.raw_output,"information missing"))</f>
        <v>device_alt_ram</v>
      </c>
      <c r="K135" s="14" t="str" cm="1">
        <f t="array" ref="K135">_xlfn.IFS($A135="","",ISTEXT($L135),_xlfn.CONCAT("dwt","[device_wheel_thumbnail_",RIGHT($A135,1)-1,"]"),TRUE,_xlfn.CONCAT("dt","[device_thumbnail_",IF($L135&lt;&gt;"",$L135,0),"]"))</f>
        <v>dt[device_thumbnail_29]</v>
      </c>
      <c r="L135" s="34">
        <v>29</v>
      </c>
      <c r="M135" s="14" t="s">
        <v>79</v>
      </c>
      <c r="N135" s="14" t="s">
        <v>80</v>
      </c>
      <c r="O135" s="36">
        <v>1420600</v>
      </c>
      <c r="P135" s="15" t="str" cm="1">
        <f t="array" ref="P135">IFERROR(_xlfn.TEXTJOIN(";",1,_xlfn.MAP(_xlfn.TEXTSPLIT(O135,";"),_xlfn.LAMBDA(_xlpm.x,IFERROR(VLOOKUP(VALUE(_xlpm.x),device_tag!A:B,2,0),"error")))),"")</f>
        <v>撞角</v>
      </c>
      <c r="Q135" s="11" t="s">
        <v>109</v>
      </c>
      <c r="T135" s="24">
        <v>0</v>
      </c>
      <c r="U135" s="24">
        <v>1</v>
      </c>
      <c r="V135" s="24">
        <v>0</v>
      </c>
      <c r="W135" s="24">
        <v>1</v>
      </c>
      <c r="X135" s="24" t="s">
        <v>82</v>
      </c>
      <c r="Y135" s="24" t="s">
        <v>324</v>
      </c>
      <c r="Z135" s="85" t="str" cm="1">
        <f t="array" aca="1" ref="Z135" ca="1">_xlfn.IFS($A135="","",OR(F135=99,F135=""),_xlfn.TEXTJOIN("_",1,X135,$A135,Y135),TRUE,OFFSET($Z135,-1,0))</f>
        <v>device_1360101_spear_ram</v>
      </c>
      <c r="AA135" s="91">
        <v>9</v>
      </c>
      <c r="AB135" s="90">
        <f t="shared" ref="AB135:AB137" si="141">COLUMNS(_xlfn.TEXTSPLIT(BD135,";"))</f>
        <v>1</v>
      </c>
      <c r="AC135" s="77">
        <v>14</v>
      </c>
      <c r="AF135" s="40"/>
      <c r="AG135" s="40"/>
      <c r="AH135" s="40"/>
      <c r="AI135" s="38"/>
      <c r="AJ135" s="38"/>
      <c r="AK135" s="110">
        <v>0</v>
      </c>
      <c r="AL135" s="110">
        <v>0</v>
      </c>
      <c r="AM135" s="110">
        <v>0</v>
      </c>
      <c r="AN135" s="110">
        <v>0</v>
      </c>
      <c r="AO135" s="110">
        <v>0</v>
      </c>
      <c r="AP135" s="14" t="b">
        <v>1</v>
      </c>
      <c r="AQ135" s="74" t="s">
        <v>555</v>
      </c>
      <c r="AR135" s="40"/>
      <c r="AS135" s="40"/>
      <c r="AT135" s="40"/>
      <c r="AU135" s="40"/>
      <c r="AV135" s="40"/>
      <c r="AW135" s="11">
        <f t="shared" si="133"/>
        <v>1360101</v>
      </c>
      <c r="AX135" s="40"/>
      <c r="AY135" s="11" t="str">
        <f t="shared" ref="AY135" si="142">_xlfn.TEXTJOIN("~",0,AZ135:BA135)</f>
        <v>2~0</v>
      </c>
      <c r="AZ135" s="27">
        <v>2</v>
      </c>
      <c r="BA135" s="38">
        <v>0</v>
      </c>
      <c r="BB135" s="11" t="str">
        <f t="shared" si="131"/>
        <v>6360101</v>
      </c>
      <c r="BC135" s="87" t="s">
        <v>620</v>
      </c>
      <c r="BD135" s="11">
        <v>401</v>
      </c>
      <c r="BE135" s="28" t="str" cm="1">
        <f t="array" ref="BE135">IF(BD135&lt;&gt;"",_xlfn.TEXTJOIN("; ",1,VLOOKUP(VALUE(_xlfn.TEXTSPLIT(BD135,";")),device_cubicles!A:B,2,0)),"")</f>
        <v>调整朝向</v>
      </c>
    </row>
    <row r="136" spans="1:57">
      <c r="A136" s="14">
        <v>13601010</v>
      </c>
      <c r="B136" s="11">
        <v>0</v>
      </c>
      <c r="C136" s="15" t="s">
        <v>671</v>
      </c>
      <c r="D136" s="15" t="s">
        <v>77</v>
      </c>
      <c r="E136" s="15" t="s">
        <v>684</v>
      </c>
      <c r="F136" s="11">
        <v>0</v>
      </c>
      <c r="G136" s="15" t="s">
        <v>323</v>
      </c>
      <c r="H136" s="84" t="str" cm="1">
        <f t="array" aca="1" ref="H136" ca="1">_xlfn.IFS($A136="","",OR($F136=99,$F136=""),_xlfn.TEXTJOIN("_",1,"device_name",$A136,$Y136),TRUE,OFFSET(H136,-1,0))</f>
        <v>device_name_1360101_spear_ram</v>
      </c>
      <c r="J136" s="14" t="str">
        <f>_xlfn.LET(_xlpm.get_device_type,VLOOKUP(VALUE(MID(A136,3,1)),tb_device_info_type[#All],3,0),_xlpm.check_if_wheel,IF(LEFT(A136,2)="12","wheel",_xlpm.get_device_type),_xlpm.raw_output,IF($A136&lt;&gt;"",_xlfn.TEXTJOIN("_",1,"device_alt",_xlpm.check_if_wheel),""),IFERROR(_xlpm.raw_output,"information missing"))</f>
        <v>device_alt_ram</v>
      </c>
      <c r="K136" s="14" t="str" cm="1">
        <f t="array" ref="K136">_xlfn.IFS($A136="","",ISTEXT($L136),_xlfn.CONCAT("dwt","[device_wheel_thumbnail_",RIGHT($A136,1)-1,"]"),TRUE,_xlfn.CONCAT("dt","[device_thumbnail_",IF($L136&lt;&gt;"",$L136,0),"]"))</f>
        <v>dt[device_thumbnail_29]</v>
      </c>
      <c r="L136" s="34">
        <v>29</v>
      </c>
      <c r="M136" s="14" t="s">
        <v>79</v>
      </c>
      <c r="N136" s="14" t="s">
        <v>80</v>
      </c>
      <c r="O136" s="36">
        <v>1420600</v>
      </c>
      <c r="P136" s="15" t="str" cm="1">
        <f t="array" ref="P136">IFERROR(_xlfn.TEXTJOIN(";",1,_xlfn.MAP(_xlfn.TEXTSPLIT(O136,";"),_xlfn.LAMBDA(_xlpm.x,IFERROR(VLOOKUP(VALUE(_xlpm.x),device_tag!A:B,2,0),"error")))),"")</f>
        <v>撞角</v>
      </c>
      <c r="Q136" s="11" t="s">
        <v>109</v>
      </c>
      <c r="T136" s="24">
        <v>0</v>
      </c>
      <c r="U136" s="24">
        <v>1</v>
      </c>
      <c r="V136" s="24">
        <v>0</v>
      </c>
      <c r="W136" s="24">
        <v>1</v>
      </c>
      <c r="X136" s="24" t="s">
        <v>82</v>
      </c>
      <c r="Y136" s="24" t="s">
        <v>324</v>
      </c>
      <c r="Z136" s="85" t="str" cm="1">
        <f t="array" aca="1" ref="Z136" ca="1">_xlfn.IFS($A136="","",OR(F136=99,F136=""),_xlfn.TEXTJOIN("_",1,X136,$A136,Y136),TRUE,OFFSET($Z136,-1,0))</f>
        <v>device_1360101_spear_ram</v>
      </c>
      <c r="AA136" s="91">
        <v>9</v>
      </c>
      <c r="AB136" s="90">
        <f t="shared" si="141"/>
        <v>1</v>
      </c>
      <c r="AC136" s="76">
        <f>ROUND($AD136*$AE136^$F136,0)</f>
        <v>14</v>
      </c>
      <c r="AD136" s="16">
        <v>14.4</v>
      </c>
      <c r="AE136" s="16">
        <f>POWER(1.6,2)</f>
        <v>2.5600000000000005</v>
      </c>
      <c r="AF136" s="40"/>
      <c r="AG136" s="40"/>
      <c r="AH136" s="40"/>
      <c r="AI136" s="38"/>
      <c r="AJ136" s="38"/>
      <c r="AK136" s="110">
        <v>0</v>
      </c>
      <c r="AL136" s="110">
        <v>0</v>
      </c>
      <c r="AM136" s="110">
        <v>0</v>
      </c>
      <c r="AN136" s="110">
        <v>0</v>
      </c>
      <c r="AO136" s="110">
        <v>0</v>
      </c>
      <c r="AP136" s="14" t="b">
        <v>1</v>
      </c>
      <c r="AQ136" s="74" t="s">
        <v>555</v>
      </c>
      <c r="AR136" s="40"/>
      <c r="AS136" s="40"/>
      <c r="AT136" s="40"/>
      <c r="AU136" s="40"/>
      <c r="AV136" s="40"/>
      <c r="AW136" s="11">
        <f t="shared" si="133"/>
        <v>13601010</v>
      </c>
      <c r="AX136" s="40"/>
      <c r="AY136" s="11" t="str">
        <f t="shared" ref="AY136" si="143">_xlfn.TEXTJOIN("~",0,AZ136:BA136)</f>
        <v>2~0</v>
      </c>
      <c r="AZ136" s="27">
        <v>2</v>
      </c>
      <c r="BA136" s="38">
        <v>0</v>
      </c>
      <c r="BB136" s="50">
        <v>1</v>
      </c>
      <c r="BC136" s="74" t="s">
        <v>554</v>
      </c>
      <c r="BD136" s="11">
        <v>401</v>
      </c>
      <c r="BE136" s="28" t="str" cm="1">
        <f t="array" ref="BE136">IF(BD136&lt;&gt;"",_xlfn.TEXTJOIN("; ",1,VLOOKUP(VALUE(_xlfn.TEXTSPLIT(BD136,";")),device_cubicles!A:B,2,0)),"")</f>
        <v>调整朝向</v>
      </c>
    </row>
    <row r="137" spans="1:57">
      <c r="A137" s="14">
        <v>13601011</v>
      </c>
      <c r="B137" s="11">
        <v>0</v>
      </c>
      <c r="C137" s="15" t="s">
        <v>672</v>
      </c>
      <c r="D137" s="15" t="s">
        <v>77</v>
      </c>
      <c r="E137" s="15" t="s">
        <v>685</v>
      </c>
      <c r="F137" s="11">
        <v>1</v>
      </c>
      <c r="G137" s="15" t="s">
        <v>323</v>
      </c>
      <c r="H137" s="84" t="str" cm="1">
        <f t="array" aca="1" ref="H137" ca="1">_xlfn.IFS($A137="","",OR($F137=99,$F137=""),_xlfn.TEXTJOIN("_",1,"device_name",$A137,$Y137),TRUE,OFFSET(H137,-1,0))</f>
        <v>device_name_1360101_spear_ram</v>
      </c>
      <c r="J137" s="14" t="str">
        <f>_xlfn.LET(_xlpm.get_device_type,VLOOKUP(VALUE(MID(A137,3,1)),tb_device_info_type[#All],3,0),_xlpm.check_if_wheel,IF(LEFT(A137,2)="12","wheel",_xlpm.get_device_type),_xlpm.raw_output,IF($A137&lt;&gt;"",_xlfn.TEXTJOIN("_",1,"device_alt",_xlpm.check_if_wheel),""),IFERROR(_xlpm.raw_output,"information missing"))</f>
        <v>device_alt_ram</v>
      </c>
      <c r="K137" s="14" t="str" cm="1">
        <f t="array" ref="K137">_xlfn.IFS($A137="","",ISTEXT($L137),_xlfn.CONCAT("dwt","[device_wheel_thumbnail_",RIGHT($A137,1)-1,"]"),TRUE,_xlfn.CONCAT("dt","[device_thumbnail_",IF($L137&lt;&gt;"",$L137,0),"]"))</f>
        <v>dt[device_thumbnail_29]</v>
      </c>
      <c r="L137" s="34">
        <v>29</v>
      </c>
      <c r="M137" s="14" t="s">
        <v>79</v>
      </c>
      <c r="N137" s="14" t="s">
        <v>80</v>
      </c>
      <c r="O137" s="36">
        <v>1420600</v>
      </c>
      <c r="P137" s="15" t="str" cm="1">
        <f t="array" ref="P137">IFERROR(_xlfn.TEXTJOIN(";",1,_xlfn.MAP(_xlfn.TEXTSPLIT(O137,";"),_xlfn.LAMBDA(_xlpm.x,IFERROR(VLOOKUP(VALUE(_xlpm.x),device_tag!A:B,2,0),"error")))),"")</f>
        <v>撞角</v>
      </c>
      <c r="Q137" s="11" t="s">
        <v>109</v>
      </c>
      <c r="T137" s="24">
        <v>0</v>
      </c>
      <c r="U137" s="24">
        <v>1</v>
      </c>
      <c r="V137" s="24">
        <v>0</v>
      </c>
      <c r="W137" s="24">
        <v>1</v>
      </c>
      <c r="X137" s="24" t="s">
        <v>82</v>
      </c>
      <c r="Y137" s="24" t="s">
        <v>324</v>
      </c>
      <c r="Z137" s="85" t="str" cm="1">
        <f t="array" aca="1" ref="Z137" ca="1">_xlfn.IFS($A137="","",OR(F137=99,F137=""),_xlfn.TEXTJOIN("_",1,X137,$A137,Y137),TRUE,OFFSET($Z137,-1,0))</f>
        <v>device_1360101_spear_ram</v>
      </c>
      <c r="AA137" s="91">
        <v>9</v>
      </c>
      <c r="AB137" s="90">
        <f t="shared" si="141"/>
        <v>1</v>
      </c>
      <c r="AC137" s="76">
        <f>ROUND($AD137*$AE137^$F137,0)</f>
        <v>37</v>
      </c>
      <c r="AD137" s="16">
        <v>14.4</v>
      </c>
      <c r="AE137" s="16">
        <f>POWER(1.6,2)</f>
        <v>2.5600000000000005</v>
      </c>
      <c r="AF137" s="40"/>
      <c r="AG137" s="40"/>
      <c r="AH137" s="40"/>
      <c r="AI137" s="38"/>
      <c r="AJ137" s="38"/>
      <c r="AK137" s="110">
        <v>0</v>
      </c>
      <c r="AL137" s="110">
        <v>0</v>
      </c>
      <c r="AM137" s="110">
        <v>0</v>
      </c>
      <c r="AN137" s="110">
        <v>0</v>
      </c>
      <c r="AO137" s="110">
        <v>0</v>
      </c>
      <c r="AP137" s="14" t="b">
        <v>1</v>
      </c>
      <c r="AQ137" s="74" t="s">
        <v>555</v>
      </c>
      <c r="AR137" s="40"/>
      <c r="AS137" s="40"/>
      <c r="AT137" s="40"/>
      <c r="AU137" s="40"/>
      <c r="AV137" s="40"/>
      <c r="AW137" s="11">
        <f t="shared" si="133"/>
        <v>13601011</v>
      </c>
      <c r="AX137" s="40"/>
      <c r="AY137" s="11" t="str">
        <f t="shared" ref="AY137" si="144">_xlfn.TEXTJOIN("~",0,AZ137:BA137)</f>
        <v>2~0</v>
      </c>
      <c r="AZ137" s="27">
        <v>2</v>
      </c>
      <c r="BA137" s="38">
        <v>0</v>
      </c>
      <c r="BB137" s="50">
        <v>1</v>
      </c>
      <c r="BC137" s="74" t="s">
        <v>554</v>
      </c>
      <c r="BD137" s="11">
        <v>401</v>
      </c>
      <c r="BE137" s="28" t="str" cm="1">
        <f t="array" ref="BE137">IF(BD137&lt;&gt;"",_xlfn.TEXTJOIN("; ",1,VLOOKUP(VALUE(_xlfn.TEXTSPLIT(BD137,";")),device_cubicles!A:B,2,0)),"")</f>
        <v>调整朝向</v>
      </c>
    </row>
    <row r="138" spans="1:57">
      <c r="A138" s="14">
        <v>13601012</v>
      </c>
      <c r="B138" s="11">
        <v>0</v>
      </c>
      <c r="C138" s="15" t="s">
        <v>673</v>
      </c>
      <c r="D138" s="15" t="s">
        <v>77</v>
      </c>
      <c r="E138" s="15" t="s">
        <v>686</v>
      </c>
      <c r="F138" s="11">
        <v>2</v>
      </c>
      <c r="G138" s="15" t="s">
        <v>323</v>
      </c>
      <c r="H138" s="84" t="str" cm="1">
        <f t="array" aca="1" ref="H138" ca="1">_xlfn.IFS($A138="","",OR($F138=99,$F138=""),_xlfn.TEXTJOIN("_",1,"device_name",$A138,$Y138),TRUE,OFFSET(H138,-1,0))</f>
        <v>device_name_1360101_spear_ram</v>
      </c>
      <c r="J138" s="14" t="str">
        <f>_xlfn.LET(_xlpm.get_device_type,VLOOKUP(VALUE(MID(A138,3,1)),tb_device_info_type[#All],3,0),_xlpm.check_if_wheel,IF(LEFT(A138,2)="12","wheel",_xlpm.get_device_type),_xlpm.raw_output,IF($A138&lt;&gt;"",_xlfn.TEXTJOIN("_",1,"device_alt",_xlpm.check_if_wheel),""),IFERROR(_xlpm.raw_output,"information missing"))</f>
        <v>device_alt_ram</v>
      </c>
      <c r="K138" s="14" t="str" cm="1">
        <f t="array" ref="K138">_xlfn.IFS($A138="","",ISTEXT($L138),_xlfn.CONCAT("dwt","[device_wheel_thumbnail_",RIGHT($A138,1)-1,"]"),TRUE,_xlfn.CONCAT("dt","[device_thumbnail_",IF($L138&lt;&gt;"",$L138,0),"]"))</f>
        <v>dt[device_thumbnail_29]</v>
      </c>
      <c r="L138" s="34">
        <v>29</v>
      </c>
      <c r="M138" s="14" t="s">
        <v>79</v>
      </c>
      <c r="N138" s="14" t="s">
        <v>80</v>
      </c>
      <c r="O138" s="36">
        <v>1420600</v>
      </c>
      <c r="P138" s="15" t="str" cm="1">
        <f t="array" ref="P138">IFERROR(_xlfn.TEXTJOIN(";",1,_xlfn.MAP(_xlfn.TEXTSPLIT(O138,";"),_xlfn.LAMBDA(_xlpm.x,IFERROR(VLOOKUP(VALUE(_xlpm.x),device_tag!A:B,2,0),"error")))),"")</f>
        <v>撞角</v>
      </c>
      <c r="Q138" s="11" t="s">
        <v>109</v>
      </c>
      <c r="T138" s="24">
        <v>0</v>
      </c>
      <c r="U138" s="24">
        <v>1</v>
      </c>
      <c r="V138" s="24">
        <v>0</v>
      </c>
      <c r="W138" s="24">
        <v>1</v>
      </c>
      <c r="X138" s="24" t="s">
        <v>82</v>
      </c>
      <c r="Y138" s="24" t="s">
        <v>324</v>
      </c>
      <c r="Z138" s="85" t="str" cm="1">
        <f t="array" aca="1" ref="Z138" ca="1">_xlfn.IFS($A138="","",OR(F138=99,F138=""),_xlfn.TEXTJOIN("_",1,X138,$A138,Y138),TRUE,OFFSET($Z138,-1,0))</f>
        <v>device_1360101_spear_ram</v>
      </c>
      <c r="AA138" s="91">
        <v>9</v>
      </c>
      <c r="AB138" s="90">
        <f t="shared" ref="AB138:AB140" si="145">COLUMNS(_xlfn.TEXTSPLIT(BD138,";"))</f>
        <v>1</v>
      </c>
      <c r="AC138" s="76">
        <f>ROUND($AD138*$AE138^$F138,0)</f>
        <v>94</v>
      </c>
      <c r="AD138" s="16">
        <v>14.4</v>
      </c>
      <c r="AE138" s="16">
        <f>POWER(1.6,2)</f>
        <v>2.5600000000000005</v>
      </c>
      <c r="AF138" s="40"/>
      <c r="AG138" s="40"/>
      <c r="AH138" s="40"/>
      <c r="AI138" s="38"/>
      <c r="AJ138" s="38"/>
      <c r="AK138" s="110">
        <v>0</v>
      </c>
      <c r="AL138" s="110">
        <v>0</v>
      </c>
      <c r="AM138" s="110">
        <v>0</v>
      </c>
      <c r="AN138" s="110">
        <v>0</v>
      </c>
      <c r="AO138" s="110">
        <v>0</v>
      </c>
      <c r="AP138" s="14" t="b">
        <v>1</v>
      </c>
      <c r="AQ138" s="74" t="s">
        <v>555</v>
      </c>
      <c r="AR138" s="40"/>
      <c r="AS138" s="40"/>
      <c r="AT138" s="40"/>
      <c r="AU138" s="40"/>
      <c r="AV138" s="40"/>
      <c r="AW138" s="11">
        <f t="shared" si="133"/>
        <v>13601012</v>
      </c>
      <c r="AX138" s="40"/>
      <c r="AY138" s="11" t="str">
        <f t="shared" ref="AY138" si="146">_xlfn.TEXTJOIN("~",0,AZ138:BA138)</f>
        <v>2~0</v>
      </c>
      <c r="AZ138" s="27">
        <v>2</v>
      </c>
      <c r="BA138" s="38">
        <v>0</v>
      </c>
      <c r="BB138" s="50">
        <v>1</v>
      </c>
      <c r="BC138" s="74" t="s">
        <v>554</v>
      </c>
      <c r="BD138" s="11">
        <v>401</v>
      </c>
      <c r="BE138" s="28" t="str" cm="1">
        <f t="array" ref="BE138">IF(BD138&lt;&gt;"",_xlfn.TEXTJOIN("; ",1,VLOOKUP(VALUE(_xlfn.TEXTSPLIT(BD138,";")),device_cubicles!A:B,2,0)),"")</f>
        <v>调整朝向</v>
      </c>
    </row>
    <row r="139" spans="1:57">
      <c r="A139" s="14">
        <v>1360102</v>
      </c>
      <c r="B139" s="11">
        <v>0</v>
      </c>
      <c r="C139" s="15" t="s">
        <v>325</v>
      </c>
      <c r="D139" s="15" t="s">
        <v>77</v>
      </c>
      <c r="F139" s="86"/>
      <c r="G139" s="15" t="s">
        <v>326</v>
      </c>
      <c r="H139" s="84" t="str" cm="1">
        <f t="array" aca="1" ref="H139" ca="1">_xlfn.IFS($A139="","",OR($F139=99,$F139=""),_xlfn.TEXTJOIN("_",1,"device_name",$A139,$Y139),TRUE,OFFSET(H139,-1,0))</f>
        <v>device_name_1360102_metal_ram</v>
      </c>
      <c r="J139" s="14" t="str">
        <f>_xlfn.LET(_xlpm.get_device_type,VLOOKUP(VALUE(MID(A139,3,1)),tb_device_info_type[#All],3,0),_xlpm.check_if_wheel,IF(LEFT(A139,2)="12","wheel",_xlpm.get_device_type),_xlpm.raw_output,IF($A139&lt;&gt;"",_xlfn.TEXTJOIN("_",1,"device_alt",_xlpm.check_if_wheel),""),IFERROR(_xlpm.raw_output,"information missing"))</f>
        <v>device_alt_ram</v>
      </c>
      <c r="K139" s="14" t="str" cm="1">
        <f t="array" ref="K139">_xlfn.IFS($A139="","",ISTEXT($L139),_xlfn.CONCAT("dwt","[device_wheel_thumbnail_",RIGHT($A139,1)-1,"]"),TRUE,_xlfn.CONCAT("dt","[device_thumbnail_",IF($L139&lt;&gt;"",$L139,0),"]"))</f>
        <v>dt[device_thumbnail_19]</v>
      </c>
      <c r="L139" s="34">
        <v>19</v>
      </c>
      <c r="M139" s="14" t="s">
        <v>79</v>
      </c>
      <c r="N139" s="14" t="s">
        <v>80</v>
      </c>
      <c r="O139" s="36">
        <v>1420600</v>
      </c>
      <c r="P139" s="15" t="str" cm="1">
        <f t="array" ref="P139">IFERROR(_xlfn.TEXTJOIN(";",1,_xlfn.MAP(_xlfn.TEXTSPLIT(O139,";"),_xlfn.LAMBDA(_xlpm.x,IFERROR(VLOOKUP(VALUE(_xlpm.x),device_tag!A:B,2,0),"error")))),"")</f>
        <v>撞角</v>
      </c>
      <c r="Q139" s="11" t="s">
        <v>109</v>
      </c>
      <c r="T139" s="24">
        <v>0</v>
      </c>
      <c r="U139" s="24">
        <v>1</v>
      </c>
      <c r="V139" s="24">
        <v>0</v>
      </c>
      <c r="W139" s="24">
        <v>1</v>
      </c>
      <c r="X139" s="24" t="s">
        <v>82</v>
      </c>
      <c r="Y139" s="24" t="s">
        <v>327</v>
      </c>
      <c r="Z139" s="85" t="str" cm="1">
        <f t="array" aca="1" ref="Z139" ca="1">_xlfn.IFS($A139="","",OR(F139=99,F139=""),_xlfn.TEXTJOIN("_",1,X139,$A139,Y139),TRUE,OFFSET($Z139,-1,0))</f>
        <v>device_1360102_metal_ram</v>
      </c>
      <c r="AA139" s="91">
        <v>56</v>
      </c>
      <c r="AB139" s="90">
        <f t="shared" si="145"/>
        <v>1</v>
      </c>
      <c r="AC139" s="77">
        <v>16</v>
      </c>
      <c r="AF139" s="40"/>
      <c r="AG139" s="40"/>
      <c r="AH139" s="40"/>
      <c r="AI139" s="38"/>
      <c r="AJ139" s="38"/>
      <c r="AK139" s="110">
        <v>0</v>
      </c>
      <c r="AL139" s="110">
        <v>0</v>
      </c>
      <c r="AM139" s="110">
        <v>0</v>
      </c>
      <c r="AN139" s="110">
        <v>0</v>
      </c>
      <c r="AO139" s="110">
        <v>0</v>
      </c>
      <c r="AP139" s="14" t="b">
        <v>1</v>
      </c>
      <c r="AQ139" s="74" t="s">
        <v>555</v>
      </c>
      <c r="AR139" s="40"/>
      <c r="AS139" s="40"/>
      <c r="AT139" s="40"/>
      <c r="AU139" s="40"/>
      <c r="AV139" s="40"/>
      <c r="AW139" s="11">
        <f t="shared" si="133"/>
        <v>1360102</v>
      </c>
      <c r="AX139" s="40"/>
      <c r="AY139" s="11" t="str">
        <f t="shared" ref="AY139" si="147">_xlfn.TEXTJOIN("~",0,AZ139:BA139)</f>
        <v>2~0</v>
      </c>
      <c r="AZ139" s="27">
        <v>2</v>
      </c>
      <c r="BA139" s="38">
        <v>0</v>
      </c>
      <c r="BB139" s="11" t="str">
        <f t="shared" si="131"/>
        <v>6360102</v>
      </c>
      <c r="BC139" s="87" t="s">
        <v>620</v>
      </c>
      <c r="BD139" s="11">
        <v>401</v>
      </c>
      <c r="BE139" s="28" t="str" cm="1">
        <f t="array" ref="BE139">IF(BD139&lt;&gt;"",_xlfn.TEXTJOIN("; ",1,VLOOKUP(VALUE(_xlfn.TEXTSPLIT(BD139,";")),device_cubicles!A:B,2,0)),"")</f>
        <v>调整朝向</v>
      </c>
    </row>
    <row r="140" spans="1:57">
      <c r="A140" s="14">
        <v>13601022</v>
      </c>
      <c r="B140" s="11">
        <v>0</v>
      </c>
      <c r="C140" s="15" t="s">
        <v>689</v>
      </c>
      <c r="D140" s="15" t="s">
        <v>77</v>
      </c>
      <c r="E140" s="15" t="s">
        <v>689</v>
      </c>
      <c r="F140" s="11">
        <v>2</v>
      </c>
      <c r="G140" s="15" t="s">
        <v>326</v>
      </c>
      <c r="H140" s="84" t="str" cm="1">
        <f t="array" aca="1" ref="H140" ca="1">_xlfn.IFS($A140="","",OR($F140=99,$F140=""),_xlfn.TEXTJOIN("_",1,"device_name",$A140,$Y140),TRUE,OFFSET(H140,-1,0))</f>
        <v>device_name_1360102_metal_ram</v>
      </c>
      <c r="J140" s="14" t="str">
        <f>_xlfn.LET(_xlpm.get_device_type,VLOOKUP(VALUE(MID(A140,3,1)),tb_device_info_type[#All],3,0),_xlpm.check_if_wheel,IF(LEFT(A140,2)="12","wheel",_xlpm.get_device_type),_xlpm.raw_output,IF($A140&lt;&gt;"",_xlfn.TEXTJOIN("_",1,"device_alt",_xlpm.check_if_wheel),""),IFERROR(_xlpm.raw_output,"information missing"))</f>
        <v>device_alt_ram</v>
      </c>
      <c r="K140" s="14" t="str" cm="1">
        <f t="array" ref="K140">_xlfn.IFS($A140="","",ISTEXT($L140),_xlfn.CONCAT("dwt","[device_wheel_thumbnail_",RIGHT($A140,1)-1,"]"),TRUE,_xlfn.CONCAT("dt","[device_thumbnail_",IF($L140&lt;&gt;"",$L140,0),"]"))</f>
        <v>dt[device_thumbnail_19]</v>
      </c>
      <c r="L140" s="34">
        <v>19</v>
      </c>
      <c r="M140" s="14" t="s">
        <v>79</v>
      </c>
      <c r="N140" s="14" t="s">
        <v>80</v>
      </c>
      <c r="O140" s="36">
        <v>1420600</v>
      </c>
      <c r="P140" s="15" t="str" cm="1">
        <f t="array" ref="P140">IFERROR(_xlfn.TEXTJOIN(";",1,_xlfn.MAP(_xlfn.TEXTSPLIT(O140,";"),_xlfn.LAMBDA(_xlpm.x,IFERROR(VLOOKUP(VALUE(_xlpm.x),device_tag!A:B,2,0),"error")))),"")</f>
        <v>撞角</v>
      </c>
      <c r="Q140" s="11" t="s">
        <v>109</v>
      </c>
      <c r="T140" s="24">
        <v>0</v>
      </c>
      <c r="U140" s="24">
        <v>1</v>
      </c>
      <c r="V140" s="24">
        <v>0</v>
      </c>
      <c r="W140" s="24">
        <v>1</v>
      </c>
      <c r="X140" s="24" t="s">
        <v>82</v>
      </c>
      <c r="Y140" s="24" t="s">
        <v>327</v>
      </c>
      <c r="Z140" s="85" t="str" cm="1">
        <f t="array" aca="1" ref="Z140" ca="1">_xlfn.IFS($A140="","",OR(F140=99,F140=""),_xlfn.TEXTJOIN("_",1,X140,$A140,Y140),TRUE,OFFSET($Z140,-1,0))</f>
        <v>device_1360102_metal_ram</v>
      </c>
      <c r="AA140" s="91">
        <v>56</v>
      </c>
      <c r="AB140" s="90">
        <f t="shared" si="145"/>
        <v>1</v>
      </c>
      <c r="AC140" s="76">
        <f>ROUND($AD140*$AE140^$F140,0)</f>
        <v>125</v>
      </c>
      <c r="AD140" s="16">
        <v>19</v>
      </c>
      <c r="AE140" s="16">
        <f>POWER(1.6,2)</f>
        <v>2.5600000000000005</v>
      </c>
      <c r="AF140" s="40"/>
      <c r="AG140" s="40"/>
      <c r="AH140" s="40"/>
      <c r="AI140" s="38"/>
      <c r="AJ140" s="38"/>
      <c r="AK140" s="110">
        <v>0</v>
      </c>
      <c r="AL140" s="110">
        <v>0</v>
      </c>
      <c r="AM140" s="110">
        <v>0</v>
      </c>
      <c r="AN140" s="110">
        <v>0</v>
      </c>
      <c r="AO140" s="110">
        <v>0</v>
      </c>
      <c r="AP140" s="14" t="b">
        <v>1</v>
      </c>
      <c r="AQ140" s="74" t="s">
        <v>555</v>
      </c>
      <c r="AR140" s="40"/>
      <c r="AS140" s="40"/>
      <c r="AT140" s="40"/>
      <c r="AU140" s="40"/>
      <c r="AV140" s="40"/>
      <c r="AW140" s="11">
        <f t="shared" si="133"/>
        <v>13601022</v>
      </c>
      <c r="AX140" s="40"/>
      <c r="AY140" s="11" t="str">
        <f t="shared" ref="AY140" si="148">_xlfn.TEXTJOIN("~",0,AZ140:BA140)</f>
        <v>2~0</v>
      </c>
      <c r="AZ140" s="27">
        <v>2</v>
      </c>
      <c r="BA140" s="38">
        <v>0</v>
      </c>
      <c r="BB140" s="50">
        <v>1</v>
      </c>
      <c r="BC140" s="74" t="s">
        <v>554</v>
      </c>
      <c r="BD140" s="11">
        <v>401</v>
      </c>
      <c r="BE140" s="28" t="str" cm="1">
        <f t="array" ref="BE140">IF(BD140&lt;&gt;"",_xlfn.TEXTJOIN("; ",1,VLOOKUP(VALUE(_xlfn.TEXTSPLIT(BD140,";")),device_cubicles!A:B,2,0)),"")</f>
        <v>调整朝向</v>
      </c>
    </row>
    <row r="141" spans="1:57">
      <c r="A141" s="14">
        <v>13601023</v>
      </c>
      <c r="B141" s="11">
        <v>0</v>
      </c>
      <c r="C141" s="15" t="s">
        <v>695</v>
      </c>
      <c r="D141" s="15" t="s">
        <v>77</v>
      </c>
      <c r="E141" s="15" t="s">
        <v>695</v>
      </c>
      <c r="F141" s="11">
        <v>3</v>
      </c>
      <c r="G141" s="15" t="s">
        <v>326</v>
      </c>
      <c r="H141" s="84" t="str" cm="1">
        <f t="array" aca="1" ref="H141" ca="1">_xlfn.IFS($A141="","",OR($F141=99,$F141=""),_xlfn.TEXTJOIN("_",1,"device_name",$A141,$Y141),TRUE,OFFSET(H141,-1,0))</f>
        <v>device_name_1360102_metal_ram</v>
      </c>
      <c r="J141" s="14" t="str">
        <f>_xlfn.LET(_xlpm.get_device_type,VLOOKUP(VALUE(MID(A141,3,1)),tb_device_info_type[#All],3,0),_xlpm.check_if_wheel,IF(LEFT(A141,2)="12","wheel",_xlpm.get_device_type),_xlpm.raw_output,IF($A141&lt;&gt;"",_xlfn.TEXTJOIN("_",1,"device_alt",_xlpm.check_if_wheel),""),IFERROR(_xlpm.raw_output,"information missing"))</f>
        <v>device_alt_ram</v>
      </c>
      <c r="K141" s="14" t="str" cm="1">
        <f t="array" ref="K141">_xlfn.IFS($A141="","",ISTEXT($L141),_xlfn.CONCAT("dwt","[device_wheel_thumbnail_",RIGHT($A141,1)-1,"]"),TRUE,_xlfn.CONCAT("dt","[device_thumbnail_",IF($L141&lt;&gt;"",$L141,0),"]"))</f>
        <v>dt[device_thumbnail_19]</v>
      </c>
      <c r="L141" s="34">
        <v>19</v>
      </c>
      <c r="M141" s="14" t="s">
        <v>79</v>
      </c>
      <c r="N141" s="14" t="s">
        <v>80</v>
      </c>
      <c r="O141" s="36">
        <v>1420600</v>
      </c>
      <c r="P141" s="15" t="str" cm="1">
        <f t="array" ref="P141">IFERROR(_xlfn.TEXTJOIN(";",1,_xlfn.MAP(_xlfn.TEXTSPLIT(O141,";"),_xlfn.LAMBDA(_xlpm.x,IFERROR(VLOOKUP(VALUE(_xlpm.x),device_tag!A:B,2,0),"error")))),"")</f>
        <v>撞角</v>
      </c>
      <c r="Q141" s="11" t="s">
        <v>109</v>
      </c>
      <c r="T141" s="24">
        <v>0</v>
      </c>
      <c r="U141" s="24">
        <v>1</v>
      </c>
      <c r="V141" s="24">
        <v>0</v>
      </c>
      <c r="W141" s="24">
        <v>1</v>
      </c>
      <c r="X141" s="24" t="s">
        <v>82</v>
      </c>
      <c r="Y141" s="24" t="s">
        <v>327</v>
      </c>
      <c r="Z141" s="85" t="str" cm="1">
        <f t="array" aca="1" ref="Z141" ca="1">_xlfn.IFS($A141="","",OR(F141=99,F141=""),_xlfn.TEXTJOIN("_",1,X141,$A141,Y141),TRUE,OFFSET($Z141,-1,0))</f>
        <v>device_1360102_metal_ram</v>
      </c>
      <c r="AA141" s="91">
        <v>56</v>
      </c>
      <c r="AB141" s="90">
        <f t="shared" ref="AB141" si="149">COLUMNS(_xlfn.TEXTSPLIT(BD141,";"))</f>
        <v>1</v>
      </c>
      <c r="AC141" s="76">
        <f>ROUND($AD141*$AE141^$F141,0)</f>
        <v>319</v>
      </c>
      <c r="AD141" s="16">
        <v>19</v>
      </c>
      <c r="AE141" s="16">
        <f>POWER(1.6,2)</f>
        <v>2.5600000000000005</v>
      </c>
      <c r="AF141" s="40"/>
      <c r="AG141" s="40"/>
      <c r="AH141" s="40"/>
      <c r="AI141" s="38"/>
      <c r="AJ141" s="38"/>
      <c r="AK141" s="110">
        <v>0</v>
      </c>
      <c r="AL141" s="110">
        <v>0</v>
      </c>
      <c r="AM141" s="110">
        <v>0</v>
      </c>
      <c r="AN141" s="110">
        <v>0</v>
      </c>
      <c r="AO141" s="110">
        <v>0</v>
      </c>
      <c r="AP141" s="14" t="b">
        <v>1</v>
      </c>
      <c r="AQ141" s="74" t="s">
        <v>555</v>
      </c>
      <c r="AR141" s="40"/>
      <c r="AS141" s="40"/>
      <c r="AT141" s="40"/>
      <c r="AU141" s="40"/>
      <c r="AV141" s="40"/>
      <c r="AW141" s="11">
        <f t="shared" si="133"/>
        <v>13601023</v>
      </c>
      <c r="AX141" s="40"/>
      <c r="AY141" s="11" t="str">
        <f t="shared" ref="AY141" si="150">_xlfn.TEXTJOIN("~",0,AZ141:BA141)</f>
        <v>2~0</v>
      </c>
      <c r="AZ141" s="27">
        <v>2</v>
      </c>
      <c r="BA141" s="38">
        <v>0</v>
      </c>
      <c r="BB141" s="50">
        <v>1</v>
      </c>
      <c r="BC141" s="74" t="s">
        <v>554</v>
      </c>
      <c r="BD141" s="11">
        <v>401</v>
      </c>
      <c r="BE141" s="28" t="str" cm="1">
        <f t="array" ref="BE141">IF(BD141&lt;&gt;"",_xlfn.TEXTJOIN("; ",1,VLOOKUP(VALUE(_xlfn.TEXTSPLIT(BD141,";")),device_cubicles!A:B,2,0)),"")</f>
        <v>调整朝向</v>
      </c>
    </row>
    <row r="142" spans="1:57">
      <c r="A142" s="14">
        <v>1360103</v>
      </c>
      <c r="B142" s="11">
        <v>0</v>
      </c>
      <c r="C142" s="15" t="s">
        <v>674</v>
      </c>
      <c r="D142" s="15" t="s">
        <v>77</v>
      </c>
      <c r="F142" s="86"/>
      <c r="G142" s="15" t="s">
        <v>328</v>
      </c>
      <c r="H142" s="84" t="str" cm="1">
        <f t="array" aca="1" ref="H142" ca="1">_xlfn.IFS($A142="","",OR($F142=99,$F142=""),_xlfn.TEXTJOIN("_",1,"device_name",$A142,$Y142),TRUE,OFFSET(H142,-1,0))</f>
        <v>device_name_1360103_bouncing_mushroom</v>
      </c>
      <c r="J142" s="14" t="str">
        <f>_xlfn.LET(_xlpm.get_device_type,VLOOKUP(VALUE(MID(A142,3,1)),tb_device_info_type[#All],3,0),_xlpm.check_if_wheel,IF(LEFT(A142,2)="12","wheel",_xlpm.get_device_type),_xlpm.raw_output,IF($A142&lt;&gt;"",_xlfn.TEXTJOIN("_",1,"device_alt",_xlpm.check_if_wheel),""),IFERROR(_xlpm.raw_output,"information missing"))</f>
        <v>device_alt_ram</v>
      </c>
      <c r="K142" s="14" t="str" cm="1">
        <f t="array" ref="K142">_xlfn.IFS($A142="","",ISTEXT($L142),_xlfn.CONCAT("dwt","[device_wheel_thumbnail_",RIGHT($A142,1)-1,"]"),TRUE,_xlfn.CONCAT("dt","[device_thumbnail_",IF($L142&lt;&gt;"",$L142,0),"]"))</f>
        <v>dt[device_thumbnail_2]</v>
      </c>
      <c r="L142" s="34">
        <v>2</v>
      </c>
      <c r="M142" s="14" t="s">
        <v>79</v>
      </c>
      <c r="N142" s="14" t="s">
        <v>80</v>
      </c>
      <c r="O142" s="36">
        <v>1420600</v>
      </c>
      <c r="P142" s="15" t="str" cm="1">
        <f t="array" ref="P142">IFERROR(_xlfn.TEXTJOIN(";",1,_xlfn.MAP(_xlfn.TEXTSPLIT(O142,";"),_xlfn.LAMBDA(_xlpm.x,IFERROR(VLOOKUP(VALUE(_xlpm.x),device_tag!A:B,2,0),"error")))),"")</f>
        <v>撞角</v>
      </c>
      <c r="Q142" s="11" t="s">
        <v>109</v>
      </c>
      <c r="T142" s="24">
        <v>0</v>
      </c>
      <c r="U142" s="24">
        <v>1</v>
      </c>
      <c r="V142" s="24">
        <v>0</v>
      </c>
      <c r="W142" s="24">
        <v>1</v>
      </c>
      <c r="X142" s="24" t="s">
        <v>82</v>
      </c>
      <c r="Y142" s="24" t="s">
        <v>329</v>
      </c>
      <c r="Z142" s="85" t="str" cm="1">
        <f t="array" aca="1" ref="Z142" ca="1">_xlfn.IFS($A142="","",OR(F142=99,F142=""),_xlfn.TEXTJOIN("_",1,X142,$A142,Y142),TRUE,OFFSET($Z142,-1,0))</f>
        <v>device_1360103_bouncing_mushroom</v>
      </c>
      <c r="AA142" s="91">
        <v>15</v>
      </c>
      <c r="AB142" s="90">
        <f t="shared" ref="AB142:AB144" si="151">COLUMNS(_xlfn.TEXTSPLIT(BD142,";"))</f>
        <v>1</v>
      </c>
      <c r="AC142" s="77">
        <v>17</v>
      </c>
      <c r="AF142" s="40"/>
      <c r="AG142" s="40"/>
      <c r="AH142" s="40"/>
      <c r="AI142" s="38"/>
      <c r="AJ142" s="38"/>
      <c r="AK142" s="110">
        <v>0</v>
      </c>
      <c r="AL142" s="110">
        <v>0</v>
      </c>
      <c r="AM142" s="110">
        <v>0</v>
      </c>
      <c r="AN142" s="110">
        <v>0</v>
      </c>
      <c r="AO142" s="110">
        <v>0</v>
      </c>
      <c r="AP142" s="14" t="b">
        <v>1</v>
      </c>
      <c r="AQ142" s="74" t="s">
        <v>555</v>
      </c>
      <c r="AR142" s="40"/>
      <c r="AS142" s="40"/>
      <c r="AT142" s="40"/>
      <c r="AU142" s="40"/>
      <c r="AV142" s="40"/>
      <c r="AW142" s="11">
        <f t="shared" si="133"/>
        <v>1360103</v>
      </c>
      <c r="AX142" s="40"/>
      <c r="AY142" s="11" t="str">
        <f t="shared" ref="AY142" si="152">_xlfn.TEXTJOIN("~",0,AZ142:BA142)</f>
        <v>2~0</v>
      </c>
      <c r="AZ142" s="27">
        <v>2</v>
      </c>
      <c r="BA142" s="38">
        <v>0</v>
      </c>
      <c r="BB142" s="11" t="str">
        <f t="shared" si="131"/>
        <v>6360103</v>
      </c>
      <c r="BC142" s="87" t="s">
        <v>620</v>
      </c>
      <c r="BD142" s="11">
        <v>401</v>
      </c>
      <c r="BE142" s="28" t="str" cm="1">
        <f t="array" ref="BE142">IF(BD142&lt;&gt;"",_xlfn.TEXTJOIN("; ",1,VLOOKUP(VALUE(_xlfn.TEXTSPLIT(BD142,";")),device_cubicles!A:B,2,0)),"")</f>
        <v>调整朝向</v>
      </c>
    </row>
    <row r="143" spans="1:57">
      <c r="A143" s="14">
        <v>13601030</v>
      </c>
      <c r="B143" s="11">
        <v>0</v>
      </c>
      <c r="C143" s="15" t="s">
        <v>669</v>
      </c>
      <c r="D143" s="15" t="s">
        <v>77</v>
      </c>
      <c r="E143" s="15" t="s">
        <v>669</v>
      </c>
      <c r="F143" s="11">
        <v>0</v>
      </c>
      <c r="G143" s="15" t="s">
        <v>328</v>
      </c>
      <c r="H143" s="84" t="str" cm="1">
        <f t="array" aca="1" ref="H143" ca="1">_xlfn.IFS($A143="","",OR($F143=99,$F143=""),_xlfn.TEXTJOIN("_",1,"device_name",$A143,$Y143),TRUE,OFFSET(H143,-1,0))</f>
        <v>device_name_1360103_bouncing_mushroom</v>
      </c>
      <c r="J143" s="14" t="str">
        <f>_xlfn.LET(_xlpm.get_device_type,VLOOKUP(VALUE(MID(A143,3,1)),tb_device_info_type[#All],3,0),_xlpm.check_if_wheel,IF(LEFT(A143,2)="12","wheel",_xlpm.get_device_type),_xlpm.raw_output,IF($A143&lt;&gt;"",_xlfn.TEXTJOIN("_",1,"device_alt",_xlpm.check_if_wheel),""),IFERROR(_xlpm.raw_output,"information missing"))</f>
        <v>device_alt_ram</v>
      </c>
      <c r="K143" s="14" t="str" cm="1">
        <f t="array" ref="K143">_xlfn.IFS($A143="","",ISTEXT($L143),_xlfn.CONCAT("dwt","[device_wheel_thumbnail_",RIGHT($A143,1)-1,"]"),TRUE,_xlfn.CONCAT("dt","[device_thumbnail_",IF($L143&lt;&gt;"",$L143,0),"]"))</f>
        <v>dt[device_thumbnail_2]</v>
      </c>
      <c r="L143" s="34">
        <v>2</v>
      </c>
      <c r="M143" s="14" t="s">
        <v>79</v>
      </c>
      <c r="N143" s="14" t="s">
        <v>80</v>
      </c>
      <c r="O143" s="36">
        <v>1420600</v>
      </c>
      <c r="P143" s="15" t="str" cm="1">
        <f t="array" ref="P143">IFERROR(_xlfn.TEXTJOIN(";",1,_xlfn.MAP(_xlfn.TEXTSPLIT(O143,";"),_xlfn.LAMBDA(_xlpm.x,IFERROR(VLOOKUP(VALUE(_xlpm.x),device_tag!A:B,2,0),"error")))),"")</f>
        <v>撞角</v>
      </c>
      <c r="Q143" s="11" t="s">
        <v>109</v>
      </c>
      <c r="T143" s="24">
        <v>0</v>
      </c>
      <c r="U143" s="24">
        <v>1</v>
      </c>
      <c r="V143" s="24">
        <v>0</v>
      </c>
      <c r="W143" s="24">
        <v>1</v>
      </c>
      <c r="X143" s="24" t="s">
        <v>82</v>
      </c>
      <c r="Y143" s="24" t="s">
        <v>329</v>
      </c>
      <c r="Z143" s="85" t="str" cm="1">
        <f t="array" aca="1" ref="Z143" ca="1">_xlfn.IFS($A143="","",OR(F143=99,F143=""),_xlfn.TEXTJOIN("_",1,X143,$A143,Y143),TRUE,OFFSET($Z143,-1,0))</f>
        <v>device_1360103_bouncing_mushroom</v>
      </c>
      <c r="AA143" s="91">
        <v>15</v>
      </c>
      <c r="AB143" s="90">
        <f t="shared" si="151"/>
        <v>1</v>
      </c>
      <c r="AC143" s="76">
        <f>ROUND($AD143*$AE143^$F143,0)</f>
        <v>17</v>
      </c>
      <c r="AD143" s="16">
        <v>17</v>
      </c>
      <c r="AE143" s="16">
        <f>POWER(1.6,2)</f>
        <v>2.5600000000000005</v>
      </c>
      <c r="AF143" s="40"/>
      <c r="AG143" s="40"/>
      <c r="AH143" s="40"/>
      <c r="AI143" s="38"/>
      <c r="AJ143" s="38"/>
      <c r="AK143" s="110">
        <v>0</v>
      </c>
      <c r="AL143" s="110">
        <v>0</v>
      </c>
      <c r="AM143" s="110">
        <v>0</v>
      </c>
      <c r="AN143" s="110">
        <v>0</v>
      </c>
      <c r="AO143" s="110">
        <v>0</v>
      </c>
      <c r="AP143" s="14" t="b">
        <v>1</v>
      </c>
      <c r="AQ143" s="74" t="s">
        <v>555</v>
      </c>
      <c r="AR143" s="40"/>
      <c r="AS143" s="40"/>
      <c r="AT143" s="40"/>
      <c r="AU143" s="40"/>
      <c r="AV143" s="40"/>
      <c r="AW143" s="11">
        <f t="shared" si="133"/>
        <v>13601030</v>
      </c>
      <c r="AX143" s="40"/>
      <c r="AY143" s="11" t="str">
        <f t="shared" ref="AY143" si="153">_xlfn.TEXTJOIN("~",0,AZ143:BA143)</f>
        <v>2~0</v>
      </c>
      <c r="AZ143" s="27">
        <v>2</v>
      </c>
      <c r="BA143" s="38">
        <v>0</v>
      </c>
      <c r="BB143" s="50">
        <v>1</v>
      </c>
      <c r="BC143" s="74" t="s">
        <v>554</v>
      </c>
      <c r="BD143" s="11">
        <v>401</v>
      </c>
      <c r="BE143" s="28" t="str" cm="1">
        <f t="array" ref="BE143">IF(BD143&lt;&gt;"",_xlfn.TEXTJOIN("; ",1,VLOOKUP(VALUE(_xlfn.TEXTSPLIT(BD143,";")),device_cubicles!A:B,2,0)),"")</f>
        <v>调整朝向</v>
      </c>
    </row>
    <row r="144" spans="1:57">
      <c r="A144" s="14">
        <v>13601031</v>
      </c>
      <c r="B144" s="11">
        <v>0</v>
      </c>
      <c r="C144" s="15" t="s">
        <v>670</v>
      </c>
      <c r="D144" s="15" t="s">
        <v>77</v>
      </c>
      <c r="E144" s="15" t="s">
        <v>670</v>
      </c>
      <c r="F144" s="11">
        <v>1</v>
      </c>
      <c r="G144" s="15" t="s">
        <v>328</v>
      </c>
      <c r="H144" s="84" t="str" cm="1">
        <f t="array" aca="1" ref="H144" ca="1">_xlfn.IFS($A144="","",OR($F144=99,$F144=""),_xlfn.TEXTJOIN("_",1,"device_name",$A144,$Y144),TRUE,OFFSET(H144,-1,0))</f>
        <v>device_name_1360103_bouncing_mushroom</v>
      </c>
      <c r="J144" s="14" t="str">
        <f>_xlfn.LET(_xlpm.get_device_type,VLOOKUP(VALUE(MID(A144,3,1)),tb_device_info_type[#All],3,0),_xlpm.check_if_wheel,IF(LEFT(A144,2)="12","wheel",_xlpm.get_device_type),_xlpm.raw_output,IF($A144&lt;&gt;"",_xlfn.TEXTJOIN("_",1,"device_alt",_xlpm.check_if_wheel),""),IFERROR(_xlpm.raw_output,"information missing"))</f>
        <v>device_alt_ram</v>
      </c>
      <c r="K144" s="14" t="str" cm="1">
        <f t="array" ref="K144">_xlfn.IFS($A144="","",ISTEXT($L144),_xlfn.CONCAT("dwt","[device_wheel_thumbnail_",RIGHT($A144,1)-1,"]"),TRUE,_xlfn.CONCAT("dt","[device_thumbnail_",IF($L144&lt;&gt;"",$L144,0),"]"))</f>
        <v>dt[device_thumbnail_2]</v>
      </c>
      <c r="L144" s="34">
        <v>2</v>
      </c>
      <c r="M144" s="14" t="s">
        <v>79</v>
      </c>
      <c r="N144" s="14" t="s">
        <v>80</v>
      </c>
      <c r="O144" s="36">
        <v>1420600</v>
      </c>
      <c r="P144" s="15" t="str" cm="1">
        <f t="array" ref="P144">IFERROR(_xlfn.TEXTJOIN(";",1,_xlfn.MAP(_xlfn.TEXTSPLIT(O144,";"),_xlfn.LAMBDA(_xlpm.x,IFERROR(VLOOKUP(VALUE(_xlpm.x),device_tag!A:B,2,0),"error")))),"")</f>
        <v>撞角</v>
      </c>
      <c r="Q144" s="11" t="s">
        <v>109</v>
      </c>
      <c r="T144" s="24">
        <v>0</v>
      </c>
      <c r="U144" s="24">
        <v>1</v>
      </c>
      <c r="V144" s="24">
        <v>0</v>
      </c>
      <c r="W144" s="24">
        <v>1</v>
      </c>
      <c r="X144" s="24" t="s">
        <v>82</v>
      </c>
      <c r="Y144" s="24" t="s">
        <v>329</v>
      </c>
      <c r="Z144" s="85" t="str" cm="1">
        <f t="array" aca="1" ref="Z144" ca="1">_xlfn.IFS($A144="","",OR(F144=99,F144=""),_xlfn.TEXTJOIN("_",1,X144,$A144,Y144),TRUE,OFFSET($Z144,-1,0))</f>
        <v>device_1360103_bouncing_mushroom</v>
      </c>
      <c r="AA144" s="91">
        <v>15</v>
      </c>
      <c r="AB144" s="90">
        <f t="shared" si="151"/>
        <v>1</v>
      </c>
      <c r="AC144" s="76">
        <f>ROUND($AD144*$AE144^$F144,0)</f>
        <v>44</v>
      </c>
      <c r="AD144" s="16">
        <v>17</v>
      </c>
      <c r="AE144" s="16">
        <f>POWER(1.6,2)</f>
        <v>2.5600000000000005</v>
      </c>
      <c r="AF144" s="40"/>
      <c r="AG144" s="40"/>
      <c r="AH144" s="40"/>
      <c r="AI144" s="38"/>
      <c r="AJ144" s="38"/>
      <c r="AK144" s="110">
        <v>0</v>
      </c>
      <c r="AL144" s="110">
        <v>0</v>
      </c>
      <c r="AM144" s="110">
        <v>0</v>
      </c>
      <c r="AN144" s="110">
        <v>0</v>
      </c>
      <c r="AO144" s="110">
        <v>0</v>
      </c>
      <c r="AP144" s="14" t="b">
        <v>1</v>
      </c>
      <c r="AQ144" s="74" t="s">
        <v>555</v>
      </c>
      <c r="AR144" s="40"/>
      <c r="AS144" s="40"/>
      <c r="AT144" s="40"/>
      <c r="AU144" s="40"/>
      <c r="AV144" s="40"/>
      <c r="AW144" s="11">
        <f t="shared" si="133"/>
        <v>13601031</v>
      </c>
      <c r="AX144" s="40"/>
      <c r="AY144" s="11" t="str">
        <f t="shared" ref="AY144" si="154">_xlfn.TEXTJOIN("~",0,AZ144:BA144)</f>
        <v>2~0</v>
      </c>
      <c r="AZ144" s="27">
        <v>2</v>
      </c>
      <c r="BA144" s="38">
        <v>0</v>
      </c>
      <c r="BB144" s="50">
        <v>1</v>
      </c>
      <c r="BC144" s="74" t="s">
        <v>554</v>
      </c>
      <c r="BD144" s="11">
        <v>401</v>
      </c>
      <c r="BE144" s="28" t="str" cm="1">
        <f t="array" ref="BE144">IF(BD144&lt;&gt;"",_xlfn.TEXTJOIN("; ",1,VLOOKUP(VALUE(_xlfn.TEXTSPLIT(BD144,";")),device_cubicles!A:B,2,0)),"")</f>
        <v>调整朝向</v>
      </c>
    </row>
    <row r="145" spans="1:57">
      <c r="A145" s="14">
        <v>1361801</v>
      </c>
      <c r="B145" s="11">
        <v>0</v>
      </c>
      <c r="C145" s="15" t="s">
        <v>496</v>
      </c>
      <c r="D145" s="15" t="s">
        <v>77</v>
      </c>
      <c r="E145" s="15"/>
      <c r="F145" s="86"/>
      <c r="G145" s="15" t="s">
        <v>498</v>
      </c>
      <c r="H145" s="84" t="str" cm="1">
        <f t="array" aca="1" ref="H145" ca="1">_xlfn.IFS($A145="","",OR($F145=99,$F145=""),_xlfn.TEXTJOIN("_",1,"device_name",$A145,$Y145),TRUE,OFFSET(H145,-1,0))</f>
        <v>device_name_1361801_long_harpoon</v>
      </c>
      <c r="I145" s="15" t="s">
        <v>694</v>
      </c>
      <c r="J145" s="14" t="str">
        <f>_xlfn.LET(_xlpm.get_device_type,VLOOKUP(VALUE(MID(A145,3,1)),tb_device_info_type[#All],3,0),_xlpm.check_if_wheel,IF(LEFT(A145,2)="12","wheel",_xlpm.get_device_type),_xlpm.raw_output,IF($A145&lt;&gt;"",_xlfn.TEXTJOIN("_",1,"device_alt",_xlpm.check_if_wheel),""),IFERROR(_xlpm.raw_output,"information missing"))</f>
        <v>device_alt_ram</v>
      </c>
      <c r="K145" s="14" t="str" cm="1">
        <f t="array" ref="K145">_xlfn.IFS($A145="","",ISTEXT($L145),_xlfn.CONCAT("dwt","[device_wheel_thumbnail_",RIGHT($A145,1)-1,"]"),TRUE,_xlfn.CONCAT("dt","[device_thumbnail_",IF($L145&lt;&gt;"",$L145,0),"]"))</f>
        <v>dt[device_thumbnail_42]</v>
      </c>
      <c r="L145" s="34">
        <v>42</v>
      </c>
      <c r="M145" s="14" t="s">
        <v>79</v>
      </c>
      <c r="N145" s="14" t="s">
        <v>80</v>
      </c>
      <c r="O145" s="36">
        <v>1420600</v>
      </c>
      <c r="P145" s="15" t="str" cm="1">
        <f t="array" ref="P145">IFERROR(_xlfn.TEXTJOIN(";",1,_xlfn.MAP(_xlfn.TEXTSPLIT(O145,";"),_xlfn.LAMBDA(_xlpm.x,IFERROR(VLOOKUP(VALUE(_xlpm.x),device_tag!A:B,2,0),"error")))),"")</f>
        <v>撞角</v>
      </c>
      <c r="Q145" s="11" t="s">
        <v>109</v>
      </c>
      <c r="T145" s="24">
        <v>0</v>
      </c>
      <c r="U145" s="24">
        <v>1</v>
      </c>
      <c r="V145" s="24">
        <v>0</v>
      </c>
      <c r="W145" s="24">
        <v>1</v>
      </c>
      <c r="X145" s="24" t="s">
        <v>82</v>
      </c>
      <c r="Y145" s="62" t="s">
        <v>497</v>
      </c>
      <c r="Z145" s="85" t="str" cm="1">
        <f t="array" aca="1" ref="Z145" ca="1">_xlfn.IFS($A145="","",OR(F145=99,F145=""),_xlfn.TEXTJOIN("_",1,X145,$A145,Y145),TRUE,OFFSET($Z145,-1,0))</f>
        <v>device_1361801_long_harpoon</v>
      </c>
      <c r="AA145" s="91">
        <v>5.5</v>
      </c>
      <c r="AB145" s="90">
        <f t="shared" ref="AB145:AB148" si="155">COLUMNS(_xlfn.TEXTSPLIT(BD145,";"))</f>
        <v>1</v>
      </c>
      <c r="AC145" s="77">
        <v>17</v>
      </c>
      <c r="AF145" s="40"/>
      <c r="AG145" s="40"/>
      <c r="AH145" s="40"/>
      <c r="AI145" s="38"/>
      <c r="AJ145" s="38"/>
      <c r="AK145" s="110">
        <v>0</v>
      </c>
      <c r="AL145" s="110">
        <v>0</v>
      </c>
      <c r="AM145" s="110">
        <v>0</v>
      </c>
      <c r="AN145" s="110">
        <v>0</v>
      </c>
      <c r="AO145" s="110">
        <v>0</v>
      </c>
      <c r="AP145" s="14" t="b">
        <v>1</v>
      </c>
      <c r="AQ145" s="74" t="s">
        <v>555</v>
      </c>
      <c r="AR145" s="40"/>
      <c r="AS145" s="40"/>
      <c r="AT145" s="40"/>
      <c r="AU145" s="40"/>
      <c r="AV145" s="40"/>
      <c r="AW145" s="11">
        <f t="shared" si="133"/>
        <v>1361801</v>
      </c>
      <c r="AX145" s="40"/>
      <c r="AY145" s="11" t="str">
        <f t="shared" ref="AY145" si="156">_xlfn.TEXTJOIN("~",0,AZ145:BA145)</f>
        <v>2~0</v>
      </c>
      <c r="AZ145" s="27">
        <v>2</v>
      </c>
      <c r="BA145" s="38">
        <v>0</v>
      </c>
      <c r="BB145" s="50">
        <v>1</v>
      </c>
      <c r="BC145" s="87" t="s">
        <v>620</v>
      </c>
      <c r="BD145" s="11">
        <v>401</v>
      </c>
      <c r="BE145" s="28" t="str" cm="1">
        <f t="array" ref="BE145">IF(BD145&lt;&gt;"",_xlfn.TEXTJOIN("; ",1,VLOOKUP(VALUE(_xlfn.TEXTSPLIT(BD145,";")),device_cubicles!A:B,2,0)),"")</f>
        <v>调整朝向</v>
      </c>
    </row>
    <row r="146" spans="1:57">
      <c r="A146" s="14">
        <v>13618011</v>
      </c>
      <c r="B146" s="11">
        <v>0</v>
      </c>
      <c r="C146" s="15" t="s">
        <v>691</v>
      </c>
      <c r="D146" s="15" t="s">
        <v>77</v>
      </c>
      <c r="E146" s="15" t="s">
        <v>690</v>
      </c>
      <c r="F146" s="11">
        <v>1</v>
      </c>
      <c r="G146" s="15" t="s">
        <v>498</v>
      </c>
      <c r="H146" s="84" t="str" cm="1">
        <f t="array" aca="1" ref="H146" ca="1">_xlfn.IFS($A146="","",OR($F146=99,$F146=""),_xlfn.TEXTJOIN("_",1,"device_name",$A146,$Y146),TRUE,OFFSET(H146,-1,0))</f>
        <v>device_name_1361801_long_harpoon</v>
      </c>
      <c r="I146" s="15" t="s">
        <v>694</v>
      </c>
      <c r="J146" s="14" t="str">
        <f>_xlfn.LET(_xlpm.get_device_type,VLOOKUP(VALUE(MID(A146,3,1)),tb_device_info_type[#All],3,0),_xlpm.check_if_wheel,IF(LEFT(A146,2)="12","wheel",_xlpm.get_device_type),_xlpm.raw_output,IF($A146&lt;&gt;"",_xlfn.TEXTJOIN("_",1,"device_alt",_xlpm.check_if_wheel),""),IFERROR(_xlpm.raw_output,"information missing"))</f>
        <v>device_alt_ram</v>
      </c>
      <c r="K146" s="14" t="str" cm="1">
        <f t="array" ref="K146">_xlfn.IFS($A146="","",ISTEXT($L146),_xlfn.CONCAT("dwt","[device_wheel_thumbnail_",RIGHT($A146,1)-1,"]"),TRUE,_xlfn.CONCAT("dt","[device_thumbnail_",IF($L146&lt;&gt;"",$L146,0),"]"))</f>
        <v>dt[device_thumbnail_42]</v>
      </c>
      <c r="L146" s="34">
        <v>42</v>
      </c>
      <c r="M146" s="14" t="s">
        <v>79</v>
      </c>
      <c r="N146" s="14" t="s">
        <v>80</v>
      </c>
      <c r="O146" s="36">
        <v>1420600</v>
      </c>
      <c r="P146" s="15" t="str" cm="1">
        <f t="array" ref="P146">IFERROR(_xlfn.TEXTJOIN(";",1,_xlfn.MAP(_xlfn.TEXTSPLIT(O146,";"),_xlfn.LAMBDA(_xlpm.x,IFERROR(VLOOKUP(VALUE(_xlpm.x),device_tag!A:B,2,0),"error")))),"")</f>
        <v>撞角</v>
      </c>
      <c r="Q146" s="11" t="s">
        <v>109</v>
      </c>
      <c r="T146" s="24">
        <v>0</v>
      </c>
      <c r="U146" s="24">
        <v>1</v>
      </c>
      <c r="V146" s="24">
        <v>0</v>
      </c>
      <c r="W146" s="24">
        <v>1</v>
      </c>
      <c r="X146" s="24" t="s">
        <v>82</v>
      </c>
      <c r="Y146" s="62" t="s">
        <v>497</v>
      </c>
      <c r="Z146" s="85" t="str" cm="1">
        <f t="array" aca="1" ref="Z146" ca="1">_xlfn.IFS($A146="","",OR(F146=99,F146=""),_xlfn.TEXTJOIN("_",1,X146,$A146,Y146),TRUE,OFFSET($Z146,-1,0))</f>
        <v>device_1361801_long_harpoon</v>
      </c>
      <c r="AA146" s="91">
        <v>5.5</v>
      </c>
      <c r="AB146" s="90">
        <f t="shared" si="155"/>
        <v>1</v>
      </c>
      <c r="AC146" s="76">
        <f>ROUND($AD146*$AE146^$F146,0)</f>
        <v>28</v>
      </c>
      <c r="AD146" s="16">
        <v>11</v>
      </c>
      <c r="AE146" s="16">
        <f>POWER(1.6,2)</f>
        <v>2.5600000000000005</v>
      </c>
      <c r="AF146" s="40"/>
      <c r="AG146" s="40"/>
      <c r="AH146" s="40"/>
      <c r="AI146" s="38"/>
      <c r="AJ146" s="38"/>
      <c r="AK146" s="110">
        <v>0</v>
      </c>
      <c r="AL146" s="110">
        <v>0</v>
      </c>
      <c r="AM146" s="110">
        <v>0</v>
      </c>
      <c r="AN146" s="110">
        <v>0</v>
      </c>
      <c r="AO146" s="110">
        <v>0</v>
      </c>
      <c r="AP146" s="14" t="b">
        <v>1</v>
      </c>
      <c r="AQ146" s="74" t="s">
        <v>555</v>
      </c>
      <c r="AR146" s="40"/>
      <c r="AS146" s="40"/>
      <c r="AT146" s="40"/>
      <c r="AU146" s="40"/>
      <c r="AV146" s="40"/>
      <c r="AW146" s="11">
        <f t="shared" si="133"/>
        <v>13618011</v>
      </c>
      <c r="AX146" s="40"/>
      <c r="AY146" s="11" t="str">
        <f t="shared" ref="AY146" si="157">_xlfn.TEXTJOIN("~",0,AZ146:BA146)</f>
        <v>2~0</v>
      </c>
      <c r="AZ146" s="27">
        <v>2</v>
      </c>
      <c r="BA146" s="38">
        <v>0</v>
      </c>
      <c r="BB146" s="50">
        <v>1</v>
      </c>
      <c r="BC146" s="74" t="s">
        <v>554</v>
      </c>
      <c r="BD146" s="11">
        <v>401</v>
      </c>
      <c r="BE146" s="28" t="str" cm="1">
        <f t="array" ref="BE146">IF(BD146&lt;&gt;"",_xlfn.TEXTJOIN("; ",1,VLOOKUP(VALUE(_xlfn.TEXTSPLIT(BD146,";")),device_cubicles!A:B,2,0)),"")</f>
        <v>调整朝向</v>
      </c>
    </row>
    <row r="147" spans="1:57">
      <c r="A147" s="14">
        <v>13618012</v>
      </c>
      <c r="B147" s="11">
        <v>0</v>
      </c>
      <c r="C147" s="15" t="s">
        <v>693</v>
      </c>
      <c r="D147" s="15" t="s">
        <v>77</v>
      </c>
      <c r="E147" s="15" t="s">
        <v>692</v>
      </c>
      <c r="F147" s="11">
        <v>2</v>
      </c>
      <c r="G147" s="15" t="s">
        <v>498</v>
      </c>
      <c r="H147" s="84" t="str" cm="1">
        <f t="array" aca="1" ref="H147" ca="1">_xlfn.IFS($A147="","",OR($F147=99,$F147=""),_xlfn.TEXTJOIN("_",1,"device_name",$A147,$Y147),TRUE,OFFSET(H147,-1,0))</f>
        <v>device_name_1361801_long_harpoon</v>
      </c>
      <c r="I147" s="15" t="s">
        <v>694</v>
      </c>
      <c r="J147" s="14" t="str">
        <f>_xlfn.LET(_xlpm.get_device_type,VLOOKUP(VALUE(MID(A147,3,1)),tb_device_info_type[#All],3,0),_xlpm.check_if_wheel,IF(LEFT(A147,2)="12","wheel",_xlpm.get_device_type),_xlpm.raw_output,IF($A147&lt;&gt;"",_xlfn.TEXTJOIN("_",1,"device_alt",_xlpm.check_if_wheel),""),IFERROR(_xlpm.raw_output,"information missing"))</f>
        <v>device_alt_ram</v>
      </c>
      <c r="K147" s="14" t="str" cm="1">
        <f t="array" ref="K147">_xlfn.IFS($A147="","",ISTEXT($L147),_xlfn.CONCAT("dwt","[device_wheel_thumbnail_",RIGHT($A147,1)-1,"]"),TRUE,_xlfn.CONCAT("dt","[device_thumbnail_",IF($L147&lt;&gt;"",$L147,0),"]"))</f>
        <v>dt[device_thumbnail_42]</v>
      </c>
      <c r="L147" s="34">
        <v>42</v>
      </c>
      <c r="M147" s="14" t="s">
        <v>79</v>
      </c>
      <c r="N147" s="14" t="s">
        <v>80</v>
      </c>
      <c r="O147" s="36">
        <v>1420600</v>
      </c>
      <c r="P147" s="15" t="str" cm="1">
        <f t="array" ref="P147">IFERROR(_xlfn.TEXTJOIN(";",1,_xlfn.MAP(_xlfn.TEXTSPLIT(O147,";"),_xlfn.LAMBDA(_xlpm.x,IFERROR(VLOOKUP(VALUE(_xlpm.x),device_tag!A:B,2,0),"error")))),"")</f>
        <v>撞角</v>
      </c>
      <c r="Q147" s="11" t="s">
        <v>109</v>
      </c>
      <c r="T147" s="24">
        <v>0</v>
      </c>
      <c r="U147" s="24">
        <v>1</v>
      </c>
      <c r="V147" s="24">
        <v>0</v>
      </c>
      <c r="W147" s="24">
        <v>1</v>
      </c>
      <c r="X147" s="24" t="s">
        <v>82</v>
      </c>
      <c r="Y147" s="62" t="s">
        <v>497</v>
      </c>
      <c r="Z147" s="85" t="str" cm="1">
        <f t="array" aca="1" ref="Z147" ca="1">_xlfn.IFS($A147="","",OR(F147=99,F147=""),_xlfn.TEXTJOIN("_",1,X147,$A147,Y147),TRUE,OFFSET($Z147,-1,0))</f>
        <v>device_1361801_long_harpoon</v>
      </c>
      <c r="AA147" s="91">
        <v>5.5</v>
      </c>
      <c r="AB147" s="90">
        <f t="shared" ref="AB147" si="158">COLUMNS(_xlfn.TEXTSPLIT(BD147,";"))</f>
        <v>1</v>
      </c>
      <c r="AC147" s="76">
        <f>ROUND($AD147*$AE147^$F147,0)</f>
        <v>66</v>
      </c>
      <c r="AD147" s="16">
        <v>10</v>
      </c>
      <c r="AE147" s="16">
        <f>POWER(1.6,2)</f>
        <v>2.5600000000000005</v>
      </c>
      <c r="AF147" s="40"/>
      <c r="AG147" s="40"/>
      <c r="AH147" s="40"/>
      <c r="AI147" s="38"/>
      <c r="AJ147" s="38"/>
      <c r="AK147" s="110">
        <v>0</v>
      </c>
      <c r="AL147" s="110">
        <v>0</v>
      </c>
      <c r="AM147" s="110">
        <v>0</v>
      </c>
      <c r="AN147" s="110">
        <v>0</v>
      </c>
      <c r="AO147" s="110">
        <v>0</v>
      </c>
      <c r="AP147" s="14" t="b">
        <v>1</v>
      </c>
      <c r="AQ147" s="74" t="s">
        <v>555</v>
      </c>
      <c r="AR147" s="40"/>
      <c r="AS147" s="40"/>
      <c r="AT147" s="40"/>
      <c r="AU147" s="40"/>
      <c r="AV147" s="40"/>
      <c r="AW147" s="11">
        <f t="shared" si="133"/>
        <v>13618012</v>
      </c>
      <c r="AX147" s="40"/>
      <c r="AY147" s="11" t="str">
        <f t="shared" ref="AY147" si="159">_xlfn.TEXTJOIN("~",0,AZ147:BA147)</f>
        <v>2~0</v>
      </c>
      <c r="AZ147" s="27">
        <v>2</v>
      </c>
      <c r="BA147" s="38">
        <v>0</v>
      </c>
      <c r="BB147" s="50">
        <v>1</v>
      </c>
      <c r="BC147" s="74" t="s">
        <v>554</v>
      </c>
      <c r="BD147" s="11">
        <v>401</v>
      </c>
      <c r="BE147" s="28" t="str" cm="1">
        <f t="array" ref="BE147">IF(BD147&lt;&gt;"",_xlfn.TEXTJOIN("; ",1,VLOOKUP(VALUE(_xlfn.TEXTSPLIT(BD147,";")),device_cubicles!A:B,2,0)),"")</f>
        <v>调整朝向</v>
      </c>
    </row>
    <row r="148" spans="1:57">
      <c r="A148" s="14">
        <v>13618013</v>
      </c>
      <c r="B148" s="11">
        <v>0</v>
      </c>
      <c r="C148" s="15" t="s">
        <v>688</v>
      </c>
      <c r="D148" s="15" t="s">
        <v>77</v>
      </c>
      <c r="E148" s="15" t="s">
        <v>687</v>
      </c>
      <c r="F148" s="11">
        <v>3</v>
      </c>
      <c r="G148" s="15" t="s">
        <v>498</v>
      </c>
      <c r="H148" s="84" t="str" cm="1">
        <f t="array" aca="1" ref="H148" ca="1">_xlfn.IFS($A148="","",OR($F148=99,$F148=""),_xlfn.TEXTJOIN("_",1,"device_name",$A148,$Y148),TRUE,OFFSET(H148,-1,0))</f>
        <v>device_name_1361801_long_harpoon</v>
      </c>
      <c r="I148" s="15" t="s">
        <v>694</v>
      </c>
      <c r="J148" s="14" t="str">
        <f>_xlfn.LET(_xlpm.get_device_type,VLOOKUP(VALUE(MID(A148,3,1)),tb_device_info_type[#All],3,0),_xlpm.check_if_wheel,IF(LEFT(A148,2)="12","wheel",_xlpm.get_device_type),_xlpm.raw_output,IF($A148&lt;&gt;"",_xlfn.TEXTJOIN("_",1,"device_alt",_xlpm.check_if_wheel),""),IFERROR(_xlpm.raw_output,"information missing"))</f>
        <v>device_alt_ram</v>
      </c>
      <c r="K148" s="14" t="str" cm="1">
        <f t="array" ref="K148">_xlfn.IFS($A148="","",ISTEXT($L148),_xlfn.CONCAT("dwt","[device_wheel_thumbnail_",RIGHT($A148,1)-1,"]"),TRUE,_xlfn.CONCAT("dt","[device_thumbnail_",IF($L148&lt;&gt;"",$L148,0),"]"))</f>
        <v>dt[device_thumbnail_42]</v>
      </c>
      <c r="L148" s="34">
        <v>42</v>
      </c>
      <c r="M148" s="14" t="s">
        <v>79</v>
      </c>
      <c r="N148" s="14" t="s">
        <v>80</v>
      </c>
      <c r="O148" s="36">
        <v>1420600</v>
      </c>
      <c r="P148" s="15" t="str" cm="1">
        <f t="array" ref="P148">IFERROR(_xlfn.TEXTJOIN(";",1,_xlfn.MAP(_xlfn.TEXTSPLIT(O148,";"),_xlfn.LAMBDA(_xlpm.x,IFERROR(VLOOKUP(VALUE(_xlpm.x),device_tag!A:B,2,0),"error")))),"")</f>
        <v>撞角</v>
      </c>
      <c r="Q148" s="11" t="s">
        <v>109</v>
      </c>
      <c r="T148" s="24">
        <v>0</v>
      </c>
      <c r="U148" s="24">
        <v>1</v>
      </c>
      <c r="V148" s="24">
        <v>0</v>
      </c>
      <c r="W148" s="24">
        <v>1</v>
      </c>
      <c r="X148" s="24" t="s">
        <v>82</v>
      </c>
      <c r="Y148" s="62" t="s">
        <v>497</v>
      </c>
      <c r="Z148" s="85" t="str" cm="1">
        <f t="array" aca="1" ref="Z148" ca="1">_xlfn.IFS($A148="","",OR(F148=99,F148=""),_xlfn.TEXTJOIN("_",1,X148,$A148,Y148),TRUE,OFFSET($Z148,-1,0))</f>
        <v>device_1361801_long_harpoon</v>
      </c>
      <c r="AA148" s="91">
        <v>5.5</v>
      </c>
      <c r="AB148" s="90">
        <f t="shared" si="155"/>
        <v>1</v>
      </c>
      <c r="AC148" s="76">
        <f>ROUND($AD148*$AE148^$F148,0)</f>
        <v>151</v>
      </c>
      <c r="AD148" s="16">
        <v>9</v>
      </c>
      <c r="AE148" s="16">
        <f>POWER(1.6,2)</f>
        <v>2.5600000000000005</v>
      </c>
      <c r="AF148" s="40"/>
      <c r="AG148" s="40"/>
      <c r="AH148" s="40"/>
      <c r="AI148" s="38"/>
      <c r="AJ148" s="38"/>
      <c r="AK148" s="110">
        <v>0</v>
      </c>
      <c r="AL148" s="110">
        <v>0</v>
      </c>
      <c r="AM148" s="110">
        <v>0</v>
      </c>
      <c r="AN148" s="110">
        <v>0</v>
      </c>
      <c r="AO148" s="110">
        <v>0</v>
      </c>
      <c r="AP148" s="14" t="b">
        <v>1</v>
      </c>
      <c r="AQ148" s="74" t="s">
        <v>555</v>
      </c>
      <c r="AR148" s="40"/>
      <c r="AS148" s="40"/>
      <c r="AT148" s="40"/>
      <c r="AU148" s="40"/>
      <c r="AV148" s="40"/>
      <c r="AW148" s="11">
        <f t="shared" si="133"/>
        <v>13618013</v>
      </c>
      <c r="AX148" s="40"/>
      <c r="AY148" s="11" t="str">
        <f t="shared" ref="AY148" si="160">_xlfn.TEXTJOIN("~",0,AZ148:BA148)</f>
        <v>2~0</v>
      </c>
      <c r="AZ148" s="27">
        <v>2</v>
      </c>
      <c r="BA148" s="38">
        <v>0</v>
      </c>
      <c r="BB148" s="50">
        <v>1</v>
      </c>
      <c r="BC148" s="74" t="s">
        <v>554</v>
      </c>
      <c r="BD148" s="11">
        <v>401</v>
      </c>
      <c r="BE148" s="28" t="str" cm="1">
        <f t="array" ref="BE148">IF(BD148&lt;&gt;"",_xlfn.TEXTJOIN("; ",1,VLOOKUP(VALUE(_xlfn.TEXTSPLIT(BD148,";")),device_cubicles!A:B,2,0)),"")</f>
        <v>调整朝向</v>
      </c>
    </row>
    <row r="149" spans="1:57">
      <c r="J149" s="14" t="str">
        <f>_xlfn.LET(_xlpm.get_device_type,VLOOKUP(VALUE(MID(A149,3,1)),tb_device_info_type[#All],3,0),_xlpm.check_if_wheel,IF(LEFT(A149,2)="12","wheel",_xlpm.get_device_type),_xlpm.raw_output,IF($A149&lt;&gt;"",_xlfn.TEXTJOIN("_",1,"device_alt",_xlpm.check_if_wheel),""),IFERROR(_xlpm.raw_output,"information missing"))</f>
        <v/>
      </c>
      <c r="K149" s="14" t="str" cm="1">
        <f t="array" ref="K149">_xlfn.IFS($A149="","",ISTEXT($L149),_xlfn.CONCAT("dwt","[device_wheel_thumbnail_",RIGHT($A149,1)-1,"]"),TRUE,_xlfn.CONCAT("dt","[device_thumbnail_",IF($L149&lt;&gt;"",$L149,0),"]"))</f>
        <v/>
      </c>
      <c r="O149" s="36"/>
      <c r="P149" s="15" t="str" cm="1">
        <f t="array" ref="P149">IFERROR(_xlfn.TEXTJOIN(";",1,_xlfn.MAP(_xlfn.TEXTSPLIT(O149,";"),_xlfn.LAMBDA(_xlpm.x,IFERROR(VLOOKUP(VALUE(_xlpm.x),device_tag!A:B,2,0),"error")))),"")</f>
        <v/>
      </c>
      <c r="AK149" s="110"/>
      <c r="AL149" s="110"/>
      <c r="AM149" s="110"/>
      <c r="AN149" s="110"/>
      <c r="AO149" s="110"/>
    </row>
    <row r="150" spans="1:57">
      <c r="H150" s="14" t="str">
        <f>IF($A150&lt;&gt;"",_xlfn.TEXTJOIN("_",1,"device_name",$A150,$Y150),"")</f>
        <v/>
      </c>
      <c r="J150" s="14" t="str">
        <f>_xlfn.LET(_xlpm.get_device_type,VLOOKUP(VALUE(MID(A150,3,1)),tb_device_info_type[#All],3,0),_xlpm.check_if_wheel,IF(LEFT(A150,2)="12","wheel",_xlpm.get_device_type),_xlpm.raw_output,IF($A150&lt;&gt;"",_xlfn.TEXTJOIN("_",1,"device_alt",_xlpm.check_if_wheel),""),IFERROR(_xlpm.raw_output,"information missing"))</f>
        <v/>
      </c>
      <c r="K150" s="14" t="str" cm="1">
        <f t="array" ref="K150">_xlfn.IFS($A150="","",ISTEXT($L150),_xlfn.CONCAT("dwt","[device_wheel_thumbnail_",RIGHT($A150,1)-1,"]"),TRUE,_xlfn.CONCAT("dt","[device_thumbnail_",IF($L150&lt;&gt;"",$L150,0),"]"))</f>
        <v/>
      </c>
      <c r="O150" s="36"/>
      <c r="P150" s="15" t="str" cm="1">
        <f t="array" ref="P150">IFERROR(_xlfn.TEXTJOIN(";",1,_xlfn.MAP(_xlfn.TEXTSPLIT(O150,";"),_xlfn.LAMBDA(_xlpm.x,IFERROR(VLOOKUP(VALUE(_xlpm.x),device_tag!A:B,2,0),"error")))),"")</f>
        <v/>
      </c>
      <c r="Z150" s="25" t="str">
        <f t="shared" ref="Z150" si="161">IF($A150&lt;&gt;"",_xlfn.TEXTJOIN("_",1,X150,$A150,Y150),"")</f>
        <v/>
      </c>
      <c r="AK150" s="110"/>
      <c r="AL150" s="110"/>
      <c r="AM150" s="110"/>
      <c r="AN150" s="110"/>
      <c r="AO150" s="110"/>
      <c r="BE150" s="28" t="str" cm="1">
        <f t="array" ref="BE150">IF(BD150&lt;&gt;"",_xlfn.TEXTJOIN("; ",1,VLOOKUP(VALUE(_xlfn.TEXTSPLIT(BD150,";")),device_cubicles!A:B,2,0)),"")</f>
        <v/>
      </c>
    </row>
    <row r="151" spans="1:57">
      <c r="A151" s="14">
        <v>1371103</v>
      </c>
      <c r="B151" s="11">
        <v>0</v>
      </c>
      <c r="C151" s="15" t="s">
        <v>333</v>
      </c>
      <c r="D151" s="15" t="s">
        <v>127</v>
      </c>
      <c r="G151" s="15" t="s">
        <v>334</v>
      </c>
      <c r="H151" s="52" t="s">
        <v>335</v>
      </c>
      <c r="J151" s="14" t="str">
        <f>_xlfn.LET(_xlpm.get_device_type,VLOOKUP(VALUE(MID(A151,3,1)),tb_device_info_type[#All],3,0),_xlpm.check_if_wheel,IF(LEFT(A151,2)="12","wheel",_xlpm.get_device_type),_xlpm.raw_output,IF($A151&lt;&gt;"",_xlfn.TEXTJOIN("_",1,"device_alt",_xlpm.check_if_wheel),""),IFERROR(_xlpm.raw_output,"information missing"))</f>
        <v>information missing</v>
      </c>
      <c r="K151" s="14" t="str" cm="1">
        <f t="array" ref="K151">_xlfn.IFS($A151="","",ISTEXT($L151),_xlfn.CONCAT("dwt","[device_wheel_thumbnail_",RIGHT($A151,1)-1,"]"),TRUE,_xlfn.CONCAT("dt","[device_thumbnail_",IF($L151&lt;&gt;"",$L151,0),"]"))</f>
        <v>dt[device_thumbnail_0]</v>
      </c>
      <c r="L151" s="34">
        <v>0</v>
      </c>
      <c r="M151" s="14" t="s">
        <v>79</v>
      </c>
      <c r="N151" s="14" t="s">
        <v>80</v>
      </c>
      <c r="O151" s="36" t="s">
        <v>157</v>
      </c>
      <c r="P151" s="15" t="str" cm="1">
        <f t="array" ref="P151">IFERROR(_xlfn.TEXTJOIN(";",1,_xlfn.MAP(_xlfn.TEXTSPLIT(O151,";"),_xlfn.LAMBDA(_xlpm.x,IFERROR(VLOOKUP(VALUE(_xlpm.x),device_tag!A:B,2,0),"error")))),"")</f>
        <v>远程武器;枪械;霰弹枪</v>
      </c>
      <c r="Q151" s="11" t="s">
        <v>109</v>
      </c>
      <c r="S151" s="24">
        <v>0</v>
      </c>
      <c r="V151" s="24">
        <v>0</v>
      </c>
      <c r="W151" s="24">
        <v>0</v>
      </c>
      <c r="X151" s="24" t="s">
        <v>82</v>
      </c>
      <c r="Y151" s="24" t="s">
        <v>336</v>
      </c>
      <c r="Z151" s="39" t="s">
        <v>332</v>
      </c>
      <c r="AA151" s="11">
        <v>5</v>
      </c>
      <c r="AB151" s="11">
        <v>1</v>
      </c>
      <c r="AF151" s="11">
        <v>5</v>
      </c>
      <c r="AG151" s="11">
        <v>360</v>
      </c>
      <c r="AH151" s="11" t="str">
        <f t="shared" ref="AH151" si="162">_xlfn.TEXTJOIN("~",1,AI151:AJ151)</f>
        <v>1.8~9.5</v>
      </c>
      <c r="AI151" s="27">
        <v>1.8</v>
      </c>
      <c r="AJ151" s="27">
        <v>9.5</v>
      </c>
      <c r="AK151" s="110">
        <v>0</v>
      </c>
      <c r="AL151" s="110">
        <v>0</v>
      </c>
      <c r="AM151" s="110">
        <v>0</v>
      </c>
      <c r="AN151" s="110">
        <v>0</v>
      </c>
      <c r="AO151" s="110">
        <v>0</v>
      </c>
      <c r="AP151" s="14" t="b">
        <v>0</v>
      </c>
      <c r="AQ151" s="14" t="s">
        <v>337</v>
      </c>
      <c r="AR151" s="40"/>
      <c r="AS151" s="40"/>
      <c r="AT151" s="47">
        <v>1321102</v>
      </c>
      <c r="AU151" s="38"/>
      <c r="AV151" s="38"/>
      <c r="AW151" s="38"/>
      <c r="AX151" s="38"/>
      <c r="AY151" s="11" t="str">
        <f t="shared" ref="AY151" si="163">_xlfn.TEXTJOIN("~",1,AZ151:BA151)</f>
        <v>6~6</v>
      </c>
      <c r="AZ151" s="27">
        <v>6</v>
      </c>
      <c r="BA151" s="27">
        <v>6</v>
      </c>
      <c r="BB151" s="50">
        <v>1</v>
      </c>
      <c r="BC151" s="11" t="s">
        <v>338</v>
      </c>
    </row>
    <row r="152" spans="1:57">
      <c r="K152" s="14" t="str" cm="1">
        <f t="array" ref="K152">_xlfn.IFS($A152="","",ISTEXT($L152),_xlfn.CONCAT("dwt","[device_wheel_thumbnail_",RIGHT($A152,1)-1,"]"),TRUE,_xlfn.CONCAT("dt","[device_thumbnail_",IF($L152&lt;&gt;"",$L152,0),"]"))</f>
        <v/>
      </c>
      <c r="O152" s="36"/>
      <c r="AK152" s="110"/>
      <c r="AL152" s="110"/>
      <c r="AM152" s="110"/>
      <c r="AN152" s="110"/>
      <c r="AO152" s="110"/>
    </row>
    <row r="153" spans="1:57">
      <c r="J153" s="14" t="str">
        <f>_xlfn.LET(_xlpm.get_device_type,VLOOKUP(VALUE(MID(A153,3,1)),tb_device_info_type[#All],3,0),_xlpm.check_if_wheel,IF(LEFT(A153,2)="12","wheel",_xlpm.get_device_type),_xlpm.raw_output,IF($A153&lt;&gt;"",_xlfn.TEXTJOIN("_",1,"device_alt",_xlpm.check_if_wheel),""),IFERROR(_xlpm.raw_output,"information missing"))</f>
        <v/>
      </c>
      <c r="K153" s="14" t="str" cm="1">
        <f t="array" ref="K153">_xlfn.IFS($A153="","",ISTEXT($L153),_xlfn.CONCAT("dwt","[device_wheel_thumbnail_",RIGHT($A153,1)-1,"]"),TRUE,_xlfn.CONCAT("dt","[device_thumbnail_",IF($L153&lt;&gt;"",$L153,0),"]"))</f>
        <v/>
      </c>
      <c r="O153" s="36"/>
      <c r="P153" s="15" t="str" cm="1">
        <f t="array" ref="P153">IFERROR(_xlfn.TEXTJOIN(";",1,_xlfn.MAP(_xlfn.TEXTSPLIT(O153,";"),_xlfn.LAMBDA(_xlpm.x,IFERROR(VLOOKUP(VALUE(_xlpm.x),device_tag!A:B,2,0),"error")))),"")</f>
        <v/>
      </c>
      <c r="AK153" s="110"/>
      <c r="AL153" s="110"/>
      <c r="AM153" s="110"/>
      <c r="AN153" s="110"/>
      <c r="AO153" s="110"/>
    </row>
    <row r="154" spans="1:57">
      <c r="A154" s="14">
        <v>130006001</v>
      </c>
      <c r="B154" s="11">
        <v>0</v>
      </c>
      <c r="C154" s="15" t="s">
        <v>339</v>
      </c>
      <c r="H154" s="14" t="str">
        <f t="shared" ref="H154:H167" si="164">IF($A154&lt;&gt;"",_xlfn.TEXTJOIN("_",1,"device_name",$A154,$Y154),"")</f>
        <v>device_name_130006001_puppet_blade</v>
      </c>
      <c r="J154" s="14" t="str">
        <f>_xlfn.LET(_xlpm.get_device_type,VLOOKUP(VALUE(MID(A154,3,1)),tb_device_info_type[#All],3,0),_xlpm.check_if_wheel,IF(LEFT(A154,2)="12","wheel",_xlpm.get_device_type),_xlpm.raw_output,IF($A154&lt;&gt;"",_xlfn.TEXTJOIN("_",1,"device_alt",_xlpm.check_if_wheel),""),IFERROR(_xlpm.raw_output,"information missing"))</f>
        <v>information missing</v>
      </c>
      <c r="K154" s="14" t="str" cm="1">
        <f t="array" ref="K154">_xlfn.IFS($A154="","",ISTEXT($L154),_xlfn.CONCAT("dwt","[device_wheel_thumbnail_",RIGHT($A154,1)-1,"]"),TRUE,_xlfn.CONCAT("dt","[device_thumbnail_",IF($L154&lt;&gt;"",$L154,0),"]"))</f>
        <v>dt[device_thumbnail_0]</v>
      </c>
      <c r="M154" s="14" t="s">
        <v>79</v>
      </c>
      <c r="N154" s="14" t="s">
        <v>80</v>
      </c>
      <c r="O154" s="36"/>
      <c r="P154" s="15" t="str" cm="1">
        <f t="array" ref="P154">IFERROR(_xlfn.TEXTJOIN(";",1,_xlfn.MAP(_xlfn.TEXTSPLIT(O154,";"),_xlfn.LAMBDA(_xlpm.x,IFERROR(VLOOKUP(VALUE(_xlpm.x),device_tag!A:B,2,0),"error")))),"")</f>
        <v/>
      </c>
      <c r="Q154" s="11" t="s">
        <v>109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 t="s">
        <v>91</v>
      </c>
      <c r="Y154" s="24" t="s">
        <v>340</v>
      </c>
      <c r="Z154" s="25" t="str">
        <f t="shared" ref="Z154:Z159" si="165">IF($A154&lt;&gt;"",_xlfn.TEXTJOIN("_",1,X154,$A154,Y154),"")</f>
        <v>dp_130006001_puppet_blade</v>
      </c>
      <c r="AA154" s="11">
        <v>100</v>
      </c>
      <c r="AK154" s="110"/>
      <c r="AL154" s="110"/>
      <c r="AM154" s="110"/>
      <c r="AN154" s="110"/>
      <c r="AO154" s="110"/>
    </row>
    <row r="155" spans="1:57">
      <c r="A155" s="14">
        <v>130006002</v>
      </c>
      <c r="B155" s="11">
        <v>0</v>
      </c>
      <c r="C155" s="15" t="s">
        <v>341</v>
      </c>
      <c r="H155" s="14" t="str">
        <f t="shared" si="164"/>
        <v>device_name_130006002_puppet_gunpowder</v>
      </c>
      <c r="J155" s="14" t="str">
        <f>_xlfn.LET(_xlpm.get_device_type,VLOOKUP(VALUE(MID(A155,3,1)),tb_device_info_type[#All],3,0),_xlpm.check_if_wheel,IF(LEFT(A155,2)="12","wheel",_xlpm.get_device_type),_xlpm.raw_output,IF($A155&lt;&gt;"",_xlfn.TEXTJOIN("_",1,"device_alt",_xlpm.check_if_wheel),""),IFERROR(_xlpm.raw_output,"information missing"))</f>
        <v>information missing</v>
      </c>
      <c r="K155" s="14" t="str" cm="1">
        <f t="array" ref="K155">_xlfn.IFS($A155="","",ISTEXT($L155),_xlfn.CONCAT("dwt","[device_wheel_thumbnail_",RIGHT($A155,1)-1,"]"),TRUE,_xlfn.CONCAT("dt","[device_thumbnail_",IF($L155&lt;&gt;"",$L155,0),"]"))</f>
        <v>dt[device_thumbnail_0]</v>
      </c>
      <c r="M155" s="14" t="s">
        <v>79</v>
      </c>
      <c r="N155" s="14" t="s">
        <v>80</v>
      </c>
      <c r="O155" s="36"/>
      <c r="P155" s="15" t="str" cm="1">
        <f t="array" ref="P155">IFERROR(_xlfn.TEXTJOIN(";",1,_xlfn.MAP(_xlfn.TEXTSPLIT(O155,";"),_xlfn.LAMBDA(_xlpm.x,IFERROR(VLOOKUP(VALUE(_xlpm.x),device_tag!A:B,2,0),"error")))),"")</f>
        <v/>
      </c>
      <c r="Q155" s="11" t="s">
        <v>109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 t="s">
        <v>91</v>
      </c>
      <c r="Y155" s="24" t="s">
        <v>342</v>
      </c>
      <c r="Z155" s="25" t="str">
        <f t="shared" si="165"/>
        <v>dp_130006002_puppet_gunpowder</v>
      </c>
      <c r="AA155" s="11">
        <v>100</v>
      </c>
      <c r="AK155" s="110"/>
      <c r="AL155" s="110"/>
      <c r="AM155" s="110"/>
      <c r="AN155" s="110"/>
      <c r="AO155" s="110"/>
    </row>
    <row r="156" spans="1:57">
      <c r="A156" s="14">
        <v>130006003</v>
      </c>
      <c r="B156" s="11">
        <v>0</v>
      </c>
      <c r="C156" s="15" t="s">
        <v>343</v>
      </c>
      <c r="H156" s="14" t="str">
        <f t="shared" si="164"/>
        <v>device_name_130006003_puppet_arc</v>
      </c>
      <c r="J156" s="14" t="str">
        <f>_xlfn.LET(_xlpm.get_device_type,VLOOKUP(VALUE(MID(A156,3,1)),tb_device_info_type[#All],3,0),_xlpm.check_if_wheel,IF(LEFT(A156,2)="12","wheel",_xlpm.get_device_type),_xlpm.raw_output,IF($A156&lt;&gt;"",_xlfn.TEXTJOIN("_",1,"device_alt",_xlpm.check_if_wheel),""),IFERROR(_xlpm.raw_output,"information missing"))</f>
        <v>information missing</v>
      </c>
      <c r="K156" s="14" t="str" cm="1">
        <f t="array" ref="K156">_xlfn.IFS($A156="","",ISTEXT($L156),_xlfn.CONCAT("dwt","[device_wheel_thumbnail_",RIGHT($A156,1)-1,"]"),TRUE,_xlfn.CONCAT("dt","[device_thumbnail_",IF($L156&lt;&gt;"",$L156,0),"]"))</f>
        <v>dt[device_thumbnail_0]</v>
      </c>
      <c r="M156" s="14" t="s">
        <v>79</v>
      </c>
      <c r="N156" s="14" t="s">
        <v>80</v>
      </c>
      <c r="O156" s="36"/>
      <c r="P156" s="15" t="str" cm="1">
        <f t="array" ref="P156">IFERROR(_xlfn.TEXTJOIN(";",1,_xlfn.MAP(_xlfn.TEXTSPLIT(O156,";"),_xlfn.LAMBDA(_xlpm.x,IFERROR(VLOOKUP(VALUE(_xlpm.x),device_tag!A:B,2,0),"error")))),"")</f>
        <v/>
      </c>
      <c r="Q156" s="11" t="s">
        <v>109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 t="s">
        <v>91</v>
      </c>
      <c r="Y156" s="24" t="s">
        <v>344</v>
      </c>
      <c r="Z156" s="25" t="str">
        <f t="shared" si="165"/>
        <v>dp_130006003_puppet_arc</v>
      </c>
      <c r="AA156" s="11">
        <v>100</v>
      </c>
      <c r="AK156" s="110"/>
      <c r="AL156" s="110"/>
      <c r="AM156" s="110"/>
      <c r="AN156" s="110"/>
      <c r="AO156" s="110"/>
    </row>
    <row r="157" spans="1:57">
      <c r="A157" s="14">
        <v>130006004</v>
      </c>
      <c r="B157" s="11">
        <v>0</v>
      </c>
      <c r="C157" s="15" t="s">
        <v>345</v>
      </c>
      <c r="H157" s="14" t="str">
        <f t="shared" si="164"/>
        <v>device_name_130006004_puppet_crossbow</v>
      </c>
      <c r="J157" s="14" t="str">
        <f>_xlfn.LET(_xlpm.get_device_type,VLOOKUP(VALUE(MID(A157,3,1)),tb_device_info_type[#All],3,0),_xlpm.check_if_wheel,IF(LEFT(A157,2)="12","wheel",_xlpm.get_device_type),_xlpm.raw_output,IF($A157&lt;&gt;"",_xlfn.TEXTJOIN("_",1,"device_alt",_xlpm.check_if_wheel),""),IFERROR(_xlpm.raw_output,"information missing"))</f>
        <v>information missing</v>
      </c>
      <c r="K157" s="14" t="str" cm="1">
        <f t="array" ref="K157">_xlfn.IFS($A157="","",ISTEXT($L157),_xlfn.CONCAT("dwt","[device_wheel_thumbnail_",RIGHT($A157,1)-1,"]"),TRUE,_xlfn.CONCAT("dt","[device_thumbnail_",IF($L157&lt;&gt;"",$L157,0),"]"))</f>
        <v>dt[device_thumbnail_0]</v>
      </c>
      <c r="M157" s="14" t="s">
        <v>79</v>
      </c>
      <c r="N157" s="14" t="s">
        <v>80</v>
      </c>
      <c r="O157" s="36"/>
      <c r="P157" s="15" t="str" cm="1">
        <f t="array" ref="P157">IFERROR(_xlfn.TEXTJOIN(";",1,_xlfn.MAP(_xlfn.TEXTSPLIT(O157,";"),_xlfn.LAMBDA(_xlpm.x,IFERROR(VLOOKUP(VALUE(_xlpm.x),device_tag!A:B,2,0),"error")))),"")</f>
        <v/>
      </c>
      <c r="Q157" s="11" t="s">
        <v>109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 t="s">
        <v>91</v>
      </c>
      <c r="Y157" s="24" t="s">
        <v>346</v>
      </c>
      <c r="Z157" s="25" t="str">
        <f t="shared" si="165"/>
        <v>dp_130006004_puppet_crossbow</v>
      </c>
      <c r="AA157" s="11">
        <v>100</v>
      </c>
      <c r="AK157" s="110"/>
      <c r="AL157" s="110"/>
      <c r="AM157" s="110"/>
      <c r="AN157" s="110"/>
      <c r="AO157" s="110"/>
    </row>
    <row r="158" spans="1:57">
      <c r="A158" s="14">
        <v>130006005</v>
      </c>
      <c r="B158" s="11">
        <v>0</v>
      </c>
      <c r="C158" s="15" t="s">
        <v>347</v>
      </c>
      <c r="H158" s="14" t="str">
        <f t="shared" si="164"/>
        <v>device_name_130006005_puppet_sling</v>
      </c>
      <c r="J158" s="14" t="str">
        <f>_xlfn.LET(_xlpm.get_device_type,VLOOKUP(VALUE(MID(A158,3,1)),tb_device_info_type[#All],3,0),_xlpm.check_if_wheel,IF(LEFT(A158,2)="12","wheel",_xlpm.get_device_type),_xlpm.raw_output,IF($A158&lt;&gt;"",_xlfn.TEXTJOIN("_",1,"device_alt",_xlpm.check_if_wheel),""),IFERROR(_xlpm.raw_output,"information missing"))</f>
        <v>information missing</v>
      </c>
      <c r="K158" s="14" t="str" cm="1">
        <f t="array" ref="K158">_xlfn.IFS($A158="","",ISTEXT($L158),_xlfn.CONCAT("dwt","[device_wheel_thumbnail_",RIGHT($A158,1)-1,"]"),TRUE,_xlfn.CONCAT("dt","[device_thumbnail_",IF($L158&lt;&gt;"",$L158,0),"]"))</f>
        <v>dt[device_thumbnail_0]</v>
      </c>
      <c r="M158" s="14" t="s">
        <v>79</v>
      </c>
      <c r="N158" s="14" t="s">
        <v>80</v>
      </c>
      <c r="O158" s="36"/>
      <c r="P158" s="15" t="str" cm="1">
        <f t="array" ref="P158">IFERROR(_xlfn.TEXTJOIN(";",1,_xlfn.MAP(_xlfn.TEXTSPLIT(O158,";"),_xlfn.LAMBDA(_xlpm.x,IFERROR(VLOOKUP(VALUE(_xlpm.x),device_tag!A:B,2,0),"error")))),"")</f>
        <v/>
      </c>
      <c r="Q158" s="11" t="s">
        <v>109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 t="s">
        <v>91</v>
      </c>
      <c r="Y158" s="24" t="s">
        <v>348</v>
      </c>
      <c r="Z158" s="25" t="str">
        <f t="shared" si="165"/>
        <v>dp_130006005_puppet_sling</v>
      </c>
      <c r="AA158" s="11">
        <v>100</v>
      </c>
      <c r="AK158" s="110"/>
      <c r="AL158" s="110"/>
      <c r="AM158" s="110"/>
      <c r="AN158" s="110"/>
      <c r="AO158" s="110"/>
    </row>
    <row r="159" spans="1:57">
      <c r="A159" s="14">
        <v>130006006</v>
      </c>
      <c r="B159" s="11">
        <v>0</v>
      </c>
      <c r="C159" s="15" t="s">
        <v>349</v>
      </c>
      <c r="H159" s="14" t="str">
        <f t="shared" si="164"/>
        <v>device_name_130006006_puppet_musket</v>
      </c>
      <c r="J159" s="14" t="str">
        <f>_xlfn.LET(_xlpm.get_device_type,VLOOKUP(VALUE(MID(A159,3,1)),tb_device_info_type[#All],3,0),_xlpm.check_if_wheel,IF(LEFT(A159,2)="12","wheel",_xlpm.get_device_type),_xlpm.raw_output,IF($A159&lt;&gt;"",_xlfn.TEXTJOIN("_",1,"device_alt",_xlpm.check_if_wheel),""),IFERROR(_xlpm.raw_output,"information missing"))</f>
        <v>information missing</v>
      </c>
      <c r="K159" s="14" t="str" cm="1">
        <f t="array" ref="K159">_xlfn.IFS($A159="","",ISTEXT($L159),_xlfn.CONCAT("dwt","[device_wheel_thumbnail_",RIGHT($A159,1)-1,"]"),TRUE,_xlfn.CONCAT("dt","[device_thumbnail_",IF($L159&lt;&gt;"",$L159,0),"]"))</f>
        <v>dt[device_thumbnail_0]</v>
      </c>
      <c r="M159" s="14" t="s">
        <v>79</v>
      </c>
      <c r="N159" s="14" t="s">
        <v>80</v>
      </c>
      <c r="O159" s="36"/>
      <c r="P159" s="15" t="str" cm="1">
        <f t="array" ref="P159">IFERROR(_xlfn.TEXTJOIN(";",1,_xlfn.MAP(_xlfn.TEXTSPLIT(O159,";"),_xlfn.LAMBDA(_xlpm.x,IFERROR(VLOOKUP(VALUE(_xlpm.x),device_tag!A:B,2,0),"error")))),"")</f>
        <v/>
      </c>
      <c r="Q159" s="11" t="s">
        <v>109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 t="s">
        <v>91</v>
      </c>
      <c r="Y159" s="24" t="s">
        <v>350</v>
      </c>
      <c r="Z159" s="25" t="str">
        <f t="shared" si="165"/>
        <v>dp_130006006_puppet_musket</v>
      </c>
      <c r="AA159" s="11">
        <v>100</v>
      </c>
      <c r="AK159" s="110"/>
      <c r="AL159" s="110"/>
      <c r="AM159" s="110"/>
      <c r="AN159" s="110"/>
      <c r="AO159" s="110"/>
    </row>
    <row r="160" spans="1:57">
      <c r="H160" s="14" t="str">
        <f t="shared" si="164"/>
        <v/>
      </c>
      <c r="J160" s="14" t="str">
        <f>_xlfn.LET(_xlpm.get_device_type,VLOOKUP(VALUE(MID(A160,3,1)),tb_device_info_type[#All],3,0),_xlpm.check_if_wheel,IF(LEFT(A160,2)="12","wheel",_xlpm.get_device_type),_xlpm.raw_output,IF($A160&lt;&gt;"",_xlfn.TEXTJOIN("_",1,"device_alt",_xlpm.check_if_wheel),""),IFERROR(_xlpm.raw_output,"information missing"))</f>
        <v/>
      </c>
      <c r="K160" s="14" t="str" cm="1">
        <f t="array" ref="K160">_xlfn.IFS($A160="","",ISTEXT($L160),_xlfn.CONCAT("dwt","[device_wheel_thumbnail_",RIGHT($A160,1)-1,"]"),TRUE,_xlfn.CONCAT("dt","[device_thumbnail_",IF($L160&lt;&gt;"",$L160,0),"]"))</f>
        <v/>
      </c>
      <c r="O160" s="36"/>
      <c r="P160" s="15" t="str" cm="1">
        <f t="array" ref="P160">IFERROR(_xlfn.TEXTJOIN(";",1,_xlfn.MAP(_xlfn.TEXTSPLIT(O160,";"),_xlfn.LAMBDA(_xlpm.x,IFERROR(VLOOKUP(VALUE(_xlpm.x),device_tag!A:B,2,0),"error")))),"")</f>
        <v/>
      </c>
      <c r="Z160" s="25" t="str">
        <f t="shared" ref="Z160:Z167" si="166">IF($A160&lt;&gt;"",_xlfn.TEXTJOIN("_",1,X160,$A160,Y160),"")</f>
        <v/>
      </c>
      <c r="AK160" s="110"/>
      <c r="AL160" s="110"/>
      <c r="AM160" s="110"/>
      <c r="AN160" s="110"/>
      <c r="AO160" s="110"/>
    </row>
    <row r="161" spans="1:57">
      <c r="A161" s="14">
        <v>130000001</v>
      </c>
      <c r="B161" s="11">
        <v>0</v>
      </c>
      <c r="C161" s="15" t="s">
        <v>351</v>
      </c>
      <c r="H161" s="14" t="str">
        <f t="shared" si="164"/>
        <v>device_name_130000001_core_magic</v>
      </c>
      <c r="J161" s="14" t="str">
        <f>_xlfn.LET(_xlpm.get_device_type,VLOOKUP(VALUE(MID(A161,3,1)),tb_device_info_type[#All],3,0),_xlpm.check_if_wheel,IF(LEFT(A161,2)="12","wheel",_xlpm.get_device_type),_xlpm.raw_output,IF($A161&lt;&gt;"",_xlfn.TEXTJOIN("_",1,"device_alt",_xlpm.check_if_wheel),""),IFERROR(_xlpm.raw_output,"information missing"))</f>
        <v>information missing</v>
      </c>
      <c r="K161" s="14" t="str" cm="1">
        <f t="array" ref="K161">_xlfn.IFS($A161="","",ISTEXT($L161),_xlfn.CONCAT("dwt","[device_wheel_thumbnail_",RIGHT($A161,1)-1,"]"),TRUE,_xlfn.CONCAT("dt","[device_thumbnail_",IF($L161&lt;&gt;"",$L161,0),"]"))</f>
        <v>dt[device_thumbnail_0]</v>
      </c>
      <c r="M161" s="14" t="s">
        <v>79</v>
      </c>
      <c r="N161" s="14" t="s">
        <v>80</v>
      </c>
      <c r="O161" s="36"/>
      <c r="P161" s="15" t="str" cm="1">
        <f t="array" ref="P161">IFERROR(_xlfn.TEXTJOIN(";",1,_xlfn.MAP(_xlfn.TEXTSPLIT(O161,";"),_xlfn.LAMBDA(_xlpm.x,IFERROR(VLOOKUP(VALUE(_xlpm.x),device_tag!A:B,2,0),"error")))),"")</f>
        <v/>
      </c>
      <c r="Q161" s="11" t="s">
        <v>352</v>
      </c>
      <c r="U161" s="24">
        <v>0</v>
      </c>
      <c r="W161" s="24">
        <v>0</v>
      </c>
      <c r="X161" s="24" t="s">
        <v>91</v>
      </c>
      <c r="Y161" s="24" t="s">
        <v>353</v>
      </c>
      <c r="Z161" s="25" t="str">
        <f t="shared" si="166"/>
        <v>dp_130000001_core_magic</v>
      </c>
      <c r="AA161" s="11">
        <v>100</v>
      </c>
      <c r="AK161" s="110"/>
      <c r="AL161" s="110"/>
      <c r="AM161" s="110"/>
      <c r="AN161" s="110"/>
      <c r="AO161" s="110"/>
    </row>
    <row r="162" spans="1:57">
      <c r="A162" s="14">
        <v>130000002</v>
      </c>
      <c r="B162" s="11">
        <v>0</v>
      </c>
      <c r="C162" s="15" t="s">
        <v>354</v>
      </c>
      <c r="H162" s="14" t="str">
        <f t="shared" si="164"/>
        <v>device_name_130000002_core_battery</v>
      </c>
      <c r="J162" s="14" t="str">
        <f>_xlfn.LET(_xlpm.get_device_type,VLOOKUP(VALUE(MID(A162,3,1)),tb_device_info_type[#All],3,0),_xlpm.check_if_wheel,IF(LEFT(A162,2)="12","wheel",_xlpm.get_device_type),_xlpm.raw_output,IF($A162&lt;&gt;"",_xlfn.TEXTJOIN("_",1,"device_alt",_xlpm.check_if_wheel),""),IFERROR(_xlpm.raw_output,"information missing"))</f>
        <v>information missing</v>
      </c>
      <c r="K162" s="14" t="str" cm="1">
        <f t="array" ref="K162">_xlfn.IFS($A162="","",ISTEXT($L162),_xlfn.CONCAT("dwt","[device_wheel_thumbnail_",RIGHT($A162,1)-1,"]"),TRUE,_xlfn.CONCAT("dt","[device_thumbnail_",IF($L162&lt;&gt;"",$L162,0),"]"))</f>
        <v>dt[device_thumbnail_0]</v>
      </c>
      <c r="M162" s="14" t="s">
        <v>79</v>
      </c>
      <c r="N162" s="14" t="s">
        <v>80</v>
      </c>
      <c r="O162" s="36"/>
      <c r="P162" s="15" t="str" cm="1">
        <f t="array" ref="P162">IFERROR(_xlfn.TEXTJOIN(";",1,_xlfn.MAP(_xlfn.TEXTSPLIT(O162,";"),_xlfn.LAMBDA(_xlpm.x,IFERROR(VLOOKUP(VALUE(_xlpm.x),device_tag!A:B,2,0),"error")))),"")</f>
        <v/>
      </c>
      <c r="Q162" s="11" t="s">
        <v>352</v>
      </c>
      <c r="U162" s="24">
        <v>0</v>
      </c>
      <c r="W162" s="24">
        <v>0</v>
      </c>
      <c r="X162" s="24" t="s">
        <v>91</v>
      </c>
      <c r="Y162" s="24" t="s">
        <v>355</v>
      </c>
      <c r="Z162" s="25" t="str">
        <f t="shared" si="166"/>
        <v>dp_130000002_core_battery</v>
      </c>
      <c r="AA162" s="11">
        <v>100</v>
      </c>
      <c r="AK162" s="110"/>
      <c r="AL162" s="110"/>
      <c r="AM162" s="110"/>
      <c r="AN162" s="110"/>
      <c r="AO162" s="110"/>
    </row>
    <row r="163" spans="1:57">
      <c r="A163" s="14">
        <v>130000003</v>
      </c>
      <c r="B163" s="11">
        <v>0</v>
      </c>
      <c r="C163" s="15" t="s">
        <v>356</v>
      </c>
      <c r="H163" s="14" t="str">
        <f t="shared" si="164"/>
        <v>device_name_130000003_core_furnace</v>
      </c>
      <c r="J163" s="14" t="str">
        <f>_xlfn.LET(_xlpm.get_device_type,VLOOKUP(VALUE(MID(A163,3,1)),tb_device_info_type[#All],3,0),_xlpm.check_if_wheel,IF(LEFT(A163,2)="12","wheel",_xlpm.get_device_type),_xlpm.raw_output,IF($A163&lt;&gt;"",_xlfn.TEXTJOIN("_",1,"device_alt",_xlpm.check_if_wheel),""),IFERROR(_xlpm.raw_output,"information missing"))</f>
        <v>information missing</v>
      </c>
      <c r="K163" s="14" t="str" cm="1">
        <f t="array" ref="K163">_xlfn.IFS($A163="","",ISTEXT($L163),_xlfn.CONCAT("dwt","[device_wheel_thumbnail_",RIGHT($A163,1)-1,"]"),TRUE,_xlfn.CONCAT("dt","[device_thumbnail_",IF($L163&lt;&gt;"",$L163,0),"]"))</f>
        <v>dt[device_thumbnail_0]</v>
      </c>
      <c r="M163" s="14" t="s">
        <v>79</v>
      </c>
      <c r="N163" s="14" t="s">
        <v>80</v>
      </c>
      <c r="O163" s="36"/>
      <c r="P163" s="15" t="str" cm="1">
        <f t="array" ref="P163">IFERROR(_xlfn.TEXTJOIN(";",1,_xlfn.MAP(_xlfn.TEXTSPLIT(O163,";"),_xlfn.LAMBDA(_xlpm.x,IFERROR(VLOOKUP(VALUE(_xlpm.x),device_tag!A:B,2,0),"error")))),"")</f>
        <v/>
      </c>
      <c r="Q163" s="11" t="s">
        <v>352</v>
      </c>
      <c r="U163" s="24">
        <v>0</v>
      </c>
      <c r="W163" s="24">
        <v>0</v>
      </c>
      <c r="X163" s="24" t="s">
        <v>91</v>
      </c>
      <c r="Y163" s="24" t="s">
        <v>357</v>
      </c>
      <c r="Z163" s="25" t="str">
        <f t="shared" si="166"/>
        <v>dp_130000003_core_furnace</v>
      </c>
      <c r="AA163" s="11">
        <v>100</v>
      </c>
      <c r="AK163" s="110"/>
      <c r="AL163" s="110"/>
      <c r="AM163" s="110"/>
      <c r="AN163" s="110"/>
      <c r="AO163" s="110"/>
    </row>
    <row r="164" spans="1:57">
      <c r="A164" s="14">
        <v>130000004</v>
      </c>
      <c r="B164" s="11">
        <v>0</v>
      </c>
      <c r="C164" s="15" t="s">
        <v>358</v>
      </c>
      <c r="H164" s="14" t="str">
        <f t="shared" si="164"/>
        <v>device_name_130000004_core_steam</v>
      </c>
      <c r="J164" s="14" t="str">
        <f>_xlfn.LET(_xlpm.get_device_type,VLOOKUP(VALUE(MID(A164,3,1)),tb_device_info_type[#All],3,0),_xlpm.check_if_wheel,IF(LEFT(A164,2)="12","wheel",_xlpm.get_device_type),_xlpm.raw_output,IF($A164&lt;&gt;"",_xlfn.TEXTJOIN("_",1,"device_alt",_xlpm.check_if_wheel),""),IFERROR(_xlpm.raw_output,"information missing"))</f>
        <v>information missing</v>
      </c>
      <c r="K164" s="14" t="str" cm="1">
        <f t="array" ref="K164">_xlfn.IFS($A164="","",ISTEXT($L164),_xlfn.CONCAT("dwt","[device_wheel_thumbnail_",RIGHT($A164,1)-1,"]"),TRUE,_xlfn.CONCAT("dt","[device_thumbnail_",IF($L164&lt;&gt;"",$L164,0),"]"))</f>
        <v>dt[device_thumbnail_0]</v>
      </c>
      <c r="M164" s="14" t="s">
        <v>79</v>
      </c>
      <c r="N164" s="14" t="s">
        <v>80</v>
      </c>
      <c r="O164" s="36"/>
      <c r="P164" s="15" t="str" cm="1">
        <f t="array" ref="P164">IFERROR(_xlfn.TEXTJOIN(";",1,_xlfn.MAP(_xlfn.TEXTSPLIT(O164,";"),_xlfn.LAMBDA(_xlpm.x,IFERROR(VLOOKUP(VALUE(_xlpm.x),device_tag!A:B,2,0),"error")))),"")</f>
        <v/>
      </c>
      <c r="Q164" s="11" t="s">
        <v>352</v>
      </c>
      <c r="U164" s="24">
        <v>0</v>
      </c>
      <c r="W164" s="24">
        <v>0</v>
      </c>
      <c r="X164" s="24" t="s">
        <v>91</v>
      </c>
      <c r="Y164" s="24" t="s">
        <v>359</v>
      </c>
      <c r="Z164" s="25" t="str">
        <f t="shared" si="166"/>
        <v>dp_130000004_core_steam</v>
      </c>
      <c r="AA164" s="11">
        <v>100</v>
      </c>
      <c r="AK164" s="110"/>
      <c r="AL164" s="110"/>
      <c r="AM164" s="110"/>
      <c r="AN164" s="110"/>
      <c r="AO164" s="110"/>
    </row>
    <row r="165" spans="1:57">
      <c r="A165" s="14">
        <v>130000005</v>
      </c>
      <c r="B165" s="11">
        <v>0</v>
      </c>
      <c r="C165" s="15" t="s">
        <v>360</v>
      </c>
      <c r="H165" s="14" t="str">
        <f t="shared" si="164"/>
        <v>device_name_130000005_core_windmill</v>
      </c>
      <c r="J165" s="14" t="str">
        <f>_xlfn.LET(_xlpm.get_device_type,VLOOKUP(VALUE(MID(A165,3,1)),tb_device_info_type[#All],3,0),_xlpm.check_if_wheel,IF(LEFT(A165,2)="12","wheel",_xlpm.get_device_type),_xlpm.raw_output,IF($A165&lt;&gt;"",_xlfn.TEXTJOIN("_",1,"device_alt",_xlpm.check_if_wheel),""),IFERROR(_xlpm.raw_output,"information missing"))</f>
        <v>information missing</v>
      </c>
      <c r="K165" s="14" t="str" cm="1">
        <f t="array" ref="K165">_xlfn.IFS($A165="","",ISTEXT($L165),_xlfn.CONCAT("dwt","[device_wheel_thumbnail_",RIGHT($A165,1)-1,"]"),TRUE,_xlfn.CONCAT("dt","[device_thumbnail_",IF($L165&lt;&gt;"",$L165,0),"]"))</f>
        <v>dt[device_thumbnail_0]</v>
      </c>
      <c r="M165" s="14" t="s">
        <v>79</v>
      </c>
      <c r="N165" s="14" t="s">
        <v>80</v>
      </c>
      <c r="O165" s="36"/>
      <c r="P165" s="15" t="str" cm="1">
        <f t="array" ref="P165">IFERROR(_xlfn.TEXTJOIN(";",1,_xlfn.MAP(_xlfn.TEXTSPLIT(O165,";"),_xlfn.LAMBDA(_xlpm.x,IFERROR(VLOOKUP(VALUE(_xlpm.x),device_tag!A:B,2,0),"error")))),"")</f>
        <v/>
      </c>
      <c r="Q165" s="11" t="s">
        <v>352</v>
      </c>
      <c r="U165" s="24">
        <v>0</v>
      </c>
      <c r="W165" s="24">
        <v>0</v>
      </c>
      <c r="X165" s="24" t="s">
        <v>91</v>
      </c>
      <c r="Y165" s="24" t="s">
        <v>361</v>
      </c>
      <c r="Z165" s="25" t="str">
        <f t="shared" si="166"/>
        <v>dp_130000005_core_windmill</v>
      </c>
      <c r="AA165" s="11">
        <v>100</v>
      </c>
      <c r="AK165" s="110"/>
      <c r="AL165" s="110"/>
      <c r="AM165" s="110"/>
      <c r="AN165" s="110"/>
      <c r="AO165" s="110"/>
    </row>
    <row r="166" spans="1:57">
      <c r="A166" s="14">
        <v>130000006</v>
      </c>
      <c r="B166" s="11">
        <v>0</v>
      </c>
      <c r="C166" s="15" t="s">
        <v>362</v>
      </c>
      <c r="H166" s="14" t="str">
        <f t="shared" si="164"/>
        <v>device_name_130000006_core_mice</v>
      </c>
      <c r="J166" s="14" t="str">
        <f>_xlfn.LET(_xlpm.get_device_type,VLOOKUP(VALUE(MID(A166,3,1)),tb_device_info_type[#All],3,0),_xlpm.check_if_wheel,IF(LEFT(A166,2)="12","wheel",_xlpm.get_device_type),_xlpm.raw_output,IF($A166&lt;&gt;"",_xlfn.TEXTJOIN("_",1,"device_alt",_xlpm.check_if_wheel),""),IFERROR(_xlpm.raw_output,"information missing"))</f>
        <v>information missing</v>
      </c>
      <c r="K166" s="14" t="str" cm="1">
        <f t="array" ref="K166">_xlfn.IFS($A166="","",ISTEXT($L166),_xlfn.CONCAT("dwt","[device_wheel_thumbnail_",RIGHT($A166,1)-1,"]"),TRUE,_xlfn.CONCAT("dt","[device_thumbnail_",IF($L166&lt;&gt;"",$L166,0),"]"))</f>
        <v>dt[device_thumbnail_0]</v>
      </c>
      <c r="M166" s="14" t="s">
        <v>79</v>
      </c>
      <c r="N166" s="14" t="s">
        <v>80</v>
      </c>
      <c r="O166" s="36"/>
      <c r="P166" s="15" t="str" cm="1">
        <f t="array" ref="P166">IFERROR(_xlfn.TEXTJOIN(";",1,_xlfn.MAP(_xlfn.TEXTSPLIT(O166,";"),_xlfn.LAMBDA(_xlpm.x,IFERROR(VLOOKUP(VALUE(_xlpm.x),device_tag!A:B,2,0),"error")))),"")</f>
        <v/>
      </c>
      <c r="Q166" s="11" t="s">
        <v>352</v>
      </c>
      <c r="U166" s="24">
        <v>0</v>
      </c>
      <c r="W166" s="24">
        <v>0</v>
      </c>
      <c r="X166" s="24" t="s">
        <v>91</v>
      </c>
      <c r="Y166" s="24" t="s">
        <v>363</v>
      </c>
      <c r="Z166" s="25" t="str">
        <f t="shared" si="166"/>
        <v>dp_130000006_core_mice</v>
      </c>
      <c r="AA166" s="11">
        <v>100</v>
      </c>
      <c r="AK166" s="110"/>
      <c r="AL166" s="110"/>
      <c r="AM166" s="110"/>
      <c r="AN166" s="110"/>
      <c r="AO166" s="110"/>
    </row>
    <row r="167" spans="1:57">
      <c r="A167" s="14">
        <v>130000007</v>
      </c>
      <c r="B167" s="11">
        <v>0</v>
      </c>
      <c r="C167" s="15" t="s">
        <v>364</v>
      </c>
      <c r="H167" s="14" t="str">
        <f t="shared" si="164"/>
        <v>device_name_130000007_core_human</v>
      </c>
      <c r="J167" s="14" t="str">
        <f>_xlfn.LET(_xlpm.get_device_type,VLOOKUP(VALUE(MID(A167,3,1)),tb_device_info_type[#All],3,0),_xlpm.check_if_wheel,IF(LEFT(A167,2)="12","wheel",_xlpm.get_device_type),_xlpm.raw_output,IF($A167&lt;&gt;"",_xlfn.TEXTJOIN("_",1,"device_alt",_xlpm.check_if_wheel),""),IFERROR(_xlpm.raw_output,"information missing"))</f>
        <v>information missing</v>
      </c>
      <c r="K167" s="14" t="str" cm="1">
        <f t="array" ref="K167">_xlfn.IFS($A167="","",ISTEXT($L167),_xlfn.CONCAT("dwt","[device_wheel_thumbnail_",RIGHT($A167,1)-1,"]"),TRUE,_xlfn.CONCAT("dt","[device_thumbnail_",IF($L167&lt;&gt;"",$L167,0),"]"))</f>
        <v>dt[device_thumbnail_0]</v>
      </c>
      <c r="M167" s="14" t="s">
        <v>79</v>
      </c>
      <c r="N167" s="14" t="s">
        <v>80</v>
      </c>
      <c r="O167" s="36"/>
      <c r="P167" s="15" t="str" cm="1">
        <f t="array" ref="P167">IFERROR(_xlfn.TEXTJOIN(";",1,_xlfn.MAP(_xlfn.TEXTSPLIT(O167,";"),_xlfn.LAMBDA(_xlpm.x,IFERROR(VLOOKUP(VALUE(_xlpm.x),device_tag!A:B,2,0),"error")))),"")</f>
        <v/>
      </c>
      <c r="Q167" s="11" t="s">
        <v>352</v>
      </c>
      <c r="U167" s="24">
        <v>0</v>
      </c>
      <c r="W167" s="24">
        <v>0</v>
      </c>
      <c r="X167" s="24" t="s">
        <v>91</v>
      </c>
      <c r="Y167" s="24" t="s">
        <v>365</v>
      </c>
      <c r="Z167" s="25" t="str">
        <f t="shared" si="166"/>
        <v>dp_130000007_core_human</v>
      </c>
      <c r="AA167" s="11">
        <v>100</v>
      </c>
      <c r="AK167" s="110"/>
      <c r="AL167" s="110"/>
      <c r="AM167" s="110"/>
      <c r="AN167" s="110"/>
      <c r="AO167" s="110"/>
    </row>
    <row r="168" spans="1:57">
      <c r="K168" s="14" t="str" cm="1">
        <f t="array" ref="K168">_xlfn.IFS($A168="","",ISTEXT($L168),_xlfn.CONCAT("dwt","[device_wheel_thumbnail_",RIGHT($A168,1)-1,"]"),TRUE,_xlfn.CONCAT("dt","[device_thumbnail_",IF($L168&lt;&gt;"",$L168,0),"]"))</f>
        <v/>
      </c>
      <c r="O168" s="36"/>
      <c r="AK168" s="110"/>
      <c r="AL168" s="110"/>
      <c r="AM168" s="110"/>
      <c r="AN168" s="110"/>
      <c r="AO168" s="110"/>
    </row>
    <row r="169" spans="1:57">
      <c r="K169" s="14" t="str" cm="1">
        <f t="array" ref="K169">_xlfn.IFS($A169="","",ISTEXT($L169),_xlfn.CONCAT("dwt","[device_wheel_thumbnail_",RIGHT($A169,1)-1,"]"),TRUE,_xlfn.CONCAT("dt","[device_thumbnail_",IF($L169&lt;&gt;"",$L169,0),"]"))</f>
        <v/>
      </c>
      <c r="AK169" s="110"/>
      <c r="AL169" s="110"/>
      <c r="AM169" s="110"/>
      <c r="AN169" s="110"/>
      <c r="AO169" s="110"/>
    </row>
    <row r="170" spans="1:57">
      <c r="A170" s="14">
        <v>14000</v>
      </c>
      <c r="B170" s="11">
        <v>0</v>
      </c>
      <c r="C170" s="15" t="s">
        <v>681</v>
      </c>
      <c r="D170" s="15" t="s">
        <v>625</v>
      </c>
      <c r="F170" s="86"/>
      <c r="G170" s="15" t="s">
        <v>677</v>
      </c>
      <c r="H170" s="14" t="str">
        <f t="shared" ref="H170" si="167">IF($A170&lt;&gt;"",_xlfn.TEXTJOIN("_",1,"device_name",$A170,$Y170),"")</f>
        <v>device_name_14000_temp</v>
      </c>
      <c r="J170" s="14" t="str">
        <f>_xlfn.LET(_xlpm.get_device_type,VLOOKUP(VALUE(MID(#REF!,3,1)),tb_device_info_type[#All],3,0),_xlpm.check_if_wheel,IF(LEFT(#REF!,2)="12","wheel",_xlpm.get_device_type),_xlpm.raw_output,IF(#REF!&lt;&gt;"",_xlfn.TEXTJOIN("_",1,"device_alt",_xlpm.check_if_wheel),""),IFERROR(_xlpm.raw_output,"information missing"))</f>
        <v>information missing</v>
      </c>
      <c r="K170" s="14" t="str" cm="1">
        <f t="array" ref="K170">_xlfn.IFS($A170="","",ISTEXT($L170),_xlfn.CONCAT("dwt","[device_wheel_thumbnail_",RIGHT($A170,1)-1,"]"),TRUE,_xlfn.CONCAT("dt","[device_thumbnail_",IF($L170&lt;&gt;"",$L170,0),"]"))</f>
        <v>dt[device_thumbnail_119]</v>
      </c>
      <c r="L170" s="61">
        <v>119</v>
      </c>
      <c r="M170" s="14" t="s">
        <v>79</v>
      </c>
      <c r="N170" s="14" t="s">
        <v>80</v>
      </c>
      <c r="O170" s="36"/>
      <c r="P170" s="15" t="str" cm="1">
        <f t="array" ref="P170">IFERROR(_xlfn.TEXTJOIN(";",1,_xlfn.MAP(_xlfn.TEXTSPLIT(O170,";"),_xlfn.LAMBDA(_xlpm.x,IFERROR(VLOOKUP(VALUE(_xlpm.x),device_tag!A:B,2,0),"error")))),"")</f>
        <v/>
      </c>
      <c r="Q170" s="11" t="s">
        <v>109</v>
      </c>
      <c r="S170" s="24">
        <v>0</v>
      </c>
      <c r="V170" s="24">
        <v>0</v>
      </c>
      <c r="W170" s="24">
        <v>0</v>
      </c>
      <c r="X170" s="24" t="s">
        <v>82</v>
      </c>
      <c r="Y170" s="62" t="s">
        <v>677</v>
      </c>
      <c r="Z170" s="25" t="str">
        <f t="shared" ref="Z170" si="168">IF($A170&lt;&gt;"",_xlfn.TEXTJOIN("_",1,X170,$A170,Y170),"")</f>
        <v>device_14000_temp</v>
      </c>
      <c r="AA170" s="11">
        <v>10</v>
      </c>
      <c r="AB170" s="90">
        <f t="shared" ref="AB170" si="169">COLUMNS(_xlfn.TEXTSPLIT(BD170,";"))</f>
        <v>1</v>
      </c>
      <c r="AC170" s="77">
        <v>11</v>
      </c>
      <c r="AF170" s="11">
        <v>1</v>
      </c>
      <c r="AG170" s="11">
        <v>60</v>
      </c>
      <c r="AH170" s="11" t="str">
        <f t="shared" ref="AH170" si="170">_xlfn.TEXTJOIN("~",1,AI170:AJ170)</f>
        <v>2~8</v>
      </c>
      <c r="AI170" s="27">
        <v>2</v>
      </c>
      <c r="AJ170" s="27">
        <v>8</v>
      </c>
      <c r="AK170" s="110"/>
      <c r="AL170" s="110"/>
      <c r="AM170" s="110"/>
      <c r="AN170" s="110"/>
      <c r="AO170" s="110"/>
      <c r="AP170" s="14" t="b">
        <v>0</v>
      </c>
      <c r="AQ170" s="74" t="s">
        <v>679</v>
      </c>
      <c r="AR170" s="40"/>
      <c r="AS170" s="40"/>
      <c r="AT170" s="40"/>
      <c r="AU170" s="38"/>
      <c r="AV170" s="38"/>
      <c r="AW170" s="38"/>
      <c r="AX170" s="38"/>
      <c r="AY170" s="11" t="str">
        <f t="shared" ref="AY170" si="171">_xlfn.TEXTJOIN("~",1,AZ170:BA170)</f>
        <v>4~0.2</v>
      </c>
      <c r="AZ170" s="27">
        <v>4</v>
      </c>
      <c r="BA170" s="27">
        <v>0.2</v>
      </c>
      <c r="BB170" s="50">
        <v>1</v>
      </c>
      <c r="BC170" s="74" t="s">
        <v>680</v>
      </c>
      <c r="BD170" s="11">
        <v>201</v>
      </c>
      <c r="BE170" s="28" t="str" cm="1">
        <f t="array" ref="BE170">IF(BD170&lt;&gt;"",_xlfn.TEXTJOIN("; ",1,VLOOKUP(VALUE(_xlfn.TEXTSPLIT(BD170,";")),device_cubicles!A:B,2,0)),"")</f>
        <v>近战攻击</v>
      </c>
    </row>
    <row r="171" spans="1:57">
      <c r="AK171" s="110"/>
      <c r="AL171" s="110"/>
      <c r="AM171" s="110"/>
      <c r="AN171" s="110"/>
      <c r="AO171" s="110"/>
    </row>
    <row r="172" spans="1:57">
      <c r="AK172" s="110"/>
      <c r="AL172" s="110"/>
      <c r="AM172" s="110"/>
      <c r="AN172" s="110"/>
      <c r="AO172" s="110"/>
    </row>
    <row r="173" spans="1:57">
      <c r="AK173" s="110"/>
      <c r="AL173" s="110"/>
      <c r="AM173" s="110"/>
      <c r="AN173" s="110"/>
      <c r="AO173" s="110"/>
    </row>
    <row r="174" spans="1:57">
      <c r="AK174" s="110"/>
      <c r="AL174" s="110"/>
      <c r="AM174" s="110"/>
      <c r="AN174" s="110"/>
      <c r="AO174" s="110"/>
    </row>
    <row r="175" spans="1:57">
      <c r="AK175" s="110"/>
      <c r="AL175" s="110"/>
      <c r="AM175" s="110"/>
      <c r="AN175" s="110"/>
      <c r="AO175" s="110"/>
    </row>
    <row r="176" spans="1:57">
      <c r="AK176" s="110"/>
      <c r="AL176" s="110"/>
      <c r="AM176" s="110"/>
      <c r="AN176" s="110"/>
      <c r="AO176" s="110"/>
    </row>
    <row r="177" spans="37:41">
      <c r="AK177" s="110"/>
      <c r="AL177" s="110"/>
      <c r="AM177" s="110"/>
      <c r="AN177" s="110"/>
      <c r="AO177" s="110"/>
    </row>
    <row r="178" spans="37:41">
      <c r="AK178" s="110"/>
      <c r="AL178" s="110"/>
      <c r="AM178" s="110"/>
      <c r="AN178" s="110"/>
      <c r="AO178" s="110"/>
    </row>
    <row r="179" spans="37:41">
      <c r="AK179" s="110"/>
      <c r="AL179" s="110"/>
      <c r="AM179" s="110"/>
      <c r="AN179" s="110"/>
      <c r="AO179" s="110"/>
    </row>
    <row r="180" spans="37:41">
      <c r="AK180" s="110"/>
      <c r="AL180" s="110"/>
      <c r="AM180" s="110"/>
      <c r="AN180" s="110"/>
      <c r="AO180" s="110"/>
    </row>
    <row r="181" spans="37:41">
      <c r="AK181" s="110"/>
      <c r="AL181" s="110"/>
      <c r="AM181" s="110"/>
      <c r="AN181" s="110"/>
      <c r="AO181" s="110"/>
    </row>
    <row r="182" spans="37:41">
      <c r="AK182" s="110"/>
      <c r="AL182" s="110"/>
      <c r="AM182" s="110"/>
      <c r="AN182" s="110"/>
      <c r="AO182" s="110"/>
    </row>
    <row r="183" spans="37:41">
      <c r="AK183" s="110"/>
      <c r="AL183" s="110"/>
      <c r="AM183" s="110"/>
      <c r="AN183" s="110"/>
      <c r="AO183" s="110"/>
    </row>
    <row r="184" spans="37:41">
      <c r="AK184" s="110"/>
      <c r="AL184" s="110"/>
      <c r="AM184" s="110"/>
      <c r="AN184" s="110"/>
      <c r="AO184" s="110"/>
    </row>
    <row r="185" spans="37:41">
      <c r="AK185" s="110"/>
      <c r="AL185" s="110"/>
      <c r="AM185" s="110"/>
      <c r="AN185" s="110"/>
      <c r="AO185" s="110"/>
    </row>
    <row r="186" spans="37:41">
      <c r="AK186" s="110"/>
      <c r="AL186" s="110"/>
      <c r="AM186" s="110"/>
      <c r="AN186" s="110"/>
      <c r="AO186" s="110"/>
    </row>
    <row r="187" spans="37:41">
      <c r="AK187" s="110"/>
      <c r="AL187" s="110"/>
      <c r="AM187" s="110"/>
      <c r="AN187" s="110"/>
      <c r="AO187" s="110"/>
    </row>
    <row r="188" spans="37:41">
      <c r="AK188" s="110"/>
      <c r="AL188" s="110"/>
      <c r="AM188" s="110"/>
      <c r="AN188" s="110"/>
      <c r="AO188" s="110"/>
    </row>
    <row r="189" spans="37:41">
      <c r="AK189" s="110"/>
      <c r="AL189" s="110"/>
      <c r="AM189" s="110"/>
      <c r="AN189" s="110"/>
      <c r="AO189" s="110"/>
    </row>
    <row r="190" spans="37:41">
      <c r="AK190" s="110"/>
      <c r="AL190" s="110"/>
      <c r="AM190" s="110"/>
      <c r="AN190" s="110"/>
      <c r="AO190" s="110"/>
    </row>
    <row r="191" spans="37:41">
      <c r="AK191" s="110"/>
      <c r="AL191" s="110"/>
      <c r="AM191" s="110"/>
      <c r="AN191" s="110"/>
      <c r="AO191" s="110"/>
    </row>
    <row r="192" spans="37:41">
      <c r="AK192" s="110"/>
      <c r="AL192" s="110"/>
      <c r="AM192" s="110"/>
      <c r="AN192" s="110"/>
      <c r="AO192" s="110"/>
    </row>
    <row r="193" spans="37:41">
      <c r="AK193" s="110"/>
      <c r="AL193" s="110"/>
      <c r="AM193" s="110"/>
      <c r="AN193" s="110"/>
      <c r="AO193" s="110"/>
    </row>
    <row r="194" spans="37:41">
      <c r="AK194" s="110"/>
      <c r="AL194" s="110"/>
      <c r="AM194" s="110"/>
      <c r="AN194" s="110"/>
      <c r="AO194" s="110"/>
    </row>
    <row r="195" spans="37:41">
      <c r="AK195" s="110"/>
      <c r="AL195" s="110"/>
      <c r="AM195" s="110"/>
      <c r="AN195" s="110"/>
      <c r="AO195" s="110"/>
    </row>
    <row r="196" spans="37:41">
      <c r="AK196" s="110"/>
      <c r="AL196" s="110"/>
      <c r="AM196" s="110"/>
      <c r="AN196" s="110"/>
      <c r="AO196" s="110"/>
    </row>
    <row r="197" spans="37:41">
      <c r="AK197" s="110"/>
      <c r="AL197" s="110"/>
      <c r="AM197" s="110"/>
      <c r="AN197" s="110"/>
      <c r="AO197" s="110"/>
    </row>
    <row r="198" spans="37:41">
      <c r="AK198" s="110"/>
      <c r="AL198" s="110"/>
      <c r="AM198" s="110"/>
      <c r="AN198" s="110"/>
      <c r="AO198" s="110"/>
    </row>
    <row r="199" spans="37:41">
      <c r="AK199" s="110"/>
      <c r="AL199" s="110"/>
      <c r="AM199" s="110"/>
      <c r="AN199" s="110"/>
      <c r="AO199" s="110"/>
    </row>
    <row r="200" spans="37:41">
      <c r="AK200" s="110"/>
      <c r="AL200" s="110"/>
      <c r="AM200" s="110"/>
      <c r="AN200" s="110"/>
      <c r="AO200" s="110"/>
    </row>
    <row r="201" spans="37:41">
      <c r="AK201" s="110"/>
      <c r="AL201" s="110"/>
      <c r="AM201" s="110"/>
      <c r="AN201" s="110"/>
      <c r="AO201" s="110"/>
    </row>
    <row r="202" spans="37:41">
      <c r="AK202" s="110"/>
      <c r="AL202" s="110"/>
      <c r="AM202" s="110"/>
      <c r="AN202" s="110"/>
      <c r="AO202" s="110"/>
    </row>
    <row r="203" spans="37:41">
      <c r="AK203" s="110"/>
      <c r="AL203" s="110"/>
      <c r="AM203" s="110"/>
      <c r="AN203" s="110"/>
      <c r="AO203" s="110"/>
    </row>
    <row r="204" spans="37:41">
      <c r="AK204" s="110"/>
      <c r="AL204" s="110"/>
      <c r="AM204" s="110"/>
      <c r="AN204" s="110"/>
      <c r="AO204" s="110"/>
    </row>
    <row r="205" spans="37:41">
      <c r="AK205" s="110"/>
      <c r="AL205" s="110"/>
      <c r="AM205" s="110"/>
      <c r="AN205" s="110"/>
      <c r="AO205" s="110"/>
    </row>
    <row r="206" spans="37:41">
      <c r="AK206" s="110"/>
      <c r="AL206" s="110"/>
      <c r="AM206" s="110"/>
      <c r="AN206" s="110"/>
      <c r="AO206" s="110"/>
    </row>
    <row r="207" spans="37:41">
      <c r="AK207" s="110"/>
      <c r="AL207" s="110"/>
      <c r="AM207" s="110"/>
      <c r="AN207" s="110"/>
      <c r="AO207" s="110"/>
    </row>
    <row r="208" spans="37:41">
      <c r="AK208" s="110"/>
      <c r="AL208" s="110"/>
      <c r="AM208" s="110"/>
      <c r="AN208" s="110"/>
      <c r="AO208" s="110"/>
    </row>
  </sheetData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30"/>
  <sheetViews>
    <sheetView workbookViewId="0">
      <pane xSplit="5" ySplit="3" topLeftCell="I4" activePane="bottomRight" state="frozen"/>
      <selection pane="topRight"/>
      <selection pane="bottomLeft"/>
      <selection pane="bottomRight" activeCell="C9" sqref="C9"/>
    </sheetView>
  </sheetViews>
  <sheetFormatPr defaultColWidth="9" defaultRowHeight="14.25"/>
  <cols>
    <col min="1" max="1" width="10.625" style="14" customWidth="1"/>
    <col min="2" max="2" width="9" style="11" customWidth="1"/>
    <col min="3" max="3" width="13.375" style="15" bestFit="1" customWidth="1"/>
    <col min="4" max="4" width="11.625" style="12" customWidth="1"/>
    <col min="5" max="5" width="27.75" style="15" customWidth="1"/>
    <col min="6" max="6" width="13.125" style="11" customWidth="1"/>
    <col min="7" max="7" width="19.25" style="11" customWidth="1"/>
    <col min="8" max="8" width="18.875" style="14" customWidth="1"/>
    <col min="9" max="10" width="13.125" style="11" customWidth="1"/>
    <col min="11" max="11" width="14.75" style="14" bestFit="1" customWidth="1"/>
    <col min="12" max="12" width="5.75" style="69" bestFit="1" customWidth="1"/>
    <col min="13" max="13" width="14.75" style="14" bestFit="1" customWidth="1"/>
    <col min="14" max="14" width="5.75" style="69" bestFit="1" customWidth="1"/>
    <col min="15" max="16" width="13.125" style="11" customWidth="1"/>
    <col min="17" max="19" width="13" style="11" customWidth="1"/>
    <col min="20" max="20" width="16.5" style="11" bestFit="1" customWidth="1"/>
    <col min="21" max="21" width="17.25" style="11" customWidth="1"/>
    <col min="22" max="26" width="9.125" style="105"/>
    <col min="27" max="27" width="13" style="11" customWidth="1"/>
    <col min="28" max="28" width="20" style="11" customWidth="1"/>
    <col min="29" max="29" width="14.75" style="16" customWidth="1"/>
    <col min="30" max="30" width="25.375" style="11" customWidth="1"/>
    <col min="31" max="31" width="19.25" style="11" customWidth="1"/>
    <col min="32" max="32" width="17.5" style="11" customWidth="1"/>
    <col min="33" max="16384" width="9" style="14"/>
  </cols>
  <sheetData>
    <row r="1" spans="1:32" s="3" customFormat="1" ht="15.75">
      <c r="A1" s="3" t="s">
        <v>2</v>
      </c>
      <c r="B1" s="3" t="s">
        <v>3</v>
      </c>
      <c r="C1" s="7"/>
      <c r="D1" s="7"/>
      <c r="E1" s="7"/>
      <c r="F1" s="3" t="s">
        <v>366</v>
      </c>
      <c r="G1" s="3" t="s">
        <v>367</v>
      </c>
      <c r="H1" s="3" t="s">
        <v>368</v>
      </c>
      <c r="I1" s="3" t="s">
        <v>369</v>
      </c>
      <c r="J1" s="3" t="s">
        <v>370</v>
      </c>
      <c r="K1" s="3" t="s">
        <v>523</v>
      </c>
      <c r="L1" s="20"/>
      <c r="M1" s="3" t="s">
        <v>520</v>
      </c>
      <c r="N1" s="20"/>
      <c r="O1" s="3" t="s">
        <v>371</v>
      </c>
      <c r="P1" s="3" t="s">
        <v>372</v>
      </c>
      <c r="Q1" s="3" t="s">
        <v>492</v>
      </c>
      <c r="R1" s="3" t="s">
        <v>373</v>
      </c>
      <c r="S1" s="3" t="s">
        <v>374</v>
      </c>
      <c r="T1" s="3" t="s">
        <v>495</v>
      </c>
      <c r="U1" s="3" t="s">
        <v>514</v>
      </c>
      <c r="V1" s="103"/>
      <c r="W1" s="103"/>
      <c r="X1" s="103"/>
      <c r="Y1" s="103"/>
      <c r="Z1" s="103"/>
      <c r="AA1" s="3" t="s">
        <v>494</v>
      </c>
      <c r="AB1" s="3" t="s">
        <v>375</v>
      </c>
      <c r="AC1" s="20"/>
      <c r="AD1" s="3" t="s">
        <v>376</v>
      </c>
      <c r="AE1" s="3" t="s">
        <v>377</v>
      </c>
      <c r="AF1" s="3" t="s">
        <v>378</v>
      </c>
    </row>
    <row r="2" spans="1:32" s="4" customFormat="1" ht="15.75">
      <c r="A2" s="4" t="s">
        <v>28</v>
      </c>
      <c r="B2" s="4" t="s">
        <v>28</v>
      </c>
      <c r="C2" s="7"/>
      <c r="D2" s="7"/>
      <c r="E2" s="7"/>
      <c r="F2" s="4" t="s">
        <v>379</v>
      </c>
      <c r="G2" s="4" t="s">
        <v>380</v>
      </c>
      <c r="H2" s="4" t="s">
        <v>32</v>
      </c>
      <c r="I2" s="4" t="s">
        <v>380</v>
      </c>
      <c r="J2" s="4" t="s">
        <v>380</v>
      </c>
      <c r="K2" s="4" t="s">
        <v>519</v>
      </c>
      <c r="L2" s="20"/>
      <c r="M2" s="4" t="s">
        <v>519</v>
      </c>
      <c r="N2" s="20"/>
      <c r="O2" s="4" t="s">
        <v>380</v>
      </c>
      <c r="P2" s="4" t="s">
        <v>380</v>
      </c>
      <c r="Q2" s="4" t="s">
        <v>380</v>
      </c>
      <c r="R2" s="4" t="s">
        <v>380</v>
      </c>
      <c r="S2" s="4" t="s">
        <v>380</v>
      </c>
      <c r="T2" s="4" t="s">
        <v>380</v>
      </c>
      <c r="U2" s="4" t="s">
        <v>513</v>
      </c>
      <c r="V2" s="103"/>
      <c r="W2" s="103"/>
      <c r="X2" s="103"/>
      <c r="Y2" s="103"/>
      <c r="Z2" s="103"/>
      <c r="AA2" s="4" t="s">
        <v>380</v>
      </c>
      <c r="AB2" s="4" t="s">
        <v>380</v>
      </c>
      <c r="AC2" s="20"/>
      <c r="AD2" s="4" t="s">
        <v>380</v>
      </c>
      <c r="AE2" s="4" t="s">
        <v>32</v>
      </c>
      <c r="AF2" s="4" t="s">
        <v>380</v>
      </c>
    </row>
    <row r="3" spans="1:32" s="5" customFormat="1" ht="90.75">
      <c r="A3" s="8" t="s">
        <v>36</v>
      </c>
      <c r="B3" s="8" t="s">
        <v>37</v>
      </c>
      <c r="C3" s="9" t="s">
        <v>38</v>
      </c>
      <c r="D3" s="9" t="s">
        <v>556</v>
      </c>
      <c r="E3" s="17" t="s">
        <v>40</v>
      </c>
      <c r="F3" s="18" t="s">
        <v>381</v>
      </c>
      <c r="G3" s="19" t="s">
        <v>382</v>
      </c>
      <c r="H3" s="8" t="s">
        <v>521</v>
      </c>
      <c r="I3" s="19" t="s">
        <v>383</v>
      </c>
      <c r="J3" s="19" t="s">
        <v>384</v>
      </c>
      <c r="K3" s="8" t="s">
        <v>525</v>
      </c>
      <c r="L3" s="68" t="s">
        <v>522</v>
      </c>
      <c r="M3" s="8" t="s">
        <v>524</v>
      </c>
      <c r="N3" s="68" t="s">
        <v>522</v>
      </c>
      <c r="O3" s="19" t="s">
        <v>385</v>
      </c>
      <c r="P3" s="19" t="s">
        <v>386</v>
      </c>
      <c r="Q3" s="8" t="s">
        <v>387</v>
      </c>
      <c r="R3" s="8" t="s">
        <v>388</v>
      </c>
      <c r="S3" s="8" t="s">
        <v>389</v>
      </c>
      <c r="T3" s="8" t="s">
        <v>491</v>
      </c>
      <c r="U3" s="8" t="s">
        <v>515</v>
      </c>
      <c r="V3" s="104" t="s">
        <v>734</v>
      </c>
      <c r="W3" s="104" t="s">
        <v>735</v>
      </c>
      <c r="X3" s="104" t="s">
        <v>736</v>
      </c>
      <c r="Y3" s="104" t="s">
        <v>737</v>
      </c>
      <c r="Z3" s="104" t="s">
        <v>738</v>
      </c>
      <c r="AA3" s="8" t="s">
        <v>493</v>
      </c>
      <c r="AB3" s="70" t="s">
        <v>390</v>
      </c>
      <c r="AC3" s="71" t="s">
        <v>391</v>
      </c>
      <c r="AD3" s="70" t="s">
        <v>392</v>
      </c>
      <c r="AE3" s="70" t="s">
        <v>393</v>
      </c>
      <c r="AF3" s="70" t="s">
        <v>394</v>
      </c>
    </row>
    <row r="4" spans="1:32">
      <c r="A4" s="14">
        <v>1210101</v>
      </c>
      <c r="B4" s="11">
        <v>0</v>
      </c>
      <c r="C4" s="15" t="s">
        <v>76</v>
      </c>
      <c r="D4" s="12" t="s">
        <v>717</v>
      </c>
      <c r="E4" s="15" t="s">
        <v>78</v>
      </c>
      <c r="F4" s="11">
        <v>0.35</v>
      </c>
      <c r="G4" s="11">
        <v>0.34</v>
      </c>
      <c r="H4" s="100">
        <v>1800</v>
      </c>
      <c r="I4" s="100">
        <v>-0.36</v>
      </c>
      <c r="J4" s="100">
        <v>-350</v>
      </c>
      <c r="K4" s="100">
        <f>L4*0.00001</f>
        <v>2.1000000000000002E-5</v>
      </c>
      <c r="L4" s="101">
        <v>2.1</v>
      </c>
      <c r="M4" s="100">
        <f>N4*0.00001</f>
        <v>1.1E-4</v>
      </c>
      <c r="N4" s="101">
        <v>11</v>
      </c>
      <c r="O4" s="11">
        <v>25</v>
      </c>
      <c r="P4" s="11">
        <v>0.5</v>
      </c>
      <c r="Q4" s="11">
        <v>1</v>
      </c>
      <c r="R4" s="11">
        <v>1</v>
      </c>
      <c r="S4" s="11">
        <v>0.1</v>
      </c>
      <c r="T4" s="11">
        <v>0.2</v>
      </c>
      <c r="U4" s="102" t="str" cm="1">
        <f t="array" aca="1" ref="U4" ca="1">_xlfn.TEXTJOIN(";",1,_xlfn.LAMBDA(_xlpm.x,IF(_xlpm.x&lt;&gt;"",OFFSET(_xlpm.x,3-ROW(),0)&amp;"="&amp;_xlpm.x,""))(V4:Z4))</f>
        <v>blunt=3</v>
      </c>
      <c r="V4" s="106"/>
      <c r="W4" s="105">
        <v>3</v>
      </c>
      <c r="X4" s="106"/>
      <c r="Y4" s="106"/>
      <c r="Z4" s="106"/>
      <c r="AA4" s="11">
        <v>1</v>
      </c>
      <c r="AB4" s="11">
        <f>IF(AC4=0,0,1/AC4/120)</f>
        <v>1.0416666666666667E-4</v>
      </c>
      <c r="AC4" s="16">
        <v>80</v>
      </c>
      <c r="AD4" s="11">
        <f>AB4*3</f>
        <v>3.1250000000000001E-4</v>
      </c>
      <c r="AE4" s="11">
        <v>5</v>
      </c>
      <c r="AF4" s="11">
        <v>0.8</v>
      </c>
    </row>
    <row r="5" spans="1:32">
      <c r="A5" s="14">
        <v>12101011</v>
      </c>
      <c r="B5" s="11">
        <v>0</v>
      </c>
      <c r="C5" s="15" t="s">
        <v>730</v>
      </c>
      <c r="D5" s="12">
        <v>1</v>
      </c>
      <c r="E5" s="15" t="s">
        <v>78</v>
      </c>
      <c r="F5" s="11">
        <v>0.35</v>
      </c>
      <c r="G5" s="11">
        <v>0.34</v>
      </c>
      <c r="H5" s="91">
        <v>2000</v>
      </c>
      <c r="I5" s="11">
        <v>-0.36</v>
      </c>
      <c r="J5" s="11">
        <v>-350</v>
      </c>
      <c r="K5" s="91">
        <f>L5*0.00001</f>
        <v>2.3E-5</v>
      </c>
      <c r="L5" s="108">
        <v>2.2999999999999998</v>
      </c>
      <c r="M5" s="91">
        <f>N5*0.00001</f>
        <v>1E-4</v>
      </c>
      <c r="N5" s="108">
        <v>10</v>
      </c>
      <c r="O5" s="11">
        <v>25</v>
      </c>
      <c r="P5" s="11">
        <v>0.5</v>
      </c>
      <c r="Q5" s="11">
        <v>1</v>
      </c>
      <c r="R5" s="11">
        <v>1</v>
      </c>
      <c r="S5" s="11">
        <v>0.1</v>
      </c>
      <c r="T5" s="11">
        <v>0.2</v>
      </c>
      <c r="U5" s="76" t="str" cm="1">
        <f t="array" aca="1" ref="U5" ca="1">_xlfn.TEXTJOIN(";",1,_xlfn.LAMBDA(_xlpm.x,IF(_xlpm.x&lt;&gt;"",OFFSET(_xlpm.x,3-ROW(),0)&amp;"="&amp;_xlpm.x,""))(V5:Z5))</f>
        <v>blunt=5</v>
      </c>
      <c r="V5" s="106"/>
      <c r="W5" s="105">
        <f>ROUND(3*(5/3)^D5,3)</f>
        <v>5</v>
      </c>
      <c r="X5" s="106"/>
      <c r="Y5" s="106"/>
      <c r="Z5" s="106"/>
      <c r="AA5" s="11">
        <v>1</v>
      </c>
      <c r="AB5" s="11">
        <f>IF(AC5=0,0,1/AC5/120)</f>
        <v>1.0416666666666667E-4</v>
      </c>
      <c r="AC5" s="16">
        <v>80</v>
      </c>
      <c r="AD5" s="11">
        <f>AB5*3</f>
        <v>3.1250000000000001E-4</v>
      </c>
      <c r="AE5" s="11">
        <v>5</v>
      </c>
      <c r="AF5" s="11">
        <v>0.8</v>
      </c>
    </row>
    <row r="6" spans="1:32">
      <c r="A6" s="14">
        <v>12101012</v>
      </c>
      <c r="B6" s="11">
        <v>0</v>
      </c>
      <c r="C6" s="15" t="s">
        <v>709</v>
      </c>
      <c r="D6" s="12">
        <v>2</v>
      </c>
      <c r="E6" s="15" t="s">
        <v>78</v>
      </c>
      <c r="F6" s="11">
        <v>0.35</v>
      </c>
      <c r="G6" s="11">
        <v>0.34</v>
      </c>
      <c r="H6" s="91">
        <v>2200</v>
      </c>
      <c r="I6" s="11">
        <v>-0.36</v>
      </c>
      <c r="J6" s="11">
        <v>-350</v>
      </c>
      <c r="K6" s="91">
        <f>L6*0.00001</f>
        <v>2.5000000000000001E-5</v>
      </c>
      <c r="L6" s="108">
        <v>2.5</v>
      </c>
      <c r="M6" s="91">
        <f>N6*0.00001</f>
        <v>9.0000000000000006E-5</v>
      </c>
      <c r="N6" s="108">
        <v>9</v>
      </c>
      <c r="O6" s="11">
        <v>25</v>
      </c>
      <c r="P6" s="11">
        <v>0.5</v>
      </c>
      <c r="Q6" s="11">
        <v>1</v>
      </c>
      <c r="R6" s="11">
        <v>1</v>
      </c>
      <c r="S6" s="11">
        <v>0.1</v>
      </c>
      <c r="T6" s="11">
        <v>0.2</v>
      </c>
      <c r="U6" s="76" t="str" cm="1">
        <f t="array" aca="1" ref="U6" ca="1">_xlfn.TEXTJOIN(";",1,_xlfn.LAMBDA(_xlpm.x,IF(_xlpm.x&lt;&gt;"",OFFSET(_xlpm.x,3-ROW(),0)&amp;"="&amp;_xlpm.x,""))(V6:Z6))</f>
        <v>blunt=8.333</v>
      </c>
      <c r="V6" s="106"/>
      <c r="W6" s="105">
        <f>ROUND(3*(5/3)^D6,3)</f>
        <v>8.3330000000000002</v>
      </c>
      <c r="X6" s="106"/>
      <c r="Y6" s="106"/>
      <c r="Z6" s="106"/>
      <c r="AA6" s="11">
        <v>1</v>
      </c>
      <c r="AB6" s="11">
        <f>IF(AC6=0,0,1/AC6/120)</f>
        <v>1.0416666666666667E-4</v>
      </c>
      <c r="AC6" s="16">
        <v>80</v>
      </c>
      <c r="AD6" s="11">
        <f>AB6*3</f>
        <v>3.1250000000000001E-4</v>
      </c>
      <c r="AE6" s="11">
        <v>5</v>
      </c>
      <c r="AF6" s="11">
        <v>0.8</v>
      </c>
    </row>
    <row r="7" spans="1:32">
      <c r="A7" s="14">
        <v>12101013</v>
      </c>
      <c r="B7" s="11">
        <v>0</v>
      </c>
      <c r="C7" s="15" t="s">
        <v>732</v>
      </c>
      <c r="D7" s="12">
        <v>3</v>
      </c>
      <c r="E7" s="15" t="s">
        <v>78</v>
      </c>
      <c r="F7" s="11">
        <v>0.35</v>
      </c>
      <c r="G7" s="11">
        <v>0.34</v>
      </c>
      <c r="H7" s="91">
        <v>2400</v>
      </c>
      <c r="I7" s="11">
        <v>-0.36</v>
      </c>
      <c r="J7" s="11">
        <v>-350</v>
      </c>
      <c r="K7" s="91">
        <f>L7*0.00001</f>
        <v>2.7000000000000002E-5</v>
      </c>
      <c r="L7" s="108">
        <v>2.7</v>
      </c>
      <c r="M7" s="91">
        <f>N7*0.00001</f>
        <v>8.0000000000000007E-5</v>
      </c>
      <c r="N7" s="108">
        <v>8</v>
      </c>
      <c r="O7" s="11">
        <v>25</v>
      </c>
      <c r="P7" s="11">
        <v>0.5</v>
      </c>
      <c r="Q7" s="11">
        <v>1</v>
      </c>
      <c r="R7" s="11">
        <v>1</v>
      </c>
      <c r="S7" s="11">
        <v>0.1</v>
      </c>
      <c r="T7" s="11">
        <v>0.2</v>
      </c>
      <c r="U7" s="76" t="str" cm="1">
        <f t="array" aca="1" ref="U7" ca="1">_xlfn.TEXTJOIN(";",1,_xlfn.LAMBDA(_xlpm.x,IF(_xlpm.x&lt;&gt;"",OFFSET(_xlpm.x,3-ROW(),0)&amp;"="&amp;_xlpm.x,""))(V7:Z7))</f>
        <v>blunt=13.889</v>
      </c>
      <c r="V7" s="106"/>
      <c r="W7" s="105">
        <f>ROUND(3*(5/3)^D7,3)</f>
        <v>13.888999999999999</v>
      </c>
      <c r="X7" s="106"/>
      <c r="Y7" s="106"/>
      <c r="Z7" s="106"/>
      <c r="AA7" s="11">
        <v>1</v>
      </c>
      <c r="AB7" s="11">
        <f>IF(AC7=0,0,1/AC7/120)</f>
        <v>1.0416666666666667E-4</v>
      </c>
      <c r="AC7" s="16">
        <v>80</v>
      </c>
      <c r="AD7" s="11">
        <f>AB7*3</f>
        <v>3.1250000000000001E-4</v>
      </c>
      <c r="AE7" s="11">
        <v>5</v>
      </c>
      <c r="AF7" s="11">
        <v>0.8</v>
      </c>
    </row>
    <row r="8" spans="1:32">
      <c r="A8" s="14">
        <v>12101019</v>
      </c>
      <c r="B8" s="11">
        <v>0</v>
      </c>
      <c r="C8" s="15" t="s">
        <v>740</v>
      </c>
      <c r="D8" s="12">
        <v>0</v>
      </c>
      <c r="E8" s="15" t="s">
        <v>78</v>
      </c>
      <c r="F8" s="11">
        <v>0.35</v>
      </c>
      <c r="G8" s="11">
        <v>0.34</v>
      </c>
      <c r="H8" s="91">
        <v>1800</v>
      </c>
      <c r="I8" s="11">
        <v>-0.36</v>
      </c>
      <c r="J8" s="11">
        <v>-350</v>
      </c>
      <c r="K8" s="91">
        <f>L8*0.00001</f>
        <v>2.1000000000000002E-5</v>
      </c>
      <c r="L8" s="108">
        <v>2.1</v>
      </c>
      <c r="M8" s="91">
        <f>N8*0.00001</f>
        <v>1.1E-4</v>
      </c>
      <c r="N8" s="108">
        <v>11</v>
      </c>
      <c r="O8" s="11">
        <v>25</v>
      </c>
      <c r="P8" s="11">
        <v>0.5</v>
      </c>
      <c r="Q8" s="11">
        <v>1</v>
      </c>
      <c r="R8" s="11">
        <v>1</v>
      </c>
      <c r="S8" s="11">
        <v>0.1</v>
      </c>
      <c r="T8" s="11">
        <v>0.2</v>
      </c>
      <c r="U8" s="76" t="str" cm="1">
        <f t="array" aca="1" ref="U8" ca="1">_xlfn.TEXTJOIN(";",1,_xlfn.LAMBDA(_xlpm.x,IF(_xlpm.x&lt;&gt;"",OFFSET(_xlpm.x,3-ROW(),0)&amp;"="&amp;_xlpm.x,""))(V8:Z8))</f>
        <v>blunt=3</v>
      </c>
      <c r="V8" s="106"/>
      <c r="W8" s="105">
        <f>ROUND(3*(5/3)^D8,3)</f>
        <v>3</v>
      </c>
      <c r="X8" s="106"/>
      <c r="Y8" s="106"/>
      <c r="Z8" s="106"/>
      <c r="AA8" s="11">
        <v>1</v>
      </c>
      <c r="AB8" s="11">
        <f>IF(AC8=0,0,1/AC8/120)</f>
        <v>1.0416666666666667E-4</v>
      </c>
      <c r="AC8" s="16">
        <v>80</v>
      </c>
      <c r="AD8" s="11">
        <f>AB8*3</f>
        <v>3.1250000000000001E-4</v>
      </c>
      <c r="AE8" s="11">
        <v>5</v>
      </c>
      <c r="AF8" s="11">
        <v>0.8</v>
      </c>
    </row>
    <row r="10" spans="1:32">
      <c r="A10" s="14">
        <v>1210102</v>
      </c>
      <c r="B10" s="11">
        <v>0</v>
      </c>
      <c r="C10" s="15" t="s">
        <v>85</v>
      </c>
      <c r="D10" s="12" t="s">
        <v>717</v>
      </c>
      <c r="E10" s="15" t="s">
        <v>86</v>
      </c>
      <c r="F10" s="11">
        <v>0.2</v>
      </c>
      <c r="G10" s="11">
        <v>0.14000000000000001</v>
      </c>
      <c r="H10" s="100">
        <v>5100</v>
      </c>
      <c r="I10" s="100">
        <v>-0.12</v>
      </c>
      <c r="J10" s="100">
        <v>-2500</v>
      </c>
      <c r="K10" s="100">
        <f>L10*0.00001</f>
        <v>2.0000000000000002E-5</v>
      </c>
      <c r="L10" s="101">
        <v>2</v>
      </c>
      <c r="M10" s="100">
        <f t="shared" ref="M10:M22" si="0">N10*0.00001</f>
        <v>8.0000000000000007E-5</v>
      </c>
      <c r="N10" s="101">
        <v>8</v>
      </c>
      <c r="O10" s="11">
        <v>35</v>
      </c>
      <c r="P10" s="11">
        <v>0.4</v>
      </c>
      <c r="Q10" s="11">
        <v>1.4</v>
      </c>
      <c r="R10" s="11">
        <v>10</v>
      </c>
      <c r="S10" s="11">
        <v>0.05</v>
      </c>
      <c r="T10" s="11">
        <v>0.01</v>
      </c>
      <c r="U10" s="102" t="str" cm="1">
        <f t="array" aca="1" ref="U10" ca="1">_xlfn.TEXTJOIN(";",1,_xlfn.LAMBDA(_xlpm.x,IF(_xlpm.x&lt;&gt;"",OFFSET(_xlpm.x,3-ROW(),0)&amp;"="&amp;_xlpm.x,""))(V10:Z10))</f>
        <v>blunt=30</v>
      </c>
      <c r="V10" s="106"/>
      <c r="W10" s="105">
        <v>30</v>
      </c>
      <c r="X10" s="106"/>
      <c r="Y10" s="106"/>
      <c r="Z10" s="106"/>
      <c r="AA10" s="11">
        <v>0.5</v>
      </c>
      <c r="AB10" s="11">
        <f t="shared" ref="AB10:AB22" si="1">IF(AC10=0,0,1/AC10/120)</f>
        <v>6.9444444444444444E-5</v>
      </c>
      <c r="AC10" s="16">
        <v>120</v>
      </c>
      <c r="AD10" s="11">
        <f t="shared" ref="AD10:AD22" si="2">AB10*3</f>
        <v>2.0833333333333332E-4</v>
      </c>
      <c r="AE10" s="11">
        <v>1</v>
      </c>
      <c r="AF10" s="11">
        <v>0.6</v>
      </c>
    </row>
    <row r="11" spans="1:32">
      <c r="A11" s="14">
        <v>12101022</v>
      </c>
      <c r="B11" s="11">
        <v>0</v>
      </c>
      <c r="C11" s="15" t="s">
        <v>725</v>
      </c>
      <c r="D11" s="12">
        <v>2</v>
      </c>
      <c r="E11" s="15" t="s">
        <v>86</v>
      </c>
      <c r="F11" s="11">
        <v>0.2</v>
      </c>
      <c r="G11" s="11">
        <v>0.14000000000000001</v>
      </c>
      <c r="H11" s="91">
        <v>5100</v>
      </c>
      <c r="I11" s="11">
        <v>-0.12</v>
      </c>
      <c r="J11" s="11">
        <v>-2500</v>
      </c>
      <c r="K11" s="11">
        <f>L11*0.00001</f>
        <v>2.0000000000000002E-5</v>
      </c>
      <c r="L11" s="16">
        <v>2</v>
      </c>
      <c r="M11" s="11">
        <f t="shared" ref="M11:M12" si="3">N11*0.00001</f>
        <v>8.0000000000000007E-5</v>
      </c>
      <c r="N11" s="16">
        <v>8</v>
      </c>
      <c r="O11" s="11">
        <v>35</v>
      </c>
      <c r="P11" s="11">
        <v>0.4</v>
      </c>
      <c r="Q11" s="11">
        <v>1.4</v>
      </c>
      <c r="R11" s="11">
        <v>10</v>
      </c>
      <c r="S11" s="11">
        <v>0.05</v>
      </c>
      <c r="T11" s="11">
        <v>0.01</v>
      </c>
      <c r="U11" s="76" t="str" cm="1">
        <f t="array" aca="1" ref="U11" ca="1">_xlfn.TEXTJOIN(";",1,_xlfn.LAMBDA(_xlpm.x,IF(_xlpm.x&lt;&gt;"",OFFSET(_xlpm.x,3-ROW(),0)&amp;"="&amp;_xlpm.x,""))(V11:Z11))</f>
        <v>blunt=30</v>
      </c>
      <c r="V11" s="106"/>
      <c r="W11" s="105">
        <v>30</v>
      </c>
      <c r="X11" s="106"/>
      <c r="Y11" s="106"/>
      <c r="Z11" s="106"/>
      <c r="AA11" s="11">
        <v>0.5</v>
      </c>
      <c r="AB11" s="11">
        <f t="shared" ref="AB11:AB12" si="4">IF(AC11=0,0,1/AC11/120)</f>
        <v>6.9444444444444444E-5</v>
      </c>
      <c r="AC11" s="16">
        <v>120</v>
      </c>
      <c r="AD11" s="11">
        <f t="shared" ref="AD11:AD12" si="5">AB11*3</f>
        <v>2.0833333333333332E-4</v>
      </c>
      <c r="AE11" s="11">
        <v>1</v>
      </c>
      <c r="AF11" s="11">
        <v>0.6</v>
      </c>
    </row>
    <row r="12" spans="1:32">
      <c r="A12" s="14">
        <v>12101023</v>
      </c>
      <c r="B12" s="11">
        <v>0</v>
      </c>
      <c r="C12" s="15" t="s">
        <v>727</v>
      </c>
      <c r="D12" s="12">
        <v>3</v>
      </c>
      <c r="E12" s="15" t="s">
        <v>86</v>
      </c>
      <c r="F12" s="11">
        <v>0.2</v>
      </c>
      <c r="G12" s="11">
        <v>0.14000000000000001</v>
      </c>
      <c r="H12" s="91">
        <v>5600</v>
      </c>
      <c r="I12" s="11">
        <v>-0.12</v>
      </c>
      <c r="J12" s="11">
        <v>-2500</v>
      </c>
      <c r="K12" s="11">
        <f>L12*0.00001</f>
        <v>2.0000000000000002E-5</v>
      </c>
      <c r="L12" s="16">
        <v>2</v>
      </c>
      <c r="M12" s="11">
        <f t="shared" si="3"/>
        <v>8.0000000000000007E-5</v>
      </c>
      <c r="N12" s="16">
        <v>8</v>
      </c>
      <c r="O12" s="11">
        <v>35</v>
      </c>
      <c r="P12" s="11">
        <v>0.4</v>
      </c>
      <c r="Q12" s="11">
        <v>1.4</v>
      </c>
      <c r="R12" s="11">
        <v>10</v>
      </c>
      <c r="S12" s="11">
        <v>0.05</v>
      </c>
      <c r="T12" s="11">
        <v>0.01</v>
      </c>
      <c r="U12" s="76" t="str" cm="1">
        <f t="array" aca="1" ref="U12" ca="1">_xlfn.TEXTJOIN(";",1,_xlfn.LAMBDA(_xlpm.x,IF(_xlpm.x&lt;&gt;"",OFFSET(_xlpm.x,3-ROW(),0)&amp;"="&amp;_xlpm.x,""))(V12:Z12))</f>
        <v>blunt=50</v>
      </c>
      <c r="V12" s="106"/>
      <c r="W12" s="105">
        <v>50</v>
      </c>
      <c r="X12" s="106"/>
      <c r="Y12" s="106"/>
      <c r="Z12" s="106"/>
      <c r="AA12" s="11">
        <v>0.5</v>
      </c>
      <c r="AB12" s="11">
        <f t="shared" si="4"/>
        <v>6.9444444444444444E-5</v>
      </c>
      <c r="AC12" s="16">
        <v>120</v>
      </c>
      <c r="AD12" s="11">
        <f t="shared" si="5"/>
        <v>2.0833333333333332E-4</v>
      </c>
      <c r="AE12" s="11">
        <v>1</v>
      </c>
      <c r="AF12" s="11">
        <v>0.6</v>
      </c>
    </row>
    <row r="13" spans="1:32">
      <c r="A13" s="14">
        <v>12101024</v>
      </c>
      <c r="B13" s="11">
        <v>0</v>
      </c>
      <c r="C13" s="15" t="s">
        <v>728</v>
      </c>
      <c r="D13" s="12">
        <v>4</v>
      </c>
      <c r="E13" s="15" t="s">
        <v>86</v>
      </c>
      <c r="F13" s="11">
        <v>0.2</v>
      </c>
      <c r="G13" s="11">
        <v>0.14000000000000001</v>
      </c>
      <c r="H13" s="91">
        <v>6100</v>
      </c>
      <c r="I13" s="11">
        <v>-0.12</v>
      </c>
      <c r="J13" s="11">
        <v>-2500</v>
      </c>
      <c r="K13" s="11">
        <f>L13*0.00001</f>
        <v>2.0000000000000002E-5</v>
      </c>
      <c r="L13" s="16">
        <v>2</v>
      </c>
      <c r="M13" s="11">
        <f t="shared" ref="M13" si="6">N13*0.00001</f>
        <v>8.0000000000000007E-5</v>
      </c>
      <c r="N13" s="16">
        <v>8</v>
      </c>
      <c r="O13" s="11">
        <v>35</v>
      </c>
      <c r="P13" s="11">
        <v>0.4</v>
      </c>
      <c r="Q13" s="11">
        <v>1.4</v>
      </c>
      <c r="R13" s="11">
        <v>10</v>
      </c>
      <c r="S13" s="11">
        <v>0.05</v>
      </c>
      <c r="T13" s="11">
        <v>0.01</v>
      </c>
      <c r="U13" s="76" t="str" cm="1">
        <f t="array" aca="1" ref="U13" ca="1">_xlfn.TEXTJOIN(";",1,_xlfn.LAMBDA(_xlpm.x,IF(_xlpm.x&lt;&gt;"",OFFSET(_xlpm.x,3-ROW(),0)&amp;"="&amp;_xlpm.x,""))(V13:Z13))</f>
        <v>blunt=85</v>
      </c>
      <c r="V13" s="106"/>
      <c r="W13" s="105">
        <v>85</v>
      </c>
      <c r="X13" s="106"/>
      <c r="Y13" s="106"/>
      <c r="Z13" s="106"/>
      <c r="AA13" s="11">
        <v>0.5</v>
      </c>
      <c r="AB13" s="11">
        <f t="shared" ref="AB13" si="7">IF(AC13=0,0,1/AC13/120)</f>
        <v>6.9444444444444444E-5</v>
      </c>
      <c r="AC13" s="16">
        <v>120</v>
      </c>
      <c r="AD13" s="11">
        <f t="shared" ref="AD13" si="8">AB13*3</f>
        <v>2.0833333333333332E-4</v>
      </c>
      <c r="AE13" s="11">
        <v>1</v>
      </c>
      <c r="AF13" s="11">
        <v>0.6</v>
      </c>
    </row>
    <row r="15" spans="1:32">
      <c r="A15" s="14">
        <v>1211801</v>
      </c>
      <c r="B15" s="11">
        <v>0</v>
      </c>
      <c r="C15" s="15" t="s">
        <v>88</v>
      </c>
      <c r="E15" s="15" t="s">
        <v>89</v>
      </c>
      <c r="F15" s="11">
        <v>0.55000000000000004</v>
      </c>
      <c r="G15" s="11">
        <v>0.55000000000000004</v>
      </c>
      <c r="H15" s="11">
        <v>2100</v>
      </c>
      <c r="I15" s="11">
        <v>-0.5</v>
      </c>
      <c r="J15" s="11">
        <v>-100</v>
      </c>
      <c r="K15" s="11">
        <f t="shared" ref="K15:K22" si="9">L15*0.00001</f>
        <v>1E-4</v>
      </c>
      <c r="L15" s="16">
        <v>10</v>
      </c>
      <c r="M15" s="11">
        <f t="shared" si="0"/>
        <v>2.0000000000000001E-4</v>
      </c>
      <c r="N15" s="16">
        <v>20</v>
      </c>
      <c r="O15" s="11">
        <v>1</v>
      </c>
      <c r="P15" s="11">
        <v>0.85</v>
      </c>
      <c r="Q15" s="11">
        <v>1.1000000000000001</v>
      </c>
      <c r="R15" s="11">
        <v>1.5</v>
      </c>
      <c r="S15" s="11">
        <v>0.12</v>
      </c>
      <c r="T15" s="11">
        <v>0.45</v>
      </c>
      <c r="U15" s="59"/>
      <c r="AA15" s="11">
        <v>2</v>
      </c>
      <c r="AB15" s="11">
        <f t="shared" si="1"/>
        <v>1.0416666666666667E-4</v>
      </c>
      <c r="AC15" s="16">
        <v>80</v>
      </c>
      <c r="AD15" s="11">
        <f t="shared" si="2"/>
        <v>3.1250000000000001E-4</v>
      </c>
      <c r="AE15" s="11">
        <v>5</v>
      </c>
      <c r="AF15" s="11">
        <v>0.8</v>
      </c>
    </row>
    <row r="17" spans="1:32">
      <c r="A17" s="14">
        <v>120000002</v>
      </c>
      <c r="B17" s="11">
        <v>0</v>
      </c>
      <c r="C17" s="15" t="s">
        <v>90</v>
      </c>
      <c r="F17" s="11">
        <v>0.999</v>
      </c>
      <c r="G17" s="11">
        <v>0.999</v>
      </c>
      <c r="H17" s="11">
        <v>999</v>
      </c>
      <c r="I17" s="11">
        <v>-0.19</v>
      </c>
      <c r="J17" s="11">
        <v>-199</v>
      </c>
      <c r="K17" s="11"/>
      <c r="L17" s="16"/>
      <c r="M17" s="11"/>
      <c r="N17" s="16"/>
      <c r="O17" s="11">
        <v>25</v>
      </c>
      <c r="P17" s="11">
        <v>0.5</v>
      </c>
      <c r="AB17" s="11">
        <f t="shared" si="1"/>
        <v>0</v>
      </c>
      <c r="AD17" s="11">
        <f t="shared" si="2"/>
        <v>0</v>
      </c>
    </row>
    <row r="18" spans="1:32">
      <c r="A18" s="14">
        <v>120000003</v>
      </c>
      <c r="B18" s="11">
        <v>0</v>
      </c>
      <c r="C18" s="15" t="s">
        <v>94</v>
      </c>
      <c r="F18" s="11">
        <v>0.999</v>
      </c>
      <c r="G18" s="11">
        <v>0.999</v>
      </c>
      <c r="H18" s="11">
        <v>999</v>
      </c>
      <c r="I18" s="11">
        <v>-0.19</v>
      </c>
      <c r="J18" s="11">
        <v>-199</v>
      </c>
      <c r="K18" s="11"/>
      <c r="L18" s="16"/>
      <c r="M18" s="11"/>
      <c r="N18" s="16"/>
      <c r="O18" s="11">
        <v>25</v>
      </c>
      <c r="P18" s="11">
        <v>0.5</v>
      </c>
      <c r="AB18" s="11">
        <f t="shared" si="1"/>
        <v>0</v>
      </c>
      <c r="AD18" s="11">
        <f t="shared" si="2"/>
        <v>0</v>
      </c>
    </row>
    <row r="19" spans="1:32">
      <c r="A19" s="14">
        <v>120000004</v>
      </c>
      <c r="B19" s="11">
        <v>0</v>
      </c>
      <c r="C19" s="15" t="s">
        <v>96</v>
      </c>
      <c r="F19" s="11">
        <v>0.999</v>
      </c>
      <c r="G19" s="11">
        <v>0.999</v>
      </c>
      <c r="H19" s="11">
        <v>999</v>
      </c>
      <c r="I19" s="11">
        <v>-0.19</v>
      </c>
      <c r="J19" s="11">
        <v>-199</v>
      </c>
      <c r="K19" s="11"/>
      <c r="L19" s="16"/>
      <c r="M19" s="11"/>
      <c r="N19" s="16"/>
      <c r="O19" s="11">
        <v>25</v>
      </c>
      <c r="P19" s="11">
        <v>0.5</v>
      </c>
      <c r="AB19" s="11">
        <f t="shared" si="1"/>
        <v>0</v>
      </c>
      <c r="AD19" s="11">
        <f t="shared" si="2"/>
        <v>0</v>
      </c>
    </row>
    <row r="20" spans="1:32">
      <c r="A20" s="14">
        <v>120000006</v>
      </c>
      <c r="B20" s="11">
        <v>0</v>
      </c>
      <c r="C20" s="15" t="s">
        <v>98</v>
      </c>
      <c r="F20" s="11">
        <v>0.999</v>
      </c>
      <c r="G20" s="11">
        <v>0.999</v>
      </c>
      <c r="H20" s="11">
        <v>999</v>
      </c>
      <c r="I20" s="11">
        <v>-0.19</v>
      </c>
      <c r="J20" s="11">
        <v>-199</v>
      </c>
      <c r="K20" s="11">
        <f t="shared" si="9"/>
        <v>5.0000000000000002E-5</v>
      </c>
      <c r="L20" s="16">
        <v>5</v>
      </c>
      <c r="M20" s="11">
        <f t="shared" si="0"/>
        <v>3.0000000000000003E-4</v>
      </c>
      <c r="N20" s="16">
        <v>30</v>
      </c>
      <c r="O20" s="11">
        <v>25</v>
      </c>
      <c r="P20" s="11">
        <v>0.5</v>
      </c>
      <c r="AB20" s="11">
        <f t="shared" si="1"/>
        <v>0</v>
      </c>
      <c r="AD20" s="11">
        <f t="shared" si="2"/>
        <v>0</v>
      </c>
    </row>
    <row r="21" spans="1:32">
      <c r="A21" s="14">
        <v>120000007</v>
      </c>
      <c r="B21" s="11">
        <v>0</v>
      </c>
      <c r="C21" s="15" t="s">
        <v>100</v>
      </c>
      <c r="E21" s="15" t="s">
        <v>78</v>
      </c>
      <c r="F21" s="11">
        <v>0.8</v>
      </c>
      <c r="G21" s="11">
        <v>0.34</v>
      </c>
      <c r="H21" s="11">
        <v>3600</v>
      </c>
      <c r="I21" s="11">
        <v>-0.36</v>
      </c>
      <c r="J21" s="11">
        <v>-270</v>
      </c>
      <c r="K21" s="11">
        <f t="shared" si="9"/>
        <v>5.0000000000000002E-5</v>
      </c>
      <c r="L21" s="16">
        <v>5</v>
      </c>
      <c r="M21" s="11">
        <f t="shared" si="0"/>
        <v>3.0000000000000003E-4</v>
      </c>
      <c r="N21" s="16">
        <v>30</v>
      </c>
      <c r="O21" s="11">
        <v>25</v>
      </c>
      <c r="P21" s="11">
        <v>0.5</v>
      </c>
      <c r="AB21" s="11">
        <f t="shared" si="1"/>
        <v>1.0416666666666667E-4</v>
      </c>
      <c r="AC21" s="16">
        <v>80</v>
      </c>
      <c r="AD21" s="11">
        <f t="shared" si="2"/>
        <v>3.1250000000000001E-4</v>
      </c>
      <c r="AE21" s="11">
        <v>5</v>
      </c>
      <c r="AF21" s="11">
        <v>0.8</v>
      </c>
    </row>
    <row r="22" spans="1:32">
      <c r="A22" s="14">
        <v>120000008</v>
      </c>
      <c r="B22" s="11">
        <v>0</v>
      </c>
      <c r="C22" s="15" t="s">
        <v>103</v>
      </c>
      <c r="E22" s="15" t="s">
        <v>104</v>
      </c>
      <c r="F22" s="11">
        <v>0.8</v>
      </c>
      <c r="G22" s="11">
        <v>0.34</v>
      </c>
      <c r="H22" s="11">
        <v>3600</v>
      </c>
      <c r="I22" s="11">
        <v>-0.36</v>
      </c>
      <c r="J22" s="11">
        <v>-270</v>
      </c>
      <c r="K22" s="11">
        <f t="shared" si="9"/>
        <v>5.0000000000000002E-5</v>
      </c>
      <c r="L22" s="16">
        <v>5</v>
      </c>
      <c r="M22" s="11">
        <f t="shared" si="0"/>
        <v>3.0000000000000003E-4</v>
      </c>
      <c r="N22" s="16">
        <v>30</v>
      </c>
      <c r="O22" s="11">
        <v>25</v>
      </c>
      <c r="P22" s="11">
        <v>0.5</v>
      </c>
      <c r="AB22" s="11">
        <f t="shared" si="1"/>
        <v>1.0416666666666667E-4</v>
      </c>
      <c r="AC22" s="16">
        <v>80</v>
      </c>
      <c r="AD22" s="11">
        <f t="shared" si="2"/>
        <v>3.1250000000000001E-4</v>
      </c>
      <c r="AE22" s="11">
        <v>5</v>
      </c>
      <c r="AF22" s="11">
        <v>0.8</v>
      </c>
    </row>
    <row r="24" spans="1:32">
      <c r="H24" s="14" t="s">
        <v>395</v>
      </c>
    </row>
    <row r="30" spans="1:32">
      <c r="V30" s="107"/>
    </row>
  </sheetData>
  <phoneticPr fontId="2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G32" sqref="G32"/>
    </sheetView>
  </sheetViews>
  <sheetFormatPr defaultColWidth="9" defaultRowHeight="14.25"/>
  <cols>
    <col min="1" max="1" width="10.625" style="14" customWidth="1"/>
    <col min="2" max="2" width="9.5" style="15" customWidth="1"/>
    <col min="3" max="3" width="18" style="11" customWidth="1"/>
    <col min="4" max="16384" width="9" style="14"/>
  </cols>
  <sheetData>
    <row r="1" spans="1:3" s="3" customFormat="1" ht="15.75">
      <c r="A1" s="3" t="s">
        <v>2</v>
      </c>
      <c r="B1" s="7"/>
      <c r="C1" s="3" t="s">
        <v>396</v>
      </c>
    </row>
    <row r="2" spans="1:3" s="4" customFormat="1" ht="15.75">
      <c r="A2" s="4" t="s">
        <v>28</v>
      </c>
      <c r="B2" s="7"/>
      <c r="C2" s="4" t="s">
        <v>29</v>
      </c>
    </row>
    <row r="3" spans="1:3" s="5" customFormat="1" ht="28.5">
      <c r="A3" s="8" t="s">
        <v>397</v>
      </c>
      <c r="B3" s="9" t="s">
        <v>38</v>
      </c>
      <c r="C3" s="8" t="s">
        <v>398</v>
      </c>
    </row>
    <row r="4" spans="1:3">
      <c r="A4" s="14">
        <v>1410100</v>
      </c>
      <c r="B4" s="15" t="s">
        <v>49</v>
      </c>
      <c r="C4" s="11" t="str">
        <f>"device_tag_"&amp;A4</f>
        <v>device_tag_1410100</v>
      </c>
    </row>
    <row r="6" spans="1:3">
      <c r="A6" s="14">
        <v>1420100</v>
      </c>
      <c r="B6" s="15" t="s">
        <v>399</v>
      </c>
      <c r="C6" s="11" t="str">
        <f>"device_tag_"&amp;A6</f>
        <v>device_tag_1420100</v>
      </c>
    </row>
    <row r="7" spans="1:3">
      <c r="A7" s="14">
        <v>1420101</v>
      </c>
      <c r="B7" s="15" t="s">
        <v>400</v>
      </c>
      <c r="C7" s="11" t="str">
        <f>"device_tag_"&amp;A7</f>
        <v>device_tag_1420101</v>
      </c>
    </row>
    <row r="8" spans="1:3">
      <c r="A8" s="14">
        <v>1420102</v>
      </c>
      <c r="B8" s="15" t="s">
        <v>121</v>
      </c>
      <c r="C8" s="11" t="str">
        <f>"device_tag_"&amp;A8</f>
        <v>device_tag_1420102</v>
      </c>
    </row>
    <row r="9" spans="1:3">
      <c r="A9" s="14">
        <v>1420103</v>
      </c>
      <c r="B9" s="15" t="s">
        <v>401</v>
      </c>
      <c r="C9" s="11" t="str">
        <f>"device_tag_"&amp;A9</f>
        <v>device_tag_1420103</v>
      </c>
    </row>
    <row r="10" spans="1:3">
      <c r="A10" s="14">
        <v>1420104</v>
      </c>
      <c r="B10" s="15" t="s">
        <v>402</v>
      </c>
      <c r="C10" s="11" t="str">
        <f>"device_tag_"&amp;A10</f>
        <v>device_tag_1420104</v>
      </c>
    </row>
    <row r="12" spans="1:3">
      <c r="A12" s="14">
        <v>1420200</v>
      </c>
      <c r="B12" s="15" t="s">
        <v>403</v>
      </c>
      <c r="C12" s="11" t="str">
        <f t="shared" ref="C12:C18" si="0">"device_tag_"&amp;A12</f>
        <v>device_tag_1420200</v>
      </c>
    </row>
    <row r="13" spans="1:3">
      <c r="A13" s="14">
        <v>1420210</v>
      </c>
      <c r="B13" s="15" t="s">
        <v>404</v>
      </c>
      <c r="C13" s="11" t="str">
        <f t="shared" si="0"/>
        <v>device_tag_1420210</v>
      </c>
    </row>
    <row r="14" spans="1:3">
      <c r="A14" s="14">
        <v>1420211</v>
      </c>
      <c r="B14" s="15" t="s">
        <v>405</v>
      </c>
      <c r="C14" s="11" t="str">
        <f t="shared" si="0"/>
        <v>device_tag_1420211</v>
      </c>
    </row>
    <row r="15" spans="1:3">
      <c r="A15" s="14">
        <v>1420212</v>
      </c>
      <c r="B15" s="15" t="s">
        <v>406</v>
      </c>
      <c r="C15" s="11" t="str">
        <f t="shared" si="0"/>
        <v>device_tag_1420212</v>
      </c>
    </row>
    <row r="16" spans="1:3">
      <c r="A16" s="14">
        <v>1420213</v>
      </c>
      <c r="B16" s="15" t="s">
        <v>407</v>
      </c>
      <c r="C16" s="11" t="str">
        <f t="shared" si="0"/>
        <v>device_tag_1420213</v>
      </c>
    </row>
    <row r="17" spans="1:3">
      <c r="A17" s="14">
        <v>1420221</v>
      </c>
      <c r="B17" s="15" t="s">
        <v>330</v>
      </c>
      <c r="C17" s="11" t="str">
        <f t="shared" si="0"/>
        <v>device_tag_1420221</v>
      </c>
    </row>
    <row r="18" spans="1:3">
      <c r="A18" s="14">
        <v>1420222</v>
      </c>
      <c r="B18" s="15" t="s">
        <v>217</v>
      </c>
      <c r="C18" s="11" t="str">
        <f t="shared" si="0"/>
        <v>device_tag_1420222</v>
      </c>
    </row>
    <row r="20" spans="1:3">
      <c r="A20" s="14">
        <v>1420300</v>
      </c>
      <c r="B20" s="15" t="s">
        <v>408</v>
      </c>
      <c r="C20" s="11" t="str">
        <f>"device_tag_"&amp;A20</f>
        <v>device_tag_1420300</v>
      </c>
    </row>
    <row r="22" spans="1:3">
      <c r="A22" s="14">
        <v>1420400</v>
      </c>
      <c r="B22" s="15" t="s">
        <v>409</v>
      </c>
      <c r="C22" s="11" t="str">
        <f>"device_tag_"&amp;A22</f>
        <v>device_tag_1420400</v>
      </c>
    </row>
    <row r="24" spans="1:3">
      <c r="A24" s="14">
        <v>1420500</v>
      </c>
      <c r="B24" s="15" t="s">
        <v>410</v>
      </c>
      <c r="C24" s="11" t="str">
        <f>"device_tag_"&amp;A24</f>
        <v>device_tag_1420500</v>
      </c>
    </row>
    <row r="26" spans="1:3">
      <c r="A26" s="14">
        <v>1420600</v>
      </c>
      <c r="B26" s="15" t="s">
        <v>411</v>
      </c>
      <c r="C26" s="11" t="str">
        <f>"device_tag_"&amp;A26</f>
        <v>device_tag_1420600</v>
      </c>
    </row>
    <row r="28" spans="1:3">
      <c r="A28" s="14">
        <v>1430001</v>
      </c>
      <c r="B28" s="15" t="s">
        <v>412</v>
      </c>
      <c r="C28" s="11" t="str">
        <f>"device_tag_"&amp;A28</f>
        <v>device_tag_1430001</v>
      </c>
    </row>
    <row r="29" spans="1:3">
      <c r="A29" s="14">
        <v>1430002</v>
      </c>
      <c r="B29" s="15" t="s">
        <v>413</v>
      </c>
      <c r="C29" s="11" t="str">
        <f>"device_tag_"&amp;A29</f>
        <v>device_tag_1430002</v>
      </c>
    </row>
  </sheetData>
  <phoneticPr fontId="2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H25" sqref="H25"/>
    </sheetView>
  </sheetViews>
  <sheetFormatPr defaultColWidth="9" defaultRowHeight="14.25"/>
  <cols>
    <col min="1" max="1" width="9" style="6"/>
    <col min="2" max="2" width="9.5" style="6" customWidth="1"/>
    <col min="3" max="3" width="8.25" style="6" customWidth="1"/>
    <col min="4" max="4" width="15.625" style="6" customWidth="1"/>
    <col min="5" max="5" width="18.875" style="6" customWidth="1"/>
    <col min="6" max="6" width="9" style="57"/>
    <col min="7" max="7" width="39.625" style="54" bestFit="1" customWidth="1"/>
    <col min="8" max="8" width="48" style="54" bestFit="1" customWidth="1"/>
    <col min="9" max="16384" width="9" style="6"/>
  </cols>
  <sheetData>
    <row r="1" spans="1:8" s="3" customFormat="1" ht="15.75">
      <c r="A1" s="3" t="s">
        <v>2</v>
      </c>
      <c r="B1" s="7"/>
      <c r="C1" s="7"/>
      <c r="D1" s="7"/>
      <c r="E1" s="3" t="s">
        <v>414</v>
      </c>
      <c r="F1" s="55"/>
      <c r="G1" s="3" t="s">
        <v>485</v>
      </c>
      <c r="H1" s="3" t="s">
        <v>486</v>
      </c>
    </row>
    <row r="2" spans="1:8" s="4" customFormat="1" ht="15.75">
      <c r="A2" s="4" t="s">
        <v>28</v>
      </c>
      <c r="B2" s="7"/>
      <c r="C2" s="7"/>
      <c r="D2" s="7"/>
      <c r="E2" s="4" t="s">
        <v>29</v>
      </c>
      <c r="F2" s="55"/>
      <c r="G2" s="4" t="s">
        <v>29</v>
      </c>
      <c r="H2" s="4" t="s">
        <v>29</v>
      </c>
    </row>
    <row r="3" spans="1:8" s="5" customFormat="1" ht="28.5">
      <c r="A3" s="8" t="s">
        <v>415</v>
      </c>
      <c r="B3" s="9" t="s">
        <v>416</v>
      </c>
      <c r="C3" s="9" t="s">
        <v>417</v>
      </c>
      <c r="D3" s="9" t="s">
        <v>418</v>
      </c>
      <c r="E3" s="10" t="s">
        <v>419</v>
      </c>
      <c r="F3" s="56" t="s">
        <v>487</v>
      </c>
      <c r="G3" s="8" t="s">
        <v>599</v>
      </c>
      <c r="H3" s="8" t="s">
        <v>600</v>
      </c>
    </row>
    <row r="4" spans="1:8">
      <c r="A4" s="11">
        <v>101</v>
      </c>
      <c r="B4" s="12" t="s">
        <v>420</v>
      </c>
      <c r="C4" s="12" t="s">
        <v>421</v>
      </c>
      <c r="D4" s="12" t="s">
        <v>422</v>
      </c>
      <c r="E4" s="11" t="s">
        <v>423</v>
      </c>
      <c r="F4" s="57">
        <v>0</v>
      </c>
      <c r="G4" s="58" t="str">
        <f t="shared" ref="G4:H18" si="0">IF($A4&lt;&gt;"",
_xlfn.LET(_xlpm._res_name,INDEX(_xlfn.TEXTSPLIT(G$3,"|"),2),
_xlfn.CONCAT(_xlpm._res_name,"[",_xlpm._res_name,"_",$F4,"]")),"")</f>
        <v>ui_battle_work_icon[ui_battle_work_icon_0]</v>
      </c>
      <c r="H4" s="58" t="str">
        <f t="shared" si="0"/>
        <v>ui_battle_work_icon_npc[ui_battle_work_icon_npc_0]</v>
      </c>
    </row>
    <row r="5" spans="1:8">
      <c r="A5" s="11">
        <v>102</v>
      </c>
      <c r="B5" s="12" t="s">
        <v>424</v>
      </c>
      <c r="C5" s="12" t="s">
        <v>421</v>
      </c>
      <c r="D5" s="12" t="s">
        <v>422</v>
      </c>
      <c r="E5" s="11" t="s">
        <v>423</v>
      </c>
      <c r="F5" s="57">
        <v>1</v>
      </c>
      <c r="G5" s="58" t="str">
        <f t="shared" si="0"/>
        <v>ui_battle_work_icon[ui_battle_work_icon_1]</v>
      </c>
      <c r="H5" s="58" t="str">
        <f t="shared" si="0"/>
        <v>ui_battle_work_icon_npc[ui_battle_work_icon_npc_1]</v>
      </c>
    </row>
    <row r="6" spans="1:8">
      <c r="A6" s="11">
        <v>103</v>
      </c>
      <c r="B6" s="12" t="s">
        <v>425</v>
      </c>
      <c r="C6" s="12" t="s">
        <v>421</v>
      </c>
      <c r="D6" s="12" t="s">
        <v>422</v>
      </c>
      <c r="E6" s="11" t="s">
        <v>423</v>
      </c>
      <c r="F6" s="57">
        <v>10</v>
      </c>
      <c r="G6" s="58" t="str">
        <f t="shared" si="0"/>
        <v>ui_battle_work_icon[ui_battle_work_icon_10]</v>
      </c>
      <c r="H6" s="58" t="str">
        <f t="shared" si="0"/>
        <v>ui_battle_work_icon_npc[ui_battle_work_icon_npc_10]</v>
      </c>
    </row>
    <row r="7" spans="1:8">
      <c r="G7" s="58" t="str">
        <f t="shared" si="0"/>
        <v/>
      </c>
      <c r="H7" s="58" t="str">
        <f t="shared" si="0"/>
        <v/>
      </c>
    </row>
    <row r="8" spans="1:8">
      <c r="A8" s="11">
        <v>201</v>
      </c>
      <c r="B8" s="12" t="s">
        <v>426</v>
      </c>
      <c r="C8" s="12" t="s">
        <v>427</v>
      </c>
      <c r="D8" s="12" t="s">
        <v>428</v>
      </c>
      <c r="E8" s="6" t="s">
        <v>429</v>
      </c>
      <c r="F8" s="57">
        <v>3</v>
      </c>
      <c r="G8" s="58" t="str">
        <f t="shared" si="0"/>
        <v>ui_battle_work_icon[ui_battle_work_icon_3]</v>
      </c>
      <c r="H8" s="58" t="str">
        <f t="shared" si="0"/>
        <v>ui_battle_work_icon_npc[ui_battle_work_icon_npc_3]</v>
      </c>
    </row>
    <row r="9" spans="1:8">
      <c r="A9" s="6">
        <v>202</v>
      </c>
      <c r="B9" s="12" t="s">
        <v>430</v>
      </c>
      <c r="C9" s="12" t="s">
        <v>427</v>
      </c>
      <c r="D9" s="12" t="s">
        <v>428</v>
      </c>
      <c r="E9" s="6" t="s">
        <v>429</v>
      </c>
      <c r="F9" s="57">
        <v>2</v>
      </c>
      <c r="G9" s="58" t="str">
        <f t="shared" si="0"/>
        <v>ui_battle_work_icon[ui_battle_work_icon_2]</v>
      </c>
      <c r="H9" s="58" t="str">
        <f t="shared" si="0"/>
        <v>ui_battle_work_icon_npc[ui_battle_work_icon_npc_2]</v>
      </c>
    </row>
    <row r="10" spans="1:8">
      <c r="A10" s="6">
        <v>203</v>
      </c>
      <c r="B10" s="12" t="s">
        <v>431</v>
      </c>
      <c r="C10" s="12" t="s">
        <v>427</v>
      </c>
      <c r="D10" s="12" t="s">
        <v>428</v>
      </c>
      <c r="E10" s="6" t="s">
        <v>429</v>
      </c>
      <c r="F10" s="57">
        <v>4</v>
      </c>
      <c r="G10" s="58" t="str">
        <f t="shared" si="0"/>
        <v>ui_battle_work_icon[ui_battle_work_icon_4]</v>
      </c>
      <c r="H10" s="58" t="str">
        <f t="shared" si="0"/>
        <v>ui_battle_work_icon_npc[ui_battle_work_icon_npc_4]</v>
      </c>
    </row>
    <row r="11" spans="1:8">
      <c r="A11" s="6">
        <v>204</v>
      </c>
      <c r="B11" s="12" t="s">
        <v>432</v>
      </c>
      <c r="C11" s="12" t="s">
        <v>427</v>
      </c>
      <c r="D11" s="12" t="s">
        <v>428</v>
      </c>
      <c r="E11" s="6" t="s">
        <v>429</v>
      </c>
      <c r="F11" s="57">
        <v>9</v>
      </c>
      <c r="G11" s="58" t="str">
        <f t="shared" si="0"/>
        <v>ui_battle_work_icon[ui_battle_work_icon_9]</v>
      </c>
      <c r="H11" s="58" t="str">
        <f t="shared" si="0"/>
        <v>ui_battle_work_icon_npc[ui_battle_work_icon_npc_9]</v>
      </c>
    </row>
    <row r="12" spans="1:8">
      <c r="A12" s="6">
        <v>205</v>
      </c>
      <c r="B12" s="12" t="s">
        <v>516</v>
      </c>
      <c r="C12" s="12" t="s">
        <v>427</v>
      </c>
      <c r="D12" s="12" t="s">
        <v>428</v>
      </c>
      <c r="E12" s="6" t="s">
        <v>429</v>
      </c>
      <c r="F12" s="57">
        <v>9</v>
      </c>
      <c r="G12" s="58" t="str">
        <f t="shared" si="0"/>
        <v>ui_battle_work_icon[ui_battle_work_icon_9]</v>
      </c>
      <c r="H12" s="58" t="str">
        <f t="shared" si="0"/>
        <v>ui_battle_work_icon_npc[ui_battle_work_icon_npc_9]</v>
      </c>
    </row>
    <row r="13" spans="1:8">
      <c r="G13" s="58" t="str">
        <f t="shared" si="0"/>
        <v/>
      </c>
      <c r="H13" s="58" t="str">
        <f t="shared" si="0"/>
        <v/>
      </c>
    </row>
    <row r="14" spans="1:8">
      <c r="A14" s="6">
        <v>301</v>
      </c>
      <c r="B14" s="12" t="s">
        <v>433</v>
      </c>
      <c r="C14" s="12" t="s">
        <v>434</v>
      </c>
      <c r="D14" s="12" t="s">
        <v>608</v>
      </c>
      <c r="E14" s="6" t="s">
        <v>435</v>
      </c>
      <c r="F14" s="57">
        <v>5</v>
      </c>
      <c r="G14" s="58" t="str">
        <f t="shared" si="0"/>
        <v>ui_battle_work_icon[ui_battle_work_icon_5]</v>
      </c>
      <c r="H14" s="58" t="str">
        <f t="shared" si="0"/>
        <v>ui_battle_work_icon_npc[ui_battle_work_icon_npc_5]</v>
      </c>
    </row>
    <row r="15" spans="1:8">
      <c r="A15" s="6">
        <v>302</v>
      </c>
      <c r="B15" s="12" t="s">
        <v>550</v>
      </c>
      <c r="C15" s="12" t="s">
        <v>549</v>
      </c>
      <c r="D15" s="12" t="s">
        <v>608</v>
      </c>
      <c r="E15" s="75" t="s">
        <v>551</v>
      </c>
      <c r="F15" s="57">
        <v>1</v>
      </c>
      <c r="G15" s="58" t="str">
        <f t="shared" si="0"/>
        <v>ui_battle_work_icon[ui_battle_work_icon_1]</v>
      </c>
      <c r="H15" s="58" t="str">
        <f t="shared" si="0"/>
        <v>ui_battle_work_icon_npc[ui_battle_work_icon_npc_1]</v>
      </c>
    </row>
    <row r="16" spans="1:8">
      <c r="A16" s="6">
        <v>303</v>
      </c>
      <c r="B16" s="12" t="s">
        <v>607</v>
      </c>
      <c r="C16" s="12" t="s">
        <v>606</v>
      </c>
      <c r="D16" s="12" t="s">
        <v>608</v>
      </c>
      <c r="E16" s="75" t="s">
        <v>609</v>
      </c>
      <c r="F16" s="57">
        <v>12</v>
      </c>
      <c r="G16" s="58" t="str">
        <f t="shared" si="0"/>
        <v>ui_battle_work_icon[ui_battle_work_icon_12]</v>
      </c>
      <c r="H16" s="58" t="str">
        <f t="shared" si="0"/>
        <v>ui_battle_work_icon_npc[ui_battle_work_icon_npc_12]</v>
      </c>
    </row>
    <row r="17" spans="1:8">
      <c r="G17" s="58" t="str">
        <f t="shared" si="0"/>
        <v/>
      </c>
      <c r="H17" s="58" t="str">
        <f t="shared" si="0"/>
        <v/>
      </c>
    </row>
    <row r="18" spans="1:8">
      <c r="A18" s="6">
        <v>401</v>
      </c>
      <c r="B18" s="12" t="s">
        <v>436</v>
      </c>
      <c r="C18" s="12" t="s">
        <v>437</v>
      </c>
      <c r="D18" s="12" t="s">
        <v>438</v>
      </c>
      <c r="E18" s="6" t="s">
        <v>439</v>
      </c>
      <c r="F18" s="57">
        <v>7</v>
      </c>
      <c r="G18" s="58" t="str">
        <f t="shared" si="0"/>
        <v>ui_battle_work_icon[ui_battle_work_icon_7]</v>
      </c>
      <c r="H18" s="58" t="str">
        <f t="shared" si="0"/>
        <v>ui_battle_work_icon_npc[ui_battle_work_icon_npc_7]</v>
      </c>
    </row>
  </sheetData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CD2D-AA70-4F1D-A77D-4C7823A0BFFF}">
  <dimension ref="A1:F15"/>
  <sheetViews>
    <sheetView workbookViewId="0">
      <selection activeCell="D10" sqref="D10:F10"/>
    </sheetView>
  </sheetViews>
  <sheetFormatPr defaultColWidth="9" defaultRowHeight="14.25"/>
  <cols>
    <col min="1" max="1" width="9" style="6"/>
    <col min="2" max="2" width="9.5" style="79" customWidth="1"/>
    <col min="3" max="3" width="14.75" style="78" customWidth="1"/>
    <col min="4" max="4" width="28.25" style="6" bestFit="1" customWidth="1"/>
    <col min="5" max="5" width="26.75" style="6" bestFit="1" customWidth="1"/>
    <col min="6" max="6" width="23.5" style="6" customWidth="1"/>
    <col min="7" max="16384" width="9" style="6"/>
  </cols>
  <sheetData>
    <row r="1" spans="1:6" s="3" customFormat="1" ht="15.75">
      <c r="A1" s="3" t="s">
        <v>2</v>
      </c>
      <c r="B1" s="7"/>
      <c r="C1" s="80"/>
      <c r="D1" s="3" t="s">
        <v>577</v>
      </c>
      <c r="E1" s="3" t="s">
        <v>587</v>
      </c>
      <c r="F1" s="3" t="s">
        <v>635</v>
      </c>
    </row>
    <row r="2" spans="1:6" s="4" customFormat="1" ht="15.75">
      <c r="A2" s="4" t="s">
        <v>28</v>
      </c>
      <c r="B2" s="7"/>
      <c r="C2" s="80"/>
      <c r="D2" s="4" t="s">
        <v>29</v>
      </c>
      <c r="E2" s="4" t="s">
        <v>29</v>
      </c>
      <c r="F2" s="4" t="s">
        <v>636</v>
      </c>
    </row>
    <row r="3" spans="1:6" s="5" customFormat="1">
      <c r="A3" s="8" t="s">
        <v>556</v>
      </c>
      <c r="B3" s="9" t="s">
        <v>416</v>
      </c>
      <c r="C3" s="81" t="s">
        <v>576</v>
      </c>
      <c r="D3" s="8" t="s">
        <v>578</v>
      </c>
      <c r="E3" s="10" t="s">
        <v>588</v>
      </c>
      <c r="F3" s="10" t="s">
        <v>637</v>
      </c>
    </row>
    <row r="4" spans="1:6">
      <c r="A4" s="11">
        <v>0</v>
      </c>
      <c r="B4" s="12" t="s">
        <v>567</v>
      </c>
      <c r="C4" s="82" t="s">
        <v>571</v>
      </c>
      <c r="D4" s="59" t="s">
        <v>566</v>
      </c>
      <c r="E4" s="59" t="s">
        <v>582</v>
      </c>
      <c r="F4" s="75" t="s">
        <v>638</v>
      </c>
    </row>
    <row r="5" spans="1:6">
      <c r="A5" s="11">
        <v>1</v>
      </c>
      <c r="B5" s="12" t="s">
        <v>558</v>
      </c>
      <c r="C5" s="82" t="s">
        <v>572</v>
      </c>
      <c r="D5" s="59" t="s">
        <v>659</v>
      </c>
      <c r="E5" s="59" t="s">
        <v>583</v>
      </c>
      <c r="F5" s="75" t="s">
        <v>639</v>
      </c>
    </row>
    <row r="6" spans="1:6">
      <c r="A6" s="11">
        <v>2</v>
      </c>
      <c r="B6" s="12" t="s">
        <v>568</v>
      </c>
      <c r="C6" s="82" t="s">
        <v>573</v>
      </c>
      <c r="D6" s="59" t="s">
        <v>579</v>
      </c>
      <c r="E6" s="59" t="s">
        <v>584</v>
      </c>
      <c r="F6" s="75" t="s">
        <v>641</v>
      </c>
    </row>
    <row r="7" spans="1:6">
      <c r="A7" s="6">
        <v>3</v>
      </c>
      <c r="B7" s="12" t="s">
        <v>569</v>
      </c>
      <c r="C7" s="78" t="s">
        <v>574</v>
      </c>
      <c r="D7" s="59" t="s">
        <v>580</v>
      </c>
      <c r="E7" s="59" t="s">
        <v>585</v>
      </c>
      <c r="F7" s="75" t="s">
        <v>642</v>
      </c>
    </row>
    <row r="8" spans="1:6">
      <c r="A8" s="11">
        <v>4</v>
      </c>
      <c r="B8" s="12" t="s">
        <v>570</v>
      </c>
      <c r="C8" s="82" t="s">
        <v>575</v>
      </c>
      <c r="D8" s="59" t="s">
        <v>581</v>
      </c>
      <c r="E8" s="59" t="s">
        <v>586</v>
      </c>
      <c r="F8" s="75" t="s">
        <v>640</v>
      </c>
    </row>
    <row r="10" spans="1:6">
      <c r="A10" s="6">
        <v>99</v>
      </c>
      <c r="B10" s="79" t="s">
        <v>711</v>
      </c>
      <c r="D10" s="59" t="s">
        <v>712</v>
      </c>
      <c r="E10" s="59" t="s">
        <v>582</v>
      </c>
      <c r="F10" s="75" t="s">
        <v>638</v>
      </c>
    </row>
    <row r="11" spans="1:6">
      <c r="A11" s="6">
        <v>100</v>
      </c>
      <c r="B11" s="79" t="s">
        <v>710</v>
      </c>
      <c r="D11" s="59" t="s">
        <v>712</v>
      </c>
      <c r="E11" s="59" t="s">
        <v>582</v>
      </c>
      <c r="F11" s="75" t="s">
        <v>638</v>
      </c>
    </row>
    <row r="12" spans="1:6">
      <c r="A12" s="6">
        <v>101</v>
      </c>
      <c r="B12" s="79" t="s">
        <v>710</v>
      </c>
      <c r="D12" s="59" t="s">
        <v>712</v>
      </c>
      <c r="E12" s="59" t="s">
        <v>583</v>
      </c>
      <c r="F12" s="75" t="s">
        <v>639</v>
      </c>
    </row>
    <row r="13" spans="1:6">
      <c r="A13" s="6">
        <v>102</v>
      </c>
      <c r="B13" s="79" t="s">
        <v>710</v>
      </c>
      <c r="D13" s="59" t="s">
        <v>712</v>
      </c>
      <c r="E13" s="59" t="s">
        <v>584</v>
      </c>
      <c r="F13" s="75" t="s">
        <v>641</v>
      </c>
    </row>
    <row r="14" spans="1:6">
      <c r="A14" s="6">
        <v>103</v>
      </c>
      <c r="B14" s="79" t="s">
        <v>710</v>
      </c>
      <c r="D14" s="59" t="s">
        <v>712</v>
      </c>
      <c r="E14" s="59" t="s">
        <v>585</v>
      </c>
      <c r="F14" s="75" t="s">
        <v>642</v>
      </c>
    </row>
    <row r="15" spans="1:6">
      <c r="A15" s="6">
        <v>104</v>
      </c>
      <c r="B15" s="79" t="s">
        <v>710</v>
      </c>
      <c r="D15" s="59" t="s">
        <v>712</v>
      </c>
      <c r="E15" s="59" t="s">
        <v>586</v>
      </c>
      <c r="F15" s="75" t="s">
        <v>640</v>
      </c>
    </row>
  </sheetData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B2A6-8B83-472C-9EBA-14CBF7684D1B}">
  <sheetPr>
    <tabColor theme="1" tint="0.499984740745262"/>
  </sheetPr>
  <dimension ref="A1:N153"/>
  <sheetViews>
    <sheetView workbookViewId="0">
      <selection activeCell="O18" sqref="O18"/>
    </sheetView>
  </sheetViews>
  <sheetFormatPr defaultRowHeight="14.25"/>
  <cols>
    <col min="1" max="1" width="10.5" style="95" bestFit="1" customWidth="1"/>
    <col min="2" max="2" width="45.25" style="95" bestFit="1" customWidth="1"/>
    <col min="3" max="3" width="25.5" style="95" bestFit="1" customWidth="1"/>
    <col min="4" max="6" width="9" style="95"/>
    <col min="7" max="7" width="41" style="95" bestFit="1" customWidth="1"/>
    <col min="8" max="8" width="11" style="95" bestFit="1" customWidth="1"/>
    <col min="9" max="16384" width="9" style="95"/>
  </cols>
  <sheetData>
    <row r="1" spans="1:14">
      <c r="A1" s="93" t="s">
        <v>713</v>
      </c>
      <c r="B1" s="94" t="s">
        <v>714</v>
      </c>
      <c r="C1" s="94" t="s">
        <v>715</v>
      </c>
      <c r="D1" s="94" t="s">
        <v>716</v>
      </c>
      <c r="G1" s="97" t="s">
        <v>718</v>
      </c>
    </row>
    <row r="2" spans="1:14">
      <c r="A2" s="95" cm="1">
        <f t="array" ref="A2:A153">_xlfn.LET(_xlpm._all_id,device_all!A:A,
_xlfn._xlws.FILTER(_xlpm._all_id,ISNUMBER(_xlpm._all_id)))</f>
        <v>1210101</v>
      </c>
      <c r="B2" s="95" t="str">
        <f ca="1">_xlfn.XLOOKUP($A2,device_all!$A:$A,device_all!H:H)</f>
        <v>device_name_1210101_wheel_wooden</v>
      </c>
      <c r="C2" s="95">
        <f>_xlfn.XLOOKUP($A2,device_all!$A:$A,device_all!E:E)</f>
        <v>0</v>
      </c>
      <c r="G2" s="95" t="str" cm="1">
        <f t="array" aca="1" ref="G2:H44" ca="1">_xlfn._xlws.FILTER(表3[[name_key]:[name]],(表3[picked])=TRUE)</f>
        <v>device_name_1310103_claymore</v>
      </c>
      <c r="H2" s="95">
        <f ca="1"/>
        <v>0</v>
      </c>
    </row>
    <row r="3" spans="1:14">
      <c r="A3" s="95">
        <v>12101011</v>
      </c>
      <c r="B3" s="95" t="str">
        <f ca="1">_xlfn.XLOOKUP($A3,device_all!$A:$A,device_all!H:H)</f>
        <v>device_name_1210101_wheel_wooden</v>
      </c>
      <c r="C3" s="95" t="str">
        <f>_xlfn.XLOOKUP($A3,device_all!$A:$A,device_all!E:E)</f>
        <v>Lv.1</v>
      </c>
      <c r="G3" s="95" t="str">
        <f ca="1"/>
        <v>device_name_1310104_spear</v>
      </c>
      <c r="H3" s="95">
        <f ca="1"/>
        <v>0</v>
      </c>
    </row>
    <row r="4" spans="1:14">
      <c r="A4" s="95">
        <v>12101012</v>
      </c>
      <c r="B4" s="95" t="str">
        <f ca="1">_xlfn.XLOOKUP($A4,device_all!$A:$A,device_all!H:H)</f>
        <v>device_name_1210101_wheel_wooden</v>
      </c>
      <c r="C4" s="95" t="str">
        <f>_xlfn.XLOOKUP($A4,device_all!$A:$A,device_all!E:E)</f>
        <v>Lv.2</v>
      </c>
      <c r="G4" s="95" t="str">
        <f ca="1"/>
        <v>device_name_1310105_inflatable_stick</v>
      </c>
      <c r="H4" s="95">
        <f ca="1"/>
        <v>0</v>
      </c>
    </row>
    <row r="5" spans="1:14">
      <c r="A5" s="95">
        <v>12101013</v>
      </c>
      <c r="B5" s="95" t="str">
        <f ca="1">_xlfn.XLOOKUP($A5,device_all!$A:$A,device_all!H:H)</f>
        <v>device_name_1210101_wheel_wooden</v>
      </c>
      <c r="C5" s="95" t="str">
        <f>_xlfn.XLOOKUP($A5,device_all!$A:$A,device_all!E:E)</f>
        <v>Lv.3</v>
      </c>
      <c r="G5" s="95" t="str">
        <f ca="1"/>
        <v>device_name_1310105_inflatable_stick</v>
      </c>
      <c r="H5" s="95">
        <f ca="1"/>
        <v>0</v>
      </c>
    </row>
    <row r="6" spans="1:14">
      <c r="A6" s="95">
        <v>12101019</v>
      </c>
      <c r="B6" s="95" t="str">
        <f>_xlfn.XLOOKUP($A6,device_all!$A:$A,device_all!H:H)</f>
        <v>device_name_12101019_wheel_wooden</v>
      </c>
      <c r="C6" s="95" t="str">
        <f>_xlfn.XLOOKUP($A6,device_all!$A:$A,device_all!E:E)</f>
        <v>Lv.0</v>
      </c>
      <c r="G6" s="95" t="str">
        <f ca="1"/>
        <v>device_name_1310106_circlesaw</v>
      </c>
      <c r="H6" s="95">
        <f ca="1"/>
        <v>0</v>
      </c>
      <c r="N6" s="94"/>
    </row>
    <row r="7" spans="1:14">
      <c r="A7" s="95">
        <v>1210102</v>
      </c>
      <c r="B7" s="95" t="str">
        <f ca="1">_xlfn.XLOOKUP($A7,device_all!$A:$A,device_all!H:H)</f>
        <v>device_name_1210102_wheel_track</v>
      </c>
      <c r="C7" s="95">
        <f>_xlfn.XLOOKUP($A7,device_all!$A:$A,device_all!E:E)</f>
        <v>0</v>
      </c>
      <c r="G7" s="95" t="str">
        <f ca="1"/>
        <v>device_name_1310106_circlesaw</v>
      </c>
      <c r="H7" s="95">
        <f ca="1"/>
        <v>0</v>
      </c>
    </row>
    <row r="8" spans="1:14">
      <c r="A8" s="95">
        <v>12101022</v>
      </c>
      <c r="B8" s="95" t="str">
        <f ca="1">_xlfn.XLOOKUP($A8,device_all!$A:$A,device_all!H:H)</f>
        <v>device_name_1210102_wheel_track</v>
      </c>
      <c r="C8" s="95" t="str">
        <f>_xlfn.XLOOKUP($A8,device_all!$A:$A,device_all!E:E)</f>
        <v>Lv.2</v>
      </c>
      <c r="G8" s="95" t="str">
        <f ca="1"/>
        <v>device_name_1310106_circlesaw</v>
      </c>
      <c r="H8" s="95">
        <f ca="1"/>
        <v>0</v>
      </c>
    </row>
    <row r="9" spans="1:14">
      <c r="A9" s="95">
        <v>12101023</v>
      </c>
      <c r="B9" s="95" t="str">
        <f ca="1">_xlfn.XLOOKUP($A9,device_all!$A:$A,device_all!H:H)</f>
        <v>device_name_1210102_wheel_track</v>
      </c>
      <c r="C9" s="95" t="str">
        <f>_xlfn.XLOOKUP($A9,device_all!$A:$A,device_all!E:E)</f>
        <v>Lv.3</v>
      </c>
      <c r="G9" s="95" t="str">
        <f ca="1"/>
        <v>device_name_1310106_circlesaw</v>
      </c>
      <c r="H9" s="95">
        <f ca="1"/>
        <v>0</v>
      </c>
    </row>
    <row r="10" spans="1:14">
      <c r="A10" s="95">
        <v>12101024</v>
      </c>
      <c r="B10" s="95" t="str">
        <f ca="1">_xlfn.XLOOKUP($A10,device_all!$A:$A,device_all!H:H)</f>
        <v>device_name_1210102_wheel_track</v>
      </c>
      <c r="C10" s="95" t="str">
        <f>_xlfn.XLOOKUP($A10,device_all!$A:$A,device_all!E:E)</f>
        <v>Lv.4</v>
      </c>
      <c r="G10" s="95" t="str">
        <f ca="1"/>
        <v>device_name_1310107_double_edged_cutter</v>
      </c>
      <c r="H10" s="95">
        <f ca="1"/>
        <v>0</v>
      </c>
    </row>
    <row r="11" spans="1:14">
      <c r="A11" s="95">
        <v>1211801</v>
      </c>
      <c r="B11" s="95" t="str">
        <f ca="1">_xlfn.XLOOKUP($A11,device_all!$A:$A,device_all!H:H)</f>
        <v>device_name_1211801_wheel_lifebuoy</v>
      </c>
      <c r="C11" s="95">
        <f>_xlfn.XLOOKUP($A11,device_all!$A:$A,device_all!E:E)</f>
        <v>0</v>
      </c>
      <c r="G11" s="95" t="str">
        <f ca="1"/>
        <v>device_name_1310107_double_edged_cutter</v>
      </c>
      <c r="H11" s="95">
        <f ca="1"/>
        <v>0</v>
      </c>
    </row>
    <row r="12" spans="1:14">
      <c r="A12" s="95">
        <v>120000002</v>
      </c>
      <c r="B12" s="95" t="str">
        <f ca="1">_xlfn.XLOOKUP($A12,device_all!$A:$A,device_all!H:H)</f>
        <v>device_name_120000002_wheel_stone</v>
      </c>
      <c r="C12" s="95">
        <f>_xlfn.XLOOKUP($A12,device_all!$A:$A,device_all!E:E)</f>
        <v>0</v>
      </c>
      <c r="G12" s="95" t="str">
        <f ca="1"/>
        <v>device_name_130001006_mace</v>
      </c>
      <c r="H12" s="95">
        <f ca="1"/>
        <v>0</v>
      </c>
    </row>
    <row r="13" spans="1:14">
      <c r="A13" s="95">
        <v>120000003</v>
      </c>
      <c r="B13" s="95" t="str">
        <f ca="1">_xlfn.XLOOKUP($A13,device_all!$A:$A,device_all!H:H)</f>
        <v>device_name_120000003_wheel_iron</v>
      </c>
      <c r="C13" s="95">
        <f>_xlfn.XLOOKUP($A13,device_all!$A:$A,device_all!E:E)</f>
        <v>0</v>
      </c>
      <c r="G13" s="95" t="str">
        <f ca="1"/>
        <v>device_name_1320101_bow</v>
      </c>
      <c r="H13" s="95">
        <f ca="1"/>
        <v>0</v>
      </c>
    </row>
    <row r="14" spans="1:14">
      <c r="A14" s="95">
        <v>120000004</v>
      </c>
      <c r="B14" s="95" t="str">
        <f ca="1">_xlfn.XLOOKUP($A14,device_all!$A:$A,device_all!H:H)</f>
        <v>device_name_120000004_wheel_gem</v>
      </c>
      <c r="C14" s="95">
        <f>_xlfn.XLOOKUP($A14,device_all!$A:$A,device_all!E:E)</f>
        <v>0</v>
      </c>
      <c r="G14" s="95" t="str">
        <f ca="1"/>
        <v>device_name_1320102_pistol</v>
      </c>
      <c r="H14" s="95">
        <f ca="1"/>
        <v>0</v>
      </c>
    </row>
    <row r="15" spans="1:14">
      <c r="A15" s="95">
        <v>120000006</v>
      </c>
      <c r="B15" s="95" t="str">
        <f ca="1">_xlfn.XLOOKUP($A15,device_all!$A:$A,device_all!H:H)</f>
        <v>device_name_120000006_wheel_tyre</v>
      </c>
      <c r="C15" s="95">
        <f>_xlfn.XLOOKUP($A15,device_all!$A:$A,device_all!E:E)</f>
        <v>0</v>
      </c>
      <c r="G15" s="95" t="str">
        <f ca="1"/>
        <v>device_name_1320102_pistol</v>
      </c>
      <c r="H15" s="95" t="str">
        <f ca="1"/>
        <v>前线手枪</v>
      </c>
    </row>
    <row r="16" spans="1:14">
      <c r="A16" s="95">
        <v>120000007</v>
      </c>
      <c r="B16" s="95" t="str">
        <f ca="1">_xlfn.XLOOKUP($A16,device_all!$A:$A,device_all!H:H)</f>
        <v>device_name_120000007_wheel_wooden</v>
      </c>
      <c r="C16" s="95">
        <f>_xlfn.XLOOKUP($A16,device_all!$A:$A,device_all!E:E)</f>
        <v>0</v>
      </c>
      <c r="G16" s="95" t="str">
        <f ca="1"/>
        <v>device_name_1320102_pistol</v>
      </c>
      <c r="H16" s="95" t="str">
        <f ca="1"/>
        <v>军士长手枪</v>
      </c>
    </row>
    <row r="17" spans="1:8">
      <c r="A17" s="95">
        <v>120000008</v>
      </c>
      <c r="B17" s="95" t="str">
        <f ca="1">_xlfn.XLOOKUP($A17,device_all!$A:$A,device_all!H:H)</f>
        <v>device_name_120000008_fire_wheel</v>
      </c>
      <c r="C17" s="95">
        <f>_xlfn.XLOOKUP($A17,device_all!$A:$A,device_all!E:E)</f>
        <v>0</v>
      </c>
      <c r="G17" s="95" t="str">
        <f ca="1"/>
        <v>device_name_13201029_pistol</v>
      </c>
      <c r="H17" s="95" t="str">
        <f ca="1"/>
        <v>老舅的手枪</v>
      </c>
    </row>
    <row r="18" spans="1:8">
      <c r="A18" s="95">
        <v>1310101</v>
      </c>
      <c r="B18" s="95" t="str">
        <f ca="1">_xlfn.XLOOKUP($A18,device_all!$A:$A,device_all!H:H)</f>
        <v>device_name_1310101_dagger</v>
      </c>
      <c r="C18" s="95">
        <f>_xlfn.XLOOKUP($A18,device_all!$A:$A,device_all!E:E)</f>
        <v>0</v>
      </c>
      <c r="G18" s="95" t="str">
        <f ca="1"/>
        <v>device_name_1320103_shotgun</v>
      </c>
      <c r="H18" s="95">
        <f ca="1"/>
        <v>0</v>
      </c>
    </row>
    <row r="19" spans="1:8">
      <c r="A19" s="95">
        <v>1310102</v>
      </c>
      <c r="B19" s="95" t="str">
        <f ca="1">_xlfn.XLOOKUP($A19,device_all!$A:$A,device_all!H:H)</f>
        <v>device_name_1310102_machete</v>
      </c>
      <c r="C19" s="95">
        <f>_xlfn.XLOOKUP($A19,device_all!$A:$A,device_all!E:E)</f>
        <v>0</v>
      </c>
      <c r="D19" s="96" t="s">
        <v>717</v>
      </c>
      <c r="G19" s="95" t="str">
        <f ca="1"/>
        <v>device_name_1320103_shotgun</v>
      </c>
      <c r="H19" s="95" t="str">
        <f ca="1"/>
        <v>黄铜喇叭枪</v>
      </c>
    </row>
    <row r="20" spans="1:8">
      <c r="A20" s="95">
        <v>1310103</v>
      </c>
      <c r="B20" s="95" t="str">
        <f ca="1">_xlfn.XLOOKUP($A20,device_all!$A:$A,device_all!H:H)</f>
        <v>device_name_1310103_claymore</v>
      </c>
      <c r="C20" s="95">
        <f>_xlfn.XLOOKUP($A20,device_all!$A:$A,device_all!E:E)</f>
        <v>0</v>
      </c>
      <c r="D20" s="92" t="b">
        <v>1</v>
      </c>
      <c r="G20" s="95" t="str">
        <f ca="1"/>
        <v>device_name_1320103_shotgun</v>
      </c>
      <c r="H20" s="95" t="str">
        <f ca="1"/>
        <v>精钢喇叭枪</v>
      </c>
    </row>
    <row r="21" spans="1:8">
      <c r="A21" s="95">
        <v>1310104</v>
      </c>
      <c r="B21" s="95" t="str">
        <f ca="1">_xlfn.XLOOKUP($A21,device_all!$A:$A,device_all!H:H)</f>
        <v>device_name_1310104_spear</v>
      </c>
      <c r="C21" s="95">
        <f>_xlfn.XLOOKUP($A21,device_all!$A:$A,device_all!E:E)</f>
        <v>0</v>
      </c>
      <c r="D21" s="92" t="b">
        <v>1</v>
      </c>
      <c r="G21" s="95" t="str">
        <f ca="1"/>
        <v>device_name_1320109_fortune_pistol</v>
      </c>
      <c r="H21" s="95">
        <f ca="1"/>
        <v>0</v>
      </c>
    </row>
    <row r="22" spans="1:8">
      <c r="A22" s="95">
        <v>1310105</v>
      </c>
      <c r="B22" s="95" t="str">
        <f ca="1">_xlfn.XLOOKUP($A22,device_all!$A:$A,device_all!H:H)</f>
        <v>device_name_1310105_inflatable_stick</v>
      </c>
      <c r="C22" s="95">
        <f>_xlfn.XLOOKUP($A22,device_all!$A:$A,device_all!E:E)</f>
        <v>0</v>
      </c>
      <c r="D22" s="96" t="s">
        <v>717</v>
      </c>
      <c r="G22" s="95" t="str">
        <f ca="1"/>
        <v>device_name_1320110_patience_musket</v>
      </c>
      <c r="H22" s="95">
        <f ca="1"/>
        <v>0</v>
      </c>
    </row>
    <row r="23" spans="1:8">
      <c r="A23" s="95">
        <v>13101050</v>
      </c>
      <c r="B23" s="95" t="str">
        <f ca="1">_xlfn.XLOOKUP($A23,device_all!$A:$A,device_all!H:H)</f>
        <v>device_name_1310105_inflatable_stick</v>
      </c>
      <c r="C23" s="95">
        <f>_xlfn.XLOOKUP($A23,device_all!$A:$A,device_all!E:E)</f>
        <v>0</v>
      </c>
      <c r="D23" s="92" t="b">
        <v>1</v>
      </c>
      <c r="G23" s="95" t="str">
        <f ca="1"/>
        <v>device_name_1320111_machine_gun</v>
      </c>
      <c r="H23" s="95">
        <f ca="1"/>
        <v>0</v>
      </c>
    </row>
    <row r="24" spans="1:8">
      <c r="A24" s="95">
        <v>13101051</v>
      </c>
      <c r="B24" s="95" t="str">
        <f ca="1">_xlfn.XLOOKUP($A24,device_all!$A:$A,device_all!H:H)</f>
        <v>device_name_1310105_inflatable_stick</v>
      </c>
      <c r="C24" s="95">
        <f>_xlfn.XLOOKUP($A24,device_all!$A:$A,device_all!E:E)</f>
        <v>0</v>
      </c>
      <c r="D24" s="92" t="b">
        <v>1</v>
      </c>
      <c r="G24" s="95" t="str">
        <f ca="1"/>
        <v>device_name_130002007_heave_crossbow</v>
      </c>
      <c r="H24" s="95">
        <f ca="1"/>
        <v>0</v>
      </c>
    </row>
    <row r="25" spans="1:8">
      <c r="A25" s="95">
        <v>1310106</v>
      </c>
      <c r="B25" s="95" t="str">
        <f ca="1">_xlfn.XLOOKUP($A25,device_all!$A:$A,device_all!H:H)</f>
        <v>device_name_1310106_circlesaw</v>
      </c>
      <c r="C25" s="95">
        <f>_xlfn.XLOOKUP($A25,device_all!$A:$A,device_all!E:E)</f>
        <v>0</v>
      </c>
      <c r="D25" s="92" t="b">
        <v>1</v>
      </c>
      <c r="G25" s="95" t="str">
        <f ca="1"/>
        <v>device_name_1330101_solid_rocket</v>
      </c>
      <c r="H25" s="95">
        <f ca="1"/>
        <v>0</v>
      </c>
    </row>
    <row r="26" spans="1:8">
      <c r="A26" s="95">
        <v>13101061</v>
      </c>
      <c r="B26" s="95" t="str">
        <f ca="1">_xlfn.XLOOKUP($A26,device_all!$A:$A,device_all!H:H)</f>
        <v>device_name_1310106_circlesaw</v>
      </c>
      <c r="C26" s="95">
        <f>_xlfn.XLOOKUP($A26,device_all!$A:$A,device_all!E:E)</f>
        <v>0</v>
      </c>
      <c r="D26" s="92" t="b">
        <v>1</v>
      </c>
      <c r="G26" s="95" t="str">
        <f ca="1"/>
        <v>device_name_1330101_solid_rocket</v>
      </c>
      <c r="H26" s="95" t="str">
        <f ca="1"/>
        <v>Lv.2</v>
      </c>
    </row>
    <row r="27" spans="1:8">
      <c r="A27" s="95">
        <v>13101062</v>
      </c>
      <c r="B27" s="95" t="str">
        <f ca="1">_xlfn.XLOOKUP($A27,device_all!$A:$A,device_all!H:H)</f>
        <v>device_name_1310106_circlesaw</v>
      </c>
      <c r="C27" s="95">
        <f>_xlfn.XLOOKUP($A27,device_all!$A:$A,device_all!E:E)</f>
        <v>0</v>
      </c>
      <c r="D27" s="96" t="s">
        <v>717</v>
      </c>
      <c r="G27" s="95" t="str">
        <f ca="1"/>
        <v>device_name_1330105_bird_slingshot</v>
      </c>
      <c r="H27" s="95">
        <f ca="1"/>
        <v>0</v>
      </c>
    </row>
    <row r="28" spans="1:8">
      <c r="A28" s="95">
        <v>13101063</v>
      </c>
      <c r="B28" s="95" t="str">
        <f ca="1">_xlfn.XLOOKUP($A28,device_all!$A:$A,device_all!H:H)</f>
        <v>device_name_1310106_circlesaw</v>
      </c>
      <c r="C28" s="95">
        <f>_xlfn.XLOOKUP($A28,device_all!$A:$A,device_all!E:E)</f>
        <v>0</v>
      </c>
      <c r="D28" s="92" t="b">
        <v>1</v>
      </c>
      <c r="G28" s="95" t="str">
        <f ca="1"/>
        <v>device_name_1330106_car_bomb</v>
      </c>
      <c r="H28" s="95">
        <f ca="1"/>
        <v>0</v>
      </c>
    </row>
    <row r="29" spans="1:8">
      <c r="A29" s="95">
        <v>13101064</v>
      </c>
      <c r="B29" s="95" t="str">
        <f ca="1">_xlfn.XLOOKUP($A29,device_all!$A:$A,device_all!H:H)</f>
        <v>device_name_1310106_circlesaw</v>
      </c>
      <c r="C29" s="95">
        <f>_xlfn.XLOOKUP($A29,device_all!$A:$A,device_all!E:E)</f>
        <v>0</v>
      </c>
      <c r="D29" s="92" t="b">
        <v>1</v>
      </c>
      <c r="G29" s="95" t="str">
        <f ca="1"/>
        <v>device_name_1330106_car_bomb</v>
      </c>
      <c r="H29" s="95" t="str">
        <f ca="1"/>
        <v>Lv.0</v>
      </c>
    </row>
    <row r="30" spans="1:8">
      <c r="A30" s="95">
        <v>1310107</v>
      </c>
      <c r="B30" s="95" t="str">
        <f ca="1">_xlfn.XLOOKUP($A30,device_all!$A:$A,device_all!H:H)</f>
        <v>device_name_1310107_double_edged_cutter</v>
      </c>
      <c r="C30" s="95">
        <f>_xlfn.XLOOKUP($A30,device_all!$A:$A,device_all!E:E)</f>
        <v>0</v>
      </c>
      <c r="D30" s="92" t="b">
        <v>1</v>
      </c>
      <c r="G30" s="95" t="str">
        <f ca="1"/>
        <v>device_name_1330106_car_bomb</v>
      </c>
      <c r="H30" s="95" t="str">
        <f ca="1"/>
        <v>Lv.1</v>
      </c>
    </row>
    <row r="31" spans="1:8">
      <c r="A31" s="95">
        <v>13101070</v>
      </c>
      <c r="B31" s="95" t="str">
        <f ca="1">_xlfn.XLOOKUP($A31,device_all!$A:$A,device_all!H:H)</f>
        <v>device_name_1310107_double_edged_cutter</v>
      </c>
      <c r="C31" s="95">
        <f>_xlfn.XLOOKUP($A31,device_all!$A:$A,device_all!E:E)</f>
        <v>0</v>
      </c>
      <c r="D31" s="92" t="b">
        <v>1</v>
      </c>
      <c r="G31" s="95" t="str">
        <f ca="1"/>
        <v>device_name_1330106_car_bomb</v>
      </c>
      <c r="H31" s="95" t="str">
        <f ca="1"/>
        <v>Lv.2</v>
      </c>
    </row>
    <row r="32" spans="1:8">
      <c r="A32" s="95">
        <v>13101071</v>
      </c>
      <c r="B32" s="95" t="str">
        <f ca="1">_xlfn.XLOOKUP($A32,device_all!$A:$A,device_all!H:H)</f>
        <v>device_name_1310107_double_edged_cutter</v>
      </c>
      <c r="C32" s="95">
        <f>_xlfn.XLOOKUP($A32,device_all!$A:$A,device_all!E:E)</f>
        <v>0</v>
      </c>
      <c r="G32" s="95" t="str">
        <f ca="1"/>
        <v>device_name_1330129</v>
      </c>
      <c r="H32" s="95">
        <f ca="1"/>
        <v>0</v>
      </c>
    </row>
    <row r="33" spans="1:8">
      <c r="A33" s="95">
        <v>13101072</v>
      </c>
      <c r="B33" s="95" t="str">
        <f ca="1">_xlfn.XLOOKUP($A33,device_all!$A:$A,device_all!H:H)</f>
        <v>device_name_1310107_double_edged_cutter</v>
      </c>
      <c r="C33" s="95">
        <f>_xlfn.XLOOKUP($A33,device_all!$A:$A,device_all!E:E)</f>
        <v>0</v>
      </c>
      <c r="G33" s="95" t="str">
        <f ca="1"/>
        <v>device_name_1331801_tesla</v>
      </c>
      <c r="H33" s="95">
        <f ca="1"/>
        <v>0</v>
      </c>
    </row>
    <row r="34" spans="1:8">
      <c r="A34" s="95">
        <v>13101073</v>
      </c>
      <c r="B34" s="95" t="str">
        <f ca="1">_xlfn.XLOOKUP($A34,device_all!$A:$A,device_all!H:H)</f>
        <v>device_name_1310107_double_edged_cutter</v>
      </c>
      <c r="C34" s="95">
        <f>_xlfn.XLOOKUP($A34,device_all!$A:$A,device_all!E:E)</f>
        <v>0</v>
      </c>
      <c r="G34" s="95" t="str">
        <f ca="1"/>
        <v>device_name_1331801_tesla</v>
      </c>
      <c r="H34" s="95" t="str">
        <f ca="1"/>
        <v>特斯拉电极 Lv2</v>
      </c>
    </row>
    <row r="35" spans="1:8">
      <c r="A35" s="95">
        <v>1311101</v>
      </c>
      <c r="B35" s="95" t="str">
        <f ca="1">_xlfn.XLOOKUP($A35,device_all!$A:$A,device_all!H:H)</f>
        <v>device_name_1311101_executioner_baton</v>
      </c>
      <c r="C35" s="95">
        <f>_xlfn.XLOOKUP($A35,device_all!$A:$A,device_all!E:E)</f>
        <v>0</v>
      </c>
      <c r="G35" s="95" t="str">
        <f ca="1"/>
        <v>device_name_1351801_harpoon_gun</v>
      </c>
      <c r="H35" s="95">
        <f ca="1"/>
        <v>0</v>
      </c>
    </row>
    <row r="36" spans="1:8">
      <c r="A36" s="95">
        <v>1311102</v>
      </c>
      <c r="B36" s="95" t="str">
        <f ca="1">_xlfn.XLOOKUP($A36,device_all!$A:$A,device_all!H:H)</f>
        <v>device_name_1311102_executioner_halberd</v>
      </c>
      <c r="C36" s="95">
        <f>_xlfn.XLOOKUP($A36,device_all!$A:$A,device_all!E:E)</f>
        <v>0</v>
      </c>
      <c r="G36" s="95" t="str">
        <f ca="1"/>
        <v>device_name_1360101_spear_ram</v>
      </c>
      <c r="H36" s="95">
        <f ca="1"/>
        <v>0</v>
      </c>
    </row>
    <row r="37" spans="1:8">
      <c r="A37" s="95">
        <v>1311801</v>
      </c>
      <c r="B37" s="95" t="str">
        <f ca="1">_xlfn.XLOOKUP($A37,device_all!$A:$A,device_all!H:H)</f>
        <v>device_name_1311801_short_harpoon</v>
      </c>
      <c r="C37" s="95">
        <f>_xlfn.XLOOKUP($A37,device_all!$A:$A,device_all!E:E)</f>
        <v>0</v>
      </c>
      <c r="G37" s="95" t="str">
        <f ca="1"/>
        <v>device_name_1360101_spear_ram</v>
      </c>
      <c r="H37" s="95" t="str">
        <f ca="1"/>
        <v>刺矛撞角 Lv.0</v>
      </c>
    </row>
    <row r="38" spans="1:8">
      <c r="A38" s="95">
        <v>1311802</v>
      </c>
      <c r="B38" s="95" t="str">
        <f ca="1">_xlfn.XLOOKUP($A38,device_all!$A:$A,device_all!H:H)</f>
        <v>device_name_1311802_tentacle</v>
      </c>
      <c r="C38" s="95">
        <f>_xlfn.XLOOKUP($A38,device_all!$A:$A,device_all!E:E)</f>
        <v>0</v>
      </c>
      <c r="G38" s="95" t="str">
        <f ca="1"/>
        <v>device_name_1360101_spear_ram</v>
      </c>
      <c r="H38" s="95" t="str">
        <f ca="1"/>
        <v>刺矛撞角 Lv.2</v>
      </c>
    </row>
    <row r="39" spans="1:8">
      <c r="A39" s="95">
        <v>1319000</v>
      </c>
      <c r="B39" s="95" t="str">
        <f>_xlfn.XLOOKUP($A39,device_all!$A:$A,device_all!H:H)</f>
        <v>device_name_1311101_executioner_baton</v>
      </c>
      <c r="C39" s="95">
        <f>_xlfn.XLOOKUP($A39,device_all!$A:$A,device_all!E:E)</f>
        <v>0</v>
      </c>
      <c r="G39" s="95" t="str">
        <f ca="1"/>
        <v>device_name_1360102_metal_ram</v>
      </c>
      <c r="H39" s="95">
        <f ca="1"/>
        <v>0</v>
      </c>
    </row>
    <row r="40" spans="1:8">
      <c r="A40" s="95">
        <v>1319001</v>
      </c>
      <c r="B40" s="95" t="str">
        <f ca="1">_xlfn.XLOOKUP($A40,device_all!$A:$A,device_all!H:H)</f>
        <v>device_name_1319001_amy_baton</v>
      </c>
      <c r="C40" s="95" t="str">
        <f>_xlfn.XLOOKUP($A40,device_all!$A:$A,device_all!E:E)</f>
        <v>劣质钉棍</v>
      </c>
      <c r="G40" s="95" t="str">
        <f ca="1"/>
        <v>device_name_1360102_metal_ram</v>
      </c>
      <c r="H40" s="95" t="str">
        <f ca="1"/>
        <v>金属铲斗 Lv.3</v>
      </c>
    </row>
    <row r="41" spans="1:8">
      <c r="A41" s="95">
        <v>1319002</v>
      </c>
      <c r="B41" s="95" t="str">
        <f>_xlfn.XLOOKUP($A41,device_all!$A:$A,device_all!H:H)</f>
        <v>device_name_1310103_claymore</v>
      </c>
      <c r="C41" s="95">
        <f>_xlfn.XLOOKUP($A41,device_all!$A:$A,device_all!E:E)</f>
        <v>0</v>
      </c>
      <c r="G41" s="95" t="str">
        <f ca="1"/>
        <v>device_name_1360103_bouncing_mushroom</v>
      </c>
      <c r="H41" s="95">
        <f ca="1"/>
        <v>0</v>
      </c>
    </row>
    <row r="42" spans="1:8">
      <c r="A42" s="95">
        <v>130001005</v>
      </c>
      <c r="B42" s="95" t="str">
        <f ca="1">_xlfn.XLOOKUP($A42,device_all!$A:$A,device_all!H:H)</f>
        <v>device_name_130001005_ax</v>
      </c>
      <c r="C42" s="95">
        <f>_xlfn.XLOOKUP($A42,device_all!$A:$A,device_all!E:E)</f>
        <v>0</v>
      </c>
      <c r="D42" s="96" t="s">
        <v>717</v>
      </c>
      <c r="G42" s="95" t="str">
        <f ca="1"/>
        <v>device_name_1360103_bouncing_mushroom</v>
      </c>
      <c r="H42" s="95" t="str">
        <f ca="1"/>
        <v>蘑菇挡板 Lv.1</v>
      </c>
    </row>
    <row r="43" spans="1:8">
      <c r="A43" s="95">
        <v>130001006</v>
      </c>
      <c r="B43" s="95" t="str">
        <f ca="1">_xlfn.XLOOKUP($A43,device_all!$A:$A,device_all!H:H)</f>
        <v>device_name_130001006_mace</v>
      </c>
      <c r="C43" s="95">
        <f>_xlfn.XLOOKUP($A43,device_all!$A:$A,device_all!E:E)</f>
        <v>0</v>
      </c>
      <c r="D43" s="92" t="b">
        <v>1</v>
      </c>
      <c r="G43" s="95" t="str">
        <f ca="1"/>
        <v>device_name_1361801_long_harpoon</v>
      </c>
      <c r="H43" s="95">
        <f ca="1"/>
        <v>0</v>
      </c>
    </row>
    <row r="44" spans="1:8">
      <c r="A44" s="95">
        <v>1320101</v>
      </c>
      <c r="B44" s="95" t="str">
        <f ca="1">_xlfn.XLOOKUP($A44,device_all!$A:$A,device_all!H:H)</f>
        <v>device_name_1320101_bow</v>
      </c>
      <c r="C44" s="95">
        <f>_xlfn.XLOOKUP($A44,device_all!$A:$A,device_all!E:E)</f>
        <v>0</v>
      </c>
      <c r="D44" s="92" t="b">
        <v>1</v>
      </c>
      <c r="G44" s="95" t="str">
        <f ca="1"/>
        <v>device_name_1361801_long_harpoon</v>
      </c>
      <c r="H44" s="95" t="str">
        <f ca="1"/>
        <v>长柄鱼叉 Lv.1</v>
      </c>
    </row>
    <row r="45" spans="1:8">
      <c r="A45" s="95">
        <v>1320102</v>
      </c>
      <c r="B45" s="95" t="str">
        <f ca="1">_xlfn.XLOOKUP($A45,device_all!$A:$A,device_all!H:H)</f>
        <v>device_name_1320102_pistol</v>
      </c>
      <c r="C45" s="95">
        <f>_xlfn.XLOOKUP($A45,device_all!$A:$A,device_all!E:E)</f>
        <v>0</v>
      </c>
      <c r="D45" s="92" t="b">
        <v>1</v>
      </c>
    </row>
    <row r="46" spans="1:8">
      <c r="A46" s="95">
        <v>13201021</v>
      </c>
      <c r="B46" s="95" t="str">
        <f ca="1">_xlfn.XLOOKUP($A46,device_all!$A:$A,device_all!H:H)</f>
        <v>device_name_1320102_pistol</v>
      </c>
      <c r="C46" s="95" t="str">
        <f>_xlfn.XLOOKUP($A46,device_all!$A:$A,device_all!E:E)</f>
        <v>防身手枪</v>
      </c>
      <c r="D46" s="96" t="s">
        <v>717</v>
      </c>
    </row>
    <row r="47" spans="1:8">
      <c r="A47" s="95">
        <v>13201022</v>
      </c>
      <c r="B47" s="95" t="str">
        <f ca="1">_xlfn.XLOOKUP($A47,device_all!$A:$A,device_all!H:H)</f>
        <v>device_name_1320102_pistol</v>
      </c>
      <c r="C47" s="95" t="str">
        <f>_xlfn.XLOOKUP($A47,device_all!$A:$A,device_all!E:E)</f>
        <v>前线手枪</v>
      </c>
      <c r="D47" s="92" t="b">
        <v>1</v>
      </c>
    </row>
    <row r="48" spans="1:8">
      <c r="A48" s="95">
        <v>13201023</v>
      </c>
      <c r="B48" s="95" t="str">
        <f ca="1">_xlfn.XLOOKUP($A48,device_all!$A:$A,device_all!H:H)</f>
        <v>device_name_1320102_pistol</v>
      </c>
      <c r="C48" s="95" t="str">
        <f>_xlfn.XLOOKUP($A48,device_all!$A:$A,device_all!E:E)</f>
        <v>军士长手枪</v>
      </c>
      <c r="D48" s="92" t="b">
        <v>1</v>
      </c>
    </row>
    <row r="49" spans="1:4">
      <c r="A49" s="95">
        <v>13201029</v>
      </c>
      <c r="B49" s="95" t="str">
        <f>_xlfn.XLOOKUP($A49,device_all!$A:$A,device_all!H:H)</f>
        <v>device_name_13201029_pistol</v>
      </c>
      <c r="C49" s="95" t="str">
        <f>_xlfn.XLOOKUP($A49,device_all!$A:$A,device_all!E:E)</f>
        <v>老舅的手枪</v>
      </c>
      <c r="D49" s="92" t="b">
        <v>1</v>
      </c>
    </row>
    <row r="50" spans="1:4">
      <c r="A50" s="95">
        <v>1320103</v>
      </c>
      <c r="B50" s="95" t="str">
        <f ca="1">_xlfn.XLOOKUP($A50,device_all!$A:$A,device_all!H:H)</f>
        <v>device_name_1320103_shotgun</v>
      </c>
      <c r="C50" s="95">
        <f>_xlfn.XLOOKUP($A50,device_all!$A:$A,device_all!E:E)</f>
        <v>0</v>
      </c>
      <c r="D50" s="92" t="b">
        <v>1</v>
      </c>
    </row>
    <row r="51" spans="1:4">
      <c r="A51" s="95">
        <v>13201030</v>
      </c>
      <c r="B51" s="95" t="str">
        <f ca="1">_xlfn.XLOOKUP($A51,device_all!$A:$A,device_all!H:H)</f>
        <v>device_name_1320103_shotgun</v>
      </c>
      <c r="C51" s="95" t="str">
        <f>_xlfn.XLOOKUP($A51,device_all!$A:$A,device_all!E:E)</f>
        <v>废旧喇叭枪</v>
      </c>
      <c r="D51" s="96" t="s">
        <v>717</v>
      </c>
    </row>
    <row r="52" spans="1:4">
      <c r="A52" s="95">
        <v>13201031</v>
      </c>
      <c r="B52" s="95" t="str">
        <f ca="1">_xlfn.XLOOKUP($A52,device_all!$A:$A,device_all!H:H)</f>
        <v>device_name_1320103_shotgun</v>
      </c>
      <c r="C52" s="95" t="str">
        <f>_xlfn.XLOOKUP($A52,device_all!$A:$A,device_all!E:E)</f>
        <v>黄铜喇叭枪</v>
      </c>
      <c r="D52" s="92" t="b">
        <v>1</v>
      </c>
    </row>
    <row r="53" spans="1:4">
      <c r="A53" s="95">
        <v>13201032</v>
      </c>
      <c r="B53" s="95" t="str">
        <f ca="1">_xlfn.XLOOKUP($A53,device_all!$A:$A,device_all!H:H)</f>
        <v>device_name_1320103_shotgun</v>
      </c>
      <c r="C53" s="95" t="str">
        <f>_xlfn.XLOOKUP($A53,device_all!$A:$A,device_all!E:E)</f>
        <v>精钢喇叭枪</v>
      </c>
      <c r="D53" s="92" t="b">
        <v>1</v>
      </c>
    </row>
    <row r="54" spans="1:4">
      <c r="A54" s="95">
        <v>13201033</v>
      </c>
      <c r="B54" s="95" t="str">
        <f ca="1">_xlfn.XLOOKUP($A54,device_all!$A:$A,device_all!H:H)</f>
        <v>device_name_1320103_shotgun</v>
      </c>
      <c r="C54" s="95" t="str">
        <f>_xlfn.XLOOKUP($A54,device_all!$A:$A,device_all!E:E)</f>
        <v>钨金喇叭枪</v>
      </c>
    </row>
    <row r="55" spans="1:4">
      <c r="A55" s="95">
        <v>1320104</v>
      </c>
      <c r="B55" s="95" t="str">
        <f ca="1">_xlfn.XLOOKUP($A55,device_all!$A:$A,device_all!H:H)</f>
        <v>device_name_1320104_volley_gun</v>
      </c>
      <c r="C55" s="95">
        <f>_xlfn.XLOOKUP($A55,device_all!$A:$A,device_all!E:E)</f>
        <v>0</v>
      </c>
    </row>
    <row r="56" spans="1:4">
      <c r="A56" s="95">
        <v>13201043</v>
      </c>
      <c r="B56" s="95" t="str">
        <f ca="1">_xlfn.XLOOKUP($A56,device_all!$A:$A,device_all!H:H)</f>
        <v>device_name_1320104_volley_gun</v>
      </c>
      <c r="C56" s="95" t="str">
        <f>_xlfn.XLOOKUP($A56,device_all!$A:$A,device_all!E:E)</f>
        <v>转轮机枪 Lv3</v>
      </c>
    </row>
    <row r="57" spans="1:4">
      <c r="A57" s="95">
        <v>13201044</v>
      </c>
      <c r="B57" s="95" t="str">
        <f ca="1">_xlfn.XLOOKUP($A57,device_all!$A:$A,device_all!H:H)</f>
        <v>device_name_1320104_volley_gun</v>
      </c>
      <c r="C57" s="95" t="str">
        <f>_xlfn.XLOOKUP($A57,device_all!$A:$A,device_all!E:E)</f>
        <v>转轮机枪 Lv4</v>
      </c>
    </row>
    <row r="58" spans="1:4">
      <c r="A58" s="95">
        <v>1320105</v>
      </c>
      <c r="B58" s="95" t="str">
        <f ca="1">_xlfn.XLOOKUP($A58,device_all!$A:$A,device_all!H:H)</f>
        <v>device_name_1320105_rapid_fire_quiver</v>
      </c>
      <c r="C58" s="95">
        <f>_xlfn.XLOOKUP($A58,device_all!$A:$A,device_all!E:E)</f>
        <v>0</v>
      </c>
    </row>
    <row r="59" spans="1:4">
      <c r="A59" s="95">
        <v>1320106</v>
      </c>
      <c r="B59" s="95" t="str">
        <f ca="1">_xlfn.XLOOKUP($A59,device_all!$A:$A,device_all!H:H)</f>
        <v>device_name_1320106_rocket_bomb</v>
      </c>
      <c r="C59" s="95">
        <f>_xlfn.XLOOKUP($A59,device_all!$A:$A,device_all!E:E)</f>
        <v>0</v>
      </c>
    </row>
    <row r="60" spans="1:4">
      <c r="A60" s="95">
        <v>1320107</v>
      </c>
      <c r="B60" s="95" t="str">
        <f ca="1">_xlfn.XLOOKUP($A60,device_all!$A:$A,device_all!H:H)</f>
        <v>device_name_1320107_homemade_rocket_bomb</v>
      </c>
      <c r="C60" s="95">
        <f>_xlfn.XLOOKUP($A60,device_all!$A:$A,device_all!E:E)</f>
        <v>0</v>
      </c>
    </row>
    <row r="61" spans="1:4">
      <c r="A61" s="95">
        <v>1320108</v>
      </c>
      <c r="B61" s="95" t="str">
        <f ca="1">_xlfn.XLOOKUP($A61,device_all!$A:$A,device_all!H:H)</f>
        <v>device_name_1320108_musket</v>
      </c>
      <c r="C61" s="95">
        <f>_xlfn.XLOOKUP($A61,device_all!$A:$A,device_all!E:E)</f>
        <v>0</v>
      </c>
      <c r="D61" s="96" t="s">
        <v>717</v>
      </c>
    </row>
    <row r="62" spans="1:4">
      <c r="A62" s="95">
        <v>1320109</v>
      </c>
      <c r="B62" s="95" t="str">
        <f ca="1">_xlfn.XLOOKUP($A62,device_all!$A:$A,device_all!H:H)</f>
        <v>device_name_1320109_fortune_pistol</v>
      </c>
      <c r="C62" s="95">
        <f>_xlfn.XLOOKUP($A62,device_all!$A:$A,device_all!E:E)</f>
        <v>0</v>
      </c>
      <c r="D62" s="92" t="b">
        <v>1</v>
      </c>
    </row>
    <row r="63" spans="1:4">
      <c r="A63" s="95">
        <v>1320110</v>
      </c>
      <c r="B63" s="95" t="str">
        <f ca="1">_xlfn.XLOOKUP($A63,device_all!$A:$A,device_all!H:H)</f>
        <v>device_name_1320110_patience_musket</v>
      </c>
      <c r="C63" s="95">
        <f>_xlfn.XLOOKUP($A63,device_all!$A:$A,device_all!E:E)</f>
        <v>0</v>
      </c>
      <c r="D63" s="92" t="b">
        <v>1</v>
      </c>
    </row>
    <row r="64" spans="1:4">
      <c r="A64" s="95">
        <v>1320111</v>
      </c>
      <c r="B64" s="95" t="str">
        <f ca="1">_xlfn.XLOOKUP($A64,device_all!$A:$A,device_all!H:H)</f>
        <v>device_name_1320111_machine_gun</v>
      </c>
      <c r="C64" s="95">
        <f>_xlfn.XLOOKUP($A64,device_all!$A:$A,device_all!E:E)</f>
        <v>0</v>
      </c>
      <c r="D64" s="92" t="b">
        <v>1</v>
      </c>
    </row>
    <row r="65" spans="1:4">
      <c r="A65" s="95">
        <v>1320112</v>
      </c>
      <c r="B65" s="95" t="str">
        <f ca="1">_xlfn.XLOOKUP($A65,device_all!$A:$A,device_all!H:H)</f>
        <v>device_name_1320112_anti_riot_revolver</v>
      </c>
      <c r="C65" s="95">
        <f>_xlfn.XLOOKUP($A65,device_all!$A:$A,device_all!E:E)</f>
        <v>0</v>
      </c>
    </row>
    <row r="66" spans="1:4">
      <c r="A66" s="95">
        <v>13201120</v>
      </c>
      <c r="B66" s="95" t="str">
        <f ca="1">_xlfn.XLOOKUP($A66,device_all!$A:$A,device_all!H:H)</f>
        <v>device_name_1320112_anti_riot_revolver</v>
      </c>
      <c r="C66" s="95" t="str">
        <f>_xlfn.XLOOKUP($A66,device_all!$A:$A,device_all!E:E)</f>
        <v>锈铁左轮</v>
      </c>
    </row>
    <row r="67" spans="1:4">
      <c r="A67" s="95">
        <v>13201121</v>
      </c>
      <c r="B67" s="95" t="str">
        <f ca="1">_xlfn.XLOOKUP($A67,device_all!$A:$A,device_all!H:H)</f>
        <v>device_name_1320112_anti_riot_revolver</v>
      </c>
      <c r="C67" s="95" t="str">
        <f>_xlfn.XLOOKUP($A67,device_all!$A:$A,device_all!E:E)</f>
        <v>民用左轮</v>
      </c>
    </row>
    <row r="68" spans="1:4">
      <c r="A68" s="95">
        <v>13201122</v>
      </c>
      <c r="B68" s="95" t="str">
        <f ca="1">_xlfn.XLOOKUP($A68,device_all!$A:$A,device_all!H:H)</f>
        <v>device_name_1320112_anti_riot_revolver</v>
      </c>
      <c r="C68" s="95" t="str">
        <f>_xlfn.XLOOKUP($A68,device_all!$A:$A,device_all!E:E)</f>
        <v>爆破者左轮</v>
      </c>
    </row>
    <row r="69" spans="1:4">
      <c r="A69" s="95">
        <v>1320113</v>
      </c>
      <c r="B69" s="95" t="str">
        <f ca="1">_xlfn.XLOOKUP($A69,device_all!$A:$A,device_all!H:H)</f>
        <v>device_name_1320113_huge_ballista</v>
      </c>
      <c r="C69" s="95">
        <f>_xlfn.XLOOKUP($A69,device_all!$A:$A,device_all!E:E)</f>
        <v>0</v>
      </c>
    </row>
    <row r="70" spans="1:4">
      <c r="A70" s="95">
        <v>1320114</v>
      </c>
      <c r="B70" s="95" t="str">
        <f ca="1">_xlfn.XLOOKUP($A70,device_all!$A:$A,device_all!H:H)</f>
        <v>device_name_1320114_catapult</v>
      </c>
      <c r="C70" s="95">
        <f>_xlfn.XLOOKUP($A70,device_all!$A:$A,device_all!E:E)</f>
        <v>0</v>
      </c>
    </row>
    <row r="71" spans="1:4">
      <c r="A71" s="95">
        <v>1320115</v>
      </c>
      <c r="B71" s="95" t="str">
        <f ca="1">_xlfn.XLOOKUP($A71,device_all!$A:$A,device_all!H:H)</f>
        <v>device_name_1320115_roll_wood</v>
      </c>
      <c r="C71" s="95">
        <f>_xlfn.XLOOKUP($A71,device_all!$A:$A,device_all!E:E)</f>
        <v>0</v>
      </c>
    </row>
    <row r="72" spans="1:4">
      <c r="A72" s="95">
        <v>1321101</v>
      </c>
      <c r="B72" s="95" t="str">
        <f ca="1">_xlfn.XLOOKUP($A72,device_all!$A:$A,device_all!H:H)</f>
        <v>device_name_1321101_anti_riot_revolver</v>
      </c>
      <c r="C72" s="95">
        <f>_xlfn.XLOOKUP($A72,device_all!$A:$A,device_all!E:E)</f>
        <v>0</v>
      </c>
    </row>
    <row r="73" spans="1:4">
      <c r="A73" s="95">
        <v>1321102</v>
      </c>
      <c r="B73" s="95" t="str">
        <f ca="1">_xlfn.XLOOKUP($A73,device_all!$A:$A,device_all!H:H)</f>
        <v>device_name_1321102_anti_riot_shotgun</v>
      </c>
      <c r="C73" s="95">
        <f>_xlfn.XLOOKUP($A73,device_all!$A:$A,device_all!E:E)</f>
        <v>0</v>
      </c>
    </row>
    <row r="74" spans="1:4">
      <c r="A74" s="95">
        <v>1329000</v>
      </c>
      <c r="B74" s="95" t="str">
        <f>_xlfn.XLOOKUP($A74,device_all!$A:$A,device_all!H:H)</f>
        <v>device_name_1320102_pistol</v>
      </c>
      <c r="C74" s="95">
        <f>_xlfn.XLOOKUP($A74,device_all!$A:$A,device_all!E:E)</f>
        <v>0</v>
      </c>
    </row>
    <row r="75" spans="1:4">
      <c r="A75" s="95">
        <v>1329001</v>
      </c>
      <c r="B75" s="95" t="str">
        <f>_xlfn.XLOOKUP($A75,device_all!$A:$A,device_all!H:H)</f>
        <v>device_name_1320112_anti_riot_revolver</v>
      </c>
      <c r="C75" s="95" t="str">
        <f>_xlfn.XLOOKUP($A75,device_all!$A:$A,device_all!E:E)</f>
        <v>AMY左轮</v>
      </c>
      <c r="D75" s="96" t="s">
        <v>717</v>
      </c>
    </row>
    <row r="76" spans="1:4">
      <c r="A76" s="95">
        <v>130002007</v>
      </c>
      <c r="B76" s="95" t="str">
        <f ca="1">_xlfn.XLOOKUP($A76,device_all!$A:$A,device_all!H:H)</f>
        <v>device_name_130002007_heave_crossbow</v>
      </c>
      <c r="C76" s="95">
        <f>_xlfn.XLOOKUP($A76,device_all!$A:$A,device_all!E:E)</f>
        <v>0</v>
      </c>
      <c r="D76" s="92" t="b">
        <v>1</v>
      </c>
    </row>
    <row r="77" spans="1:4">
      <c r="A77" s="95">
        <v>1330101</v>
      </c>
      <c r="B77" s="95" t="str">
        <f ca="1">_xlfn.XLOOKUP($A77,device_all!$A:$A,device_all!H:H)</f>
        <v>device_name_1330101_solid_rocket</v>
      </c>
      <c r="C77" s="95">
        <f>_xlfn.XLOOKUP($A77,device_all!$A:$A,device_all!E:E)</f>
        <v>0</v>
      </c>
      <c r="D77" s="92" t="b">
        <v>1</v>
      </c>
    </row>
    <row r="78" spans="1:4">
      <c r="A78" s="95">
        <v>13301012</v>
      </c>
      <c r="B78" s="95" t="str">
        <f ca="1">_xlfn.XLOOKUP($A78,device_all!$A:$A,device_all!H:H)</f>
        <v>device_name_1330101_solid_rocket</v>
      </c>
      <c r="C78" s="95" t="str">
        <f>_xlfn.XLOOKUP($A78,device_all!$A:$A,device_all!E:E)</f>
        <v>Lv.2</v>
      </c>
      <c r="D78" s="92" t="b">
        <v>1</v>
      </c>
    </row>
    <row r="79" spans="1:4">
      <c r="A79" s="95">
        <v>13301013</v>
      </c>
      <c r="B79" s="95" t="str">
        <f ca="1">_xlfn.XLOOKUP($A79,device_all!$A:$A,device_all!H:H)</f>
        <v>device_name_1330101_solid_rocket</v>
      </c>
      <c r="C79" s="95" t="str">
        <f>_xlfn.XLOOKUP($A79,device_all!$A:$A,device_all!E:E)</f>
        <v>Lv.3</v>
      </c>
    </row>
    <row r="80" spans="1:4">
      <c r="A80" s="95">
        <v>13301014</v>
      </c>
      <c r="B80" s="95" t="str">
        <f ca="1">_xlfn.XLOOKUP($A80,device_all!$A:$A,device_all!H:H)</f>
        <v>device_name_1330101_solid_rocket</v>
      </c>
      <c r="C80" s="95" t="str">
        <f>_xlfn.XLOOKUP($A80,device_all!$A:$A,device_all!E:E)</f>
        <v>Lv.4</v>
      </c>
    </row>
    <row r="81" spans="1:4">
      <c r="A81" s="95">
        <v>1330102</v>
      </c>
      <c r="B81" s="95" t="str">
        <f ca="1">_xlfn.XLOOKUP($A81,device_all!$A:$A,device_all!H:H)</f>
        <v>device_name_1330102_war_drum</v>
      </c>
      <c r="C81" s="95">
        <f>_xlfn.XLOOKUP($A81,device_all!$A:$A,device_all!E:E)</f>
        <v>0</v>
      </c>
    </row>
    <row r="82" spans="1:4">
      <c r="A82" s="95">
        <v>1330103</v>
      </c>
      <c r="B82" s="95" t="str">
        <f ca="1">_xlfn.XLOOKUP($A82,device_all!$A:$A,device_all!H:H)</f>
        <v>device_name_1330103_catching_flower</v>
      </c>
      <c r="C82" s="95">
        <f>_xlfn.XLOOKUP($A82,device_all!$A:$A,device_all!E:E)</f>
        <v>0</v>
      </c>
    </row>
    <row r="83" spans="1:4">
      <c r="A83" s="95">
        <v>1330104</v>
      </c>
      <c r="B83" s="95" t="str">
        <f ca="1">_xlfn.XLOOKUP($A83,device_all!$A:$A,device_all!H:H)</f>
        <v>device_name_1330104_gyroscope</v>
      </c>
      <c r="C83" s="95">
        <f>_xlfn.XLOOKUP($A83,device_all!$A:$A,device_all!E:E)</f>
        <v>0</v>
      </c>
      <c r="D83" s="96" t="s">
        <v>717</v>
      </c>
    </row>
    <row r="84" spans="1:4">
      <c r="A84" s="95">
        <v>1330105</v>
      </c>
      <c r="B84" s="95" t="str">
        <f ca="1">_xlfn.XLOOKUP($A84,device_all!$A:$A,device_all!H:H)</f>
        <v>device_name_1330105_bird_slingshot</v>
      </c>
      <c r="C84" s="95">
        <f>_xlfn.XLOOKUP($A84,device_all!$A:$A,device_all!E:E)</f>
        <v>0</v>
      </c>
      <c r="D84" s="92" t="b">
        <v>1</v>
      </c>
    </row>
    <row r="85" spans="1:4">
      <c r="A85" s="95">
        <v>1330106</v>
      </c>
      <c r="B85" s="95" t="str">
        <f ca="1">_xlfn.XLOOKUP($A85,device_all!$A:$A,device_all!H:H)</f>
        <v>device_name_1330106_car_bomb</v>
      </c>
      <c r="C85" s="95">
        <f>_xlfn.XLOOKUP($A85,device_all!$A:$A,device_all!E:E)</f>
        <v>0</v>
      </c>
      <c r="D85" s="92" t="b">
        <v>1</v>
      </c>
    </row>
    <row r="86" spans="1:4">
      <c r="A86" s="95">
        <v>13301060</v>
      </c>
      <c r="B86" s="95" t="str">
        <f ca="1">_xlfn.XLOOKUP($A86,device_all!$A:$A,device_all!H:H)</f>
        <v>device_name_1330106_car_bomb</v>
      </c>
      <c r="C86" s="95" t="str">
        <f>_xlfn.XLOOKUP($A86,device_all!$A:$A,device_all!E:E)</f>
        <v>Lv.0</v>
      </c>
      <c r="D86" s="92" t="b">
        <v>1</v>
      </c>
    </row>
    <row r="87" spans="1:4">
      <c r="A87" s="95">
        <v>13301061</v>
      </c>
      <c r="B87" s="95" t="str">
        <f ca="1">_xlfn.XLOOKUP($A87,device_all!$A:$A,device_all!H:H)</f>
        <v>device_name_1330106_car_bomb</v>
      </c>
      <c r="C87" s="95" t="str">
        <f>_xlfn.XLOOKUP($A87,device_all!$A:$A,device_all!E:E)</f>
        <v>Lv.1</v>
      </c>
      <c r="D87" s="92" t="b">
        <v>1</v>
      </c>
    </row>
    <row r="88" spans="1:4">
      <c r="A88" s="95">
        <v>13301062</v>
      </c>
      <c r="B88" s="95" t="str">
        <f ca="1">_xlfn.XLOOKUP($A88,device_all!$A:$A,device_all!H:H)</f>
        <v>device_name_1330106_car_bomb</v>
      </c>
      <c r="C88" s="95" t="str">
        <f>_xlfn.XLOOKUP($A88,device_all!$A:$A,device_all!E:E)</f>
        <v>Lv.2</v>
      </c>
      <c r="D88" s="92" t="b">
        <v>1</v>
      </c>
    </row>
    <row r="89" spans="1:4">
      <c r="A89" s="95">
        <v>13301063</v>
      </c>
      <c r="B89" s="95" t="str">
        <f ca="1">_xlfn.XLOOKUP($A89,device_all!$A:$A,device_all!H:H)</f>
        <v>device_name_1330106_car_bomb</v>
      </c>
      <c r="C89" s="95" t="str">
        <f>_xlfn.XLOOKUP($A89,device_all!$A:$A,device_all!E:E)</f>
        <v>Lv.3</v>
      </c>
    </row>
    <row r="90" spans="1:4">
      <c r="A90" s="95">
        <v>13301064</v>
      </c>
      <c r="B90" s="95" t="str">
        <f ca="1">_xlfn.XLOOKUP($A90,device_all!$A:$A,device_all!H:H)</f>
        <v>device_name_1330106_car_bomb</v>
      </c>
      <c r="C90" s="95" t="str">
        <f>_xlfn.XLOOKUP($A90,device_all!$A:$A,device_all!E:E)</f>
        <v>Lv.4</v>
      </c>
    </row>
    <row r="91" spans="1:4">
      <c r="A91" s="95">
        <v>1330107</v>
      </c>
      <c r="B91" s="95" t="str">
        <f ca="1">_xlfn.XLOOKUP($A91,device_all!$A:$A,device_all!H:H)</f>
        <v>device_name_1330107</v>
      </c>
      <c r="C91" s="95">
        <f>_xlfn.XLOOKUP($A91,device_all!$A:$A,device_all!E:E)</f>
        <v>0</v>
      </c>
    </row>
    <row r="92" spans="1:4">
      <c r="A92" s="95">
        <v>1330108</v>
      </c>
      <c r="B92" s="95" t="str">
        <f ca="1">_xlfn.XLOOKUP($A92,device_all!$A:$A,device_all!H:H)</f>
        <v>device_name_1330108</v>
      </c>
      <c r="C92" s="95">
        <f>_xlfn.XLOOKUP($A92,device_all!$A:$A,device_all!E:E)</f>
        <v>0</v>
      </c>
    </row>
    <row r="93" spans="1:4">
      <c r="A93" s="95">
        <v>1330109</v>
      </c>
      <c r="B93" s="95" t="str">
        <f ca="1">_xlfn.XLOOKUP($A93,device_all!$A:$A,device_all!H:H)</f>
        <v>device_name_1330109</v>
      </c>
      <c r="C93" s="95">
        <f>_xlfn.XLOOKUP($A93,device_all!$A:$A,device_all!E:E)</f>
        <v>0</v>
      </c>
    </row>
    <row r="94" spans="1:4">
      <c r="A94" s="95">
        <v>1330110</v>
      </c>
      <c r="B94" s="95" t="str">
        <f ca="1">_xlfn.XLOOKUP($A94,device_all!$A:$A,device_all!H:H)</f>
        <v>device_name_1330110</v>
      </c>
      <c r="C94" s="95">
        <f>_xlfn.XLOOKUP($A94,device_all!$A:$A,device_all!E:E)</f>
        <v>0</v>
      </c>
    </row>
    <row r="95" spans="1:4">
      <c r="A95" s="95">
        <v>1330111</v>
      </c>
      <c r="B95" s="95" t="str">
        <f ca="1">_xlfn.XLOOKUP($A95,device_all!$A:$A,device_all!H:H)</f>
        <v>device_name_1330111</v>
      </c>
      <c r="C95" s="95">
        <f>_xlfn.XLOOKUP($A95,device_all!$A:$A,device_all!E:E)</f>
        <v>0</v>
      </c>
    </row>
    <row r="96" spans="1:4">
      <c r="A96" s="95">
        <v>1330112</v>
      </c>
      <c r="B96" s="95" t="str">
        <f ca="1">_xlfn.XLOOKUP($A96,device_all!$A:$A,device_all!H:H)</f>
        <v>device_name_1330112</v>
      </c>
      <c r="C96" s="95">
        <f>_xlfn.XLOOKUP($A96,device_all!$A:$A,device_all!E:E)</f>
        <v>0</v>
      </c>
    </row>
    <row r="97" spans="1:4">
      <c r="A97" s="95">
        <v>1330113</v>
      </c>
      <c r="B97" s="95" t="str">
        <f ca="1">_xlfn.XLOOKUP($A97,device_all!$A:$A,device_all!H:H)</f>
        <v>device_name_1330113</v>
      </c>
      <c r="C97" s="95">
        <f>_xlfn.XLOOKUP($A97,device_all!$A:$A,device_all!E:E)</f>
        <v>0</v>
      </c>
    </row>
    <row r="98" spans="1:4">
      <c r="A98" s="95">
        <v>1330128</v>
      </c>
      <c r="B98" s="95" t="str">
        <f ca="1">_xlfn.XLOOKUP($A98,device_all!$A:$A,device_all!H:H)</f>
        <v>device_name_1330128</v>
      </c>
      <c r="C98" s="95">
        <f>_xlfn.XLOOKUP($A98,device_all!$A:$A,device_all!E:E)</f>
        <v>0</v>
      </c>
      <c r="D98" s="96" t="s">
        <v>717</v>
      </c>
    </row>
    <row r="99" spans="1:4">
      <c r="A99" s="95">
        <v>1330129</v>
      </c>
      <c r="B99" s="95" t="str">
        <f ca="1">_xlfn.XLOOKUP($A99,device_all!$A:$A,device_all!H:H)</f>
        <v>device_name_1330129</v>
      </c>
      <c r="C99" s="95">
        <f>_xlfn.XLOOKUP($A99,device_all!$A:$A,device_all!E:E)</f>
        <v>0</v>
      </c>
      <c r="D99" s="92" t="b">
        <v>1</v>
      </c>
    </row>
    <row r="100" spans="1:4">
      <c r="A100" s="95">
        <v>1331801</v>
      </c>
      <c r="B100" s="95" t="str">
        <f ca="1">_xlfn.XLOOKUP($A100,device_all!$A:$A,device_all!H:H)</f>
        <v>device_name_1331801_tesla</v>
      </c>
      <c r="C100" s="95">
        <f>_xlfn.XLOOKUP($A100,device_all!$A:$A,device_all!E:E)</f>
        <v>0</v>
      </c>
      <c r="D100" s="92" t="b">
        <v>1</v>
      </c>
    </row>
    <row r="101" spans="1:4">
      <c r="A101" s="95">
        <v>13318012</v>
      </c>
      <c r="B101" s="95" t="str">
        <f ca="1">_xlfn.XLOOKUP($A101,device_all!$A:$A,device_all!H:H)</f>
        <v>device_name_1331801_tesla</v>
      </c>
      <c r="C101" s="95" t="str">
        <f>_xlfn.XLOOKUP($A101,device_all!$A:$A,device_all!E:E)</f>
        <v>特斯拉电极 Lv2</v>
      </c>
      <c r="D101" s="92" t="b">
        <v>1</v>
      </c>
    </row>
    <row r="102" spans="1:4">
      <c r="A102" s="95">
        <v>13318013</v>
      </c>
      <c r="B102" s="95" t="str">
        <f ca="1">_xlfn.XLOOKUP($A102,device_all!$A:$A,device_all!H:H)</f>
        <v>device_name_1331801_tesla</v>
      </c>
      <c r="C102" s="95" t="str">
        <f>_xlfn.XLOOKUP($A102,device_all!$A:$A,device_all!E:E)</f>
        <v>特斯拉电极 Lv3</v>
      </c>
    </row>
    <row r="103" spans="1:4">
      <c r="A103" s="95">
        <v>13318014</v>
      </c>
      <c r="B103" s="95" t="str">
        <f ca="1">_xlfn.XLOOKUP($A103,device_all!$A:$A,device_all!H:H)</f>
        <v>device_name_1331801_tesla</v>
      </c>
      <c r="C103" s="95" t="str">
        <f>_xlfn.XLOOKUP($A103,device_all!$A:$A,device_all!E:E)</f>
        <v>特斯拉电极 Lv4</v>
      </c>
    </row>
    <row r="104" spans="1:4">
      <c r="A104" s="95">
        <v>130003002</v>
      </c>
      <c r="B104" s="95" t="str">
        <f>_xlfn.XLOOKUP($A104,device_all!$A:$A,device_all!H:H)</f>
        <v>device_name_130003002_waterthrower</v>
      </c>
      <c r="C104" s="95">
        <f>_xlfn.XLOOKUP($A104,device_all!$A:$A,device_all!E:E)</f>
        <v>0</v>
      </c>
    </row>
    <row r="105" spans="1:4">
      <c r="A105" s="95">
        <v>130003004</v>
      </c>
      <c r="B105" s="95" t="str">
        <f>_xlfn.XLOOKUP($A105,device_all!$A:$A,device_all!H:H)</f>
        <v>device_name_130003004_bronze cannon</v>
      </c>
      <c r="C105" s="95">
        <f>_xlfn.XLOOKUP($A105,device_all!$A:$A,device_all!E:E)</f>
        <v>0</v>
      </c>
    </row>
    <row r="106" spans="1:4">
      <c r="A106" s="95">
        <v>130003005</v>
      </c>
      <c r="B106" s="95" t="str">
        <f>_xlfn.XLOOKUP($A106,device_all!$A:$A,device_all!H:H)</f>
        <v>device_name_130003005_giant_lance</v>
      </c>
      <c r="C106" s="95">
        <f>_xlfn.XLOOKUP($A106,device_all!$A:$A,device_all!E:E)</f>
        <v>0</v>
      </c>
    </row>
    <row r="107" spans="1:4">
      <c r="A107" s="95">
        <v>130003006</v>
      </c>
      <c r="B107" s="95" t="str">
        <f>_xlfn.XLOOKUP($A107,device_all!$A:$A,device_all!H:H)</f>
        <v>device_name_130003006_dragon_rocket</v>
      </c>
      <c r="C107" s="95">
        <f>_xlfn.XLOOKUP($A107,device_all!$A:$A,device_all!E:E)</f>
        <v>0</v>
      </c>
    </row>
    <row r="108" spans="1:4">
      <c r="A108" s="95">
        <v>130003007</v>
      </c>
      <c r="B108" s="95" t="str">
        <f>_xlfn.XLOOKUP($A108,device_all!$A:$A,device_all!H:H)</f>
        <v>device_name_130003007_cluster_rocket</v>
      </c>
      <c r="C108" s="95">
        <f>_xlfn.XLOOKUP($A108,device_all!$A:$A,device_all!E:E)</f>
        <v>0</v>
      </c>
    </row>
    <row r="109" spans="1:4">
      <c r="A109" s="95">
        <v>1340101</v>
      </c>
      <c r="B109" s="95" t="str">
        <f>_xlfn.XLOOKUP($A109,device_all!$A:$A,device_all!H:H)</f>
        <v>device_name_1340101_buckler</v>
      </c>
      <c r="C109" s="95">
        <f>_xlfn.XLOOKUP($A109,device_all!$A:$A,device_all!E:E)</f>
        <v>0</v>
      </c>
    </row>
    <row r="110" spans="1:4">
      <c r="A110" s="95">
        <v>1340102</v>
      </c>
      <c r="B110" s="95" t="str">
        <f>_xlfn.XLOOKUP($A110,device_all!$A:$A,device_all!H:H)</f>
        <v>device_name_1340102_wooden_shield</v>
      </c>
      <c r="C110" s="95">
        <f>_xlfn.XLOOKUP($A110,device_all!$A:$A,device_all!E:E)</f>
        <v>0</v>
      </c>
    </row>
    <row r="111" spans="1:4">
      <c r="A111" s="95">
        <v>1340103</v>
      </c>
      <c r="B111" s="95" t="str">
        <f>_xlfn.XLOOKUP($A111,device_all!$A:$A,device_all!H:H)</f>
        <v>device_name_1340103_testudo</v>
      </c>
      <c r="C111" s="95">
        <f>_xlfn.XLOOKUP($A111,device_all!$A:$A,device_all!E:E)</f>
        <v>0</v>
      </c>
    </row>
    <row r="112" spans="1:4">
      <c r="A112" s="95">
        <v>1340104</v>
      </c>
      <c r="B112" s="95" t="str">
        <f>_xlfn.XLOOKUP($A112,device_all!$A:$A,device_all!H:H)</f>
        <v>device_name_1340104_leather_shield</v>
      </c>
      <c r="C112" s="95">
        <f>_xlfn.XLOOKUP($A112,device_all!$A:$A,device_all!E:E)</f>
        <v>0</v>
      </c>
    </row>
    <row r="113" spans="1:4">
      <c r="A113" s="95">
        <v>1340105</v>
      </c>
      <c r="B113" s="95" t="str">
        <f>_xlfn.XLOOKUP($A113,device_all!$A:$A,device_all!H:H)</f>
        <v>device_name_1340105_metal_plate</v>
      </c>
      <c r="C113" s="95">
        <f>_xlfn.XLOOKUP($A113,device_all!$A:$A,device_all!E:E)</f>
        <v>0</v>
      </c>
    </row>
    <row r="114" spans="1:4">
      <c r="A114" s="95">
        <v>1340106</v>
      </c>
      <c r="B114" s="95" t="str">
        <f>_xlfn.XLOOKUP($A114,device_all!$A:$A,device_all!H:H)</f>
        <v>device_name_1340106_spiked_shield</v>
      </c>
      <c r="C114" s="95">
        <f>_xlfn.XLOOKUP($A114,device_all!$A:$A,device_all!E:E)</f>
        <v>0</v>
      </c>
    </row>
    <row r="115" spans="1:4">
      <c r="A115" s="95">
        <v>1340107</v>
      </c>
      <c r="B115" s="95" t="str">
        <f>_xlfn.XLOOKUP($A115,device_all!$A:$A,device_all!H:H)</f>
        <v>device_name_1340107_vine_shield</v>
      </c>
      <c r="C115" s="95">
        <f>_xlfn.XLOOKUP($A115,device_all!$A:$A,device_all!E:E)</f>
        <v>0</v>
      </c>
    </row>
    <row r="116" spans="1:4">
      <c r="A116" s="95">
        <v>1340108</v>
      </c>
      <c r="B116" s="95" t="str">
        <f>_xlfn.XLOOKUP($A116,device_all!$A:$A,device_all!H:H)</f>
        <v>device_name_1340108_protective_short_sword</v>
      </c>
      <c r="C116" s="95">
        <f>_xlfn.XLOOKUP($A116,device_all!$A:$A,device_all!E:E)</f>
        <v>0</v>
      </c>
    </row>
    <row r="117" spans="1:4">
      <c r="A117" s="95">
        <v>1340109</v>
      </c>
      <c r="B117" s="95" t="str">
        <f>_xlfn.XLOOKUP($A117,device_all!$A:$A,device_all!H:H)</f>
        <v>device_name_1340109_shield_generator</v>
      </c>
      <c r="C117" s="95">
        <f>_xlfn.XLOOKUP($A117,device_all!$A:$A,device_all!E:E)</f>
        <v>0</v>
      </c>
    </row>
    <row r="118" spans="1:4">
      <c r="A118" s="95">
        <v>1350101</v>
      </c>
      <c r="B118" s="95" t="str">
        <f>_xlfn.XLOOKUP($A118,device_all!$A:$A,device_all!H:H)</f>
        <v>device_name_1350101_hookrope</v>
      </c>
      <c r="C118" s="95">
        <f>_xlfn.XLOOKUP($A118,device_all!$A:$A,device_all!E:E)</f>
        <v>0</v>
      </c>
    </row>
    <row r="119" spans="1:4">
      <c r="A119" s="95">
        <v>1350102</v>
      </c>
      <c r="B119" s="95" t="str">
        <f>_xlfn.XLOOKUP($A119,device_all!$A:$A,device_all!H:H)</f>
        <v>device_name_1350102_merchant_crane</v>
      </c>
      <c r="C119" s="95">
        <f>_xlfn.XLOOKUP($A119,device_all!$A:$A,device_all!E:E)</f>
        <v>0</v>
      </c>
    </row>
    <row r="120" spans="1:4">
      <c r="A120" s="95">
        <v>1350103</v>
      </c>
      <c r="B120" s="95" t="str">
        <f>_xlfn.XLOOKUP($A120,device_all!$A:$A,device_all!H:H)</f>
        <v>device_name_1350103_merchant_tower_crane</v>
      </c>
      <c r="C120" s="95">
        <f>_xlfn.XLOOKUP($A120,device_all!$A:$A,device_all!E:E)</f>
        <v>0</v>
      </c>
    </row>
    <row r="121" spans="1:4">
      <c r="A121" s="95">
        <v>1351101</v>
      </c>
      <c r="B121" s="95" t="str">
        <f>_xlfn.XLOOKUP($A121,device_all!$A:$A,device_all!H:H)</f>
        <v>device_name_1351101_slave_hookrope</v>
      </c>
      <c r="C121" s="95">
        <f>_xlfn.XLOOKUP($A121,device_all!$A:$A,device_all!E:E)</f>
        <v>0</v>
      </c>
    </row>
    <row r="122" spans="1:4">
      <c r="A122" s="95">
        <v>1351102</v>
      </c>
      <c r="B122" s="95" t="str">
        <f>_xlfn.XLOOKUP($A122,device_all!$A:$A,device_all!H:H)</f>
        <v>device_name_1351102_executioner_hookrope</v>
      </c>
      <c r="C122" s="95">
        <f>_xlfn.XLOOKUP($A122,device_all!$A:$A,device_all!E:E)</f>
        <v>0</v>
      </c>
    </row>
    <row r="123" spans="1:4">
      <c r="A123" s="95">
        <v>1351401</v>
      </c>
      <c r="B123" s="95" t="str">
        <f>_xlfn.XLOOKUP($A123,device_all!$A:$A,device_all!H:H)</f>
        <v>device_name_1351401</v>
      </c>
      <c r="C123" s="95">
        <f>_xlfn.XLOOKUP($A123,device_all!$A:$A,device_all!E:E)</f>
        <v>0</v>
      </c>
      <c r="D123" s="96" t="s">
        <v>717</v>
      </c>
    </row>
    <row r="124" spans="1:4">
      <c r="A124" s="95">
        <v>1351801</v>
      </c>
      <c r="B124" s="95" t="str">
        <f>_xlfn.XLOOKUP($A124,device_all!$A:$A,device_all!H:H)</f>
        <v>device_name_1351801_harpoon_gun</v>
      </c>
      <c r="C124" s="95">
        <f>_xlfn.XLOOKUP($A124,device_all!$A:$A,device_all!E:E)</f>
        <v>0</v>
      </c>
      <c r="D124" s="92" t="b">
        <v>1</v>
      </c>
    </row>
    <row r="125" spans="1:4">
      <c r="A125" s="95">
        <v>1360101</v>
      </c>
      <c r="B125" s="95" t="str">
        <f ca="1">_xlfn.XLOOKUP($A125,device_all!$A:$A,device_all!H:H)</f>
        <v>device_name_1360101_spear_ram</v>
      </c>
      <c r="C125" s="95">
        <f>_xlfn.XLOOKUP($A125,device_all!$A:$A,device_all!E:E)</f>
        <v>0</v>
      </c>
      <c r="D125" s="92" t="b">
        <v>1</v>
      </c>
    </row>
    <row r="126" spans="1:4">
      <c r="A126" s="95">
        <v>13601010</v>
      </c>
      <c r="B126" s="95" t="str">
        <f ca="1">_xlfn.XLOOKUP($A126,device_all!$A:$A,device_all!H:H)</f>
        <v>device_name_1360101_spear_ram</v>
      </c>
      <c r="C126" s="95" t="str">
        <f>_xlfn.XLOOKUP($A126,device_all!$A:$A,device_all!E:E)</f>
        <v>刺矛撞角 Lv.0</v>
      </c>
      <c r="D126" s="92" t="b">
        <v>1</v>
      </c>
    </row>
    <row r="127" spans="1:4">
      <c r="A127" s="95">
        <v>13601011</v>
      </c>
      <c r="B127" s="95" t="str">
        <f ca="1">_xlfn.XLOOKUP($A127,device_all!$A:$A,device_all!H:H)</f>
        <v>device_name_1360101_spear_ram</v>
      </c>
      <c r="C127" s="95" t="str">
        <f>_xlfn.XLOOKUP($A127,device_all!$A:$A,device_all!E:E)</f>
        <v>刺矛撞角 Lv.1</v>
      </c>
      <c r="D127" s="96" t="s">
        <v>717</v>
      </c>
    </row>
    <row r="128" spans="1:4">
      <c r="A128" s="95">
        <v>13601012</v>
      </c>
      <c r="B128" s="95" t="str">
        <f ca="1">_xlfn.XLOOKUP($A128,device_all!$A:$A,device_all!H:H)</f>
        <v>device_name_1360101_spear_ram</v>
      </c>
      <c r="C128" s="95" t="str">
        <f>_xlfn.XLOOKUP($A128,device_all!$A:$A,device_all!E:E)</f>
        <v>刺矛撞角 Lv.2</v>
      </c>
      <c r="D128" s="92" t="b">
        <v>1</v>
      </c>
    </row>
    <row r="129" spans="1:4">
      <c r="A129" s="95">
        <v>1360102</v>
      </c>
      <c r="B129" s="95" t="str">
        <f ca="1">_xlfn.XLOOKUP($A129,device_all!$A:$A,device_all!H:H)</f>
        <v>device_name_1360102_metal_ram</v>
      </c>
      <c r="C129" s="95">
        <f>_xlfn.XLOOKUP($A129,device_all!$A:$A,device_all!E:E)</f>
        <v>0</v>
      </c>
      <c r="D129" s="92" t="b">
        <v>1</v>
      </c>
    </row>
    <row r="130" spans="1:4">
      <c r="A130" s="95">
        <v>13601022</v>
      </c>
      <c r="B130" s="95" t="str">
        <f ca="1">_xlfn.XLOOKUP($A130,device_all!$A:$A,device_all!H:H)</f>
        <v>device_name_1360102_metal_ram</v>
      </c>
      <c r="C130" s="95" t="str">
        <f>_xlfn.XLOOKUP($A130,device_all!$A:$A,device_all!E:E)</f>
        <v>金属铲斗 Lv.2</v>
      </c>
      <c r="D130" s="96" t="s">
        <v>717</v>
      </c>
    </row>
    <row r="131" spans="1:4">
      <c r="A131" s="95">
        <v>13601023</v>
      </c>
      <c r="B131" s="95" t="str">
        <f ca="1">_xlfn.XLOOKUP($A131,device_all!$A:$A,device_all!H:H)</f>
        <v>device_name_1360102_metal_ram</v>
      </c>
      <c r="C131" s="95" t="str">
        <f>_xlfn.XLOOKUP($A131,device_all!$A:$A,device_all!E:E)</f>
        <v>金属铲斗 Lv.3</v>
      </c>
      <c r="D131" s="92" t="b">
        <v>1</v>
      </c>
    </row>
    <row r="132" spans="1:4">
      <c r="A132" s="95">
        <v>1360103</v>
      </c>
      <c r="B132" s="95" t="str">
        <f ca="1">_xlfn.XLOOKUP($A132,device_all!$A:$A,device_all!H:H)</f>
        <v>device_name_1360103_bouncing_mushroom</v>
      </c>
      <c r="C132" s="95">
        <f>_xlfn.XLOOKUP($A132,device_all!$A:$A,device_all!E:E)</f>
        <v>0</v>
      </c>
      <c r="D132" s="92" t="b">
        <v>1</v>
      </c>
    </row>
    <row r="133" spans="1:4">
      <c r="A133" s="95">
        <v>13601030</v>
      </c>
      <c r="B133" s="95" t="str">
        <f ca="1">_xlfn.XLOOKUP($A133,device_all!$A:$A,device_all!H:H)</f>
        <v>device_name_1360103_bouncing_mushroom</v>
      </c>
      <c r="C133" s="95" t="str">
        <f>_xlfn.XLOOKUP($A133,device_all!$A:$A,device_all!E:E)</f>
        <v>蘑菇挡板 Lv.0</v>
      </c>
      <c r="D133" s="96" t="s">
        <v>717</v>
      </c>
    </row>
    <row r="134" spans="1:4">
      <c r="A134" s="95">
        <v>13601031</v>
      </c>
      <c r="B134" s="95" t="str">
        <f ca="1">_xlfn.XLOOKUP($A134,device_all!$A:$A,device_all!H:H)</f>
        <v>device_name_1360103_bouncing_mushroom</v>
      </c>
      <c r="C134" s="95" t="str">
        <f>_xlfn.XLOOKUP($A134,device_all!$A:$A,device_all!E:E)</f>
        <v>蘑菇挡板 Lv.1</v>
      </c>
      <c r="D134" s="92" t="b">
        <v>1</v>
      </c>
    </row>
    <row r="135" spans="1:4">
      <c r="A135" s="95">
        <v>1361801</v>
      </c>
      <c r="B135" s="95" t="str">
        <f ca="1">_xlfn.XLOOKUP($A135,device_all!$A:$A,device_all!H:H)</f>
        <v>device_name_1361801_long_harpoon</v>
      </c>
      <c r="C135" s="95">
        <f>_xlfn.XLOOKUP($A135,device_all!$A:$A,device_all!E:E)</f>
        <v>0</v>
      </c>
      <c r="D135" s="92" t="b">
        <v>1</v>
      </c>
    </row>
    <row r="136" spans="1:4">
      <c r="A136" s="95">
        <v>13618011</v>
      </c>
      <c r="B136" s="95" t="str">
        <f ca="1">_xlfn.XLOOKUP($A136,device_all!$A:$A,device_all!H:H)</f>
        <v>device_name_1361801_long_harpoon</v>
      </c>
      <c r="C136" s="95" t="str">
        <f>_xlfn.XLOOKUP($A136,device_all!$A:$A,device_all!E:E)</f>
        <v>长柄鱼叉 Lv.1</v>
      </c>
      <c r="D136" s="92" t="b">
        <v>1</v>
      </c>
    </row>
    <row r="137" spans="1:4">
      <c r="A137" s="95">
        <v>13618012</v>
      </c>
      <c r="B137" s="95" t="str">
        <f ca="1">_xlfn.XLOOKUP($A137,device_all!$A:$A,device_all!H:H)</f>
        <v>device_name_1361801_long_harpoon</v>
      </c>
      <c r="C137" s="95" t="str">
        <f>_xlfn.XLOOKUP($A137,device_all!$A:$A,device_all!E:E)</f>
        <v>长柄鱼叉 Lv.2</v>
      </c>
    </row>
    <row r="138" spans="1:4">
      <c r="A138" s="95">
        <v>13618013</v>
      </c>
      <c r="B138" s="95" t="str">
        <f ca="1">_xlfn.XLOOKUP($A138,device_all!$A:$A,device_all!H:H)</f>
        <v>device_name_1361801_long_harpoon</v>
      </c>
      <c r="C138" s="95" t="str">
        <f>_xlfn.XLOOKUP($A138,device_all!$A:$A,device_all!E:E)</f>
        <v>长柄鱼叉 Lv.3</v>
      </c>
    </row>
    <row r="139" spans="1:4">
      <c r="A139" s="95">
        <v>1371103</v>
      </c>
      <c r="B139" s="95" t="str">
        <f>_xlfn.XLOOKUP($A139,device_all!$A:$A,device_all!H:H)</f>
        <v>device_name_1321103_lasergun</v>
      </c>
      <c r="C139" s="95">
        <f>_xlfn.XLOOKUP($A139,device_all!$A:$A,device_all!E:E)</f>
        <v>0</v>
      </c>
    </row>
    <row r="140" spans="1:4">
      <c r="A140" s="95">
        <v>130006001</v>
      </c>
      <c r="B140" s="95" t="str">
        <f>_xlfn.XLOOKUP($A140,device_all!$A:$A,device_all!H:H)</f>
        <v>device_name_130006001_puppet_blade</v>
      </c>
      <c r="C140" s="95">
        <f>_xlfn.XLOOKUP($A140,device_all!$A:$A,device_all!E:E)</f>
        <v>0</v>
      </c>
    </row>
    <row r="141" spans="1:4">
      <c r="A141" s="95">
        <v>130006002</v>
      </c>
      <c r="B141" s="95" t="str">
        <f>_xlfn.XLOOKUP($A141,device_all!$A:$A,device_all!H:H)</f>
        <v>device_name_130006002_puppet_gunpowder</v>
      </c>
      <c r="C141" s="95">
        <f>_xlfn.XLOOKUP($A141,device_all!$A:$A,device_all!E:E)</f>
        <v>0</v>
      </c>
    </row>
    <row r="142" spans="1:4">
      <c r="A142" s="95">
        <v>130006003</v>
      </c>
      <c r="B142" s="95" t="str">
        <f>_xlfn.XLOOKUP($A142,device_all!$A:$A,device_all!H:H)</f>
        <v>device_name_130006003_puppet_arc</v>
      </c>
      <c r="C142" s="95">
        <f>_xlfn.XLOOKUP($A142,device_all!$A:$A,device_all!E:E)</f>
        <v>0</v>
      </c>
    </row>
    <row r="143" spans="1:4">
      <c r="A143" s="95">
        <v>130006004</v>
      </c>
      <c r="B143" s="95" t="str">
        <f>_xlfn.XLOOKUP($A143,device_all!$A:$A,device_all!H:H)</f>
        <v>device_name_130006004_puppet_crossbow</v>
      </c>
      <c r="C143" s="95">
        <f>_xlfn.XLOOKUP($A143,device_all!$A:$A,device_all!E:E)</f>
        <v>0</v>
      </c>
    </row>
    <row r="144" spans="1:4">
      <c r="A144" s="95">
        <v>130006005</v>
      </c>
      <c r="B144" s="95" t="str">
        <f>_xlfn.XLOOKUP($A144,device_all!$A:$A,device_all!H:H)</f>
        <v>device_name_130006005_puppet_sling</v>
      </c>
      <c r="C144" s="95">
        <f>_xlfn.XLOOKUP($A144,device_all!$A:$A,device_all!E:E)</f>
        <v>0</v>
      </c>
    </row>
    <row r="145" spans="1:3">
      <c r="A145" s="95">
        <v>130006006</v>
      </c>
      <c r="B145" s="95" t="str">
        <f>_xlfn.XLOOKUP($A145,device_all!$A:$A,device_all!H:H)</f>
        <v>device_name_130006006_puppet_musket</v>
      </c>
      <c r="C145" s="95">
        <f>_xlfn.XLOOKUP($A145,device_all!$A:$A,device_all!E:E)</f>
        <v>0</v>
      </c>
    </row>
    <row r="146" spans="1:3">
      <c r="A146" s="95">
        <v>130000001</v>
      </c>
      <c r="B146" s="95" t="str">
        <f>_xlfn.XLOOKUP($A146,device_all!$A:$A,device_all!H:H)</f>
        <v>device_name_130000001_core_magic</v>
      </c>
      <c r="C146" s="95">
        <f>_xlfn.XLOOKUP($A146,device_all!$A:$A,device_all!E:E)</f>
        <v>0</v>
      </c>
    </row>
    <row r="147" spans="1:3">
      <c r="A147" s="95">
        <v>130000002</v>
      </c>
      <c r="B147" s="95" t="str">
        <f>_xlfn.XLOOKUP($A147,device_all!$A:$A,device_all!H:H)</f>
        <v>device_name_130000002_core_battery</v>
      </c>
      <c r="C147" s="95">
        <f>_xlfn.XLOOKUP($A147,device_all!$A:$A,device_all!E:E)</f>
        <v>0</v>
      </c>
    </row>
    <row r="148" spans="1:3">
      <c r="A148" s="95">
        <v>130000003</v>
      </c>
      <c r="B148" s="95" t="str">
        <f>_xlfn.XLOOKUP($A148,device_all!$A:$A,device_all!H:H)</f>
        <v>device_name_130000003_core_furnace</v>
      </c>
      <c r="C148" s="95">
        <f>_xlfn.XLOOKUP($A148,device_all!$A:$A,device_all!E:E)</f>
        <v>0</v>
      </c>
    </row>
    <row r="149" spans="1:3">
      <c r="A149" s="95">
        <v>130000004</v>
      </c>
      <c r="B149" s="95" t="str">
        <f>_xlfn.XLOOKUP($A149,device_all!$A:$A,device_all!H:H)</f>
        <v>device_name_130000004_core_steam</v>
      </c>
      <c r="C149" s="95">
        <f>_xlfn.XLOOKUP($A149,device_all!$A:$A,device_all!E:E)</f>
        <v>0</v>
      </c>
    </row>
    <row r="150" spans="1:3">
      <c r="A150" s="95">
        <v>130000005</v>
      </c>
      <c r="B150" s="95" t="str">
        <f>_xlfn.XLOOKUP($A150,device_all!$A:$A,device_all!H:H)</f>
        <v>device_name_130000005_core_windmill</v>
      </c>
      <c r="C150" s="95">
        <f>_xlfn.XLOOKUP($A150,device_all!$A:$A,device_all!E:E)</f>
        <v>0</v>
      </c>
    </row>
    <row r="151" spans="1:3">
      <c r="A151" s="95">
        <v>130000006</v>
      </c>
      <c r="B151" s="95" t="str">
        <f>_xlfn.XLOOKUP($A151,device_all!$A:$A,device_all!H:H)</f>
        <v>device_name_130000006_core_mice</v>
      </c>
      <c r="C151" s="95">
        <f>_xlfn.XLOOKUP($A151,device_all!$A:$A,device_all!E:E)</f>
        <v>0</v>
      </c>
    </row>
    <row r="152" spans="1:3">
      <c r="A152" s="95">
        <v>130000007</v>
      </c>
    </row>
    <row r="153" spans="1:3">
      <c r="A153" s="95">
        <v>14000</v>
      </c>
    </row>
  </sheetData>
  <phoneticPr fontId="2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theme="1"/>
  </sheetPr>
  <dimension ref="A1:M18"/>
  <sheetViews>
    <sheetView workbookViewId="0">
      <selection activeCell="D24" sqref="D24"/>
    </sheetView>
  </sheetViews>
  <sheetFormatPr defaultColWidth="12.5" defaultRowHeight="14.25"/>
  <cols>
    <col min="1" max="16384" width="12.5" style="2"/>
  </cols>
  <sheetData>
    <row r="1" spans="1:13" s="1" customFormat="1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2"/>
      <c r="I1" s="2"/>
    </row>
    <row r="2" spans="1:13">
      <c r="A2" s="113" t="s">
        <v>447</v>
      </c>
      <c r="B2" s="113"/>
      <c r="C2" s="2" t="s">
        <v>448</v>
      </c>
      <c r="D2" s="113" t="s">
        <v>449</v>
      </c>
      <c r="E2" s="113"/>
      <c r="F2" s="113" t="s">
        <v>450</v>
      </c>
      <c r="G2" s="113"/>
    </row>
    <row r="3" spans="1:13">
      <c r="C3" s="2" t="s">
        <v>451</v>
      </c>
      <c r="D3" s="113" t="s">
        <v>452</v>
      </c>
      <c r="E3" s="113"/>
    </row>
    <row r="4" spans="1:13">
      <c r="D4" s="113" t="s">
        <v>453</v>
      </c>
      <c r="E4" s="113"/>
    </row>
    <row r="5" spans="1:13">
      <c r="D5" s="113" t="s">
        <v>454</v>
      </c>
      <c r="E5" s="113"/>
    </row>
    <row r="9" spans="1:13">
      <c r="A9" s="113" t="s">
        <v>455</v>
      </c>
      <c r="B9" s="113"/>
      <c r="C9" s="2" t="s">
        <v>456</v>
      </c>
      <c r="D9" s="113" t="s">
        <v>449</v>
      </c>
      <c r="E9" s="113"/>
      <c r="F9" s="113" t="s">
        <v>457</v>
      </c>
      <c r="G9" s="113"/>
    </row>
    <row r="10" spans="1:13">
      <c r="C10" s="2" t="s">
        <v>458</v>
      </c>
      <c r="D10" s="113" t="s">
        <v>459</v>
      </c>
      <c r="E10" s="113"/>
      <c r="K10" s="2" t="s">
        <v>2</v>
      </c>
      <c r="L10" s="2" t="s">
        <v>460</v>
      </c>
      <c r="M10" s="2" t="s">
        <v>5</v>
      </c>
    </row>
    <row r="11" spans="1:13">
      <c r="C11" s="2" t="s">
        <v>461</v>
      </c>
      <c r="D11" s="113" t="s">
        <v>452</v>
      </c>
      <c r="E11" s="113"/>
      <c r="K11" s="2">
        <v>1</v>
      </c>
      <c r="L11" s="2" t="s">
        <v>462</v>
      </c>
      <c r="M11" s="2" t="s">
        <v>463</v>
      </c>
    </row>
    <row r="12" spans="1:13">
      <c r="C12" s="2" t="s">
        <v>464</v>
      </c>
      <c r="D12" s="113" t="s">
        <v>465</v>
      </c>
      <c r="E12" s="113"/>
      <c r="K12" s="2">
        <v>2</v>
      </c>
      <c r="L12" s="2" t="s">
        <v>466</v>
      </c>
      <c r="M12" s="2" t="s">
        <v>467</v>
      </c>
    </row>
    <row r="13" spans="1:13">
      <c r="C13" s="2" t="s">
        <v>468</v>
      </c>
      <c r="D13" s="113" t="s">
        <v>469</v>
      </c>
      <c r="E13" s="113"/>
      <c r="K13" s="2">
        <v>3</v>
      </c>
      <c r="L13" s="2" t="s">
        <v>470</v>
      </c>
      <c r="M13" s="2" t="s">
        <v>471</v>
      </c>
    </row>
    <row r="14" spans="1:13">
      <c r="C14" s="2" t="s">
        <v>472</v>
      </c>
      <c r="D14" s="113" t="s">
        <v>453</v>
      </c>
      <c r="E14" s="113"/>
      <c r="K14" s="2">
        <v>4</v>
      </c>
      <c r="L14" s="2" t="s">
        <v>473</v>
      </c>
      <c r="M14" s="2" t="s">
        <v>474</v>
      </c>
    </row>
    <row r="15" spans="1:13">
      <c r="C15" s="2" t="s">
        <v>475</v>
      </c>
      <c r="K15" s="2">
        <v>5</v>
      </c>
      <c r="L15" s="2" t="s">
        <v>476</v>
      </c>
      <c r="M15" s="2" t="s">
        <v>477</v>
      </c>
    </row>
    <row r="16" spans="1:13">
      <c r="C16" s="2" t="s">
        <v>478</v>
      </c>
      <c r="K16" s="2">
        <v>6</v>
      </c>
      <c r="L16" s="2" t="s">
        <v>479</v>
      </c>
      <c r="M16" s="2" t="s">
        <v>480</v>
      </c>
    </row>
    <row r="18" spans="1:2" ht="39" customHeight="1">
      <c r="A18" s="112" t="s">
        <v>675</v>
      </c>
      <c r="B18" s="112"/>
    </row>
  </sheetData>
  <mergeCells count="15">
    <mergeCell ref="D5:E5"/>
    <mergeCell ref="A2:B2"/>
    <mergeCell ref="D2:E2"/>
    <mergeCell ref="F2:G2"/>
    <mergeCell ref="D3:E3"/>
    <mergeCell ref="D4:E4"/>
    <mergeCell ref="A18:B18"/>
    <mergeCell ref="A9:B9"/>
    <mergeCell ref="D9:E9"/>
    <mergeCell ref="F9:G9"/>
    <mergeCell ref="D10:E10"/>
    <mergeCell ref="D11:E11"/>
    <mergeCell ref="D12:E12"/>
    <mergeCell ref="D13:E13"/>
    <mergeCell ref="D14:E14"/>
  </mergeCells>
  <phoneticPr fontId="2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device_all</vt:lpstr>
      <vt:lpstr>device_wheel</vt:lpstr>
      <vt:lpstr>device_tag</vt:lpstr>
      <vt:lpstr>device_cubicles</vt:lpstr>
      <vt:lpstr>device_rank</vt:lpstr>
      <vt:lpstr>-投放筛选及l10n配置辅助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2026-01-09T03:19:45Z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2052-12.1.0.22529</vt:lpwstr>
  </property>
</Properties>
</file>