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GitRepository\GitLab\yh-unityproject\Assets\Tables\"/>
    </mc:Choice>
  </mc:AlternateContent>
  <xr:revisionPtr revIDLastSave="0" documentId="13_ncr:1_{3A2B11B0-D7BF-42D8-B25B-44243F6873C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battle_data" sheetId="10" r:id="rId1"/>
    <sheet name="melee_logic" sheetId="4" r:id="rId2"/>
    <sheet name="fire_logic" sheetId="3" r:id="rId3"/>
    <sheet name="-飞射物" sheetId="9" r:id="rId4"/>
    <sheet name="hook_logic" sheetId="5" r:id="rId5"/>
    <sheet name="ram_logic" sheetId="8" r:id="rId6"/>
    <sheet name="other_logic" sheetId="7" r:id="rId7"/>
    <sheet name="-自定义参数" sheetId="11" r:id="rId8"/>
    <sheet name="shield_logic" sheetId="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0" l="1"/>
  <c r="C7" i="10"/>
  <c r="C11" i="10"/>
  <c r="C10" i="10"/>
  <c r="C9" i="10"/>
  <c r="C6" i="10"/>
  <c r="C5" i="10"/>
  <c r="C4" i="10"/>
  <c r="BQ9" i="3"/>
  <c r="BO9" i="3"/>
  <c r="BN9" i="3"/>
  <c r="BK9" i="3" a="1"/>
  <c r="BK9" i="3" s="1"/>
  <c r="BF9" i="3"/>
  <c r="AZ9" i="3" a="1"/>
  <c r="AZ9" i="3" s="1"/>
  <c r="AY9" i="3" a="1"/>
  <c r="AY9" i="3" s="1"/>
  <c r="AX9" i="3" a="1"/>
  <c r="AX9" i="3" s="1"/>
  <c r="AQ9" i="3" a="1"/>
  <c r="AQ9" i="3" s="1"/>
  <c r="AP9" i="3"/>
  <c r="AN9" i="3"/>
  <c r="AJ9" i="3"/>
  <c r="AI9" i="3"/>
  <c r="AE9" i="3" a="1"/>
  <c r="AE9" i="3" s="1"/>
  <c r="AC9" i="3"/>
  <c r="AA9" i="3"/>
  <c r="Z9" i="3"/>
  <c r="X9" i="3"/>
  <c r="R9" i="3"/>
  <c r="L9" i="3"/>
  <c r="I9" i="3"/>
  <c r="H9" i="3"/>
  <c r="AU13" i="7"/>
  <c r="AU12" i="7"/>
  <c r="AU11" i="7"/>
  <c r="AR26" i="7" a="1"/>
  <c r="AR26" i="7" s="1"/>
  <c r="AR25" i="7" a="1"/>
  <c r="AR25" i="7" s="1"/>
  <c r="AR24" i="7" a="1"/>
  <c r="AR24" i="7" s="1"/>
  <c r="AR22" i="7" a="1"/>
  <c r="AR22" i="7" s="1"/>
  <c r="AR21" i="7" a="1"/>
  <c r="AR21" i="7" s="1"/>
  <c r="AR20" i="7" a="1"/>
  <c r="AR20" i="7" s="1"/>
  <c r="AR19" i="7" a="1"/>
  <c r="AR19" i="7" s="1"/>
  <c r="AR18" i="7" a="1"/>
  <c r="AR18" i="7" s="1"/>
  <c r="AR13" i="7" a="1"/>
  <c r="AR13" i="7" s="1"/>
  <c r="AR12" i="7" a="1"/>
  <c r="AR12" i="7" s="1"/>
  <c r="AR11" i="7" a="1"/>
  <c r="AR11" i="7" s="1"/>
  <c r="AR8" i="7" a="1"/>
  <c r="AR8" i="7" s="1"/>
  <c r="AR7" i="7" a="1"/>
  <c r="AR7" i="7" s="1"/>
  <c r="AR6" i="7" a="1"/>
  <c r="AR6" i="7" s="1"/>
  <c r="AR5" i="7" a="1"/>
  <c r="AR5" i="7" s="1"/>
  <c r="AC17" i="8" a="1"/>
  <c r="AC17" i="8" s="1"/>
  <c r="AC16" i="8" a="1"/>
  <c r="AC16" i="8" s="1"/>
  <c r="AC15" i="8" a="1"/>
  <c r="AC15" i="8" s="1"/>
  <c r="AC7" i="8" a="1"/>
  <c r="AC7" i="8" s="1"/>
  <c r="AC6" i="8" a="1"/>
  <c r="AC6" i="8" s="1"/>
  <c r="AC5" i="8" a="1"/>
  <c r="AC5" i="8" s="1"/>
  <c r="AC13" i="8" a="1"/>
  <c r="AC13" i="8" s="1"/>
  <c r="AC12" i="8" a="1"/>
  <c r="AC12" i="8" s="1"/>
  <c r="AC10" i="8" a="1"/>
  <c r="AC10" i="8" s="1"/>
  <c r="AC9" i="8" a="1"/>
  <c r="AC9" i="8" s="1"/>
  <c r="BE15" i="4" a="1"/>
  <c r="BE15" i="4" s="1"/>
  <c r="BE14" i="4" a="1"/>
  <c r="BE14" i="4" s="1"/>
  <c r="BE13" i="4" a="1"/>
  <c r="BE13" i="4" s="1"/>
  <c r="BE12" i="4" a="1"/>
  <c r="BE12" i="4" s="1"/>
  <c r="BE10" i="4" a="1"/>
  <c r="BE10" i="4" s="1"/>
  <c r="BE9" i="4" a="1"/>
  <c r="BE9" i="4" s="1"/>
  <c r="BK7" i="3" a="1"/>
  <c r="BK7" i="3" s="1"/>
  <c r="BK27" i="3" a="1"/>
  <c r="BK27" i="3" s="1"/>
  <c r="BK26" i="3" a="1"/>
  <c r="BK26" i="3" s="1"/>
  <c r="BK25" i="3" a="1"/>
  <c r="BK25" i="3" s="1"/>
  <c r="BK17" i="3" a="1"/>
  <c r="BK17" i="3" s="1"/>
  <c r="BK16" i="3" a="1"/>
  <c r="BK16" i="3" s="1"/>
  <c r="BK14" i="3" a="1"/>
  <c r="BK14" i="3" s="1"/>
  <c r="BK13" i="3" a="1"/>
  <c r="BK13" i="3" s="1"/>
  <c r="BK12" i="3" a="1"/>
  <c r="BK12" i="3" s="1"/>
  <c r="BK11" i="3" a="1"/>
  <c r="BK11" i="3" s="1"/>
  <c r="BK8" i="3" a="1"/>
  <c r="BK8" i="3" s="1"/>
  <c r="BK6" i="3" a="1"/>
  <c r="BK6" i="3" s="1"/>
  <c r="BA9" i="3" l="1"/>
  <c r="BC9" i="3" s="1"/>
  <c r="BS9" i="3" s="1"/>
  <c r="BE27" i="3"/>
  <c r="BF27" i="3" s="1"/>
  <c r="BE26" i="3"/>
  <c r="BF26" i="3" s="1"/>
  <c r="BE25" i="3"/>
  <c r="BF25" i="3" s="1"/>
  <c r="BF17" i="3"/>
  <c r="BF16" i="3"/>
  <c r="BF14" i="3"/>
  <c r="BF13" i="3"/>
  <c r="BF8" i="3"/>
  <c r="BF6" i="3"/>
  <c r="BF7" i="3"/>
  <c r="R5" i="3"/>
  <c r="R6" i="3"/>
  <c r="R7" i="3"/>
  <c r="R8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4" i="3"/>
  <c r="AJ9" i="7" a="1"/>
  <c r="AJ9" i="7" s="1"/>
  <c r="AJ14" i="7" a="1"/>
  <c r="AJ14" i="7" s="1"/>
  <c r="AJ16" i="7" a="1"/>
  <c r="AJ16" i="7" s="1"/>
  <c r="AH9" i="7"/>
  <c r="AH14" i="7"/>
  <c r="AH16" i="7"/>
  <c r="AF18" i="7"/>
  <c r="AF19" i="7"/>
  <c r="AF20" i="7"/>
  <c r="AF21" i="7"/>
  <c r="AF22" i="7"/>
  <c r="AF23" i="7"/>
  <c r="AF24" i="7"/>
  <c r="AF25" i="7"/>
  <c r="AF26" i="7"/>
  <c r="AF17" i="7"/>
  <c r="AF15" i="7"/>
  <c r="AF11" i="7"/>
  <c r="AH11" i="7" s="1"/>
  <c r="AJ11" i="7" s="1" a="1"/>
  <c r="AJ11" i="7" s="1"/>
  <c r="AF12" i="7"/>
  <c r="AH12" i="7" s="1"/>
  <c r="AJ12" i="7" s="1" a="1"/>
  <c r="AJ12" i="7" s="1"/>
  <c r="AF13" i="7"/>
  <c r="AH13" i="7" s="1"/>
  <c r="AJ13" i="7" s="1" a="1"/>
  <c r="AJ13" i="7" s="1"/>
  <c r="AF10" i="7"/>
  <c r="AF5" i="7"/>
  <c r="AF6" i="7"/>
  <c r="AF7" i="7"/>
  <c r="AF8" i="7"/>
  <c r="AF4" i="7"/>
  <c r="AE22" i="7" a="1"/>
  <c r="AE22" i="7" s="1"/>
  <c r="AD22" i="7" a="1"/>
  <c r="AD22" i="7" s="1"/>
  <c r="AC22" i="7" a="1"/>
  <c r="AC22" i="7" s="1"/>
  <c r="AE21" i="7" a="1"/>
  <c r="AE21" i="7" s="1"/>
  <c r="AD21" i="7" a="1"/>
  <c r="AD21" i="7" s="1"/>
  <c r="AC21" i="7" a="1"/>
  <c r="AC21" i="7" s="1"/>
  <c r="AE20" i="7" a="1"/>
  <c r="AE20" i="7" s="1"/>
  <c r="AD20" i="7" a="1"/>
  <c r="AD20" i="7" s="1"/>
  <c r="AC20" i="7" a="1"/>
  <c r="AC20" i="7" s="1"/>
  <c r="AE19" i="7" a="1"/>
  <c r="AE19" i="7" s="1"/>
  <c r="AD19" i="7" a="1"/>
  <c r="AD19" i="7" s="1"/>
  <c r="AC19" i="7" a="1"/>
  <c r="AC19" i="7" s="1"/>
  <c r="AE18" i="7" a="1"/>
  <c r="AE18" i="7" s="1"/>
  <c r="AD18" i="7" a="1"/>
  <c r="AD18" i="7" s="1"/>
  <c r="AC18" i="7" a="1"/>
  <c r="AC18" i="7" s="1"/>
  <c r="AE17" i="7" a="1"/>
  <c r="AE17" i="7" s="1"/>
  <c r="AD17" i="7" a="1"/>
  <c r="AD17" i="7" s="1"/>
  <c r="AC17" i="7" a="1"/>
  <c r="AC17" i="7" s="1"/>
  <c r="U22" i="7" a="1"/>
  <c r="U22" i="7" s="1"/>
  <c r="U21" i="7" a="1"/>
  <c r="U21" i="7" s="1"/>
  <c r="U20" i="7" a="1"/>
  <c r="U20" i="7" s="1"/>
  <c r="U19" i="7" a="1"/>
  <c r="U19" i="7" s="1"/>
  <c r="U18" i="7" a="1"/>
  <c r="U18" i="7" s="1"/>
  <c r="U17" i="7" a="1"/>
  <c r="U17" i="7" s="1"/>
  <c r="M22" i="7" a="1"/>
  <c r="M22" i="7" s="1"/>
  <c r="J22" i="7" a="1"/>
  <c r="J22" i="7" s="1"/>
  <c r="M21" i="7" a="1"/>
  <c r="M21" i="7" s="1"/>
  <c r="J21" i="7" a="1"/>
  <c r="J21" i="7" s="1"/>
  <c r="M20" i="7" a="1"/>
  <c r="M20" i="7" s="1"/>
  <c r="J20" i="7" a="1"/>
  <c r="J20" i="7" s="1"/>
  <c r="M19" i="7" a="1"/>
  <c r="M19" i="7" s="1"/>
  <c r="J19" i="7" a="1"/>
  <c r="J19" i="7" s="1"/>
  <c r="M18" i="7" a="1"/>
  <c r="M18" i="7" s="1"/>
  <c r="J18" i="7" a="1"/>
  <c r="J18" i="7" s="1"/>
  <c r="M17" i="7" a="1"/>
  <c r="M17" i="7" s="1"/>
  <c r="J17" i="7" a="1"/>
  <c r="J17" i="7" s="1"/>
  <c r="C94" i="10"/>
  <c r="C95" i="10"/>
  <c r="C96" i="10"/>
  <c r="C93" i="10"/>
  <c r="C92" i="10"/>
  <c r="C91" i="10"/>
  <c r="AK13" i="7"/>
  <c r="AK12" i="7"/>
  <c r="AK11" i="7"/>
  <c r="U26" i="7" a="1"/>
  <c r="U26" i="7" s="1"/>
  <c r="U25" i="7" a="1"/>
  <c r="U25" i="7" s="1"/>
  <c r="U24" i="7" a="1"/>
  <c r="U24" i="7" s="1"/>
  <c r="U23" i="7" a="1"/>
  <c r="U23" i="7" s="1"/>
  <c r="U13" i="7" a="1"/>
  <c r="U13" i="7" s="1"/>
  <c r="U12" i="7" a="1"/>
  <c r="U12" i="7" s="1"/>
  <c r="U11" i="7" a="1"/>
  <c r="U11" i="7" s="1"/>
  <c r="U10" i="7" a="1"/>
  <c r="U10" i="7" s="1"/>
  <c r="U5" i="7" a="1"/>
  <c r="U5" i="7" s="1"/>
  <c r="U6" i="7" a="1"/>
  <c r="U6" i="7" s="1"/>
  <c r="U7" i="7" a="1"/>
  <c r="U7" i="7" s="1"/>
  <c r="U8" i="7" a="1"/>
  <c r="U8" i="7" s="1"/>
  <c r="U4" i="7" a="1"/>
  <c r="U4" i="7" s="1"/>
  <c r="U15" i="7" a="1"/>
  <c r="U15" i="7" s="1"/>
  <c r="AK25" i="7"/>
  <c r="AK26" i="7"/>
  <c r="AK24" i="7"/>
  <c r="AK8" i="7"/>
  <c r="AK7" i="7"/>
  <c r="AK6" i="7"/>
  <c r="AK5" i="7"/>
  <c r="AE13" i="7" a="1"/>
  <c r="AE13" i="7" s="1"/>
  <c r="AD13" i="7" a="1"/>
  <c r="AD13" i="7" s="1"/>
  <c r="AC13" i="7" a="1"/>
  <c r="AC13" i="7" s="1"/>
  <c r="AE12" i="7" a="1"/>
  <c r="AE12" i="7" s="1"/>
  <c r="AD12" i="7" a="1"/>
  <c r="AD12" i="7" s="1"/>
  <c r="AC12" i="7" a="1"/>
  <c r="AC12" i="7" s="1"/>
  <c r="AE11" i="7" a="1"/>
  <c r="AE11" i="7" s="1"/>
  <c r="AD11" i="7" a="1"/>
  <c r="AD11" i="7" s="1"/>
  <c r="AC11" i="7" a="1"/>
  <c r="AC11" i="7" s="1"/>
  <c r="AE10" i="7" a="1"/>
  <c r="AE10" i="7" s="1"/>
  <c r="AD10" i="7" a="1"/>
  <c r="AD10" i="7" s="1"/>
  <c r="AC10" i="7" a="1"/>
  <c r="AC10" i="7" s="1"/>
  <c r="M13" i="7" a="1"/>
  <c r="M13" i="7" s="1"/>
  <c r="J13" i="7" a="1"/>
  <c r="J13" i="7" s="1"/>
  <c r="M12" i="7" a="1"/>
  <c r="M12" i="7" s="1"/>
  <c r="J12" i="7" a="1"/>
  <c r="J12" i="7" s="1"/>
  <c r="M11" i="7" a="1"/>
  <c r="M11" i="7" s="1"/>
  <c r="J11" i="7" a="1"/>
  <c r="J11" i="7" s="1"/>
  <c r="M10" i="7" a="1"/>
  <c r="M10" i="7" s="1"/>
  <c r="J10" i="7" a="1"/>
  <c r="J10" i="7" s="1"/>
  <c r="C71" i="10"/>
  <c r="C70" i="10"/>
  <c r="C69" i="10"/>
  <c r="C68" i="10"/>
  <c r="C51" i="10"/>
  <c r="C53" i="10"/>
  <c r="C54" i="10"/>
  <c r="C55" i="10"/>
  <c r="C56" i="10"/>
  <c r="C57" i="10"/>
  <c r="C58" i="10"/>
  <c r="C59" i="10"/>
  <c r="C60" i="10"/>
  <c r="C50" i="10"/>
  <c r="C49" i="10"/>
  <c r="C48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25" i="10"/>
  <c r="C139" i="10"/>
  <c r="C140" i="10"/>
  <c r="C141" i="10"/>
  <c r="C142" i="10"/>
  <c r="C143" i="10"/>
  <c r="C144" i="10"/>
  <c r="C145" i="10"/>
  <c r="C146" i="10"/>
  <c r="C147" i="10"/>
  <c r="C148" i="10"/>
  <c r="C138" i="10"/>
  <c r="C137" i="10"/>
  <c r="C136" i="10"/>
  <c r="C135" i="10"/>
  <c r="C114" i="10"/>
  <c r="C113" i="10"/>
  <c r="C112" i="10"/>
  <c r="C111" i="10"/>
  <c r="C85" i="10"/>
  <c r="C84" i="10"/>
  <c r="C83" i="10"/>
  <c r="C82" i="10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4" i="8"/>
  <c r="AI13" i="8"/>
  <c r="AK13" i="8" s="1"/>
  <c r="AG13" i="8"/>
  <c r="U13" i="8" a="1"/>
  <c r="U13" i="8" s="1"/>
  <c r="T13" i="8" a="1"/>
  <c r="T13" i="8" s="1"/>
  <c r="S13" i="8" a="1"/>
  <c r="S13" i="8" s="1"/>
  <c r="F13" i="8" a="1"/>
  <c r="F13" i="8" s="1"/>
  <c r="AI12" i="8"/>
  <c r="AG12" i="8"/>
  <c r="U12" i="8" a="1"/>
  <c r="U12" i="8" s="1"/>
  <c r="T12" i="8" a="1"/>
  <c r="T12" i="8" s="1"/>
  <c r="S12" i="8" a="1"/>
  <c r="S12" i="8" s="1"/>
  <c r="F12" i="8" a="1"/>
  <c r="F12" i="8" s="1"/>
  <c r="AI17" i="8"/>
  <c r="AG17" i="8"/>
  <c r="U17" i="8" a="1"/>
  <c r="U17" i="8" s="1"/>
  <c r="T17" i="8" a="1"/>
  <c r="T17" i="8" s="1"/>
  <c r="S17" i="8" a="1"/>
  <c r="S17" i="8" s="1"/>
  <c r="F17" i="8" a="1"/>
  <c r="F17" i="8" s="1"/>
  <c r="AI16" i="8"/>
  <c r="AG16" i="8"/>
  <c r="U16" i="8" a="1"/>
  <c r="U16" i="8" s="1"/>
  <c r="T16" i="8" a="1"/>
  <c r="T16" i="8" s="1"/>
  <c r="S16" i="8" a="1"/>
  <c r="S16" i="8" s="1"/>
  <c r="F16" i="8" a="1"/>
  <c r="F16" i="8" s="1"/>
  <c r="AI15" i="8"/>
  <c r="AG15" i="8"/>
  <c r="U15" i="8" a="1"/>
  <c r="U15" i="8" s="1"/>
  <c r="T15" i="8" a="1"/>
  <c r="T15" i="8" s="1"/>
  <c r="S15" i="8" a="1"/>
  <c r="S15" i="8" s="1"/>
  <c r="F15" i="8" a="1"/>
  <c r="F15" i="8" s="1"/>
  <c r="AI10" i="8"/>
  <c r="AG10" i="8"/>
  <c r="U10" i="8" a="1"/>
  <c r="U10" i="8" s="1"/>
  <c r="T10" i="8" a="1"/>
  <c r="T10" i="8" s="1"/>
  <c r="S10" i="8" a="1"/>
  <c r="S10" i="8" s="1"/>
  <c r="F10" i="8" a="1"/>
  <c r="F10" i="8" s="1"/>
  <c r="AI9" i="8"/>
  <c r="AG9" i="8"/>
  <c r="U9" i="8" a="1"/>
  <c r="U9" i="8" s="1"/>
  <c r="T9" i="8" a="1"/>
  <c r="T9" i="8" s="1"/>
  <c r="S9" i="8" a="1"/>
  <c r="S9" i="8" s="1"/>
  <c r="F9" i="8" a="1"/>
  <c r="F9" i="8" s="1"/>
  <c r="AI7" i="8"/>
  <c r="AG7" i="8"/>
  <c r="U7" i="8" a="1"/>
  <c r="U7" i="8" s="1"/>
  <c r="T7" i="8" a="1"/>
  <c r="T7" i="8" s="1"/>
  <c r="S7" i="8" a="1"/>
  <c r="S7" i="8" s="1"/>
  <c r="F7" i="8" a="1"/>
  <c r="F7" i="8" s="1"/>
  <c r="AI6" i="8"/>
  <c r="AG6" i="8"/>
  <c r="U6" i="8" a="1"/>
  <c r="U6" i="8" s="1"/>
  <c r="T6" i="8" a="1"/>
  <c r="T6" i="8" s="1"/>
  <c r="S6" i="8" a="1"/>
  <c r="S6" i="8" s="1"/>
  <c r="F6" i="8" a="1"/>
  <c r="F6" i="8" s="1"/>
  <c r="AI5" i="8"/>
  <c r="AG5" i="8"/>
  <c r="U5" i="8" a="1"/>
  <c r="U5" i="8" s="1"/>
  <c r="T5" i="8" a="1"/>
  <c r="T5" i="8" s="1"/>
  <c r="S5" i="8" a="1"/>
  <c r="S5" i="8" s="1"/>
  <c r="F5" i="8" a="1"/>
  <c r="F5" i="8" s="1"/>
  <c r="R29" i="10"/>
  <c r="R28" i="10"/>
  <c r="R27" i="10"/>
  <c r="R26" i="10"/>
  <c r="AZ15" i="4"/>
  <c r="AW15" i="4" a="1"/>
  <c r="AW15" i="4" s="1"/>
  <c r="AV15" i="4" a="1"/>
  <c r="AV15" i="4" s="1"/>
  <c r="AU15" i="4" a="1"/>
  <c r="AU15" i="4" s="1"/>
  <c r="AO15" i="4" a="1"/>
  <c r="AO15" i="4" s="1"/>
  <c r="AL15" i="4" a="1"/>
  <c r="AL15" i="4" s="1"/>
  <c r="X15" i="4" a="1"/>
  <c r="X15" i="4" s="1"/>
  <c r="L15" i="4"/>
  <c r="H15" i="4"/>
  <c r="E15" i="4"/>
  <c r="AZ14" i="4"/>
  <c r="AW14" i="4" a="1"/>
  <c r="AW14" i="4" s="1"/>
  <c r="AV14" i="4" a="1"/>
  <c r="AV14" i="4" s="1"/>
  <c r="AU14" i="4" a="1"/>
  <c r="AU14" i="4" s="1"/>
  <c r="AO14" i="4" a="1"/>
  <c r="AO14" i="4" s="1"/>
  <c r="AL14" i="4" a="1"/>
  <c r="AL14" i="4" s="1"/>
  <c r="X14" i="4" a="1"/>
  <c r="X14" i="4" s="1"/>
  <c r="L14" i="4"/>
  <c r="H14" i="4"/>
  <c r="E14" i="4"/>
  <c r="AZ13" i="4"/>
  <c r="AW13" i="4" a="1"/>
  <c r="AW13" i="4" s="1"/>
  <c r="AV13" i="4" a="1"/>
  <c r="AV13" i="4" s="1"/>
  <c r="AU13" i="4" a="1"/>
  <c r="AU13" i="4" s="1"/>
  <c r="AO13" i="4" a="1"/>
  <c r="AO13" i="4" s="1"/>
  <c r="AL13" i="4" a="1"/>
  <c r="AL13" i="4" s="1"/>
  <c r="X13" i="4" a="1"/>
  <c r="X13" i="4" s="1"/>
  <c r="L13" i="4"/>
  <c r="H13" i="4"/>
  <c r="E13" i="4"/>
  <c r="AZ12" i="4"/>
  <c r="AW12" i="4" a="1"/>
  <c r="AW12" i="4" s="1"/>
  <c r="AV12" i="4" a="1"/>
  <c r="AV12" i="4" s="1"/>
  <c r="AU12" i="4" a="1"/>
  <c r="AU12" i="4" s="1"/>
  <c r="AO12" i="4" a="1"/>
  <c r="AO12" i="4" s="1"/>
  <c r="AL12" i="4" a="1"/>
  <c r="AL12" i="4" s="1"/>
  <c r="X12" i="4" a="1"/>
  <c r="X12" i="4" s="1"/>
  <c r="L12" i="4"/>
  <c r="H12" i="4"/>
  <c r="E12" i="4"/>
  <c r="AW11" i="4" a="1"/>
  <c r="AW11" i="4" s="1"/>
  <c r="AV11" i="4" a="1"/>
  <c r="AV11" i="4" s="1"/>
  <c r="AU11" i="4" a="1"/>
  <c r="AU11" i="4" s="1"/>
  <c r="AO11" i="4" a="1"/>
  <c r="AO11" i="4" s="1"/>
  <c r="AL11" i="4" a="1"/>
  <c r="AL11" i="4" s="1"/>
  <c r="X11" i="4" a="1"/>
  <c r="X11" i="4" s="1"/>
  <c r="L11" i="4"/>
  <c r="H11" i="4"/>
  <c r="E11" i="4"/>
  <c r="AN5" i="7"/>
  <c r="BG9" i="3" l="1"/>
  <c r="BH9" i="3" s="1" a="1"/>
  <c r="BH9" i="3" s="1"/>
  <c r="BM9" i="3" s="1"/>
  <c r="BP9" i="3"/>
  <c r="BR9" i="3" s="1"/>
  <c r="BV9" i="3" s="1"/>
  <c r="AG20" i="7"/>
  <c r="AH20" i="7" s="1"/>
  <c r="AG21" i="7"/>
  <c r="AH21" i="7" s="1"/>
  <c r="AG18" i="7"/>
  <c r="AH18" i="7" s="1"/>
  <c r="AG22" i="7"/>
  <c r="AH22" i="7" s="1"/>
  <c r="AG19" i="7"/>
  <c r="AH19" i="7" s="1"/>
  <c r="AG17" i="7"/>
  <c r="AH17" i="7" s="1"/>
  <c r="AJ17" i="7" s="1" a="1"/>
  <c r="AJ17" i="7" s="1"/>
  <c r="AM11" i="7"/>
  <c r="AO11" i="7" s="1" a="1"/>
  <c r="AO11" i="7" s="1"/>
  <c r="AG10" i="7"/>
  <c r="AH10" i="7" s="1"/>
  <c r="AJ10" i="7" s="1" a="1"/>
  <c r="AJ10" i="7" s="1"/>
  <c r="AM12" i="7"/>
  <c r="AO12" i="7" s="1" a="1"/>
  <c r="AO12" i="7" s="1"/>
  <c r="AM13" i="7"/>
  <c r="AO13" i="7" s="1" a="1"/>
  <c r="AO13" i="7" s="1"/>
  <c r="AK12" i="8"/>
  <c r="V13" i="8"/>
  <c r="W13" i="8" s="1"/>
  <c r="V12" i="8"/>
  <c r="W12" i="8" s="1"/>
  <c r="AK9" i="8"/>
  <c r="AK17" i="8"/>
  <c r="AK16" i="8"/>
  <c r="AK10" i="8"/>
  <c r="AK15" i="8"/>
  <c r="V17" i="8"/>
  <c r="V16" i="8"/>
  <c r="V15" i="8"/>
  <c r="V10" i="8"/>
  <c r="W10" i="8" s="1"/>
  <c r="V9" i="8"/>
  <c r="AK7" i="8"/>
  <c r="AK6" i="8"/>
  <c r="V7" i="8"/>
  <c r="V6" i="8"/>
  <c r="AK5" i="8"/>
  <c r="V5" i="8"/>
  <c r="AX15" i="4"/>
  <c r="AY15" i="4" s="1"/>
  <c r="BI15" i="4" s="1"/>
  <c r="AX14" i="4"/>
  <c r="AY14" i="4" s="1"/>
  <c r="BH14" i="4" s="1"/>
  <c r="AX13" i="4"/>
  <c r="AY13" i="4" s="1"/>
  <c r="BH13" i="4" s="1"/>
  <c r="AX12" i="4"/>
  <c r="AY12" i="4" s="1"/>
  <c r="AX11" i="4"/>
  <c r="AY11" i="4" s="1"/>
  <c r="BI11" i="4" s="1"/>
  <c r="AN8" i="7"/>
  <c r="AN7" i="7"/>
  <c r="AN6" i="7"/>
  <c r="J83" i="10" a="1"/>
  <c r="J84" i="10" a="1"/>
  <c r="J85" i="10" a="1"/>
  <c r="BU9" i="3" l="1"/>
  <c r="W9" i="8"/>
  <c r="X9" i="8" s="1"/>
  <c r="W6" i="8"/>
  <c r="X6" i="8" s="1"/>
  <c r="W5" i="8"/>
  <c r="X5" i="8" s="1"/>
  <c r="Y5" i="8" s="1"/>
  <c r="Z5" i="8" s="1" a="1"/>
  <c r="Z5" i="8" s="1"/>
  <c r="AF5" i="8" s="1"/>
  <c r="W15" i="8"/>
  <c r="X15" i="8" s="1"/>
  <c r="Y15" i="8" s="1"/>
  <c r="Z15" i="8" s="1" a="1"/>
  <c r="Z15" i="8" s="1"/>
  <c r="AF15" i="8" s="1"/>
  <c r="W17" i="8"/>
  <c r="X17" i="8" s="1"/>
  <c r="Y17" i="8" s="1"/>
  <c r="Z17" i="8" s="1" a="1"/>
  <c r="Z17" i="8" s="1"/>
  <c r="AF17" i="8" s="1"/>
  <c r="W7" i="8"/>
  <c r="X7" i="8" s="1"/>
  <c r="Y7" i="8" s="1"/>
  <c r="Z7" i="8" s="1" a="1"/>
  <c r="Z7" i="8" s="1"/>
  <c r="AF7" i="8" s="1"/>
  <c r="W16" i="8"/>
  <c r="X16" i="8" s="1"/>
  <c r="Y16" i="8" s="1"/>
  <c r="Z16" i="8" s="1" a="1"/>
  <c r="Z16" i="8" s="1"/>
  <c r="AF16" i="8" s="1"/>
  <c r="AJ22" i="7" a="1"/>
  <c r="AJ22" i="7" s="1"/>
  <c r="AM22" i="7" s="1"/>
  <c r="AO22" i="7" s="1" a="1"/>
  <c r="AO22" i="7" s="1"/>
  <c r="AU22" i="7" s="1"/>
  <c r="AJ21" i="7" a="1"/>
  <c r="AJ21" i="7" s="1"/>
  <c r="AM21" i="7" s="1"/>
  <c r="AO21" i="7" s="1" a="1"/>
  <c r="AO21" i="7" s="1"/>
  <c r="AU21" i="7" s="1"/>
  <c r="AJ20" i="7" a="1"/>
  <c r="AJ20" i="7" s="1"/>
  <c r="AM20" i="7" s="1"/>
  <c r="AO20" i="7" s="1" a="1"/>
  <c r="AO20" i="7" s="1"/>
  <c r="AU20" i="7" s="1"/>
  <c r="AJ19" i="7" a="1"/>
  <c r="AJ19" i="7" s="1"/>
  <c r="AM19" i="7" s="1"/>
  <c r="AO19" i="7" s="1" a="1"/>
  <c r="AO19" i="7" s="1"/>
  <c r="AU19" i="7" s="1"/>
  <c r="AJ18" i="7" a="1"/>
  <c r="AJ18" i="7" s="1"/>
  <c r="AM18" i="7" s="1"/>
  <c r="AO18" i="7" s="1" a="1"/>
  <c r="AO18" i="7" s="1"/>
  <c r="AU18" i="7" s="1"/>
  <c r="J83" i="10"/>
  <c r="M83" i="10" s="1"/>
  <c r="K83" i="10" s="1"/>
  <c r="J84" i="10"/>
  <c r="M84" i="10" s="1"/>
  <c r="K84" i="10" s="1"/>
  <c r="J85" i="10"/>
  <c r="M85" i="10" s="1"/>
  <c r="K85" i="10" s="1"/>
  <c r="X10" i="8"/>
  <c r="Y10" i="8" s="1"/>
  <c r="Z10" i="8" s="1" a="1"/>
  <c r="Z10" i="8" s="1"/>
  <c r="AF10" i="8" s="1"/>
  <c r="X12" i="8"/>
  <c r="Y12" i="8" s="1"/>
  <c r="Z12" i="8" s="1" a="1"/>
  <c r="Z12" i="8" s="1"/>
  <c r="AF12" i="8" s="1"/>
  <c r="X13" i="8"/>
  <c r="Y13" i="8" s="1"/>
  <c r="Z13" i="8" s="1" a="1"/>
  <c r="Z13" i="8" s="1"/>
  <c r="AF13" i="8" s="1"/>
  <c r="BA15" i="4"/>
  <c r="BB15" i="4" s="1" a="1"/>
  <c r="BB15" i="4" s="1"/>
  <c r="BG15" i="4" s="1"/>
  <c r="BH15" i="4"/>
  <c r="BL15" i="4" s="1"/>
  <c r="BI14" i="4"/>
  <c r="BA14" i="4"/>
  <c r="BB14" i="4" s="1" a="1"/>
  <c r="BB14" i="4" s="1"/>
  <c r="BG14" i="4" s="1"/>
  <c r="BI13" i="4"/>
  <c r="BA13" i="4"/>
  <c r="BB13" i="4" s="1" a="1"/>
  <c r="BB13" i="4" s="1"/>
  <c r="BG13" i="4" s="1"/>
  <c r="BM14" i="4"/>
  <c r="BL14" i="4"/>
  <c r="BM13" i="4"/>
  <c r="BL13" i="4"/>
  <c r="BH11" i="4"/>
  <c r="BL11" i="4" s="1"/>
  <c r="BI12" i="4"/>
  <c r="BH12" i="4"/>
  <c r="BA12" i="4"/>
  <c r="BB12" i="4" s="1" a="1"/>
  <c r="BB12" i="4" s="1"/>
  <c r="BG12" i="4" s="1"/>
  <c r="AE8" i="7" a="1"/>
  <c r="AE8" i="7" s="1"/>
  <c r="AD8" i="7" a="1"/>
  <c r="AD8" i="7" s="1"/>
  <c r="AC8" i="7" a="1"/>
  <c r="AC8" i="7" s="1"/>
  <c r="M8" i="7" a="1"/>
  <c r="M8" i="7" s="1"/>
  <c r="J8" i="7" a="1"/>
  <c r="J8" i="7" s="1"/>
  <c r="AE7" i="7" a="1"/>
  <c r="AE7" i="7" s="1"/>
  <c r="AD7" i="7" a="1"/>
  <c r="AD7" i="7" s="1"/>
  <c r="AC7" i="7" a="1"/>
  <c r="AC7" i="7" s="1"/>
  <c r="M7" i="7" a="1"/>
  <c r="M7" i="7" s="1"/>
  <c r="J7" i="7" a="1"/>
  <c r="J7" i="7" s="1"/>
  <c r="AE6" i="7" a="1"/>
  <c r="AE6" i="7" s="1"/>
  <c r="AD6" i="7" a="1"/>
  <c r="AD6" i="7" s="1"/>
  <c r="AC6" i="7" a="1"/>
  <c r="AC6" i="7" s="1"/>
  <c r="M6" i="7" a="1"/>
  <c r="M6" i="7" s="1"/>
  <c r="J6" i="7" a="1"/>
  <c r="J6" i="7" s="1"/>
  <c r="AE5" i="7" a="1"/>
  <c r="AE5" i="7" s="1"/>
  <c r="AD5" i="7" a="1"/>
  <c r="AD5" i="7" s="1"/>
  <c r="AC5" i="7" a="1"/>
  <c r="AC5" i="7" s="1"/>
  <c r="M5" i="7" a="1"/>
  <c r="M5" i="7" s="1"/>
  <c r="J5" i="7" a="1"/>
  <c r="J5" i="7" s="1"/>
  <c r="AE4" i="7" a="1"/>
  <c r="AE4" i="7" s="1"/>
  <c r="AD4" i="7" a="1"/>
  <c r="AD4" i="7" s="1"/>
  <c r="AC4" i="7" a="1"/>
  <c r="AC4" i="7" s="1"/>
  <c r="M4" i="7" a="1"/>
  <c r="M4" i="7" s="1"/>
  <c r="J4" i="7" a="1"/>
  <c r="J4" i="7" s="1"/>
  <c r="J141" i="10" a="1"/>
  <c r="J34" i="10" a="1"/>
  <c r="J93" i="10" a="1"/>
  <c r="J143" i="10" a="1"/>
  <c r="J95" i="10" a="1"/>
  <c r="J136" i="10" a="1"/>
  <c r="J37" i="10" a="1"/>
  <c r="J146" i="10" a="1"/>
  <c r="J147" i="10" a="1"/>
  <c r="J138" i="10" a="1"/>
  <c r="J36" i="10" a="1"/>
  <c r="J92" i="10" a="1"/>
  <c r="J35" i="10" a="1"/>
  <c r="J94" i="10" a="1"/>
  <c r="J148" i="10" a="1"/>
  <c r="J96" i="10" a="1"/>
  <c r="J144" i="10" a="1"/>
  <c r="Y9" i="8" l="1"/>
  <c r="Z9" i="8" s="1" a="1"/>
  <c r="Z9" i="8" s="1"/>
  <c r="AF9" i="8" s="1"/>
  <c r="Y6" i="8"/>
  <c r="Z6" i="8" s="1" a="1"/>
  <c r="Z6" i="8" s="1"/>
  <c r="AF6" i="8" s="1"/>
  <c r="J96" i="10"/>
  <c r="M96" i="10" s="1"/>
  <c r="K96" i="10" s="1"/>
  <c r="J95" i="10"/>
  <c r="M95" i="10" s="1"/>
  <c r="K95" i="10" s="1"/>
  <c r="J94" i="10"/>
  <c r="M94" i="10" s="1"/>
  <c r="K94" i="10" s="1"/>
  <c r="J93" i="10"/>
  <c r="M93" i="10" s="1"/>
  <c r="K93" i="10" s="1"/>
  <c r="J92" i="10"/>
  <c r="M92" i="10" s="1"/>
  <c r="K92" i="10" s="1"/>
  <c r="J144" i="10"/>
  <c r="M144" i="10" s="1"/>
  <c r="K144" i="10" s="1"/>
  <c r="J143" i="10"/>
  <c r="M143" i="10" s="1"/>
  <c r="K143" i="10" s="1"/>
  <c r="J141" i="10"/>
  <c r="M141" i="10" s="1"/>
  <c r="K141" i="10" s="1"/>
  <c r="J146" i="10"/>
  <c r="M146" i="10" s="1"/>
  <c r="K146" i="10" s="1"/>
  <c r="J147" i="10"/>
  <c r="M147" i="10" s="1"/>
  <c r="K147" i="10" s="1"/>
  <c r="J148" i="10"/>
  <c r="M148" i="10" s="1"/>
  <c r="K148" i="10" s="1"/>
  <c r="J136" i="10"/>
  <c r="M136" i="10" s="1"/>
  <c r="K136" i="10" s="1"/>
  <c r="J138" i="10"/>
  <c r="M138" i="10" s="1"/>
  <c r="K138" i="10" s="1"/>
  <c r="J34" i="10"/>
  <c r="J35" i="10"/>
  <c r="J36" i="10"/>
  <c r="J37" i="10"/>
  <c r="BM15" i="4"/>
  <c r="BM11" i="4"/>
  <c r="BM12" i="4"/>
  <c r="BL12" i="4"/>
  <c r="AG8" i="7"/>
  <c r="AH8" i="7" s="1"/>
  <c r="AJ8" i="7" s="1" a="1"/>
  <c r="AJ8" i="7" s="1"/>
  <c r="AG7" i="7"/>
  <c r="AH7" i="7" s="1"/>
  <c r="AJ7" i="7" s="1" a="1"/>
  <c r="AJ7" i="7" s="1"/>
  <c r="AG6" i="7"/>
  <c r="AH6" i="7" s="1"/>
  <c r="AJ6" i="7" s="1" a="1"/>
  <c r="AJ6" i="7" s="1"/>
  <c r="AG5" i="7"/>
  <c r="AH5" i="7" s="1"/>
  <c r="AJ5" i="7" s="1" a="1"/>
  <c r="AJ5" i="7" s="1"/>
  <c r="AG4" i="7"/>
  <c r="AH4" i="7" s="1"/>
  <c r="AJ4" i="7" s="1" a="1"/>
  <c r="AJ4" i="7" s="1"/>
  <c r="J140" i="10" a="1"/>
  <c r="J137" i="10" a="1"/>
  <c r="J140" i="10" l="1"/>
  <c r="M140" i="10" s="1"/>
  <c r="K140" i="10" s="1"/>
  <c r="J137" i="10"/>
  <c r="M137" i="10" s="1"/>
  <c r="K137" i="10" s="1"/>
  <c r="AM8" i="7"/>
  <c r="AO8" i="7" s="1" a="1"/>
  <c r="AO8" i="7" s="1"/>
  <c r="AU8" i="7" s="1"/>
  <c r="AM7" i="7"/>
  <c r="AO7" i="7" s="1" a="1"/>
  <c r="AO7" i="7" s="1"/>
  <c r="AU7" i="7" s="1"/>
  <c r="AM5" i="7"/>
  <c r="AO5" i="7" s="1" a="1"/>
  <c r="AO5" i="7" s="1"/>
  <c r="AU5" i="7" s="1"/>
  <c r="AM6" i="7"/>
  <c r="AO6" i="7" s="1" a="1"/>
  <c r="AO6" i="7" s="1"/>
  <c r="AU6" i="7" s="1"/>
  <c r="J29" i="10" a="1"/>
  <c r="J32" i="10" a="1"/>
  <c r="J31" i="10" a="1"/>
  <c r="J30" i="10" a="1"/>
  <c r="J29" i="10" l="1"/>
  <c r="M29" i="10" s="1"/>
  <c r="K29" i="10" s="1"/>
  <c r="J32" i="10"/>
  <c r="M32" i="10" s="1"/>
  <c r="K32" i="10" s="1"/>
  <c r="J30" i="10"/>
  <c r="M30" i="10" s="1"/>
  <c r="K30" i="10" s="1"/>
  <c r="J31" i="10"/>
  <c r="M31" i="10" s="1"/>
  <c r="K31" i="10" s="1"/>
  <c r="M34" i="10"/>
  <c r="K34" i="10" s="1"/>
  <c r="M35" i="10"/>
  <c r="K35" i="10" s="1"/>
  <c r="M36" i="10"/>
  <c r="K36" i="10" s="1"/>
  <c r="M37" i="10"/>
  <c r="K37" i="10" s="1"/>
  <c r="AL9" i="4" a="1"/>
  <c r="AL9" i="4" s="1"/>
  <c r="X9" i="4" a="1"/>
  <c r="X9" i="4" s="1"/>
  <c r="L9" i="4"/>
  <c r="H9" i="4"/>
  <c r="AZ9" i="4"/>
  <c r="AW9" i="4" a="1"/>
  <c r="AW9" i="4" s="1"/>
  <c r="AV9" i="4" a="1"/>
  <c r="AV9" i="4" s="1"/>
  <c r="AU9" i="4" a="1"/>
  <c r="AU9" i="4" s="1"/>
  <c r="AO9" i="4" a="1"/>
  <c r="AO9" i="4" s="1"/>
  <c r="E9" i="4"/>
  <c r="X8" i="4" a="1"/>
  <c r="X8" i="4" s="1"/>
  <c r="E8" i="4"/>
  <c r="H8" i="4"/>
  <c r="L8" i="4"/>
  <c r="AL8" i="4" a="1"/>
  <c r="AL8" i="4" s="1"/>
  <c r="AO8" i="4" a="1"/>
  <c r="AO8" i="4" s="1"/>
  <c r="AU8" i="4" a="1"/>
  <c r="AU8" i="4" s="1"/>
  <c r="AV8" i="4" a="1"/>
  <c r="AV8" i="4" s="1"/>
  <c r="AW8" i="4" a="1"/>
  <c r="AW8" i="4" s="1"/>
  <c r="E10" i="4"/>
  <c r="H10" i="4"/>
  <c r="L10" i="4"/>
  <c r="X10" i="4" a="1"/>
  <c r="X10" i="4" s="1"/>
  <c r="AL10" i="4" a="1"/>
  <c r="AL10" i="4" s="1"/>
  <c r="AO10" i="4" a="1"/>
  <c r="AO10" i="4" s="1"/>
  <c r="AU10" i="4" a="1"/>
  <c r="AU10" i="4" s="1"/>
  <c r="AV10" i="4" a="1"/>
  <c r="AV10" i="4" s="1"/>
  <c r="AW10" i="4" a="1"/>
  <c r="AW10" i="4" s="1"/>
  <c r="AZ10" i="4"/>
  <c r="AX10" i="4" l="1"/>
  <c r="AY10" i="4" s="1"/>
  <c r="BH10" i="4" s="1"/>
  <c r="AX8" i="4"/>
  <c r="AY8" i="4" s="1"/>
  <c r="BH8" i="4" s="1"/>
  <c r="AX9" i="4"/>
  <c r="AY9" i="4" l="1"/>
  <c r="BI9" i="4" s="1"/>
  <c r="BI10" i="4"/>
  <c r="BA10" i="4"/>
  <c r="BB10" i="4" s="1" a="1"/>
  <c r="BB10" i="4" s="1"/>
  <c r="BG10" i="4" s="1"/>
  <c r="BI8" i="4"/>
  <c r="BM10" i="4"/>
  <c r="BL10" i="4"/>
  <c r="BM8" i="4"/>
  <c r="BL8" i="4"/>
  <c r="J27" i="10" a="1"/>
  <c r="J27" i="10" l="1"/>
  <c r="BH9" i="4"/>
  <c r="BM9" i="4" s="1"/>
  <c r="BA9" i="4"/>
  <c r="BB9" i="4" s="1" a="1"/>
  <c r="BB9" i="4" s="1"/>
  <c r="BG9" i="4" s="1"/>
  <c r="AE26" i="7" a="1"/>
  <c r="AE26" i="7" s="1"/>
  <c r="AD26" i="7" a="1"/>
  <c r="AD26" i="7" s="1"/>
  <c r="AC26" i="7" a="1"/>
  <c r="AC26" i="7" s="1"/>
  <c r="M26" i="7" a="1"/>
  <c r="M26" i="7" s="1"/>
  <c r="J26" i="7" a="1"/>
  <c r="J26" i="7" s="1"/>
  <c r="AE25" i="7" a="1"/>
  <c r="AE25" i="7" s="1"/>
  <c r="AD25" i="7" a="1"/>
  <c r="AD25" i="7" s="1"/>
  <c r="AC25" i="7" a="1"/>
  <c r="AC25" i="7" s="1"/>
  <c r="M25" i="7" a="1"/>
  <c r="M25" i="7" s="1"/>
  <c r="J25" i="7" a="1"/>
  <c r="J25" i="7" s="1"/>
  <c r="AE24" i="7" a="1"/>
  <c r="AE24" i="7" s="1"/>
  <c r="AD24" i="7" a="1"/>
  <c r="AD24" i="7" s="1"/>
  <c r="AC24" i="7" a="1"/>
  <c r="AC24" i="7" s="1"/>
  <c r="M24" i="7" a="1"/>
  <c r="M24" i="7" s="1"/>
  <c r="J24" i="7" a="1"/>
  <c r="J24" i="7" s="1"/>
  <c r="AE23" i="7" a="1"/>
  <c r="AE23" i="7" s="1"/>
  <c r="AD23" i="7" a="1"/>
  <c r="AD23" i="7" s="1"/>
  <c r="AC23" i="7" a="1"/>
  <c r="AC23" i="7" s="1"/>
  <c r="AE15" i="7" a="1"/>
  <c r="AE15" i="7" s="1"/>
  <c r="AD15" i="7" a="1"/>
  <c r="AD15" i="7" s="1"/>
  <c r="AC15" i="7" a="1"/>
  <c r="AC15" i="7" s="1"/>
  <c r="J26" i="10" a="1"/>
  <c r="J26" i="10" l="1"/>
  <c r="BL9" i="4"/>
  <c r="AG24" i="7"/>
  <c r="AH24" i="7" s="1"/>
  <c r="AJ24" i="7" s="1" a="1"/>
  <c r="AJ24" i="7" s="1"/>
  <c r="AG15" i="7"/>
  <c r="AH15" i="7" s="1"/>
  <c r="AJ15" i="7" s="1" a="1"/>
  <c r="AJ15" i="7" s="1"/>
  <c r="AG26" i="7"/>
  <c r="AH26" i="7" s="1"/>
  <c r="AJ26" i="7" s="1" a="1"/>
  <c r="AJ26" i="7" s="1"/>
  <c r="AG25" i="7"/>
  <c r="AH25" i="7" s="1"/>
  <c r="AJ25" i="7" s="1" a="1"/>
  <c r="AJ25" i="7" s="1"/>
  <c r="AG23" i="7"/>
  <c r="AH23" i="7" s="1"/>
  <c r="AJ23" i="7" s="1" a="1"/>
  <c r="AJ23" i="7" s="1"/>
  <c r="AJ15" i="3"/>
  <c r="AI15" i="3"/>
  <c r="AA15" i="3"/>
  <c r="Z15" i="3"/>
  <c r="BQ17" i="3"/>
  <c r="BO17" i="3"/>
  <c r="BN17" i="3"/>
  <c r="AZ17" i="3" a="1"/>
  <c r="AZ17" i="3" s="1"/>
  <c r="AY17" i="3" a="1"/>
  <c r="AY17" i="3" s="1"/>
  <c r="AX17" i="3" a="1"/>
  <c r="AX17" i="3" s="1"/>
  <c r="AQ17" i="3" a="1"/>
  <c r="AQ17" i="3" s="1"/>
  <c r="AP17" i="3"/>
  <c r="AN17" i="3"/>
  <c r="AJ17" i="3"/>
  <c r="AI17" i="3"/>
  <c r="AE17" i="3" a="1"/>
  <c r="AE17" i="3" s="1"/>
  <c r="AC17" i="3"/>
  <c r="AA17" i="3"/>
  <c r="Z17" i="3"/>
  <c r="X17" i="3"/>
  <c r="L17" i="3"/>
  <c r="I17" i="3"/>
  <c r="H17" i="3"/>
  <c r="BQ16" i="3"/>
  <c r="BO16" i="3"/>
  <c r="BN16" i="3"/>
  <c r="AZ16" i="3" a="1"/>
  <c r="AZ16" i="3" s="1"/>
  <c r="AY16" i="3" a="1"/>
  <c r="AY16" i="3" s="1"/>
  <c r="AX16" i="3" a="1"/>
  <c r="AX16" i="3" s="1"/>
  <c r="AQ16" i="3" a="1"/>
  <c r="AQ16" i="3" s="1"/>
  <c r="AP16" i="3"/>
  <c r="AN16" i="3"/>
  <c r="AJ16" i="3"/>
  <c r="AI16" i="3"/>
  <c r="AE16" i="3" a="1"/>
  <c r="AE16" i="3" s="1"/>
  <c r="AC16" i="3"/>
  <c r="AA16" i="3"/>
  <c r="Z16" i="3"/>
  <c r="X16" i="3"/>
  <c r="L16" i="3"/>
  <c r="I16" i="3"/>
  <c r="H16" i="3"/>
  <c r="AZ21" i="4"/>
  <c r="AZ22" i="4"/>
  <c r="AZ4" i="4"/>
  <c r="AZ5" i="4"/>
  <c r="AZ6" i="4"/>
  <c r="AZ7" i="4"/>
  <c r="AM24" i="7" l="1"/>
  <c r="AO24" i="7" s="1" a="1"/>
  <c r="AO24" i="7" s="1"/>
  <c r="AU24" i="7" s="1"/>
  <c r="AM25" i="7"/>
  <c r="AO25" i="7" s="1" a="1"/>
  <c r="AO25" i="7" s="1"/>
  <c r="AU25" i="7" s="1"/>
  <c r="AM26" i="7"/>
  <c r="AO26" i="7" s="1" a="1"/>
  <c r="AO26" i="7" s="1"/>
  <c r="AU26" i="7" s="1"/>
  <c r="BA17" i="3"/>
  <c r="BC17" i="3" s="1"/>
  <c r="BA16" i="3"/>
  <c r="BC16" i="3" s="1"/>
  <c r="BS16" i="3" s="1"/>
  <c r="BQ27" i="3"/>
  <c r="BO27" i="3"/>
  <c r="BN27" i="3"/>
  <c r="AZ27" i="3" a="1"/>
  <c r="AZ27" i="3" s="1"/>
  <c r="AY27" i="3" a="1"/>
  <c r="AY27" i="3" s="1"/>
  <c r="AX27" i="3" a="1"/>
  <c r="AX27" i="3" s="1"/>
  <c r="AQ27" i="3" a="1"/>
  <c r="AQ27" i="3" s="1"/>
  <c r="AP27" i="3"/>
  <c r="AN27" i="3"/>
  <c r="AJ27" i="3"/>
  <c r="AI27" i="3"/>
  <c r="AE27" i="3" a="1"/>
  <c r="AE27" i="3" s="1"/>
  <c r="AC27" i="3"/>
  <c r="AA27" i="3"/>
  <c r="Z27" i="3"/>
  <c r="X27" i="3"/>
  <c r="L27" i="3"/>
  <c r="I27" i="3"/>
  <c r="H27" i="3"/>
  <c r="BQ26" i="3"/>
  <c r="BO26" i="3"/>
  <c r="BN26" i="3"/>
  <c r="AZ26" i="3" a="1"/>
  <c r="AZ26" i="3" s="1"/>
  <c r="AY26" i="3" a="1"/>
  <c r="AY26" i="3" s="1"/>
  <c r="AX26" i="3" a="1"/>
  <c r="AX26" i="3" s="1"/>
  <c r="AQ26" i="3" a="1"/>
  <c r="AQ26" i="3" s="1"/>
  <c r="AP26" i="3"/>
  <c r="AN26" i="3"/>
  <c r="AJ26" i="3"/>
  <c r="AI26" i="3"/>
  <c r="AE26" i="3" a="1"/>
  <c r="AE26" i="3" s="1"/>
  <c r="AC26" i="3"/>
  <c r="AA26" i="3"/>
  <c r="Z26" i="3"/>
  <c r="X26" i="3"/>
  <c r="L26" i="3"/>
  <c r="I26" i="3"/>
  <c r="H26" i="3"/>
  <c r="BQ25" i="3"/>
  <c r="BO25" i="3"/>
  <c r="BN25" i="3"/>
  <c r="AZ25" i="3" a="1"/>
  <c r="AZ25" i="3" s="1"/>
  <c r="AY25" i="3" a="1"/>
  <c r="AY25" i="3" s="1"/>
  <c r="AX25" i="3" a="1"/>
  <c r="AX25" i="3" s="1"/>
  <c r="AQ25" i="3" a="1"/>
  <c r="AQ25" i="3" s="1"/>
  <c r="AP25" i="3"/>
  <c r="AN25" i="3"/>
  <c r="AJ25" i="3"/>
  <c r="AI25" i="3"/>
  <c r="AE25" i="3" a="1"/>
  <c r="AE25" i="3" s="1"/>
  <c r="AC25" i="3"/>
  <c r="AA25" i="3"/>
  <c r="Z25" i="3"/>
  <c r="X25" i="3"/>
  <c r="L25" i="3"/>
  <c r="I25" i="3"/>
  <c r="H25" i="3"/>
  <c r="AB12" i="3"/>
  <c r="BF12" i="3" s="1"/>
  <c r="AB11" i="3"/>
  <c r="AB10" i="3"/>
  <c r="X10" i="3"/>
  <c r="X11" i="3"/>
  <c r="X12" i="3"/>
  <c r="X13" i="3"/>
  <c r="X14" i="3"/>
  <c r="BB14" i="3"/>
  <c r="BB13" i="3"/>
  <c r="BB12" i="3"/>
  <c r="BB11" i="3"/>
  <c r="BB10" i="3"/>
  <c r="BC31" i="3"/>
  <c r="BC34" i="3"/>
  <c r="BC36" i="3"/>
  <c r="BC38" i="3"/>
  <c r="BO14" i="3"/>
  <c r="BN14" i="3"/>
  <c r="AZ14" i="3" a="1"/>
  <c r="AZ14" i="3" s="1"/>
  <c r="AY14" i="3" a="1"/>
  <c r="AY14" i="3" s="1"/>
  <c r="AX14" i="3" a="1"/>
  <c r="AX14" i="3" s="1"/>
  <c r="AQ14" i="3" a="1"/>
  <c r="AQ14" i="3" s="1"/>
  <c r="AP14" i="3"/>
  <c r="AN14" i="3"/>
  <c r="AJ14" i="3"/>
  <c r="AI14" i="3"/>
  <c r="AE14" i="3" a="1"/>
  <c r="AE14" i="3" s="1"/>
  <c r="AD14" i="3"/>
  <c r="BQ14" i="3" s="1"/>
  <c r="AC14" i="3"/>
  <c r="AA14" i="3"/>
  <c r="Z14" i="3"/>
  <c r="L14" i="3"/>
  <c r="I14" i="3"/>
  <c r="H14" i="3"/>
  <c r="BO13" i="3"/>
  <c r="BN13" i="3"/>
  <c r="AZ13" i="3" a="1"/>
  <c r="AZ13" i="3" s="1"/>
  <c r="AY13" i="3" a="1"/>
  <c r="AY13" i="3" s="1"/>
  <c r="AX13" i="3" a="1"/>
  <c r="AX13" i="3" s="1"/>
  <c r="AQ13" i="3" a="1"/>
  <c r="AQ13" i="3" s="1"/>
  <c r="AP13" i="3"/>
  <c r="AN13" i="3"/>
  <c r="AJ13" i="3"/>
  <c r="AI13" i="3"/>
  <c r="AE13" i="3" a="1"/>
  <c r="AE13" i="3" s="1"/>
  <c r="AD13" i="3"/>
  <c r="BQ13" i="3" s="1"/>
  <c r="AC13" i="3"/>
  <c r="AA13" i="3"/>
  <c r="Z13" i="3"/>
  <c r="L13" i="3"/>
  <c r="I13" i="3"/>
  <c r="H13" i="3"/>
  <c r="BO12" i="3"/>
  <c r="BN12" i="3"/>
  <c r="AZ12" i="3" a="1"/>
  <c r="AZ12" i="3" s="1"/>
  <c r="AY12" i="3" a="1"/>
  <c r="AY12" i="3" s="1"/>
  <c r="AX12" i="3" a="1"/>
  <c r="AX12" i="3" s="1"/>
  <c r="AQ12" i="3" a="1"/>
  <c r="AQ12" i="3" s="1"/>
  <c r="AP12" i="3"/>
  <c r="AN12" i="3"/>
  <c r="AJ12" i="3"/>
  <c r="AI12" i="3"/>
  <c r="AE12" i="3" a="1"/>
  <c r="AE12" i="3" s="1"/>
  <c r="AD12" i="3"/>
  <c r="Z12" i="3"/>
  <c r="L12" i="3"/>
  <c r="I12" i="3"/>
  <c r="H12" i="3"/>
  <c r="BO11" i="3"/>
  <c r="BN11" i="3"/>
  <c r="AZ11" i="3" a="1"/>
  <c r="AZ11" i="3" s="1"/>
  <c r="AY11" i="3" a="1"/>
  <c r="AY11" i="3" s="1"/>
  <c r="AX11" i="3" a="1"/>
  <c r="AX11" i="3" s="1"/>
  <c r="AQ11" i="3" a="1"/>
  <c r="AQ11" i="3" s="1"/>
  <c r="AP11" i="3"/>
  <c r="AN11" i="3"/>
  <c r="AJ11" i="3"/>
  <c r="AI11" i="3"/>
  <c r="AE11" i="3" a="1"/>
  <c r="AE11" i="3" s="1"/>
  <c r="AD11" i="3"/>
  <c r="Z11" i="3"/>
  <c r="L11" i="3"/>
  <c r="I11" i="3"/>
  <c r="H11" i="3"/>
  <c r="J112" i="10" a="1"/>
  <c r="J113" i="10" a="1"/>
  <c r="J114" i="10" a="1"/>
  <c r="AA11" i="3" l="1"/>
  <c r="BF11" i="3"/>
  <c r="J114" i="10"/>
  <c r="M114" i="10" s="1"/>
  <c r="K114" i="10" s="1"/>
  <c r="J113" i="10"/>
  <c r="M113" i="10" s="1"/>
  <c r="K113" i="10" s="1"/>
  <c r="J112" i="10"/>
  <c r="M112" i="10" s="1"/>
  <c r="K112" i="10" s="1"/>
  <c r="BG16" i="3"/>
  <c r="BH16" i="3" s="1" a="1"/>
  <c r="BH16" i="3" s="1"/>
  <c r="BM16" i="3" s="1"/>
  <c r="BP16" i="3"/>
  <c r="BR16" i="3" s="1"/>
  <c r="BV16" i="3" s="1"/>
  <c r="BS17" i="3"/>
  <c r="BG17" i="3"/>
  <c r="BH17" i="3" s="1" a="1"/>
  <c r="BH17" i="3" s="1"/>
  <c r="BM17" i="3" s="1"/>
  <c r="BP17" i="3"/>
  <c r="BR17" i="3" s="1"/>
  <c r="AC11" i="3"/>
  <c r="AC12" i="3"/>
  <c r="BQ11" i="3"/>
  <c r="AA12" i="3"/>
  <c r="BQ12" i="3"/>
  <c r="BA27" i="3"/>
  <c r="BC27" i="3" s="1"/>
  <c r="BA25" i="3"/>
  <c r="BC25" i="3" s="1"/>
  <c r="BA26" i="3"/>
  <c r="BC26" i="3" s="1"/>
  <c r="BA12" i="3"/>
  <c r="BC12" i="3" s="1"/>
  <c r="BG12" i="3" s="1"/>
  <c r="BA13" i="3"/>
  <c r="BA14" i="3"/>
  <c r="BC14" i="3" s="1"/>
  <c r="BG14" i="3" s="1"/>
  <c r="BA11" i="3"/>
  <c r="J59" i="10" a="1"/>
  <c r="J60" i="10" a="1"/>
  <c r="J59" i="10" l="1"/>
  <c r="J60" i="10"/>
  <c r="BU16" i="3"/>
  <c r="BV17" i="3"/>
  <c r="BU17" i="3"/>
  <c r="BH14" i="3" a="1"/>
  <c r="BH14" i="3" s="1"/>
  <c r="BM14" i="3" s="1"/>
  <c r="BH12" i="3" a="1"/>
  <c r="BH12" i="3" s="1"/>
  <c r="BM12" i="3" s="1"/>
  <c r="BS25" i="3"/>
  <c r="BP25" i="3"/>
  <c r="BR25" i="3" s="1"/>
  <c r="BG25" i="3"/>
  <c r="BP26" i="3"/>
  <c r="BR26" i="3" s="1"/>
  <c r="BG26" i="3"/>
  <c r="BS26" i="3"/>
  <c r="BS27" i="3"/>
  <c r="BG27" i="3"/>
  <c r="BP27" i="3"/>
  <c r="BR27" i="3" s="1"/>
  <c r="BR12" i="3"/>
  <c r="BU12" i="3" s="1"/>
  <c r="BC11" i="3"/>
  <c r="BG11" i="3" s="1"/>
  <c r="BC13" i="3"/>
  <c r="BG13" i="3" s="1"/>
  <c r="BS12" i="3"/>
  <c r="BP12" i="3"/>
  <c r="BS14" i="3"/>
  <c r="BR14" i="3"/>
  <c r="BP14" i="3"/>
  <c r="J55" i="10" a="1"/>
  <c r="J57" i="10" a="1"/>
  <c r="J57" i="10" l="1"/>
  <c r="M57" i="10" s="1"/>
  <c r="K57" i="10" s="1"/>
  <c r="J55" i="10"/>
  <c r="M55" i="10" s="1"/>
  <c r="K55" i="10" s="1"/>
  <c r="BH26" i="3" a="1"/>
  <c r="BH26" i="3" s="1"/>
  <c r="BM26" i="3" s="1"/>
  <c r="BH11" i="3" a="1"/>
  <c r="BH11" i="3" s="1"/>
  <c r="BM11" i="3" s="1"/>
  <c r="BH27" i="3" a="1"/>
  <c r="BH27" i="3" s="1"/>
  <c r="BM27" i="3" s="1"/>
  <c r="BH13" i="3" a="1"/>
  <c r="BH13" i="3" s="1"/>
  <c r="BM13" i="3" s="1"/>
  <c r="BH25" i="3" a="1"/>
  <c r="BH25" i="3" s="1"/>
  <c r="BM25" i="3" s="1"/>
  <c r="BV26" i="3"/>
  <c r="BU26" i="3"/>
  <c r="BV25" i="3"/>
  <c r="BU25" i="3"/>
  <c r="BV27" i="3"/>
  <c r="BU27" i="3"/>
  <c r="BV12" i="3"/>
  <c r="BP13" i="3"/>
  <c r="BS11" i="3"/>
  <c r="BR13" i="3"/>
  <c r="BV13" i="3" s="1"/>
  <c r="BS13" i="3"/>
  <c r="BP11" i="3"/>
  <c r="BR11" i="3"/>
  <c r="BV14" i="3"/>
  <c r="BU14" i="3"/>
  <c r="J69" i="10" a="1"/>
  <c r="J71" i="10" a="1"/>
  <c r="J70" i="10" a="1"/>
  <c r="J54" i="10" a="1"/>
  <c r="J56" i="10" a="1"/>
  <c r="J56" i="10" l="1"/>
  <c r="M56" i="10" s="1"/>
  <c r="K56" i="10" s="1"/>
  <c r="J54" i="10"/>
  <c r="M54" i="10" s="1"/>
  <c r="K54" i="10" s="1"/>
  <c r="J70" i="10"/>
  <c r="M70" i="10" s="1"/>
  <c r="K70" i="10" s="1"/>
  <c r="J71" i="10"/>
  <c r="M71" i="10" s="1"/>
  <c r="K71" i="10" s="1"/>
  <c r="J69" i="10"/>
  <c r="M69" i="10" s="1"/>
  <c r="K69" i="10" s="1"/>
  <c r="BU13" i="3"/>
  <c r="BU11" i="3"/>
  <c r="BV11" i="3"/>
  <c r="J23" i="7" a="1"/>
  <c r="J23" i="7" s="1"/>
  <c r="M23" i="7" a="1"/>
  <c r="M23" i="7" s="1"/>
  <c r="J15" i="7" a="1"/>
  <c r="J15" i="7" s="1"/>
  <c r="BQ8" i="3" l="1"/>
  <c r="BO8" i="3"/>
  <c r="BN8" i="3"/>
  <c r="AZ8" i="3" a="1"/>
  <c r="AZ8" i="3" s="1"/>
  <c r="AY8" i="3" a="1"/>
  <c r="AY8" i="3" s="1"/>
  <c r="AX8" i="3" a="1"/>
  <c r="AX8" i="3" s="1"/>
  <c r="AQ8" i="3" a="1"/>
  <c r="AQ8" i="3" s="1"/>
  <c r="AP8" i="3"/>
  <c r="AN8" i="3"/>
  <c r="AJ8" i="3"/>
  <c r="AI8" i="3"/>
  <c r="AE8" i="3" a="1"/>
  <c r="AE8" i="3" s="1"/>
  <c r="AC8" i="3"/>
  <c r="AA8" i="3"/>
  <c r="Z8" i="3"/>
  <c r="X8" i="3"/>
  <c r="L8" i="3"/>
  <c r="I8" i="3"/>
  <c r="H8" i="3"/>
  <c r="BQ7" i="3"/>
  <c r="BO7" i="3"/>
  <c r="BN7" i="3"/>
  <c r="AZ7" i="3" a="1"/>
  <c r="AZ7" i="3" s="1"/>
  <c r="AY7" i="3" a="1"/>
  <c r="AY7" i="3" s="1"/>
  <c r="AX7" i="3" a="1"/>
  <c r="AX7" i="3" s="1"/>
  <c r="AQ7" i="3" a="1"/>
  <c r="AQ7" i="3" s="1"/>
  <c r="AP7" i="3"/>
  <c r="AN7" i="3"/>
  <c r="AJ7" i="3"/>
  <c r="AI7" i="3"/>
  <c r="AE7" i="3" a="1"/>
  <c r="AE7" i="3" s="1"/>
  <c r="AC7" i="3"/>
  <c r="AA7" i="3"/>
  <c r="Z7" i="3"/>
  <c r="X7" i="3"/>
  <c r="L7" i="3"/>
  <c r="I7" i="3"/>
  <c r="H7" i="3"/>
  <c r="BQ6" i="3"/>
  <c r="BO6" i="3"/>
  <c r="BN6" i="3"/>
  <c r="AZ6" i="3" a="1"/>
  <c r="AZ6" i="3" s="1"/>
  <c r="AY6" i="3" a="1"/>
  <c r="AY6" i="3" s="1"/>
  <c r="AX6" i="3" a="1"/>
  <c r="AX6" i="3" s="1"/>
  <c r="AQ6" i="3" a="1"/>
  <c r="AQ6" i="3" s="1"/>
  <c r="AP6" i="3"/>
  <c r="AN6" i="3"/>
  <c r="AJ6" i="3"/>
  <c r="AI6" i="3"/>
  <c r="AE6" i="3" a="1"/>
  <c r="AE6" i="3" s="1"/>
  <c r="AC6" i="3"/>
  <c r="AA6" i="3"/>
  <c r="Z6" i="3"/>
  <c r="X6" i="3"/>
  <c r="L6" i="3"/>
  <c r="I6" i="3"/>
  <c r="H6" i="3"/>
  <c r="BA8" i="3" l="1"/>
  <c r="BC8" i="3" s="1"/>
  <c r="BA6" i="3"/>
  <c r="BA7" i="3"/>
  <c r="BC7" i="3" s="1"/>
  <c r="BC6" i="3" l="1"/>
  <c r="BG6" i="3" s="1"/>
  <c r="BS8" i="3"/>
  <c r="BG8" i="3"/>
  <c r="BP8" i="3"/>
  <c r="BR8" i="3" s="1"/>
  <c r="BS7" i="3"/>
  <c r="BG7" i="3"/>
  <c r="BP7" i="3"/>
  <c r="BR7" i="3" s="1"/>
  <c r="AK22" i="4"/>
  <c r="AI22" i="4"/>
  <c r="AW22" i="4" a="1"/>
  <c r="AW22" i="4" s="1"/>
  <c r="AV22" i="4" a="1"/>
  <c r="AV22" i="4" s="1"/>
  <c r="AU22" i="4" a="1"/>
  <c r="AU22" i="4" s="1"/>
  <c r="AO22" i="4" a="1"/>
  <c r="AO22" i="4" s="1"/>
  <c r="AL22" i="4" a="1"/>
  <c r="AL22" i="4" s="1"/>
  <c r="X22" i="4" a="1"/>
  <c r="X22" i="4" s="1"/>
  <c r="L22" i="4"/>
  <c r="H22" i="4"/>
  <c r="E22" i="4"/>
  <c r="AW21" i="4" a="1"/>
  <c r="AW21" i="4" s="1"/>
  <c r="AV21" i="4" a="1"/>
  <c r="AV21" i="4" s="1"/>
  <c r="AU21" i="4" a="1"/>
  <c r="AU21" i="4" s="1"/>
  <c r="AO21" i="4" a="1"/>
  <c r="AO21" i="4" s="1"/>
  <c r="AL21" i="4" a="1"/>
  <c r="AL21" i="4" s="1"/>
  <c r="X21" i="4" a="1"/>
  <c r="X21" i="4" s="1"/>
  <c r="L21" i="4"/>
  <c r="H21" i="4"/>
  <c r="E21" i="4"/>
  <c r="AX22" i="4" l="1"/>
  <c r="AY22" i="4" s="1"/>
  <c r="AX21" i="4"/>
  <c r="AY21" i="4" s="1"/>
  <c r="BH8" i="3" a="1"/>
  <c r="BH8" i="3" s="1"/>
  <c r="BM8" i="3" s="1"/>
  <c r="M60" i="10"/>
  <c r="K60" i="10" s="1"/>
  <c r="BH7" i="3" a="1"/>
  <c r="BH7" i="3" s="1"/>
  <c r="BM7" i="3" s="1"/>
  <c r="BH6" i="3" a="1"/>
  <c r="BH6" i="3" s="1"/>
  <c r="BM6" i="3" s="1"/>
  <c r="BS6" i="3"/>
  <c r="BP6" i="3"/>
  <c r="BR6" i="3" s="1"/>
  <c r="BV6" i="3" s="1"/>
  <c r="BV8" i="3"/>
  <c r="BU8" i="3"/>
  <c r="BV7" i="3"/>
  <c r="BU7" i="3"/>
  <c r="J49" i="10" a="1"/>
  <c r="J52" i="10" a="1"/>
  <c r="J51" i="10" a="1"/>
  <c r="J50" i="10" a="1"/>
  <c r="J52" i="10" l="1"/>
  <c r="M52" i="10" s="1"/>
  <c r="K52" i="10" s="1"/>
  <c r="J49" i="10"/>
  <c r="M49" i="10" s="1"/>
  <c r="K49" i="10" s="1"/>
  <c r="J50" i="10"/>
  <c r="M50" i="10" s="1"/>
  <c r="K50" i="10" s="1"/>
  <c r="J51" i="10"/>
  <c r="M51" i="10" s="1"/>
  <c r="K51" i="10" s="1"/>
  <c r="BA21" i="4"/>
  <c r="BB21" i="4" s="1" a="1"/>
  <c r="BB21" i="4" s="1"/>
  <c r="BG21" i="4" s="1"/>
  <c r="BA22" i="4"/>
  <c r="BB22" i="4" s="1" a="1"/>
  <c r="BB22" i="4" s="1"/>
  <c r="BG22" i="4" s="1"/>
  <c r="M59" i="10"/>
  <c r="K59" i="10" s="1"/>
  <c r="BU6" i="3"/>
  <c r="BH22" i="4"/>
  <c r="BI22" i="4"/>
  <c r="BI21" i="4"/>
  <c r="BH21" i="4"/>
  <c r="BL22" i="4" l="1"/>
  <c r="BM22" i="4"/>
  <c r="BM21" i="4"/>
  <c r="BL21" i="4"/>
  <c r="AL4" i="4" a="1"/>
  <c r="AL4" i="4" s="1"/>
  <c r="AL19" i="4" a="1"/>
  <c r="AL19" i="4" s="1"/>
  <c r="AL18" i="4" a="1"/>
  <c r="AL18" i="4" s="1"/>
  <c r="AL17" i="4" a="1"/>
  <c r="AL17" i="4" s="1"/>
  <c r="AL16" i="4" a="1"/>
  <c r="AL16" i="4" s="1"/>
  <c r="AL7" i="4" a="1"/>
  <c r="AL7" i="4" s="1"/>
  <c r="AL6" i="4" a="1"/>
  <c r="AL6" i="4" s="1"/>
  <c r="AL5" i="4" a="1"/>
  <c r="AL5" i="4" s="1"/>
  <c r="BQ37" i="3"/>
  <c r="BN37" i="3"/>
  <c r="BO37" i="3"/>
  <c r="BA55" i="3" l="1"/>
  <c r="BA56" i="3"/>
  <c r="BA54" i="3"/>
  <c r="BA53" i="3"/>
  <c r="BA51" i="3"/>
  <c r="BA50" i="3"/>
  <c r="BC50" i="3" s="1"/>
  <c r="BA44" i="3"/>
  <c r="BA45" i="3"/>
  <c r="BA46" i="3"/>
  <c r="BA47" i="3"/>
  <c r="BA48" i="3"/>
  <c r="BA43" i="3"/>
  <c r="BA35" i="3"/>
  <c r="BC35" i="3" s="1"/>
  <c r="AZ39" i="3" a="1"/>
  <c r="AZ39" i="3" s="1"/>
  <c r="AY39" i="3" a="1"/>
  <c r="AY39" i="3" s="1"/>
  <c r="AX39" i="3" a="1"/>
  <c r="AX39" i="3" s="1"/>
  <c r="AZ37" i="3" a="1"/>
  <c r="AZ37" i="3" s="1"/>
  <c r="AY37" i="3" a="1"/>
  <c r="AY37" i="3" s="1"/>
  <c r="AX37" i="3" a="1"/>
  <c r="AX37" i="3" s="1"/>
  <c r="AZ33" i="3" a="1"/>
  <c r="AZ33" i="3" s="1"/>
  <c r="AY33" i="3" a="1"/>
  <c r="AY33" i="3" s="1"/>
  <c r="AX33" i="3" a="1"/>
  <c r="AX33" i="3" s="1"/>
  <c r="AZ32" i="3" a="1"/>
  <c r="AZ32" i="3" s="1"/>
  <c r="AY32" i="3" a="1"/>
  <c r="AY32" i="3" s="1"/>
  <c r="AX32" i="3" a="1"/>
  <c r="AX32" i="3" s="1"/>
  <c r="AX18" i="3" a="1"/>
  <c r="AX18" i="3" s="1"/>
  <c r="AY18" i="3" a="1"/>
  <c r="AY18" i="3" s="1"/>
  <c r="AZ18" i="3" a="1"/>
  <c r="AZ18" i="3" s="1"/>
  <c r="AX19" i="3" a="1"/>
  <c r="AX19" i="3" s="1"/>
  <c r="AY19" i="3" a="1"/>
  <c r="AY19" i="3" s="1"/>
  <c r="AZ19" i="3" a="1"/>
  <c r="AZ19" i="3" s="1"/>
  <c r="AX20" i="3" a="1"/>
  <c r="AX20" i="3" s="1"/>
  <c r="AY20" i="3" a="1"/>
  <c r="AY20" i="3" s="1"/>
  <c r="AZ20" i="3" a="1"/>
  <c r="AZ20" i="3" s="1"/>
  <c r="AX21" i="3" a="1"/>
  <c r="AX21" i="3" s="1"/>
  <c r="AY21" i="3" a="1"/>
  <c r="AY21" i="3" s="1"/>
  <c r="AZ21" i="3" a="1"/>
  <c r="AZ21" i="3" s="1"/>
  <c r="AX22" i="3" a="1"/>
  <c r="AX22" i="3" s="1"/>
  <c r="AY22" i="3" a="1"/>
  <c r="AY22" i="3" s="1"/>
  <c r="AZ22" i="3" a="1"/>
  <c r="AZ22" i="3" s="1"/>
  <c r="AX23" i="3" a="1"/>
  <c r="AX23" i="3" s="1"/>
  <c r="AY23" i="3" a="1"/>
  <c r="AY23" i="3" s="1"/>
  <c r="AZ23" i="3" a="1"/>
  <c r="AZ23" i="3" s="1"/>
  <c r="AX24" i="3" a="1"/>
  <c r="AX24" i="3" s="1"/>
  <c r="AY24" i="3" a="1"/>
  <c r="AY24" i="3" s="1"/>
  <c r="AZ24" i="3" a="1"/>
  <c r="AZ24" i="3" s="1"/>
  <c r="AX28" i="3" a="1"/>
  <c r="AX28" i="3" s="1"/>
  <c r="AY28" i="3" a="1"/>
  <c r="AY28" i="3" s="1"/>
  <c r="AZ28" i="3" a="1"/>
  <c r="AZ28" i="3" s="1"/>
  <c r="AX29" i="3" a="1"/>
  <c r="AX29" i="3" s="1"/>
  <c r="AY29" i="3" a="1"/>
  <c r="AY29" i="3" s="1"/>
  <c r="AZ29" i="3" a="1"/>
  <c r="AZ29" i="3" s="1"/>
  <c r="AX30" i="3" a="1"/>
  <c r="AX30" i="3" s="1"/>
  <c r="AY30" i="3" a="1"/>
  <c r="AY30" i="3" s="1"/>
  <c r="AZ30" i="3" a="1"/>
  <c r="AZ30" i="3" s="1"/>
  <c r="AX5" i="3" a="1"/>
  <c r="AX5" i="3" s="1"/>
  <c r="AY5" i="3" a="1"/>
  <c r="AY5" i="3" s="1"/>
  <c r="AZ5" i="3" a="1"/>
  <c r="AZ5" i="3" s="1"/>
  <c r="AX10" i="3" a="1"/>
  <c r="AX10" i="3" s="1"/>
  <c r="AY10" i="3" a="1"/>
  <c r="AY10" i="3" s="1"/>
  <c r="AZ10" i="3" a="1"/>
  <c r="AZ10" i="3" s="1"/>
  <c r="AX15" i="3" a="1"/>
  <c r="AX15" i="3" s="1"/>
  <c r="AY15" i="3" a="1"/>
  <c r="AY15" i="3" s="1"/>
  <c r="AZ15" i="3" a="1"/>
  <c r="AZ15" i="3" s="1"/>
  <c r="AZ4" i="3" a="1"/>
  <c r="AZ4" i="3" s="1"/>
  <c r="AY4" i="3" a="1"/>
  <c r="AY4" i="3" s="1"/>
  <c r="AX4" i="3" a="1"/>
  <c r="AX4" i="3" s="1"/>
  <c r="BV36" i="3"/>
  <c r="BU36" i="3"/>
  <c r="AQ36" i="3" a="1"/>
  <c r="AQ36" i="3" s="1"/>
  <c r="AE36" i="3" a="1"/>
  <c r="AE36" i="3" s="1"/>
  <c r="H36" i="3"/>
  <c r="AQ37" i="3" a="1"/>
  <c r="AQ37" i="3" s="1"/>
  <c r="AP37" i="3"/>
  <c r="AN37" i="3"/>
  <c r="AJ37" i="3"/>
  <c r="AI37" i="3"/>
  <c r="AE37" i="3" a="1"/>
  <c r="AE37" i="3" s="1"/>
  <c r="AC37" i="3"/>
  <c r="AA37" i="3"/>
  <c r="Z37" i="3"/>
  <c r="X37" i="3"/>
  <c r="L37" i="3"/>
  <c r="I37" i="3"/>
  <c r="H37" i="3"/>
  <c r="AE5" i="3" a="1"/>
  <c r="AE5" i="3" s="1"/>
  <c r="AE10" i="3" a="1"/>
  <c r="AE10" i="3" s="1"/>
  <c r="AE15" i="3" a="1"/>
  <c r="AE15" i="3" s="1"/>
  <c r="AE18" i="3" a="1"/>
  <c r="AE18" i="3" s="1"/>
  <c r="AE19" i="3" a="1"/>
  <c r="AE19" i="3" s="1"/>
  <c r="AE20" i="3" a="1"/>
  <c r="AE20" i="3" s="1"/>
  <c r="AE21" i="3" a="1"/>
  <c r="AE21" i="3" s="1"/>
  <c r="AE22" i="3" a="1"/>
  <c r="AE22" i="3" s="1"/>
  <c r="AE23" i="3" a="1"/>
  <c r="AE23" i="3" s="1"/>
  <c r="AE24" i="3" a="1"/>
  <c r="AE24" i="3" s="1"/>
  <c r="AE28" i="3" a="1"/>
  <c r="AE28" i="3" s="1"/>
  <c r="AE29" i="3" a="1"/>
  <c r="AE29" i="3" s="1"/>
  <c r="AE30" i="3" a="1"/>
  <c r="AE30" i="3" s="1"/>
  <c r="AE31" i="3" a="1"/>
  <c r="AE31" i="3" s="1"/>
  <c r="AE32" i="3" a="1"/>
  <c r="AE32" i="3" s="1"/>
  <c r="AE33" i="3" a="1"/>
  <c r="AE33" i="3" s="1"/>
  <c r="AE34" i="3" a="1"/>
  <c r="AE34" i="3" s="1"/>
  <c r="AE35" i="3" a="1"/>
  <c r="AE35" i="3" s="1"/>
  <c r="AE38" i="3" a="1"/>
  <c r="AE38" i="3" s="1"/>
  <c r="AE39" i="3" a="1"/>
  <c r="AE39" i="3" s="1"/>
  <c r="AE4" i="3" a="1"/>
  <c r="AE4" i="3" s="1"/>
  <c r="Z39" i="3"/>
  <c r="Z35" i="3"/>
  <c r="Z33" i="3"/>
  <c r="Z32" i="3"/>
  <c r="Z30" i="3"/>
  <c r="Z29" i="3"/>
  <c r="Z28" i="3"/>
  <c r="Z24" i="3"/>
  <c r="Z23" i="3"/>
  <c r="Z22" i="3"/>
  <c r="Z21" i="3"/>
  <c r="Z20" i="3"/>
  <c r="Z19" i="3"/>
  <c r="Z18" i="3"/>
  <c r="Z10" i="3"/>
  <c r="Z5" i="3"/>
  <c r="Z4" i="3"/>
  <c r="X39" i="3"/>
  <c r="X35" i="3"/>
  <c r="X33" i="3"/>
  <c r="X32" i="3"/>
  <c r="X30" i="3"/>
  <c r="X29" i="3"/>
  <c r="X28" i="3"/>
  <c r="X24" i="3"/>
  <c r="X23" i="3"/>
  <c r="X22" i="3"/>
  <c r="X21" i="3"/>
  <c r="X20" i="3"/>
  <c r="X19" i="3"/>
  <c r="X18" i="3"/>
  <c r="X15" i="3"/>
  <c r="X5" i="3"/>
  <c r="X4" i="3"/>
  <c r="M15" i="7" a="1"/>
  <c r="M15" i="7" s="1"/>
  <c r="AQ4" i="3" a="1"/>
  <c r="AQ4" i="3" s="1"/>
  <c r="BO50" i="3"/>
  <c r="BN50" i="3"/>
  <c r="AQ50" i="3" a="1"/>
  <c r="AQ50" i="3" s="1"/>
  <c r="AP50" i="3"/>
  <c r="L50" i="3"/>
  <c r="I50" i="3"/>
  <c r="AV5" i="4" a="1"/>
  <c r="AV5" i="4" s="1"/>
  <c r="AW5" i="4" a="1"/>
  <c r="AW5" i="4" s="1"/>
  <c r="AV6" i="4" a="1"/>
  <c r="AV6" i="4" s="1"/>
  <c r="AW6" i="4" a="1"/>
  <c r="AW6" i="4" s="1"/>
  <c r="AV7" i="4" a="1"/>
  <c r="AV7" i="4" s="1"/>
  <c r="AW7" i="4" a="1"/>
  <c r="AW7" i="4" s="1"/>
  <c r="AV16" i="4" a="1"/>
  <c r="AV16" i="4" s="1"/>
  <c r="AW16" i="4" a="1"/>
  <c r="AW16" i="4" s="1"/>
  <c r="AV17" i="4" a="1"/>
  <c r="AV17" i="4" s="1"/>
  <c r="AW17" i="4" a="1"/>
  <c r="AW17" i="4" s="1"/>
  <c r="AV18" i="4" a="1"/>
  <c r="AV18" i="4" s="1"/>
  <c r="AW18" i="4" a="1"/>
  <c r="AW18" i="4" s="1"/>
  <c r="AV19" i="4" a="1"/>
  <c r="AV19" i="4" s="1"/>
  <c r="AW19" i="4" a="1"/>
  <c r="AW19" i="4" s="1"/>
  <c r="AV4" i="4" a="1"/>
  <c r="AV4" i="4" s="1"/>
  <c r="AW4" i="4" a="1"/>
  <c r="AW4" i="4" s="1"/>
  <c r="AU5" i="4" a="1"/>
  <c r="AU5" i="4" s="1"/>
  <c r="AU6" i="4" a="1"/>
  <c r="AU6" i="4" s="1"/>
  <c r="AU7" i="4" a="1"/>
  <c r="AU7" i="4" s="1"/>
  <c r="AU16" i="4" a="1"/>
  <c r="AU16" i="4" s="1"/>
  <c r="AU17" i="4" a="1"/>
  <c r="AU17" i="4" s="1"/>
  <c r="AU18" i="4" a="1"/>
  <c r="AU18" i="4" s="1"/>
  <c r="AU19" i="4" a="1"/>
  <c r="AU19" i="4" s="1"/>
  <c r="AU4" i="4" a="1"/>
  <c r="AU4" i="4" s="1"/>
  <c r="S4" i="8" a="1"/>
  <c r="S4" i="8" s="1"/>
  <c r="S11" i="8" a="1"/>
  <c r="S11" i="8" s="1"/>
  <c r="T11" i="8" a="1"/>
  <c r="T11" i="8" s="1"/>
  <c r="S14" i="8" a="1"/>
  <c r="S14" i="8" s="1"/>
  <c r="T14" i="8" a="1"/>
  <c r="T14" i="8" s="1"/>
  <c r="T4" i="8" a="1"/>
  <c r="T4" i="8" s="1"/>
  <c r="S8" i="8" a="1"/>
  <c r="S8" i="8" s="1"/>
  <c r="T8" i="8" a="1"/>
  <c r="T8" i="8" s="1"/>
  <c r="U4" i="8" a="1"/>
  <c r="U4" i="8" s="1"/>
  <c r="U8" i="8" a="1"/>
  <c r="U8" i="8" s="1"/>
  <c r="U11" i="8" a="1"/>
  <c r="U11" i="8" s="1"/>
  <c r="U14" i="8" a="1"/>
  <c r="U14" i="8" s="1"/>
  <c r="AI14" i="8"/>
  <c r="AO5" i="4" a="1"/>
  <c r="AO5" i="4" s="1"/>
  <c r="AO6" i="4" a="1"/>
  <c r="AO6" i="4" s="1"/>
  <c r="AO7" i="4" a="1"/>
  <c r="AO7" i="4" s="1"/>
  <c r="AO16" i="4" a="1"/>
  <c r="AO16" i="4" s="1"/>
  <c r="AO17" i="4" a="1"/>
  <c r="AO17" i="4" s="1"/>
  <c r="AO18" i="4" a="1"/>
  <c r="AO18" i="4" s="1"/>
  <c r="AO19" i="4" a="1"/>
  <c r="AO19" i="4" s="1"/>
  <c r="AO4" i="4" a="1"/>
  <c r="AO4" i="4" s="1"/>
  <c r="H19" i="4"/>
  <c r="X19" i="4" a="1"/>
  <c r="X19" i="4" s="1"/>
  <c r="L19" i="4"/>
  <c r="E19" i="4"/>
  <c r="F4" i="8" a="1"/>
  <c r="F4" i="8" s="1"/>
  <c r="F8" i="8" a="1"/>
  <c r="F8" i="8" s="1"/>
  <c r="F11" i="8" a="1"/>
  <c r="F11" i="8" s="1"/>
  <c r="F14" i="8" a="1"/>
  <c r="F14" i="8" s="1"/>
  <c r="AG14" i="8"/>
  <c r="AQ34" i="3" a="1"/>
  <c r="AQ34" i="3" s="1"/>
  <c r="H34" i="3"/>
  <c r="H5" i="3"/>
  <c r="H10" i="3"/>
  <c r="H15" i="3"/>
  <c r="H18" i="3"/>
  <c r="H19" i="3"/>
  <c r="H20" i="3"/>
  <c r="H21" i="3"/>
  <c r="H22" i="3"/>
  <c r="H23" i="3"/>
  <c r="H24" i="3"/>
  <c r="H28" i="3"/>
  <c r="H29" i="3"/>
  <c r="H30" i="3"/>
  <c r="H31" i="3"/>
  <c r="H32" i="3"/>
  <c r="H33" i="3"/>
  <c r="H35" i="3"/>
  <c r="H38" i="3"/>
  <c r="H39" i="3"/>
  <c r="H40" i="3"/>
  <c r="H41" i="3"/>
  <c r="H42" i="3"/>
  <c r="H43" i="3"/>
  <c r="H44" i="3"/>
  <c r="H45" i="3"/>
  <c r="H46" i="3"/>
  <c r="H47" i="3"/>
  <c r="H48" i="3"/>
  <c r="H49" i="3"/>
  <c r="H52" i="3"/>
  <c r="H53" i="3"/>
  <c r="H54" i="3"/>
  <c r="H55" i="3"/>
  <c r="H56" i="3"/>
  <c r="H4" i="3"/>
  <c r="V11" i="8" l="1"/>
  <c r="V8" i="8"/>
  <c r="V4" i="8"/>
  <c r="W4" i="8" s="1"/>
  <c r="X4" i="8" s="1"/>
  <c r="V14" i="8"/>
  <c r="AX18" i="4"/>
  <c r="AY18" i="4" s="1"/>
  <c r="AX6" i="4"/>
  <c r="AY6" i="4" s="1"/>
  <c r="AX19" i="4"/>
  <c r="AY19" i="4" s="1"/>
  <c r="AX4" i="4"/>
  <c r="AY4" i="4" s="1"/>
  <c r="AX16" i="4"/>
  <c r="AY16" i="4" s="1"/>
  <c r="AX17" i="4"/>
  <c r="AY17" i="4" s="1"/>
  <c r="AX5" i="4"/>
  <c r="AY5" i="4" s="1"/>
  <c r="AX7" i="4"/>
  <c r="AY7" i="4" s="1"/>
  <c r="BA37" i="3"/>
  <c r="BC37" i="3" s="1"/>
  <c r="BA33" i="3"/>
  <c r="BC33" i="3" s="1"/>
  <c r="BA23" i="3"/>
  <c r="BC23" i="3" s="1"/>
  <c r="BA19" i="3"/>
  <c r="BC19" i="3" s="1"/>
  <c r="BA32" i="3"/>
  <c r="BC32" i="3" s="1"/>
  <c r="BA24" i="3"/>
  <c r="BC24" i="3" s="1"/>
  <c r="BA18" i="3"/>
  <c r="BC18" i="3" s="1"/>
  <c r="BA30" i="3"/>
  <c r="BC30" i="3" s="1"/>
  <c r="BA28" i="3"/>
  <c r="BC28" i="3" s="1"/>
  <c r="BA39" i="3"/>
  <c r="BC39" i="3" s="1"/>
  <c r="BA21" i="3"/>
  <c r="BC21" i="3" s="1"/>
  <c r="BA29" i="3"/>
  <c r="BC29" i="3" s="1"/>
  <c r="BA22" i="3"/>
  <c r="BC22" i="3" s="1"/>
  <c r="BA20" i="3"/>
  <c r="BC20" i="3" s="1"/>
  <c r="BA4" i="3"/>
  <c r="BC4" i="3" s="1"/>
  <c r="BA15" i="3"/>
  <c r="BC15" i="3" s="1"/>
  <c r="BA10" i="3"/>
  <c r="BA5" i="3"/>
  <c r="BC5" i="3" s="1"/>
  <c r="BP50" i="3"/>
  <c r="AK14" i="8"/>
  <c r="AQ51" i="3" a="1"/>
  <c r="AQ51" i="3" s="1"/>
  <c r="BO51" i="3"/>
  <c r="BN51" i="3"/>
  <c r="BC51" i="3"/>
  <c r="AP51" i="3"/>
  <c r="L51" i="3"/>
  <c r="I51" i="3"/>
  <c r="AQ40" i="3" a="1"/>
  <c r="AQ40" i="3" s="1"/>
  <c r="AQ41" i="3" a="1"/>
  <c r="AQ41" i="3" s="1"/>
  <c r="AQ42" i="3" a="1"/>
  <c r="AQ42" i="3" s="1"/>
  <c r="AQ43" i="3" a="1"/>
  <c r="AQ43" i="3" s="1"/>
  <c r="AQ44" i="3" a="1"/>
  <c r="AQ44" i="3" s="1"/>
  <c r="AQ45" i="3" a="1"/>
  <c r="AQ45" i="3" s="1"/>
  <c r="AQ46" i="3" a="1"/>
  <c r="AQ46" i="3" s="1"/>
  <c r="AQ47" i="3" a="1"/>
  <c r="AQ47" i="3" s="1"/>
  <c r="AQ48" i="3" a="1"/>
  <c r="AQ48" i="3" s="1"/>
  <c r="AQ52" i="3" a="1"/>
  <c r="AQ52" i="3" s="1"/>
  <c r="AQ53" i="3" a="1"/>
  <c r="AQ53" i="3" s="1"/>
  <c r="AQ54" i="3" a="1"/>
  <c r="AQ54" i="3" s="1"/>
  <c r="AQ55" i="3" a="1"/>
  <c r="AQ55" i="3" s="1"/>
  <c r="AQ56" i="3" a="1"/>
  <c r="AQ56" i="3" s="1"/>
  <c r="AQ31" i="3" a="1"/>
  <c r="AQ31" i="3" s="1"/>
  <c r="AQ32" i="3" a="1"/>
  <c r="AQ32" i="3" s="1"/>
  <c r="AQ33" i="3" a="1"/>
  <c r="AQ33" i="3" s="1"/>
  <c r="AQ35" i="3" a="1"/>
  <c r="AQ35" i="3" s="1"/>
  <c r="AQ38" i="3" a="1"/>
  <c r="AQ38" i="3" s="1"/>
  <c r="AQ39" i="3" a="1"/>
  <c r="AQ39" i="3" s="1"/>
  <c r="AQ5" i="3" a="1"/>
  <c r="AQ5" i="3" s="1"/>
  <c r="AQ10" i="3" a="1"/>
  <c r="AQ10" i="3" s="1"/>
  <c r="AQ15" i="3" a="1"/>
  <c r="AQ15" i="3" s="1"/>
  <c r="AQ18" i="3" a="1"/>
  <c r="AQ18" i="3" s="1"/>
  <c r="AQ19" i="3" a="1"/>
  <c r="AQ19" i="3" s="1"/>
  <c r="AQ20" i="3" a="1"/>
  <c r="AQ20" i="3" s="1"/>
  <c r="AQ21" i="3" a="1"/>
  <c r="AQ21" i="3" s="1"/>
  <c r="AQ22" i="3" a="1"/>
  <c r="AQ22" i="3" s="1"/>
  <c r="AQ23" i="3" a="1"/>
  <c r="AQ23" i="3" s="1"/>
  <c r="AQ24" i="3" a="1"/>
  <c r="AQ24" i="3" s="1"/>
  <c r="AQ28" i="3" a="1"/>
  <c r="AQ28" i="3" s="1"/>
  <c r="AQ29" i="3" a="1"/>
  <c r="AQ29" i="3" s="1"/>
  <c r="AQ30" i="3" a="1"/>
  <c r="AQ30" i="3" s="1"/>
  <c r="N11" i="6" a="1"/>
  <c r="N11" i="6"/>
  <c r="K11" i="6"/>
  <c r="J11" i="6"/>
  <c r="F11" i="6"/>
  <c r="N10" i="6" a="1"/>
  <c r="N10" i="6"/>
  <c r="K10" i="6"/>
  <c r="J10" i="6"/>
  <c r="F10" i="6"/>
  <c r="N9" i="6" a="1"/>
  <c r="N9" i="6"/>
  <c r="K9" i="6"/>
  <c r="J9" i="6"/>
  <c r="F9" i="6"/>
  <c r="N8" i="6" a="1"/>
  <c r="N8" i="6"/>
  <c r="K8" i="6"/>
  <c r="J8" i="6"/>
  <c r="F8" i="6"/>
  <c r="N7" i="6" a="1"/>
  <c r="N7" i="6"/>
  <c r="K7" i="6"/>
  <c r="J7" i="6"/>
  <c r="F7" i="6"/>
  <c r="N6" i="6" a="1"/>
  <c r="N6" i="6"/>
  <c r="K6" i="6"/>
  <c r="J6" i="6"/>
  <c r="F6" i="6"/>
  <c r="N5" i="6" a="1"/>
  <c r="N5" i="6"/>
  <c r="K5" i="6"/>
  <c r="J5" i="6"/>
  <c r="F5" i="6"/>
  <c r="N4" i="6" a="1"/>
  <c r="N4" i="6"/>
  <c r="K4" i="6"/>
  <c r="J4" i="6"/>
  <c r="F4" i="6"/>
  <c r="F15" i="7"/>
  <c r="AI11" i="8"/>
  <c r="AG11" i="8"/>
  <c r="AI8" i="8"/>
  <c r="AG8" i="8"/>
  <c r="AI4" i="8"/>
  <c r="AG4" i="8"/>
  <c r="N8" i="5"/>
  <c r="E8" i="5"/>
  <c r="N7" i="5"/>
  <c r="E7" i="5"/>
  <c r="N6" i="5"/>
  <c r="E6" i="5"/>
  <c r="N5" i="5"/>
  <c r="E5" i="5"/>
  <c r="N4" i="5"/>
  <c r="E4" i="5"/>
  <c r="BO56" i="3"/>
  <c r="BN56" i="3"/>
  <c r="BC56" i="3"/>
  <c r="AP56" i="3"/>
  <c r="L56" i="3"/>
  <c r="I56" i="3"/>
  <c r="BO55" i="3"/>
  <c r="BN55" i="3"/>
  <c r="BC55" i="3"/>
  <c r="AP55" i="3"/>
  <c r="L55" i="3"/>
  <c r="I55" i="3"/>
  <c r="BO54" i="3"/>
  <c r="BN54" i="3"/>
  <c r="BC54" i="3"/>
  <c r="AP54" i="3"/>
  <c r="L54" i="3"/>
  <c r="I54" i="3"/>
  <c r="BO53" i="3"/>
  <c r="BN53" i="3"/>
  <c r="BC53" i="3"/>
  <c r="AP53" i="3"/>
  <c r="L53" i="3"/>
  <c r="I53" i="3"/>
  <c r="BO48" i="3"/>
  <c r="BN48" i="3"/>
  <c r="BC48" i="3"/>
  <c r="AP48" i="3"/>
  <c r="L48" i="3"/>
  <c r="I48" i="3"/>
  <c r="BO47" i="3"/>
  <c r="BN47" i="3"/>
  <c r="BC47" i="3"/>
  <c r="AP47" i="3"/>
  <c r="L47" i="3"/>
  <c r="I47" i="3"/>
  <c r="BO46" i="3"/>
  <c r="BN46" i="3"/>
  <c r="BC46" i="3"/>
  <c r="AP46" i="3"/>
  <c r="L46" i="3"/>
  <c r="I46" i="3"/>
  <c r="BO45" i="3"/>
  <c r="BN45" i="3"/>
  <c r="BC45" i="3"/>
  <c r="AP45" i="3"/>
  <c r="L45" i="3"/>
  <c r="I45" i="3"/>
  <c r="BO44" i="3"/>
  <c r="BN44" i="3"/>
  <c r="BC44" i="3"/>
  <c r="AP44" i="3"/>
  <c r="L44" i="3"/>
  <c r="I44" i="3"/>
  <c r="BO43" i="3"/>
  <c r="BN43" i="3"/>
  <c r="BC43" i="3"/>
  <c r="AP43" i="3"/>
  <c r="L43" i="3"/>
  <c r="I43" i="3"/>
  <c r="BC42" i="3"/>
  <c r="BC41" i="3"/>
  <c r="BV40" i="3"/>
  <c r="BU40" i="3"/>
  <c r="BC40" i="3"/>
  <c r="BQ39" i="3"/>
  <c r="BO39" i="3"/>
  <c r="BN39" i="3"/>
  <c r="AP39" i="3"/>
  <c r="AN39" i="3"/>
  <c r="AJ39" i="3"/>
  <c r="AI39" i="3"/>
  <c r="AC39" i="3"/>
  <c r="AA39" i="3"/>
  <c r="L39" i="3"/>
  <c r="I39" i="3"/>
  <c r="BV38" i="3"/>
  <c r="BU38" i="3"/>
  <c r="BV35" i="3"/>
  <c r="BU35" i="3"/>
  <c r="BQ35" i="3"/>
  <c r="BO35" i="3"/>
  <c r="BN35" i="3"/>
  <c r="AP35" i="3"/>
  <c r="AN35" i="3"/>
  <c r="AJ35" i="3"/>
  <c r="AI35" i="3"/>
  <c r="AC35" i="3"/>
  <c r="AA35" i="3"/>
  <c r="L35" i="3"/>
  <c r="I35" i="3"/>
  <c r="BQ33" i="3"/>
  <c r="BO33" i="3"/>
  <c r="BN33" i="3"/>
  <c r="AP33" i="3"/>
  <c r="AN33" i="3"/>
  <c r="AJ33" i="3"/>
  <c r="AI33" i="3"/>
  <c r="AC33" i="3"/>
  <c r="AA33" i="3"/>
  <c r="L33" i="3"/>
  <c r="I33" i="3"/>
  <c r="BQ32" i="3"/>
  <c r="BO32" i="3"/>
  <c r="BN32" i="3"/>
  <c r="AP32" i="3"/>
  <c r="AN32" i="3"/>
  <c r="AJ32" i="3"/>
  <c r="AI32" i="3"/>
  <c r="AC32" i="3"/>
  <c r="AA32" i="3"/>
  <c r="L32" i="3"/>
  <c r="I32" i="3"/>
  <c r="BV31" i="3"/>
  <c r="BU31" i="3"/>
  <c r="BQ30" i="3"/>
  <c r="BO30" i="3"/>
  <c r="BN30" i="3"/>
  <c r="AP30" i="3"/>
  <c r="AN30" i="3"/>
  <c r="AJ30" i="3"/>
  <c r="AI30" i="3"/>
  <c r="AC30" i="3"/>
  <c r="AA30" i="3"/>
  <c r="L30" i="3"/>
  <c r="I30" i="3"/>
  <c r="BQ29" i="3"/>
  <c r="BO29" i="3"/>
  <c r="BN29" i="3"/>
  <c r="AP29" i="3"/>
  <c r="AN29" i="3"/>
  <c r="AJ29" i="3"/>
  <c r="AI29" i="3"/>
  <c r="AC29" i="3"/>
  <c r="AA29" i="3"/>
  <c r="L29" i="3"/>
  <c r="I29" i="3"/>
  <c r="BQ28" i="3"/>
  <c r="BO28" i="3"/>
  <c r="BN28" i="3"/>
  <c r="AP28" i="3"/>
  <c r="AJ28" i="3"/>
  <c r="AI28" i="3"/>
  <c r="AC28" i="3"/>
  <c r="AA28" i="3"/>
  <c r="L28" i="3"/>
  <c r="I28" i="3"/>
  <c r="BQ24" i="3"/>
  <c r="BO24" i="3"/>
  <c r="BN24" i="3"/>
  <c r="AP24" i="3"/>
  <c r="AN24" i="3"/>
  <c r="AJ24" i="3"/>
  <c r="AI24" i="3"/>
  <c r="AC24" i="3"/>
  <c r="AA24" i="3"/>
  <c r="L24" i="3"/>
  <c r="I24" i="3"/>
  <c r="BQ23" i="3"/>
  <c r="BO23" i="3"/>
  <c r="BN23" i="3"/>
  <c r="AP23" i="3"/>
  <c r="AN23" i="3"/>
  <c r="AJ23" i="3"/>
  <c r="AI23" i="3"/>
  <c r="AC23" i="3"/>
  <c r="AA23" i="3"/>
  <c r="L23" i="3"/>
  <c r="I23" i="3"/>
  <c r="BV22" i="3"/>
  <c r="BU22" i="3"/>
  <c r="BQ22" i="3"/>
  <c r="BO22" i="3"/>
  <c r="BN22" i="3"/>
  <c r="AP22" i="3"/>
  <c r="AN22" i="3"/>
  <c r="AJ22" i="3"/>
  <c r="AI22" i="3"/>
  <c r="AC22" i="3"/>
  <c r="AA22" i="3"/>
  <c r="L22" i="3"/>
  <c r="I22" i="3"/>
  <c r="BQ21" i="3"/>
  <c r="BO21" i="3"/>
  <c r="BN21" i="3"/>
  <c r="AP21" i="3"/>
  <c r="AN21" i="3"/>
  <c r="AJ21" i="3"/>
  <c r="AI21" i="3"/>
  <c r="AC21" i="3"/>
  <c r="AA21" i="3"/>
  <c r="L21" i="3"/>
  <c r="I21" i="3"/>
  <c r="BV20" i="3"/>
  <c r="BU20" i="3"/>
  <c r="BQ20" i="3"/>
  <c r="BO20" i="3"/>
  <c r="BN20" i="3"/>
  <c r="AP20" i="3"/>
  <c r="AN20" i="3"/>
  <c r="AJ20" i="3"/>
  <c r="AI20" i="3"/>
  <c r="AC20" i="3"/>
  <c r="AA20" i="3"/>
  <c r="L20" i="3"/>
  <c r="I20" i="3"/>
  <c r="BV19" i="3"/>
  <c r="BU19" i="3"/>
  <c r="BQ19" i="3"/>
  <c r="BO19" i="3"/>
  <c r="BN19" i="3"/>
  <c r="AP19" i="3"/>
  <c r="AN19" i="3"/>
  <c r="AJ19" i="3"/>
  <c r="AI19" i="3"/>
  <c r="AC19" i="3"/>
  <c r="AA19" i="3"/>
  <c r="L19" i="3"/>
  <c r="I19" i="3"/>
  <c r="BQ18" i="3"/>
  <c r="BN18" i="3"/>
  <c r="AP18" i="3"/>
  <c r="AN18" i="3"/>
  <c r="AJ18" i="3"/>
  <c r="AI18" i="3"/>
  <c r="AC18" i="3"/>
  <c r="AA18" i="3"/>
  <c r="L18" i="3"/>
  <c r="I18" i="3"/>
  <c r="BQ15" i="3"/>
  <c r="BO15" i="3"/>
  <c r="BN15" i="3"/>
  <c r="AP15" i="3"/>
  <c r="AN15" i="3"/>
  <c r="AC15" i="3"/>
  <c r="L15" i="3"/>
  <c r="I15" i="3"/>
  <c r="BO10" i="3"/>
  <c r="BN10" i="3"/>
  <c r="AP10" i="3"/>
  <c r="AN10" i="3"/>
  <c r="AJ10" i="3"/>
  <c r="AI10" i="3"/>
  <c r="AD10" i="3"/>
  <c r="BQ10" i="3" s="1"/>
  <c r="AC10" i="3"/>
  <c r="AA10" i="3"/>
  <c r="L10" i="3"/>
  <c r="I10" i="3"/>
  <c r="BQ5" i="3"/>
  <c r="BO5" i="3"/>
  <c r="BN5" i="3"/>
  <c r="AP5" i="3"/>
  <c r="AN5" i="3"/>
  <c r="AJ5" i="3"/>
  <c r="AI5" i="3"/>
  <c r="AC5" i="3"/>
  <c r="AA5" i="3"/>
  <c r="L5" i="3"/>
  <c r="I5" i="3"/>
  <c r="BQ4" i="3"/>
  <c r="BO4" i="3"/>
  <c r="BN4" i="3"/>
  <c r="AP4" i="3"/>
  <c r="AN4" i="3"/>
  <c r="AJ4" i="3"/>
  <c r="AI4" i="3"/>
  <c r="AC4" i="3"/>
  <c r="AA4" i="3"/>
  <c r="L4" i="3"/>
  <c r="I4" i="3"/>
  <c r="X18" i="4" a="1"/>
  <c r="X18" i="4" s="1"/>
  <c r="R18" i="4"/>
  <c r="Q18" i="4" s="1"/>
  <c r="L18" i="4"/>
  <c r="H18" i="4"/>
  <c r="E18" i="4"/>
  <c r="X17" i="4" a="1"/>
  <c r="X17" i="4" s="1"/>
  <c r="Q17" i="4"/>
  <c r="L17" i="4"/>
  <c r="H17" i="4"/>
  <c r="E17" i="4"/>
  <c r="X16" i="4" a="1"/>
  <c r="X16" i="4" s="1"/>
  <c r="L16" i="4"/>
  <c r="H16" i="4"/>
  <c r="E16" i="4"/>
  <c r="AB7" i="4" a="1"/>
  <c r="AB7" i="4" s="1"/>
  <c r="X7" i="4" a="1"/>
  <c r="X7" i="4" s="1"/>
  <c r="R7" i="4"/>
  <c r="Q7" i="4" s="1"/>
  <c r="L7" i="4"/>
  <c r="H7" i="4"/>
  <c r="E7" i="4"/>
  <c r="X6" i="4" a="1"/>
  <c r="X6" i="4" s="1"/>
  <c r="R6" i="4"/>
  <c r="Q6" i="4" s="1"/>
  <c r="L6" i="4"/>
  <c r="H6" i="4"/>
  <c r="E6" i="4"/>
  <c r="X5" i="4" a="1"/>
  <c r="X5" i="4" s="1"/>
  <c r="Q5" i="4"/>
  <c r="L5" i="4"/>
  <c r="H5" i="4"/>
  <c r="E5" i="4"/>
  <c r="AB4" i="4" a="1"/>
  <c r="AB4" i="4" s="1"/>
  <c r="X4" i="4" a="1"/>
  <c r="X4" i="4" s="1"/>
  <c r="R4" i="4"/>
  <c r="Q4" i="4" s="1"/>
  <c r="L4" i="4"/>
  <c r="H4" i="4"/>
  <c r="E4" i="4"/>
  <c r="W14" i="8" l="1"/>
  <c r="X14" i="8" s="1"/>
  <c r="W8" i="8"/>
  <c r="X8" i="8" s="1"/>
  <c r="W11" i="8"/>
  <c r="X11" i="8" s="1"/>
  <c r="BA4" i="4"/>
  <c r="BB4" i="4" s="1" a="1"/>
  <c r="BB4" i="4" s="1"/>
  <c r="BG4" i="4" s="1"/>
  <c r="BI17" i="4"/>
  <c r="BI16" i="4"/>
  <c r="BI19" i="4"/>
  <c r="BI18" i="4"/>
  <c r="BI6" i="4"/>
  <c r="BA6" i="4"/>
  <c r="BB6" i="4" s="1" a="1"/>
  <c r="BB6" i="4" s="1"/>
  <c r="BG6" i="4" s="1"/>
  <c r="BI7" i="4"/>
  <c r="BA7" i="4"/>
  <c r="BB7" i="4" s="1" a="1"/>
  <c r="BB7" i="4" s="1"/>
  <c r="BG7" i="4" s="1"/>
  <c r="BI5" i="4"/>
  <c r="BA5" i="4"/>
  <c r="BB5" i="4" s="1" a="1"/>
  <c r="BB5" i="4" s="1"/>
  <c r="BG5" i="4" s="1"/>
  <c r="BI4" i="4"/>
  <c r="BH4" i="4"/>
  <c r="BM4" i="4" s="1"/>
  <c r="BC10" i="3"/>
  <c r="BP37" i="3"/>
  <c r="BR37" i="3" s="1"/>
  <c r="BV37" i="3" s="1"/>
  <c r="BS37" i="3"/>
  <c r="BS24" i="3"/>
  <c r="BP47" i="3"/>
  <c r="BP54" i="3"/>
  <c r="BS33" i="3"/>
  <c r="BP23" i="3"/>
  <c r="BH7" i="4"/>
  <c r="BH5" i="4"/>
  <c r="BH18" i="4"/>
  <c r="BH19" i="4"/>
  <c r="BH16" i="4"/>
  <c r="BH6" i="4"/>
  <c r="BH17" i="4"/>
  <c r="AK8" i="8"/>
  <c r="AK11" i="8"/>
  <c r="AK4" i="8"/>
  <c r="BP15" i="3"/>
  <c r="BS39" i="3"/>
  <c r="BP46" i="3"/>
  <c r="BS22" i="3"/>
  <c r="BR4" i="3"/>
  <c r="BU4" i="3" s="1"/>
  <c r="BS29" i="3"/>
  <c r="BP56" i="3"/>
  <c r="BP44" i="3"/>
  <c r="BS21" i="3"/>
  <c r="BP21" i="3"/>
  <c r="BS35" i="3"/>
  <c r="BP35" i="3"/>
  <c r="BP33" i="3"/>
  <c r="BP5" i="3"/>
  <c r="BS19" i="3"/>
  <c r="BS20" i="3"/>
  <c r="BR15" i="3"/>
  <c r="BU15" i="3" s="1"/>
  <c r="BR23" i="3"/>
  <c r="BU23" i="3" s="1"/>
  <c r="BP55" i="3"/>
  <c r="BS23" i="3"/>
  <c r="BP45" i="3"/>
  <c r="BP19" i="3"/>
  <c r="BR21" i="3"/>
  <c r="BU21" i="3" s="1"/>
  <c r="BR5" i="3"/>
  <c r="BU5" i="3" s="1"/>
  <c r="BR19" i="3"/>
  <c r="BP53" i="3"/>
  <c r="BS5" i="3"/>
  <c r="BR35" i="3"/>
  <c r="BP43" i="3"/>
  <c r="BP48" i="3"/>
  <c r="BP32" i="3"/>
  <c r="BS32" i="3"/>
  <c r="BR32" i="3"/>
  <c r="BS28" i="3"/>
  <c r="BP28" i="3"/>
  <c r="BR28" i="3"/>
  <c r="BS30" i="3"/>
  <c r="BP30" i="3"/>
  <c r="BR30" i="3"/>
  <c r="BP20" i="3"/>
  <c r="BP22" i="3"/>
  <c r="BS15" i="3"/>
  <c r="BP4" i="3"/>
  <c r="BR33" i="3"/>
  <c r="BO18" i="3"/>
  <c r="BS18" i="3" s="1"/>
  <c r="BP29" i="3"/>
  <c r="BP39" i="3"/>
  <c r="BP24" i="3"/>
  <c r="BS4" i="3"/>
  <c r="BR29" i="3"/>
  <c r="BR39" i="3"/>
  <c r="BP51" i="3"/>
  <c r="BR18" i="3"/>
  <c r="BR20" i="3"/>
  <c r="BR22" i="3"/>
  <c r="BR24" i="3"/>
  <c r="BL4" i="4" l="1"/>
  <c r="BS10" i="3"/>
  <c r="BR10" i="3"/>
  <c r="BU10" i="3" s="1"/>
  <c r="BP10" i="3"/>
  <c r="BU37" i="3"/>
  <c r="BM7" i="4"/>
  <c r="BL7" i="4"/>
  <c r="BM18" i="4"/>
  <c r="BL18" i="4"/>
  <c r="BL16" i="4"/>
  <c r="BM16" i="4"/>
  <c r="BM5" i="4"/>
  <c r="BL5" i="4"/>
  <c r="BV18" i="3"/>
  <c r="BU18" i="3"/>
  <c r="BV33" i="3"/>
  <c r="BU33" i="3"/>
  <c r="BL19" i="4"/>
  <c r="BM19" i="4"/>
  <c r="BL17" i="4"/>
  <c r="BM17" i="4"/>
  <c r="BM6" i="4"/>
  <c r="BL6" i="4"/>
  <c r="BV39" i="3"/>
  <c r="BU39" i="3"/>
  <c r="BV30" i="3"/>
  <c r="BU30" i="3"/>
  <c r="BU29" i="3"/>
  <c r="BV29" i="3"/>
  <c r="BV5" i="3"/>
  <c r="BV4" i="3"/>
  <c r="BV23" i="3"/>
  <c r="BV15" i="3"/>
  <c r="BV21" i="3"/>
  <c r="BP18" i="3"/>
  <c r="BU32" i="3"/>
  <c r="BV32" i="3"/>
  <c r="BV28" i="3"/>
  <c r="BU28" i="3"/>
  <c r="BV24" i="3"/>
  <c r="BU24" i="3"/>
  <c r="BV10" i="3" l="1"/>
  <c r="M26" i="10" l="1"/>
  <c r="K26" i="10" s="1"/>
  <c r="M27" i="10"/>
  <c r="K27" i="10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<sst xmlns="http://schemas.openxmlformats.org/spreadsheetml/2006/main" count="1391" uniqueCount="613">
  <si>
    <t>logic_id</t>
  </si>
  <si>
    <t>cd</t>
  </si>
  <si>
    <t>can_blaze</t>
  </si>
  <si>
    <t>sharpness_min</t>
  </si>
  <si>
    <t>sharpness_range</t>
  </si>
  <si>
    <t>sharpness_dmg_range</t>
  </si>
  <si>
    <t>sharpness_loss</t>
  </si>
  <si>
    <t>sharpness_recover</t>
  </si>
  <si>
    <t>ui_atk_horizontal_anim</t>
  </si>
  <si>
    <t>ui_atk_vertical_anim</t>
  </si>
  <si>
    <t>SE_attack_begin</t>
  </si>
  <si>
    <t>SE_grinding</t>
  </si>
  <si>
    <t>atk_event_num</t>
  </si>
  <si>
    <t>hit_period</t>
  </si>
  <si>
    <t>hit_period_2</t>
  </si>
  <si>
    <t>hit_box_offset</t>
  </si>
  <si>
    <t>atk_part_speed</t>
  </si>
  <si>
    <t>damage</t>
  </si>
  <si>
    <t>critical_chance</t>
  </si>
  <si>
    <t>knockback_ft</t>
  </si>
  <si>
    <t>uint key</t>
  </si>
  <si>
    <t>int</t>
  </si>
  <si>
    <t>bool</t>
  </si>
  <si>
    <t>float</t>
  </si>
  <si>
    <t>float[]</t>
  </si>
  <si>
    <t>string[]</t>
  </si>
  <si>
    <t>string</t>
  </si>
  <si>
    <t>(float,float)</t>
  </si>
  <si>
    <t>(float,float)?</t>
  </si>
  <si>
    <t>dict&lt;string,int&gt;</t>
  </si>
  <si>
    <t>近战逻辑id</t>
  </si>
  <si>
    <t>备注1
设备</t>
  </si>
  <si>
    <t>备注2
设备控制脚本</t>
  </si>
  <si>
    <r>
      <rPr>
        <b/>
        <sz val="11"/>
        <color theme="1"/>
        <rFont val="等线"/>
        <family val="3"/>
        <charset val="134"/>
        <scheme val="minor"/>
      </rPr>
      <t xml:space="preserve">攻击间隔
</t>
    </r>
    <r>
      <rPr>
        <sz val="11"/>
        <color theme="1"/>
        <rFont val="等线"/>
        <family val="3"/>
        <charset val="134"/>
        <scheme val="minor"/>
      </rPr>
      <t>(帧)</t>
    </r>
  </si>
  <si>
    <t>备注
(秒)</t>
  </si>
  <si>
    <t>锋利度
下限</t>
  </si>
  <si>
    <t>锋利度
区间</t>
  </si>
  <si>
    <t>辅助列
锋利度
区间
1</t>
  </si>
  <si>
    <t>辅助列
锋利度
区间
2</t>
  </si>
  <si>
    <t>辅助列
锋利度
区间
3</t>
  </si>
  <si>
    <t>伤害
区间</t>
  </si>
  <si>
    <t>辅助列
伤害
区间
1</t>
  </si>
  <si>
    <t>辅助列
伤害
区间
2</t>
  </si>
  <si>
    <t>辅助列
伤害
区间
3</t>
  </si>
  <si>
    <t>锋利度
击打损失</t>
  </si>
  <si>
    <t>锋利度
每帧恢复</t>
  </si>
  <si>
    <t>辅助列
每秒恢复</t>
  </si>
  <si>
    <t>devicePanel
水平挥舞
关联动画</t>
  </si>
  <si>
    <t>devicePanel
竖直戳刺
关联动画</t>
  </si>
  <si>
    <t>音效 - 挥舞</t>
  </si>
  <si>
    <t>音效 - 磨刀</t>
  </si>
  <si>
    <t>攻击动画数量</t>
  </si>
  <si>
    <r>
      <rPr>
        <b/>
        <sz val="11"/>
        <color theme="1"/>
        <rFont val="等线"/>
        <family val="3"/>
        <charset val="134"/>
        <scheme val="minor"/>
      </rPr>
      <t xml:space="preserve">打击时间段1
</t>
    </r>
    <r>
      <rPr>
        <i/>
        <sz val="11"/>
        <color theme="1"/>
        <rFont val="等线"/>
        <family val="3"/>
        <charset val="134"/>
        <scheme val="minor"/>
      </rPr>
      <t>默认碰撞盒
开启、关闭
的时间段</t>
    </r>
  </si>
  <si>
    <t>碰撞盒
开启帧
attack_1</t>
  </si>
  <si>
    <t>碰撞盒
关闭帧
attack_1</t>
  </si>
  <si>
    <t>总帧数
attack_1</t>
  </si>
  <si>
    <r>
      <rPr>
        <b/>
        <sz val="11"/>
        <color theme="1"/>
        <rFont val="等线"/>
        <family val="3"/>
        <charset val="134"/>
        <scheme val="minor"/>
      </rPr>
      <t xml:space="preserve">打击时间段2
</t>
    </r>
    <r>
      <rPr>
        <i/>
        <sz val="11"/>
        <color theme="1"/>
        <rFont val="等线"/>
        <family val="3"/>
        <charset val="134"/>
        <scheme val="minor"/>
      </rPr>
      <t>若attack2动画为戳刺而不是挥砍，则需要配置不同的碰撞盒开关时间</t>
    </r>
  </si>
  <si>
    <t>碰撞盒
开启帧
attack_2</t>
  </si>
  <si>
    <t>碰撞盒
关闭帧
attack_2</t>
  </si>
  <si>
    <t>总帧数
attack_2</t>
  </si>
  <si>
    <r>
      <rPr>
        <b/>
        <sz val="11"/>
        <color theme="1"/>
        <rFont val="等线"/>
        <family val="3"/>
        <charset val="134"/>
        <scheme val="minor"/>
      </rPr>
      <t xml:space="preserve">碰撞盒偏移
</t>
    </r>
    <r>
      <rPr>
        <i/>
        <sz val="11"/>
        <color theme="1"/>
        <rFont val="等线"/>
        <family val="3"/>
        <charset val="134"/>
        <scheme val="minor"/>
      </rPr>
      <t>碰撞盒到自身坐标的偏移距离，根据动画进行配置</t>
    </r>
  </si>
  <si>
    <t>攻击部件移速</t>
  </si>
  <si>
    <t>伤害</t>
  </si>
  <si>
    <t>sharp</t>
  </si>
  <si>
    <t>blunt</t>
  </si>
  <si>
    <t>fire</t>
  </si>
  <si>
    <t>acid</t>
  </si>
  <si>
    <r>
      <rPr>
        <b/>
        <i/>
        <sz val="11"/>
        <color theme="1" tint="0.499984740745262"/>
        <rFont val="等线"/>
        <family val="3"/>
        <charset val="134"/>
        <scheme val="minor"/>
      </rPr>
      <t>计算参考</t>
    </r>
    <r>
      <rPr>
        <i/>
        <sz val="11"/>
        <color theme="1" tint="0.499984740745262"/>
        <rFont val="等线"/>
        <family val="3"/>
        <charset val="134"/>
        <scheme val="minor"/>
      </rPr>
      <t xml:space="preserve">
单轮DPS</t>
    </r>
  </si>
  <si>
    <r>
      <rPr>
        <b/>
        <i/>
        <sz val="11"/>
        <color theme="1" tint="0.499984740745262"/>
        <rFont val="等线"/>
        <family val="3"/>
        <charset val="134"/>
        <scheme val="minor"/>
      </rPr>
      <t>计算参考</t>
    </r>
    <r>
      <rPr>
        <i/>
        <sz val="11"/>
        <color theme="1" tint="0.499984740745262"/>
        <rFont val="等线"/>
        <family val="3"/>
        <charset val="134"/>
        <scheme val="minor"/>
      </rPr>
      <t xml:space="preserve">
平均DPS</t>
    </r>
  </si>
  <si>
    <t>击退力度</t>
  </si>
  <si>
    <t>短匕</t>
  </si>
  <si>
    <t>BasicMelee_Click</t>
  </si>
  <si>
    <t>attack_1</t>
  </si>
  <si>
    <t>attack_2</t>
  </si>
  <si>
    <t>se_ag_melee_wield</t>
  </si>
  <si>
    <t>se_ag_melee_grinding</t>
  </si>
  <si>
    <t>砍刀</t>
  </si>
  <si>
    <t>attack_1;attack_2</t>
  </si>
  <si>
    <t>大剑</t>
  </si>
  <si>
    <t>长矛</t>
  </si>
  <si>
    <t>执刑木棍</t>
  </si>
  <si>
    <t>执刑斧钺</t>
  </si>
  <si>
    <t>短柄鱼叉</t>
  </si>
  <si>
    <t>SE_fire</t>
  </si>
  <si>
    <t>SE_reloaded</t>
  </si>
  <si>
    <t>projectile_id</t>
  </si>
  <si>
    <t>speed</t>
  </si>
  <si>
    <t>projectile_life_ticks</t>
  </si>
  <si>
    <t>salvo</t>
  </si>
  <si>
    <t>angle</t>
  </si>
  <si>
    <t>bone_name</t>
  </si>
  <si>
    <t>capacity</t>
  </si>
  <si>
    <t>auto_load</t>
  </si>
  <si>
    <t>reload_speed</t>
  </si>
  <si>
    <t>ui_reloading_ticks</t>
  </si>
  <si>
    <t>tick_percent</t>
  </si>
  <si>
    <t>rapid_fire_tick_percent</t>
  </si>
  <si>
    <t>uint</t>
  </si>
  <si>
    <t>(int,int)</t>
  </si>
  <si>
    <t>发射逻辑id</t>
  </si>
  <si>
    <t>备注1
名称</t>
  </si>
  <si>
    <t>备注2
类型</t>
  </si>
  <si>
    <t>备注3
设备/怪物控制脚本</t>
  </si>
  <si>
    <r>
      <rPr>
        <b/>
        <sz val="11"/>
        <color theme="1"/>
        <rFont val="等线"/>
        <family val="3"/>
        <charset val="134"/>
        <scheme val="minor"/>
      </rPr>
      <t xml:space="preserve">音效-射击
</t>
    </r>
    <r>
      <rPr>
        <i/>
        <sz val="11"/>
        <color rgb="FFC00000"/>
        <rFont val="等线"/>
        <family val="3"/>
        <charset val="134"/>
        <scheme val="minor"/>
      </rPr>
      <t>怪物未实装</t>
    </r>
  </si>
  <si>
    <r>
      <rPr>
        <b/>
        <sz val="11"/>
        <color theme="1"/>
        <rFont val="等线"/>
        <family val="3"/>
        <charset val="134"/>
        <scheme val="minor"/>
      </rPr>
      <t xml:space="preserve">音效-装填完毕
</t>
    </r>
    <r>
      <rPr>
        <i/>
        <sz val="11"/>
        <color rgb="FFC00000"/>
        <rFont val="等线"/>
        <family val="3"/>
        <charset val="134"/>
        <scheme val="minor"/>
      </rPr>
      <t>怪物未实装</t>
    </r>
  </si>
  <si>
    <t>飞射物id</t>
  </si>
  <si>
    <r>
      <rPr>
        <b/>
        <sz val="11"/>
        <color theme="1"/>
        <rFont val="等线"/>
        <family val="3"/>
        <charset val="134"/>
        <scheme val="minor"/>
      </rPr>
      <t xml:space="preserve">初速度
</t>
    </r>
    <r>
      <rPr>
        <i/>
        <sz val="9"/>
        <color theme="1"/>
        <rFont val="等线"/>
        <family val="3"/>
        <charset val="134"/>
        <scheme val="minor"/>
      </rPr>
      <t>设备: 随机
怪物: t控制</t>
    </r>
  </si>
  <si>
    <t>辅助列
初速度
min</t>
  </si>
  <si>
    <t>辅助列
初速度
max</t>
  </si>
  <si>
    <t>飞射物寿命</t>
  </si>
  <si>
    <t>辅助列
寿命
min</t>
  </si>
  <si>
    <t>辅助列
寿命
max</t>
  </si>
  <si>
    <r>
      <rPr>
        <b/>
        <sz val="11"/>
        <color theme="1"/>
        <rFont val="等线"/>
        <family val="3"/>
        <charset val="134"/>
        <scheme val="minor"/>
      </rPr>
      <t xml:space="preserve">齐发数
</t>
    </r>
    <r>
      <rPr>
        <i/>
        <sz val="11"/>
        <color theme="1"/>
        <rFont val="等线"/>
        <family val="3"/>
        <charset val="134"/>
        <scheme val="minor"/>
      </rPr>
      <t>单次射击多个子弹</t>
    </r>
  </si>
  <si>
    <t>散布角度</t>
  </si>
  <si>
    <t>飞射物
创建位置
所在骨骼</t>
  </si>
  <si>
    <r>
      <rPr>
        <b/>
        <sz val="11"/>
        <color theme="1"/>
        <rFont val="等线"/>
        <family val="3"/>
        <charset val="134"/>
        <scheme val="minor"/>
      </rPr>
      <t xml:space="preserve">备弹数
</t>
    </r>
    <r>
      <rPr>
        <i/>
        <sz val="9"/>
        <color theme="1"/>
        <rFont val="等线"/>
        <family val="3"/>
        <charset val="134"/>
        <scheme val="minor"/>
      </rPr>
      <t>弹匣容量
仅设备使用</t>
    </r>
    <r>
      <rPr>
        <b/>
        <sz val="9"/>
        <color theme="1"/>
        <rFont val="等线"/>
        <family val="3"/>
        <charset val="134"/>
        <scheme val="minor"/>
      </rPr>
      <t xml:space="preserve">
</t>
    </r>
    <r>
      <rPr>
        <i/>
        <sz val="9"/>
        <color rgb="FFFF0000"/>
        <rFont val="等线"/>
        <family val="3"/>
        <charset val="134"/>
        <scheme val="minor"/>
      </rPr>
      <t>对怪物无效</t>
    </r>
  </si>
  <si>
    <r>
      <rPr>
        <b/>
        <sz val="11"/>
        <color theme="1"/>
        <rFont val="等线"/>
        <family val="3"/>
        <charset val="134"/>
        <scheme val="minor"/>
      </rPr>
      <t xml:space="preserve">开火前
是否需上膛
</t>
    </r>
    <r>
      <rPr>
        <i/>
        <sz val="9"/>
        <color rgb="FFFF0000"/>
        <rFont val="等线"/>
        <family val="3"/>
        <charset val="134"/>
        <scheme val="minor"/>
      </rPr>
      <t>对怪物无效</t>
    </r>
  </si>
  <si>
    <r>
      <rPr>
        <b/>
        <sz val="11"/>
        <color theme="1"/>
        <rFont val="等线"/>
        <family val="3"/>
        <charset val="134"/>
        <scheme val="minor"/>
      </rPr>
      <t xml:space="preserve">可自动上膛
</t>
    </r>
    <r>
      <rPr>
        <i/>
        <sz val="10"/>
        <color theme="1"/>
        <rFont val="等线"/>
        <family val="3"/>
        <charset val="134"/>
        <scheme val="minor"/>
      </rPr>
      <t>“开火前需要上膛”配置为true时，该项才有意义</t>
    </r>
    <r>
      <rPr>
        <b/>
        <sz val="11"/>
        <color theme="1"/>
        <rFont val="等线"/>
        <family val="3"/>
        <charset val="134"/>
        <scheme val="minor"/>
      </rPr>
      <t xml:space="preserve">
</t>
    </r>
    <r>
      <rPr>
        <i/>
        <sz val="9"/>
        <color rgb="FFFF0000"/>
        <rFont val="等线"/>
        <family val="3"/>
        <charset val="134"/>
        <scheme val="minor"/>
      </rPr>
      <t>对怪物无效</t>
    </r>
  </si>
  <si>
    <r>
      <rPr>
        <b/>
        <sz val="11"/>
        <color theme="1"/>
        <rFont val="等线"/>
        <family val="3"/>
        <charset val="134"/>
        <scheme val="minor"/>
      </rPr>
      <t xml:space="preserve">装填数
</t>
    </r>
    <r>
      <rPr>
        <sz val="9"/>
        <color theme="1"/>
        <rFont val="等线"/>
        <family val="3"/>
        <charset val="134"/>
        <scheme val="minor"/>
      </rPr>
      <t xml:space="preserve">n&lt;=0: 一次性装填完毕
n&gt;0: 逐发装填具体数量
</t>
    </r>
    <r>
      <rPr>
        <i/>
        <sz val="9"/>
        <color rgb="FFFF0000"/>
        <rFont val="等线"/>
        <family val="3"/>
        <charset val="134"/>
        <scheme val="minor"/>
      </rPr>
      <t>对怪物无效</t>
    </r>
  </si>
  <si>
    <t>装填速率
时长辅助
（帧）</t>
  </si>
  <si>
    <t>备注1
时长(秒)</t>
  </si>
  <si>
    <t>特殊2
时长修正倍数</t>
  </si>
  <si>
    <r>
      <rPr>
        <b/>
        <sz val="11"/>
        <color theme="1"/>
        <rFont val="等线"/>
        <family val="3"/>
        <charset val="134"/>
        <scheme val="minor"/>
      </rPr>
      <t xml:space="preserve">开火帧（0~1）
</t>
    </r>
    <r>
      <rPr>
        <i/>
        <sz val="11"/>
        <color theme="1"/>
        <rFont val="等线"/>
        <family val="3"/>
        <charset val="134"/>
        <scheme val="minor"/>
      </rPr>
      <t>在这一时刻创造飞射物</t>
    </r>
    <r>
      <rPr>
        <b/>
        <sz val="11"/>
        <color theme="1"/>
        <rFont val="等线"/>
        <family val="3"/>
        <charset val="134"/>
        <scheme val="minor"/>
      </rPr>
      <t xml:space="preserve">
</t>
    </r>
    <r>
      <rPr>
        <i/>
        <sz val="11"/>
        <color rgb="FFFF0000"/>
        <rFont val="等线"/>
        <family val="3"/>
        <charset val="134"/>
        <scheme val="minor"/>
      </rPr>
      <t>对怪物无效</t>
    </r>
  </si>
  <si>
    <r>
      <rPr>
        <b/>
        <sz val="11"/>
        <color theme="1"/>
        <rFont val="等线"/>
        <family val="3"/>
        <charset val="134"/>
        <scheme val="minor"/>
      </rPr>
      <t xml:space="preserve">后摇帧（0~1）
</t>
    </r>
    <r>
      <rPr>
        <i/>
        <sz val="11"/>
        <color theme="1"/>
        <rFont val="等线"/>
        <family val="3"/>
        <charset val="134"/>
        <scheme val="minor"/>
      </rPr>
      <t>这一时刻后 进入可被打断的后摇</t>
    </r>
    <r>
      <rPr>
        <b/>
        <sz val="11"/>
        <color theme="1"/>
        <rFont val="等线"/>
        <family val="3"/>
        <charset val="134"/>
        <scheme val="minor"/>
      </rPr>
      <t xml:space="preserve">
</t>
    </r>
    <r>
      <rPr>
        <i/>
        <sz val="11"/>
        <color rgb="FFFF0000"/>
        <rFont val="等线"/>
        <family val="3"/>
        <charset val="134"/>
        <scheme val="minor"/>
      </rPr>
      <t>对怪物无效</t>
    </r>
  </si>
  <si>
    <t>射击帧</t>
  </si>
  <si>
    <t>打断帧</t>
  </si>
  <si>
    <t>总帧数</t>
  </si>
  <si>
    <t>最小
动画
攻击
间隔</t>
  </si>
  <si>
    <t>wrap</t>
  </si>
  <si>
    <t>flash</t>
  </si>
  <si>
    <r>
      <rPr>
        <b/>
        <i/>
        <sz val="11"/>
        <color theme="1" tint="0.499984740745262"/>
        <rFont val="等线"/>
        <family val="3"/>
        <charset val="134"/>
        <scheme val="minor"/>
      </rPr>
      <t>计算参考</t>
    </r>
    <r>
      <rPr>
        <i/>
        <sz val="11"/>
        <color theme="1" tint="0.499984740745262"/>
        <rFont val="等线"/>
        <family val="3"/>
        <charset val="134"/>
        <scheme val="minor"/>
      </rPr>
      <t xml:space="preserve">
单轮伤害</t>
    </r>
  </si>
  <si>
    <r>
      <rPr>
        <b/>
        <i/>
        <sz val="11"/>
        <color theme="1" tint="0.499984740745262"/>
        <rFont val="等线"/>
        <family val="3"/>
        <charset val="134"/>
        <scheme val="minor"/>
      </rPr>
      <t>计算参考</t>
    </r>
    <r>
      <rPr>
        <i/>
        <sz val="11"/>
        <color theme="1" tint="0.499984740745262"/>
        <rFont val="等线"/>
        <family val="3"/>
        <charset val="134"/>
        <scheme val="minor"/>
      </rPr>
      <t xml:space="preserve">
暴击修正倍率期望</t>
    </r>
  </si>
  <si>
    <r>
      <rPr>
        <b/>
        <i/>
        <sz val="11"/>
        <color theme="1" tint="0.499984740745262"/>
        <rFont val="等线"/>
        <family val="3"/>
        <charset val="134"/>
        <scheme val="minor"/>
      </rPr>
      <t>计算参考</t>
    </r>
    <r>
      <rPr>
        <i/>
        <sz val="11"/>
        <color theme="1" tint="0.499984740745262"/>
        <rFont val="等线"/>
        <family val="3"/>
        <charset val="134"/>
        <scheme val="minor"/>
      </rPr>
      <t xml:space="preserve">
单轮耗时
</t>
    </r>
    <r>
      <rPr>
        <b/>
        <i/>
        <sz val="11"/>
        <color theme="1" tint="0.499984740745262"/>
        <rFont val="等线"/>
        <family val="3"/>
        <charset val="134"/>
        <scheme val="minor"/>
      </rPr>
      <t>(极限)</t>
    </r>
    <r>
      <rPr>
        <i/>
        <sz val="11"/>
        <color theme="1" tint="0.499984740745262"/>
        <rFont val="等线"/>
        <family val="3"/>
        <charset val="134"/>
        <scheme val="minor"/>
      </rPr>
      <t xml:space="preserve">
（秒）</t>
    </r>
  </si>
  <si>
    <r>
      <rPr>
        <b/>
        <i/>
        <sz val="11"/>
        <color theme="1" tint="0.499984740745262"/>
        <rFont val="等线"/>
        <family val="3"/>
        <charset val="134"/>
        <scheme val="minor"/>
      </rPr>
      <t>计算参考</t>
    </r>
    <r>
      <rPr>
        <i/>
        <sz val="11"/>
        <color theme="1" tint="0.499984740745262"/>
        <rFont val="等线"/>
        <family val="3"/>
        <charset val="134"/>
        <scheme val="minor"/>
      </rPr>
      <t xml:space="preserve">
单轮耗时
（常规）
（秒）</t>
    </r>
  </si>
  <si>
    <r>
      <rPr>
        <b/>
        <i/>
        <sz val="11"/>
        <color theme="1" tint="0.499984740745262"/>
        <rFont val="等线"/>
        <family val="3"/>
        <charset val="134"/>
        <scheme val="minor"/>
      </rPr>
      <t>计算参考</t>
    </r>
    <r>
      <rPr>
        <i/>
        <sz val="11"/>
        <color theme="1" tint="0.499984740745262"/>
        <rFont val="等线"/>
        <family val="3"/>
        <charset val="134"/>
        <scheme val="minor"/>
      </rPr>
      <t xml:space="preserve">
装填默认总时长</t>
    </r>
  </si>
  <si>
    <r>
      <rPr>
        <b/>
        <i/>
        <sz val="11"/>
        <color theme="1" tint="0.499984740745262"/>
        <rFont val="等线"/>
        <family val="3"/>
        <charset val="134"/>
        <scheme val="minor"/>
      </rPr>
      <t>计算参考</t>
    </r>
    <r>
      <rPr>
        <i/>
        <sz val="11"/>
        <color theme="1" tint="0.499984740745262"/>
        <rFont val="等线"/>
        <family val="3"/>
        <charset val="134"/>
        <scheme val="minor"/>
      </rPr>
      <t xml:space="preserve">
手动DPS
</t>
    </r>
    <r>
      <rPr>
        <b/>
        <i/>
        <sz val="11"/>
        <color theme="1" tint="0.499984740745262"/>
        <rFont val="等线"/>
        <family val="3"/>
        <charset val="134"/>
        <scheme val="minor"/>
      </rPr>
      <t>表显max：
300</t>
    </r>
  </si>
  <si>
    <r>
      <rPr>
        <b/>
        <i/>
        <sz val="11"/>
        <color theme="1" tint="0.499984740745262"/>
        <rFont val="等线"/>
        <family val="3"/>
        <charset val="134"/>
        <scheme val="minor"/>
      </rPr>
      <t>计算参考</t>
    </r>
    <r>
      <rPr>
        <i/>
        <sz val="11"/>
        <color theme="1" tint="0.499984740745262"/>
        <rFont val="等线"/>
        <family val="3"/>
        <charset val="134"/>
        <scheme val="minor"/>
      </rPr>
      <t xml:space="preserve">
自动DPS
</t>
    </r>
    <r>
      <rPr>
        <b/>
        <i/>
        <sz val="11"/>
        <color theme="1" tint="0.499984740745262"/>
        <rFont val="等线"/>
        <family val="3"/>
        <charset val="134"/>
        <scheme val="minor"/>
      </rPr>
      <t>表显max：
300</t>
    </r>
  </si>
  <si>
    <r>
      <rPr>
        <b/>
        <i/>
        <sz val="11"/>
        <color theme="1" tint="0.499984740745262"/>
        <rFont val="等线"/>
        <family val="3"/>
        <charset val="134"/>
        <scheme val="minor"/>
      </rPr>
      <t>计算参考</t>
    </r>
    <r>
      <rPr>
        <i/>
        <sz val="11"/>
        <color theme="1" tint="0.499984740745262"/>
        <rFont val="等线"/>
        <family val="3"/>
        <charset val="134"/>
        <scheme val="minor"/>
      </rPr>
      <t xml:space="preserve">
等级</t>
    </r>
  </si>
  <si>
    <t>弓箭</t>
  </si>
  <si>
    <t>设备</t>
  </si>
  <si>
    <t>BasicShooter</t>
  </si>
  <si>
    <t>se_ag_bow_shoot</t>
  </si>
  <si>
    <t>se_ag_bow_reload</t>
  </si>
  <si>
    <t>proj_muzzel</t>
  </si>
  <si>
    <t>防身手枪</t>
  </si>
  <si>
    <t>se_ag_shoot_gun</t>
  </si>
  <si>
    <t>se_ag_gun_reloaded</t>
  </si>
  <si>
    <t>喇叭霰弹枪</t>
  </si>
  <si>
    <t>BasicShooter_Click</t>
  </si>
  <si>
    <t>se_ag_shoot_gatlin</t>
  </si>
  <si>
    <t>机关箭匣</t>
  </si>
  <si>
    <t>火箭爆弹</t>
  </si>
  <si>
    <t>se_pixabay_shoot_rocket</t>
  </si>
  <si>
    <t>土制火箭爆弹</t>
  </si>
  <si>
    <t>单发火枪</t>
  </si>
  <si>
    <t>se_ag_shoot_sniper</t>
  </si>
  <si>
    <t>命运手枪</t>
  </si>
  <si>
    <t>轻机枪</t>
  </si>
  <si>
    <t>猎龙弩炮</t>
  </si>
  <si>
    <t>Shooter_Huge_Ballista</t>
  </si>
  <si>
    <t>se_ag_shoot_catapult</t>
  </si>
  <si>
    <t>车载投石器</t>
  </si>
  <si>
    <t>Shooter_Trebuchet</t>
  </si>
  <si>
    <t>滚木</t>
  </si>
  <si>
    <t>Roll_Wood</t>
  </si>
  <si>
    <t>se_ag_shoot_shotgun</t>
  </si>
  <si>
    <t>镇暴左轮</t>
  </si>
  <si>
    <t>镇暴霰弹枪</t>
  </si>
  <si>
    <t>气球枪</t>
  </si>
  <si>
    <t>Shooter_Balloon</t>
  </si>
  <si>
    <t>飞针陀螺</t>
  </si>
  <si>
    <t>Shooter_Gyroscope</t>
  </si>
  <si>
    <t>se_ag_shoot_needle</t>
  </si>
  <si>
    <t>地宫洞穴人</t>
  </si>
  <si>
    <t>怪物</t>
  </si>
  <si>
    <t>dungeon_caveman</t>
  </si>
  <si>
    <t>地宫跳虫骑手</t>
  </si>
  <si>
    <t>dungeon_springtail_rider</t>
  </si>
  <si>
    <t>地宫蝙蝠骑手</t>
  </si>
  <si>
    <t>dungeon_bat_rider</t>
  </si>
  <si>
    <t>洞穴人流浪者</t>
  </si>
  <si>
    <t>dungeon_caveman_wanderer</t>
  </si>
  <si>
    <t>洞穴人纵火者</t>
  </si>
  <si>
    <t>dungeon_caveman_arsonist</t>
  </si>
  <si>
    <t>洞穴人暴徒</t>
  </si>
  <si>
    <t>dungeon_caveman_mob</t>
  </si>
  <si>
    <t>鲶鱼</t>
  </si>
  <si>
    <t>Lake_CatFish</t>
  </si>
  <si>
    <t>混沌沼泽怪</t>
  </si>
  <si>
    <t>Lake_Swamp</t>
  </si>
  <si>
    <t>贝壳乌贼</t>
  </si>
  <si>
    <t>Lake_Squid</t>
  </si>
  <si>
    <t>缠绕水藻</t>
  </si>
  <si>
    <t>Lake_Tangler</t>
  </si>
  <si>
    <t>speed_shooting</t>
  </si>
  <si>
    <t>speed_hooked</t>
  </si>
  <si>
    <t>speed_reeling_in</t>
  </si>
  <si>
    <t>elasticity</t>
  </si>
  <si>
    <t>breaking_overlength</t>
  </si>
  <si>
    <t>damage_hit</t>
  </si>
  <si>
    <t>damage_by_period</t>
  </si>
  <si>
    <t>damage_interval</t>
  </si>
  <si>
    <t>钩索逻辑id</t>
  </si>
  <si>
    <t>备注2
控制脚本</t>
  </si>
  <si>
    <r>
      <rPr>
        <b/>
        <sz val="11"/>
        <color theme="1"/>
        <rFont val="等线"/>
        <family val="3"/>
        <charset val="134"/>
        <scheme val="minor"/>
      </rPr>
      <t xml:space="preserve">发射速度
</t>
    </r>
    <r>
      <rPr>
        <i/>
        <sz val="11"/>
        <color theme="1"/>
        <rFont val="等线"/>
        <family val="3"/>
        <charset val="134"/>
        <scheme val="minor"/>
      </rPr>
      <t>钩爪初始速度</t>
    </r>
  </si>
  <si>
    <r>
      <rPr>
        <b/>
        <sz val="11"/>
        <color theme="1"/>
        <rFont val="等线"/>
        <family val="3"/>
        <charset val="134"/>
        <scheme val="minor"/>
      </rPr>
      <t xml:space="preserve">回收速度
</t>
    </r>
    <r>
      <rPr>
        <i/>
        <sz val="11"/>
        <color theme="1"/>
        <rFont val="等线"/>
        <family val="3"/>
        <charset val="134"/>
        <scheme val="minor"/>
      </rPr>
      <t>钩住怪物时</t>
    </r>
  </si>
  <si>
    <r>
      <rPr>
        <b/>
        <sz val="11"/>
        <color theme="1"/>
        <rFont val="等线"/>
        <family val="3"/>
        <charset val="134"/>
        <scheme val="minor"/>
      </rPr>
      <t xml:space="preserve">回收速度
</t>
    </r>
    <r>
      <rPr>
        <i/>
        <sz val="11"/>
        <color theme="1"/>
        <rFont val="等线"/>
        <family val="3"/>
        <charset val="134"/>
        <scheme val="minor"/>
      </rPr>
      <t>空军时</t>
    </r>
  </si>
  <si>
    <t>弹性系数</t>
  </si>
  <si>
    <t>断裂长度（超长）</t>
  </si>
  <si>
    <t>命中初始伤害</t>
  </si>
  <si>
    <t>持续伤害</t>
  </si>
  <si>
    <r>
      <rPr>
        <b/>
        <sz val="11"/>
        <color theme="1"/>
        <rFont val="等线"/>
        <family val="3"/>
        <charset val="134"/>
        <scheme val="minor"/>
      </rPr>
      <t xml:space="preserve">持续伤害间隔
</t>
    </r>
    <r>
      <rPr>
        <i/>
        <sz val="11"/>
        <color theme="1"/>
        <rFont val="等线"/>
        <family val="3"/>
        <charset val="134"/>
        <scheme val="minor"/>
      </rPr>
      <t>(帧)</t>
    </r>
  </si>
  <si>
    <r>
      <rPr>
        <b/>
        <i/>
        <sz val="11"/>
        <color theme="1" tint="0.499984740745262"/>
        <rFont val="等线"/>
        <family val="3"/>
        <charset val="134"/>
        <scheme val="minor"/>
      </rPr>
      <t>计算参考</t>
    </r>
    <r>
      <rPr>
        <i/>
        <sz val="11"/>
        <color theme="1" tint="0.499984740745262"/>
        <rFont val="等线"/>
        <family val="3"/>
        <charset val="134"/>
        <scheme val="minor"/>
      </rPr>
      <t xml:space="preserve">
hooking DPS</t>
    </r>
  </si>
  <si>
    <t>拖曳钩索</t>
  </si>
  <si>
    <t>BasicHook</t>
  </si>
  <si>
    <t>sharp=2</t>
  </si>
  <si>
    <t>sharp=1</t>
  </si>
  <si>
    <t>货运吊臂</t>
  </si>
  <si>
    <t>商队塔吊</t>
  </si>
  <si>
    <t>捕奴肉钩</t>
  </si>
  <si>
    <t>sharp=15</t>
  </si>
  <si>
    <t>执刑人挂钩</t>
  </si>
  <si>
    <t>sharp=5</t>
  </si>
  <si>
    <t>sharp=4</t>
  </si>
  <si>
    <t>SE_hit_enemy</t>
  </si>
  <si>
    <t>SE_rotate</t>
  </si>
  <si>
    <t>v_threshold</t>
  </si>
  <si>
    <t>damage_v_coef</t>
  </si>
  <si>
    <t>ft</t>
  </si>
  <si>
    <t>ft_v_coef</t>
  </si>
  <si>
    <t>collision_rotate_coef</t>
  </si>
  <si>
    <t>ui_rotate_coef</t>
  </si>
  <si>
    <t>knock_y</t>
  </si>
  <si>
    <t>撞角逻辑id</t>
  </si>
  <si>
    <t>音效-撞到敌人</t>
  </si>
  <si>
    <t>音效-摇动旋转</t>
  </si>
  <si>
    <t>伤害
基础伤害</t>
  </si>
  <si>
    <t>伤害生效时
相对速度阈值</t>
  </si>
  <si>
    <t>伤害
速度加成</t>
  </si>
  <si>
    <t>击退
基础击退</t>
  </si>
  <si>
    <t>击退
速度加成</t>
  </si>
  <si>
    <t>碰撞旋转系数</t>
  </si>
  <si>
    <t>配置辅助</t>
  </si>
  <si>
    <r>
      <rPr>
        <b/>
        <sz val="11"/>
        <color theme="1"/>
        <rFont val="等线"/>
        <family val="3"/>
        <charset val="134"/>
        <scheme val="minor"/>
      </rPr>
      <t xml:space="preserve">ui旋转系数
</t>
    </r>
    <r>
      <rPr>
        <i/>
        <sz val="10"/>
        <color theme="1"/>
        <rFont val="等线"/>
        <family val="3"/>
        <charset val="134"/>
        <scheme val="minor"/>
      </rPr>
      <t>玩家手动旋转时的效率</t>
    </r>
  </si>
  <si>
    <r>
      <rPr>
        <b/>
        <i/>
        <sz val="11"/>
        <color theme="1" tint="0.499984740745262"/>
        <rFont val="等线"/>
        <family val="3"/>
        <charset val="134"/>
        <scheme val="minor"/>
      </rPr>
      <t>计算参考</t>
    </r>
    <r>
      <rPr>
        <i/>
        <sz val="11"/>
        <color theme="1" tint="0.499984740745262"/>
        <rFont val="等线"/>
        <family val="3"/>
        <charset val="134"/>
        <scheme val="minor"/>
      </rPr>
      <t xml:space="preserve">
相对旋转效率</t>
    </r>
  </si>
  <si>
    <r>
      <rPr>
        <b/>
        <sz val="11"/>
        <color theme="1"/>
        <rFont val="等线"/>
        <family val="3"/>
        <charset val="134"/>
        <scheme val="minor"/>
      </rPr>
      <t xml:space="preserve">击飞方向y
</t>
    </r>
    <r>
      <rPr>
        <i/>
        <sz val="10"/>
        <color theme="1"/>
        <rFont val="等线"/>
        <family val="3"/>
        <charset val="134"/>
        <scheme val="minor"/>
      </rPr>
      <t>以x=1计</t>
    </r>
  </si>
  <si>
    <t>刺矛撞角</t>
  </si>
  <si>
    <t>se_ag_ram_hit_piercing</t>
  </si>
  <si>
    <t>se_ram_rotate</t>
  </si>
  <si>
    <t>金属铲斗</t>
  </si>
  <si>
    <t>蘑菇挡板</t>
  </si>
  <si>
    <t>se_ag_ram_hit_bouncing</t>
  </si>
  <si>
    <t>se_1</t>
  </si>
  <si>
    <t>animevent_prct_1</t>
  </si>
  <si>
    <t>其他逻辑id</t>
  </si>
  <si>
    <t>音效1</t>
  </si>
  <si>
    <t>音效1
说明</t>
  </si>
  <si>
    <t>动画1
时间点</t>
  </si>
  <si>
    <t>动画1
事件帧</t>
  </si>
  <si>
    <t>动画1
总帧数</t>
  </si>
  <si>
    <t>动画1
说明</t>
  </si>
  <si>
    <t>慑敌战鼓</t>
  </si>
  <si>
    <t>War_Drum</t>
  </si>
  <si>
    <t>se_ag_beat_drum</t>
  </si>
  <si>
    <t>鼓槌敲鼓声</t>
  </si>
  <si>
    <t>敲鼓时间点</t>
  </si>
  <si>
    <t>SE_block</t>
  </si>
  <si>
    <t>def_range</t>
  </si>
  <si>
    <t>energy_max</t>
  </si>
  <si>
    <t>energy_recover</t>
  </si>
  <si>
    <t>energy_freezetick</t>
  </si>
  <si>
    <t>energy_reduce_by_block</t>
  </si>
  <si>
    <t>盾牌逻辑id</t>
  </si>
  <si>
    <t>音效-格挡</t>
  </si>
  <si>
    <r>
      <rPr>
        <b/>
        <sz val="11"/>
        <color theme="1"/>
        <rFont val="等线"/>
        <family val="3"/>
        <charset val="134"/>
        <scheme val="minor"/>
      </rPr>
      <t xml:space="preserve">防御距离
</t>
    </r>
    <r>
      <rPr>
        <i/>
        <sz val="11"/>
        <color theme="1"/>
        <rFont val="等线"/>
        <family val="3"/>
        <charset val="134"/>
        <scheme val="minor"/>
      </rPr>
      <t>防御时向前移动的距离</t>
    </r>
  </si>
  <si>
    <t>能量 最大值</t>
  </si>
  <si>
    <r>
      <rPr>
        <b/>
        <sz val="11"/>
        <color theme="1"/>
        <rFont val="等线"/>
        <family val="3"/>
        <charset val="134"/>
        <scheme val="minor"/>
      </rPr>
      <t xml:space="preserve">能量 回复速度
</t>
    </r>
    <r>
      <rPr>
        <i/>
        <sz val="9"/>
        <color theme="1"/>
        <rFont val="等线"/>
        <family val="3"/>
        <charset val="134"/>
        <scheme val="minor"/>
      </rPr>
      <t>item1: idle，
item2: blocking</t>
    </r>
  </si>
  <si>
    <t>辅助列1</t>
  </si>
  <si>
    <t>辅助列2</t>
  </si>
  <si>
    <t>能量 恢复冷却帧</t>
  </si>
  <si>
    <t>能量扣除 每防御</t>
  </si>
  <si>
    <t>小圆盾</t>
  </si>
  <si>
    <t>BasicShield</t>
  </si>
  <si>
    <t>se_ag_shield_block</t>
  </si>
  <si>
    <t>sharp=3</t>
  </si>
  <si>
    <t>木盾</t>
  </si>
  <si>
    <t>长阔盾</t>
  </si>
  <si>
    <t>硬皮盾</t>
  </si>
  <si>
    <t>金属板</t>
  </si>
  <si>
    <t>尖刺格斗盾</t>
  </si>
  <si>
    <t>藤牌</t>
  </si>
  <si>
    <t>格斗短剑</t>
  </si>
  <si>
    <t>Desert_Gaint_Cactus</t>
    <phoneticPr fontId="21" type="noConversion"/>
  </si>
  <si>
    <t>箭矢</t>
  </si>
  <si>
    <t>霰弹</t>
  </si>
  <si>
    <t>石块</t>
  </si>
  <si>
    <t>火箭弹</t>
  </si>
  <si>
    <t>飞针</t>
  </si>
  <si>
    <t>巨大弩箭</t>
  </si>
  <si>
    <t>仙人掌</t>
  </si>
  <si>
    <t>沼泽怪</t>
  </si>
  <si>
    <t>id</t>
    <phoneticPr fontId="21" type="noConversion"/>
  </si>
  <si>
    <t>name</t>
    <phoneticPr fontId="21" type="noConversion"/>
  </si>
  <si>
    <t>备注</t>
    <phoneticPr fontId="21" type="noConversion"/>
  </si>
  <si>
    <t>飞矛/标枪</t>
  </si>
  <si>
    <t>投掷的石块</t>
  </si>
  <si>
    <t>燃烧瓶</t>
  </si>
  <si>
    <t>点燃的标枪</t>
  </si>
  <si>
    <t>刺</t>
  </si>
  <si>
    <t>水弹</t>
  </si>
  <si>
    <t>泥巴</t>
  </si>
  <si>
    <t>墨汁</t>
  </si>
  <si>
    <t>海藻团</t>
  </si>
  <si>
    <t>大型箭矢，重量 150g每支</t>
  </si>
  <si>
    <t>喇叭霰弹枪 霰弹</t>
  </si>
  <si>
    <t>投石器 石块</t>
  </si>
  <si>
    <t>土制火箭弹</t>
  </si>
  <si>
    <t>飞针陀螺 飞针</t>
  </si>
  <si>
    <t>猎龙弩炮的弩箭</t>
  </si>
  <si>
    <t>desc</t>
    <phoneticPr fontId="21" type="noConversion"/>
  </si>
  <si>
    <t>巨大的原木</t>
  </si>
  <si>
    <t>手枪子弹</t>
  </si>
  <si>
    <t>铅弹，重量 50g每发</t>
  </si>
  <si>
    <t>步枪子弹</t>
  </si>
  <si>
    <t>相比手枪子弹更重</t>
  </si>
  <si>
    <t>洞穴人(标枪)</t>
  </si>
  <si>
    <t>海妖触手</t>
    <phoneticPr fontId="21" type="noConversion"/>
  </si>
  <si>
    <t>wrap</t>
    <phoneticPr fontId="21" type="noConversion"/>
  </si>
  <si>
    <r>
      <t xml:space="preserve">能否连击
</t>
    </r>
    <r>
      <rPr>
        <i/>
        <sz val="9"/>
        <color theme="1"/>
        <rFont val="等线"/>
        <family val="3"/>
        <charset val="134"/>
        <scheme val="minor"/>
      </rPr>
      <t>true:自动攻击
false:手动攻击</t>
    </r>
    <phoneticPr fontId="21" type="noConversion"/>
  </si>
  <si>
    <t>armor_piercing</t>
  </si>
  <si>
    <t>critical_rate</t>
  </si>
  <si>
    <r>
      <t xml:space="preserve">护甲穿透
</t>
    </r>
    <r>
      <rPr>
        <i/>
        <sz val="9"/>
        <color theme="1"/>
        <rFont val="等线"/>
        <family val="3"/>
        <charset val="134"/>
        <scheme val="minor"/>
      </rPr>
      <t>千分比配置
1000=100%</t>
    </r>
    <phoneticPr fontId="21" type="noConversion"/>
  </si>
  <si>
    <r>
      <t xml:space="preserve">暴击率
</t>
    </r>
    <r>
      <rPr>
        <i/>
        <sz val="9"/>
        <color theme="1"/>
        <rFont val="等线"/>
        <family val="3"/>
        <charset val="134"/>
        <scheme val="minor"/>
      </rPr>
      <t>千分比配置
1000=100%</t>
    </r>
    <phoneticPr fontId="21" type="noConversion"/>
  </si>
  <si>
    <r>
      <t xml:space="preserve">暴击伤害
</t>
    </r>
    <r>
      <rPr>
        <i/>
        <sz val="9"/>
        <color theme="1"/>
        <rFont val="等线"/>
        <family val="3"/>
        <charset val="134"/>
        <scheme val="minor"/>
      </rPr>
      <t>千分比配置
1000=100%
配置值不应低于1000</t>
    </r>
    <phoneticPr fontId="21" type="noConversion"/>
  </si>
  <si>
    <r>
      <rPr>
        <b/>
        <i/>
        <sz val="11"/>
        <color theme="1" tint="0.499984740745262"/>
        <rFont val="等线"/>
        <family val="3"/>
        <charset val="134"/>
        <scheme val="minor"/>
      </rPr>
      <t>计算参考</t>
    </r>
    <r>
      <rPr>
        <i/>
        <sz val="11"/>
        <color theme="1" tint="0.499984740745262"/>
        <rFont val="等线"/>
        <family val="3"/>
        <charset val="134"/>
        <scheme val="minor"/>
      </rPr>
      <t xml:space="preserve">
攻击伤害</t>
    </r>
    <phoneticPr fontId="21" type="noConversion"/>
  </si>
  <si>
    <t>设备id</t>
    <phoneticPr fontId="21" type="noConversion"/>
  </si>
  <si>
    <t>硬木车轮</t>
  </si>
  <si>
    <t>履带</t>
  </si>
  <si>
    <t>救生圈</t>
  </si>
  <si>
    <t>笨重石轮</t>
  </si>
  <si>
    <t>坚固铁轮</t>
  </si>
  <si>
    <t>凝胶车轮</t>
  </si>
  <si>
    <t>废弃轮胎</t>
  </si>
  <si>
    <t>推进车轮</t>
  </si>
  <si>
    <t>喷火车轮</t>
  </si>
  <si>
    <t>执刑钉棍</t>
  </si>
  <si>
    <t>短柄渔叉</t>
  </si>
  <si>
    <t>海妖触手</t>
  </si>
  <si>
    <t>巨斧</t>
  </si>
  <si>
    <t>钉锤</t>
  </si>
  <si>
    <t>弓</t>
  </si>
  <si>
    <t>静心猎人火枪</t>
  </si>
  <si>
    <t>捕兽草</t>
  </si>
  <si>
    <t>小鸟弹弓</t>
  </si>
  <si>
    <t>黑洞发射器</t>
  </si>
  <si>
    <t>磁铁</t>
  </si>
  <si>
    <t>回收者</t>
  </si>
  <si>
    <t>大百变怪</t>
  </si>
  <si>
    <t>小百变怪</t>
  </si>
  <si>
    <t>铅球枪</t>
  </si>
  <si>
    <t>拨浪鼓</t>
  </si>
  <si>
    <t>水龙</t>
  </si>
  <si>
    <t>火龙</t>
  </si>
  <si>
    <t>铜炮</t>
  </si>
  <si>
    <t>千钧战槊</t>
  </si>
  <si>
    <t>龙首火箭</t>
  </si>
  <si>
    <t>一窝蜂</t>
  </si>
  <si>
    <t>未来科技护盾生成器</t>
  </si>
  <si>
    <t>行刑挂钩</t>
  </si>
  <si>
    <t>缚灵索</t>
  </si>
  <si>
    <t>鱼叉绳枪</t>
  </si>
  <si>
    <t>长柄鱼叉</t>
  </si>
  <si>
    <t>备注
设备名称</t>
    <phoneticPr fontId="21" type="noConversion"/>
  </si>
  <si>
    <t>hp</t>
    <phoneticPr fontId="21" type="noConversion"/>
  </si>
  <si>
    <t>def</t>
    <phoneticPr fontId="21" type="noConversion"/>
  </si>
  <si>
    <t>int</t>
    <phoneticPr fontId="21" type="noConversion"/>
  </si>
  <si>
    <t>减伤</t>
    <phoneticPr fontId="21" type="noConversion"/>
  </si>
  <si>
    <t>血量</t>
    <phoneticPr fontId="21" type="noConversion"/>
  </si>
  <si>
    <t/>
  </si>
  <si>
    <t>armor_piercing
|护甲穿透</t>
    <phoneticPr fontId="21" type="noConversion"/>
  </si>
  <si>
    <t>critical_chance
|暴击率</t>
    <phoneticPr fontId="21" type="noConversion"/>
  </si>
  <si>
    <t>critical_rate
|暴击伤害</t>
    <phoneticPr fontId="21" type="noConversion"/>
  </si>
  <si>
    <t>小仙人掌</t>
  </si>
  <si>
    <t>小仙人掌</t>
    <phoneticPr fontId="21" type="noConversion"/>
  </si>
  <si>
    <t>大仙人掌</t>
  </si>
  <si>
    <t>大仙人掌</t>
    <phoneticPr fontId="21" type="noConversion"/>
  </si>
  <si>
    <r>
      <rPr>
        <b/>
        <i/>
        <sz val="11"/>
        <color theme="1" tint="0.499984740745262"/>
        <rFont val="等线"/>
        <family val="3"/>
        <charset val="134"/>
        <scheme val="minor"/>
      </rPr>
      <t>计算参考</t>
    </r>
    <r>
      <rPr>
        <i/>
        <sz val="11"/>
        <color theme="1" tint="0.499984740745262"/>
        <rFont val="等线"/>
        <family val="3"/>
        <charset val="134"/>
        <scheme val="minor"/>
      </rPr>
      <t xml:space="preserve">
手动DPS
</t>
    </r>
    <r>
      <rPr>
        <b/>
        <i/>
        <sz val="11"/>
        <color theme="1" tint="0.499984740745262"/>
        <rFont val="等线"/>
        <family val="3"/>
        <charset val="134"/>
        <scheme val="minor"/>
      </rPr>
      <t>表显max：
050</t>
    </r>
    <phoneticPr fontId="21" type="noConversion"/>
  </si>
  <si>
    <r>
      <rPr>
        <b/>
        <i/>
        <sz val="11"/>
        <color theme="1" tint="0.499984740745262"/>
        <rFont val="等线"/>
        <family val="3"/>
        <charset val="134"/>
        <scheme val="minor"/>
      </rPr>
      <t>计算参考</t>
    </r>
    <r>
      <rPr>
        <i/>
        <sz val="11"/>
        <color theme="1" tint="0.499984740745262"/>
        <rFont val="等线"/>
        <family val="3"/>
        <charset val="134"/>
        <scheme val="minor"/>
      </rPr>
      <t xml:space="preserve">
自动DPS
</t>
    </r>
    <r>
      <rPr>
        <b/>
        <i/>
        <sz val="11"/>
        <color theme="1" tint="0.499984740745262"/>
        <rFont val="等线"/>
        <family val="3"/>
        <charset val="134"/>
        <scheme val="minor"/>
      </rPr>
      <t>表显max：
050</t>
    </r>
    <phoneticPr fontId="21" type="noConversion"/>
  </si>
  <si>
    <t>need_loaded_in_barrel_before_shoot</t>
    <phoneticPr fontId="21" type="noConversion"/>
  </si>
  <si>
    <t>reload_num</t>
    <phoneticPr fontId="21" type="noConversion"/>
  </si>
  <si>
    <t>reload_trigger_speed</t>
    <phoneticPr fontId="21" type="noConversion"/>
  </si>
  <si>
    <r>
      <t xml:space="preserve">装填启动速度
</t>
    </r>
    <r>
      <rPr>
        <i/>
        <sz val="9"/>
        <color theme="1"/>
        <rFont val="等线"/>
        <family val="3"/>
        <charset val="134"/>
        <scheme val="minor"/>
      </rPr>
      <t xml:space="preserve">设备:进入reload的速率
</t>
    </r>
    <r>
      <rPr>
        <i/>
        <sz val="9"/>
        <color rgb="FFFF0000"/>
        <rFont val="等线"/>
        <family val="3"/>
        <charset val="134"/>
        <scheme val="minor"/>
      </rPr>
      <t>对怪物无效</t>
    </r>
    <phoneticPr fontId="21" type="noConversion"/>
  </si>
  <si>
    <t>装填启动速率
时长辅助
（帧）</t>
    <phoneticPr fontId="21" type="noConversion"/>
  </si>
  <si>
    <t>ui_reloading_trigger_ticks</t>
    <phoneticPr fontId="21" type="noConversion"/>
  </si>
  <si>
    <r>
      <t xml:space="preserve">装填速度
</t>
    </r>
    <r>
      <rPr>
        <i/>
        <sz val="9"/>
        <color theme="1"/>
        <rFont val="等线"/>
        <family val="3"/>
        <charset val="134"/>
        <scheme val="minor"/>
      </rPr>
      <t xml:space="preserve">设备:装填速率
reload状态下每两发子弹的装填间隔
</t>
    </r>
    <r>
      <rPr>
        <i/>
        <sz val="9"/>
        <color rgb="FFFF0000"/>
        <rFont val="等线"/>
        <family val="3"/>
        <charset val="134"/>
        <scheme val="minor"/>
      </rPr>
      <t>对怪物无效</t>
    </r>
    <phoneticPr fontId="21" type="noConversion"/>
  </si>
  <si>
    <t>备注
时长(秒)</t>
    <phoneticPr fontId="21" type="noConversion"/>
  </si>
  <si>
    <t>job_speed</t>
    <phoneticPr fontId="21" type="noConversion"/>
  </si>
  <si>
    <t>工作1
装填
帧数</t>
    <phoneticPr fontId="21" type="noConversion"/>
  </si>
  <si>
    <t>工作2
射击
帧数</t>
    <phoneticPr fontId="21" type="noConversion"/>
  </si>
  <si>
    <t>工作3
弹药搬运
帧数</t>
    <phoneticPr fontId="21" type="noConversion"/>
  </si>
  <si>
    <t>float[]</t>
    <phoneticPr fontId="21" type="noConversion"/>
  </si>
  <si>
    <t>弩</t>
    <phoneticPr fontId="21" type="noConversion"/>
  </si>
  <si>
    <t>【远程模板】</t>
  </si>
  <si>
    <t>AMY左轮</t>
  </si>
  <si>
    <t>DScript_Shooter_Revolver</t>
  </si>
  <si>
    <t>DScript_Shooter</t>
  </si>
  <si>
    <t>DScript_Shooter_Gatlin</t>
  </si>
  <si>
    <r>
      <t xml:space="preserve">NPC工作速度
</t>
    </r>
    <r>
      <rPr>
        <i/>
        <sz val="9"/>
        <color theme="1"/>
        <rFont val="等线"/>
        <family val="3"/>
        <charset val="134"/>
        <scheme val="minor"/>
      </rPr>
      <t xml:space="preserve">工作1：装填
工作2：射击
</t>
    </r>
    <r>
      <rPr>
        <i/>
        <sz val="9"/>
        <color rgb="FFFF0000"/>
        <rFont val="等线"/>
        <family val="3"/>
        <charset val="134"/>
        <scheme val="minor"/>
      </rPr>
      <t>对怪物无效</t>
    </r>
    <phoneticPr fontId="21" type="noConversion"/>
  </si>
  <si>
    <t>AMY棍棒</t>
  </si>
  <si>
    <t>AMY大剑</t>
  </si>
  <si>
    <r>
      <t xml:space="preserve">armor_piercing
|护甲穿透
</t>
    </r>
    <r>
      <rPr>
        <i/>
        <sz val="11"/>
        <color rgb="FFC00000"/>
        <rFont val="等线"/>
        <family val="3"/>
        <charset val="134"/>
        <scheme val="minor"/>
      </rPr>
      <t>|对怪物无效</t>
    </r>
    <phoneticPr fontId="21" type="noConversion"/>
  </si>
  <si>
    <r>
      <t xml:space="preserve">critical_chance
|暴击率
</t>
    </r>
    <r>
      <rPr>
        <i/>
        <sz val="11"/>
        <color rgb="FFC00000"/>
        <rFont val="等线"/>
        <family val="3"/>
        <charset val="134"/>
        <scheme val="minor"/>
      </rPr>
      <t>|对怪物无效</t>
    </r>
    <phoneticPr fontId="21" type="noConversion"/>
  </si>
  <si>
    <r>
      <t xml:space="preserve">critical_rate
|暴击伤害
</t>
    </r>
    <r>
      <rPr>
        <i/>
        <sz val="11"/>
        <color rgb="FFC00000"/>
        <rFont val="等线"/>
        <family val="3"/>
        <charset val="134"/>
        <scheme val="minor"/>
      </rPr>
      <t>|对怪物无效</t>
    </r>
    <phoneticPr fontId="21" type="noConversion"/>
  </si>
  <si>
    <r>
      <t xml:space="preserve">NPC工作速度
</t>
    </r>
    <r>
      <rPr>
        <i/>
        <sz val="9"/>
        <color theme="1"/>
        <rFont val="等线"/>
        <family val="3"/>
        <charset val="134"/>
        <scheme val="minor"/>
      </rPr>
      <t>工作1：攻击
工作2：维护</t>
    </r>
    <phoneticPr fontId="21" type="noConversion"/>
  </si>
  <si>
    <t>DScript_Melee_Baton</t>
  </si>
  <si>
    <t>DScript_Melee_Claymore</t>
  </si>
  <si>
    <t>工作1
帧数</t>
    <phoneticPr fontId="21" type="noConversion"/>
  </si>
  <si>
    <t>工作2
帧数</t>
    <phoneticPr fontId="21" type="noConversion"/>
  </si>
  <si>
    <t>attack_charge_speed</t>
    <phoneticPr fontId="21" type="noConversion"/>
  </si>
  <si>
    <t>float</t>
    <phoneticPr fontId="21" type="noConversion"/>
  </si>
  <si>
    <t>ui_charge_trigger_ticks</t>
    <phoneticPr fontId="21" type="noConversion"/>
  </si>
  <si>
    <t>蓄力启动速率
时长辅助
（帧）</t>
    <phoneticPr fontId="21" type="noConversion"/>
  </si>
  <si>
    <t>蓄力速率</t>
    <phoneticPr fontId="21" type="noConversion"/>
  </si>
  <si>
    <t>attack_charge_weight</t>
    <phoneticPr fontId="21" type="noConversion"/>
  </si>
  <si>
    <r>
      <t xml:space="preserve">蓄力权重
</t>
    </r>
    <r>
      <rPr>
        <i/>
        <sz val="9"/>
        <color theme="1"/>
        <rFont val="等线"/>
        <family val="3"/>
        <charset val="134"/>
        <scheme val="minor"/>
      </rPr>
      <t>配置范围0~1</t>
    </r>
    <phoneticPr fontId="21" type="noConversion"/>
  </si>
  <si>
    <r>
      <rPr>
        <b/>
        <i/>
        <sz val="11"/>
        <color theme="1" tint="0.499984740745262"/>
        <rFont val="等线"/>
        <family val="3"/>
        <charset val="134"/>
        <scheme val="minor"/>
      </rPr>
      <t>计算统计</t>
    </r>
    <r>
      <rPr>
        <i/>
        <sz val="11"/>
        <color theme="1" tint="0.499984740745262"/>
        <rFont val="等线"/>
        <family val="3"/>
        <charset val="134"/>
        <scheme val="minor"/>
      </rPr>
      <t xml:space="preserve">
DPS</t>
    </r>
    <phoneticPr fontId="21" type="noConversion"/>
  </si>
  <si>
    <r>
      <rPr>
        <b/>
        <i/>
        <sz val="11"/>
        <color theme="8"/>
        <rFont val="等线"/>
        <family val="3"/>
        <charset val="134"/>
        <scheme val="minor"/>
      </rPr>
      <t>特殊</t>
    </r>
    <r>
      <rPr>
        <i/>
        <sz val="11"/>
        <color theme="8"/>
        <rFont val="等线"/>
        <family val="3"/>
        <charset val="134"/>
        <scheme val="minor"/>
      </rPr>
      <t xml:space="preserve">
单轮射击耗时
（帧）</t>
    </r>
    <phoneticPr fontId="21" type="noConversion"/>
  </si>
  <si>
    <r>
      <t xml:space="preserve">手动交互
</t>
    </r>
    <r>
      <rPr>
        <i/>
        <sz val="11"/>
        <color theme="1" tint="0.499984740745262"/>
        <rFont val="等线"/>
        <family val="3"/>
        <charset val="134"/>
        <scheme val="minor"/>
      </rPr>
      <t>单轮总耗时
（秒）</t>
    </r>
    <phoneticPr fontId="21" type="noConversion"/>
  </si>
  <si>
    <t>适配
生存等级</t>
    <phoneticPr fontId="21" type="noConversion"/>
  </si>
  <si>
    <t>生存等级</t>
    <phoneticPr fontId="21" type="noConversion"/>
  </si>
  <si>
    <r>
      <t xml:space="preserve">其他属性补正
</t>
    </r>
    <r>
      <rPr>
        <i/>
        <sz val="9"/>
        <color theme="8"/>
        <rFont val="等线"/>
        <family val="3"/>
        <charset val="134"/>
        <scheme val="minor"/>
      </rPr>
      <t>e.g.. 因手感差、射程近等因素，获得减分</t>
    </r>
    <phoneticPr fontId="21" type="noConversion"/>
  </si>
  <si>
    <r>
      <rPr>
        <b/>
        <i/>
        <sz val="11"/>
        <color theme="1" tint="0.499984740745262"/>
        <rFont val="等线"/>
        <family val="3"/>
        <charset val="134"/>
        <scheme val="minor"/>
      </rPr>
      <t>计算统计</t>
    </r>
    <r>
      <rPr>
        <i/>
        <sz val="11"/>
        <color theme="1" tint="0.499984740745262"/>
        <rFont val="等线"/>
        <family val="3"/>
        <charset val="134"/>
        <scheme val="minor"/>
      </rPr>
      <t xml:space="preserve">
输出等级
base=32</t>
    </r>
    <phoneticPr fontId="21" type="noConversion"/>
  </si>
  <si>
    <t>备注
设备等级</t>
    <phoneticPr fontId="21" type="noConversion"/>
  </si>
  <si>
    <t>k_hurt</t>
    <phoneticPr fontId="21" type="noConversion"/>
  </si>
  <si>
    <t>dict&lt;string,int&gt;</t>
    <phoneticPr fontId="21" type="noConversion"/>
  </si>
  <si>
    <t>伤害修正</t>
    <phoneticPr fontId="21" type="noConversion"/>
  </si>
  <si>
    <t>充气球棒</t>
    <phoneticPr fontId="21" type="noConversion"/>
  </si>
  <si>
    <t>DScript_Melee_Blade</t>
  </si>
  <si>
    <t>diy_prms</t>
    <phoneticPr fontId="21" type="noConversion"/>
  </si>
  <si>
    <t>dict&lt;string,string&gt;</t>
    <phoneticPr fontId="21" type="noConversion"/>
  </si>
  <si>
    <t>自定义参数</t>
    <phoneticPr fontId="21" type="noConversion"/>
  </si>
  <si>
    <r>
      <t>射击
冷却帧</t>
    </r>
    <r>
      <rPr>
        <sz val="11"/>
        <color theme="1"/>
        <rFont val="等线"/>
        <family val="3"/>
        <charset val="134"/>
        <scheme val="minor"/>
      </rPr>
      <t xml:space="preserve">
</t>
    </r>
    <r>
      <rPr>
        <i/>
        <sz val="9"/>
        <color theme="1"/>
        <rFont val="等线"/>
        <family val="3"/>
        <charset val="134"/>
        <scheme val="minor"/>
      </rPr>
      <t>设备:基础cd</t>
    </r>
    <r>
      <rPr>
        <b/>
        <sz val="9"/>
        <color theme="1"/>
        <rFont val="等线"/>
        <family val="3"/>
        <charset val="134"/>
        <scheme val="minor"/>
      </rPr>
      <t xml:space="preserve">
</t>
    </r>
    <r>
      <rPr>
        <i/>
        <sz val="9"/>
        <color theme="1"/>
        <rFont val="等线"/>
        <family val="3"/>
        <charset val="134"/>
        <scheme val="minor"/>
      </rPr>
      <t>怪物:cd</t>
    </r>
    <phoneticPr fontId="21" type="noConversion"/>
  </si>
  <si>
    <t>特斯拉电极</t>
  </si>
  <si>
    <t>DScript_Melee_Charge</t>
  </si>
  <si>
    <t>圆锯</t>
  </si>
  <si>
    <t>废旧喇叭枪</t>
  </si>
  <si>
    <t>黄铜喇叭枪</t>
  </si>
  <si>
    <t>精钢喇叭枪</t>
  </si>
  <si>
    <t>钨金喇叭枪</t>
  </si>
  <si>
    <r>
      <rPr>
        <b/>
        <i/>
        <sz val="11"/>
        <color theme="8"/>
        <rFont val="等线"/>
        <family val="3"/>
        <charset val="134"/>
        <scheme val="minor"/>
      </rPr>
      <t>特殊</t>
    </r>
    <r>
      <rPr>
        <i/>
        <sz val="11"/>
        <color theme="8"/>
        <rFont val="等线"/>
        <family val="3"/>
        <charset val="134"/>
        <scheme val="minor"/>
      </rPr>
      <t xml:space="preserve">
单轮齐射总数</t>
    </r>
    <phoneticPr fontId="21" type="noConversion"/>
  </si>
  <si>
    <t>左轮手枪</t>
    <phoneticPr fontId="21" type="noConversion"/>
  </si>
  <si>
    <t>模板</t>
    <phoneticPr fontId="21" type="noConversion"/>
  </si>
  <si>
    <t>锈铁左轮</t>
  </si>
  <si>
    <t>民用左轮</t>
  </si>
  <si>
    <t>爆破者左轮</t>
  </si>
  <si>
    <t>防身手枪 Lv.1</t>
    <phoneticPr fontId="21" type="noConversion"/>
  </si>
  <si>
    <t>防身手枪 Lv.2</t>
  </si>
  <si>
    <t>防身手枪 Lv.3</t>
  </si>
  <si>
    <t>左轮手枪 Lv.0</t>
    <phoneticPr fontId="21" type="noConversion"/>
  </si>
  <si>
    <t>左轮手枪 Lv.1</t>
  </si>
  <si>
    <t>左轮手枪 Lv.2</t>
  </si>
  <si>
    <t>前线手枪</t>
  </si>
  <si>
    <t>军士长手枪</t>
  </si>
  <si>
    <t>DScript_Shooter_Shotgun</t>
  </si>
  <si>
    <t>充气球棒 Lv.1</t>
    <phoneticPr fontId="21" type="noConversion"/>
  </si>
  <si>
    <t>充气球棒 Lv.0</t>
    <phoneticPr fontId="21" type="noConversion"/>
  </si>
  <si>
    <t>fire_logic</t>
    <phoneticPr fontId="21" type="noConversion"/>
  </si>
  <si>
    <t>查询地址
(表名)</t>
    <phoneticPr fontId="21" type="noConversion"/>
  </si>
  <si>
    <t>melee_logic</t>
    <phoneticPr fontId="21" type="noConversion"/>
  </si>
  <si>
    <r>
      <rPr>
        <b/>
        <i/>
        <sz val="11"/>
        <color theme="1" tint="0.499984740745262"/>
        <rFont val="等线"/>
        <family val="3"/>
        <charset val="134"/>
        <scheme val="minor"/>
      </rPr>
      <t>计算统计</t>
    </r>
    <r>
      <rPr>
        <i/>
        <sz val="11"/>
        <color theme="1" tint="0.499984740745262"/>
        <rFont val="等线"/>
        <family val="3"/>
        <charset val="134"/>
        <scheme val="minor"/>
      </rPr>
      <t xml:space="preserve">
输出等级
base=55</t>
    </r>
    <phoneticPr fontId="21" type="noConversion"/>
  </si>
  <si>
    <t>等效血量</t>
    <phoneticPr fontId="21" type="noConversion"/>
  </si>
  <si>
    <t>设定
base血量</t>
    <phoneticPr fontId="21" type="noConversion"/>
  </si>
  <si>
    <t>转轮机枪</t>
  </si>
  <si>
    <t>转轮机枪</t>
    <phoneticPr fontId="21" type="noConversion"/>
  </si>
  <si>
    <t>转轮机枪 Lv.3</t>
  </si>
  <si>
    <t>转轮机枪 Lv.3</t>
    <phoneticPr fontId="21" type="noConversion"/>
  </si>
  <si>
    <t>转轮机枪 Lv.4</t>
  </si>
  <si>
    <t>转轮机枪 Lv.4</t>
    <phoneticPr fontId="21" type="noConversion"/>
  </si>
  <si>
    <t>电流声</t>
    <phoneticPr fontId="21" type="noConversion"/>
  </si>
  <si>
    <t>电锯转动声</t>
    <phoneticPr fontId="21" type="noConversion"/>
  </si>
  <si>
    <t>特斯拉电极 Lv.2</t>
    <phoneticPr fontId="21" type="noConversion"/>
  </si>
  <si>
    <t>特斯拉电极 Lv.3</t>
    <phoneticPr fontId="21" type="noConversion"/>
  </si>
  <si>
    <t>特斯拉电极 Lv.4</t>
    <phoneticPr fontId="21" type="noConversion"/>
  </si>
  <si>
    <r>
      <rPr>
        <b/>
        <i/>
        <sz val="11"/>
        <color theme="1" tint="0.499984740745262"/>
        <rFont val="等线"/>
        <family val="3"/>
        <charset val="134"/>
        <scheme val="minor"/>
      </rPr>
      <t>计算参考</t>
    </r>
    <r>
      <rPr>
        <i/>
        <sz val="11"/>
        <color theme="1" tint="0.499984740745262"/>
        <rFont val="等线"/>
        <family val="3"/>
        <charset val="134"/>
        <scheme val="minor"/>
      </rPr>
      <t xml:space="preserve">
等级
(弃用)</t>
    </r>
    <phoneticPr fontId="21" type="noConversion"/>
  </si>
  <si>
    <t>特斯拉电极</t>
    <phoneticPr fontId="21" type="noConversion"/>
  </si>
  <si>
    <t>特斯拉电极 Lv2</t>
    <phoneticPr fontId="21" type="noConversion"/>
  </si>
  <si>
    <t>特斯拉电极 Lv3</t>
    <phoneticPr fontId="21" type="noConversion"/>
  </si>
  <si>
    <t>特斯拉电极 Lv4</t>
    <phoneticPr fontId="21" type="noConversion"/>
  </si>
  <si>
    <t>prm_01</t>
    <phoneticPr fontId="21" type="noConversion"/>
  </si>
  <si>
    <t>prm_02</t>
  </si>
  <si>
    <t>prm_03</t>
  </si>
  <si>
    <t>prm_04</t>
  </si>
  <si>
    <t>diy_prm
Type</t>
    <phoneticPr fontId="21" type="noConversion"/>
  </si>
  <si>
    <t>Melee_Charge</t>
    <phoneticPr fontId="21" type="noConversion"/>
  </si>
  <si>
    <t>Type</t>
    <phoneticPr fontId="21" type="noConversion"/>
  </si>
  <si>
    <t>comment</t>
    <phoneticPr fontId="21" type="noConversion"/>
  </si>
  <si>
    <t>atk_gap</t>
    <phoneticPr fontId="21" type="noConversion"/>
  </si>
  <si>
    <t>charge_rate</t>
    <phoneticPr fontId="21" type="noConversion"/>
  </si>
  <si>
    <t>charge_level</t>
    <phoneticPr fontId="21" type="noConversion"/>
  </si>
  <si>
    <t>consume_rate</t>
    <phoneticPr fontId="21" type="noConversion"/>
  </si>
  <si>
    <t>prm</t>
    <phoneticPr fontId="21" type="noConversion"/>
  </si>
  <si>
    <t>攻击间隔（帧）</t>
    <phoneticPr fontId="21" type="noConversion"/>
  </si>
  <si>
    <t>充能速率（每帧）</t>
    <phoneticPr fontId="21" type="noConversion"/>
  </si>
  <si>
    <t>充能段落数</t>
    <phoneticPr fontId="21" type="noConversion"/>
  </si>
  <si>
    <t>攻击消耗速率（每帧）</t>
    <phoneticPr fontId="21" type="noConversion"/>
  </si>
  <si>
    <t>other_logic</t>
    <phoneticPr fontId="21" type="noConversion"/>
  </si>
  <si>
    <t>充气球棒 Lv0</t>
    <phoneticPr fontId="21" type="noConversion"/>
  </si>
  <si>
    <t>充气球棒 Lv1</t>
    <phoneticPr fontId="21" type="noConversion"/>
  </si>
  <si>
    <t>DScript_Melee</t>
    <phoneticPr fontId="21" type="noConversion"/>
  </si>
  <si>
    <t>圆锯 Lv.1</t>
  </si>
  <si>
    <t>圆锯 Lv.1</t>
    <phoneticPr fontId="21" type="noConversion"/>
  </si>
  <si>
    <t>圆锯 Lv.2</t>
  </si>
  <si>
    <t>圆锯 Lv.3</t>
  </si>
  <si>
    <t>圆锯 Lv.4</t>
  </si>
  <si>
    <t>None</t>
    <phoneticPr fontId="21" type="noConversion"/>
  </si>
  <si>
    <t>——</t>
    <phoneticPr fontId="21" type="noConversion"/>
  </si>
  <si>
    <t>补正原因说明</t>
    <phoneticPr fontId="21" type="noConversion"/>
  </si>
  <si>
    <t>攻击距离极近</t>
    <phoneticPr fontId="21" type="noConversion"/>
  </si>
  <si>
    <r>
      <t xml:space="preserve">倍乘补正
</t>
    </r>
    <r>
      <rPr>
        <i/>
        <sz val="9"/>
        <color theme="8"/>
        <rFont val="等线"/>
        <family val="3"/>
        <charset val="134"/>
        <scheme val="minor"/>
      </rPr>
      <t>e.g.. 因大范围AOE、对数底数差异等，获得倍乘补正。</t>
    </r>
    <phoneticPr fontId="21" type="noConversion"/>
  </si>
  <si>
    <t>AMY棍棒</t>
    <phoneticPr fontId="21" type="noConversion"/>
  </si>
  <si>
    <t>双刃铡刀</t>
  </si>
  <si>
    <t>双刃铡刀 Lv.0</t>
  </si>
  <si>
    <t>双刃铡刀 Lv.1</t>
  </si>
  <si>
    <t>双刃铡刀 Lv.2</t>
  </si>
  <si>
    <t>双刃铡刀 Lv.3</t>
  </si>
  <si>
    <t>飞射物id与名称</t>
    <phoneticPr fontId="21" type="noConversion"/>
  </si>
  <si>
    <t>刺矛撞角 Lv.0</t>
  </si>
  <si>
    <t>刺矛撞角 Lv.1</t>
  </si>
  <si>
    <t>刺矛撞角 Lv.2</t>
  </si>
  <si>
    <t>表名</t>
    <phoneticPr fontId="21" type="noConversion"/>
  </si>
  <si>
    <t>生存等级-列</t>
    <phoneticPr fontId="21" type="noConversion"/>
  </si>
  <si>
    <r>
      <rPr>
        <b/>
        <i/>
        <sz val="11"/>
        <color theme="1" tint="0.499984740745262"/>
        <rFont val="等线"/>
        <family val="3"/>
        <charset val="134"/>
        <scheme val="minor"/>
      </rPr>
      <t>计算参考</t>
    </r>
    <r>
      <rPr>
        <i/>
        <sz val="11"/>
        <color theme="1" tint="0.499984740745262"/>
        <rFont val="等线"/>
        <family val="3"/>
        <charset val="134"/>
        <scheme val="minor"/>
      </rPr>
      <t xml:space="preserve">
无修正
攻击伤害</t>
    </r>
    <phoneticPr fontId="21" type="noConversion"/>
  </si>
  <si>
    <r>
      <rPr>
        <b/>
        <i/>
        <sz val="11"/>
        <color theme="1" tint="0.499984740745262"/>
        <rFont val="等线"/>
        <family val="3"/>
        <charset val="134"/>
        <scheme val="minor"/>
      </rPr>
      <t>计算参考</t>
    </r>
    <r>
      <rPr>
        <i/>
        <sz val="11"/>
        <color theme="1" tint="0.499984740745262"/>
        <rFont val="等线"/>
        <family val="3"/>
        <charset val="134"/>
        <scheme val="minor"/>
      </rPr>
      <t xml:space="preserve">
速度加成后
攻击伤害
</t>
    </r>
    <r>
      <rPr>
        <i/>
        <sz val="9"/>
        <color theme="1" tint="0.499984740745262"/>
        <rFont val="等线"/>
        <family val="3"/>
        <charset val="134"/>
        <scheme val="minor"/>
      </rPr>
      <t>(以速度=7.5计)</t>
    </r>
    <phoneticPr fontId="21" type="noConversion"/>
  </si>
  <si>
    <r>
      <rPr>
        <b/>
        <i/>
        <sz val="11"/>
        <color theme="1" tint="0.499984740745262"/>
        <rFont val="等线"/>
        <family val="3"/>
        <charset val="134"/>
        <scheme val="minor"/>
      </rPr>
      <t>计算统计</t>
    </r>
    <r>
      <rPr>
        <i/>
        <sz val="11"/>
        <color theme="1" tint="0.499984740745262"/>
        <rFont val="等线"/>
        <family val="3"/>
        <charset val="134"/>
        <scheme val="minor"/>
      </rPr>
      <t xml:space="preserve">
均伤</t>
    </r>
    <phoneticPr fontId="21" type="noConversion"/>
  </si>
  <si>
    <t>超高弹力</t>
    <phoneticPr fontId="21" type="noConversion"/>
  </si>
  <si>
    <t>廉价</t>
    <phoneticPr fontId="21" type="noConversion"/>
  </si>
  <si>
    <t>笨重</t>
    <phoneticPr fontId="21" type="noConversion"/>
  </si>
  <si>
    <t>ram_logic</t>
    <phoneticPr fontId="21" type="noConversion"/>
  </si>
  <si>
    <t>DScript_Ram</t>
    <phoneticPr fontId="21" type="noConversion"/>
  </si>
  <si>
    <t>金属铲斗 Lv.2</t>
  </si>
  <si>
    <t>金属铲斗 Lv.3</t>
  </si>
  <si>
    <t>UI Text
伤害
速度加成</t>
    <phoneticPr fontId="21" type="noConversion"/>
  </si>
  <si>
    <t>超高</t>
    <phoneticPr fontId="21" type="noConversion"/>
  </si>
  <si>
    <t>极低</t>
    <phoneticPr fontId="21" type="noConversion"/>
  </si>
  <si>
    <t>中</t>
    <phoneticPr fontId="21" type="noConversion"/>
  </si>
  <si>
    <t>高</t>
    <phoneticPr fontId="21" type="noConversion"/>
  </si>
  <si>
    <t>长柄鱼叉 Lv.1</t>
  </si>
  <si>
    <t>长柄鱼叉 Lv.1</t>
    <phoneticPr fontId="21" type="noConversion"/>
  </si>
  <si>
    <t>长柄鱼叉 Lv.2</t>
  </si>
  <si>
    <t>长柄鱼叉 Lv.3</t>
  </si>
  <si>
    <t>蘑菇挡板 Lv.0</t>
  </si>
  <si>
    <t>蘑菇挡板 Lv.1</t>
  </si>
  <si>
    <r>
      <rPr>
        <b/>
        <i/>
        <sz val="11"/>
        <color theme="1" tint="0.499984740745262"/>
        <rFont val="等线"/>
        <family val="3"/>
        <charset val="134"/>
        <scheme val="minor"/>
      </rPr>
      <t>计算参考</t>
    </r>
    <r>
      <rPr>
        <i/>
        <sz val="11"/>
        <color theme="1" tint="0.499984740745262"/>
        <rFont val="等线"/>
        <family val="3"/>
        <charset val="134"/>
        <scheme val="minor"/>
      </rPr>
      <t xml:space="preserve">
速度加成后
击退
</t>
    </r>
    <r>
      <rPr>
        <i/>
        <sz val="9"/>
        <color theme="1" tint="0.499984740745262"/>
        <rFont val="等线"/>
        <family val="3"/>
        <charset val="134"/>
        <scheme val="minor"/>
      </rPr>
      <t>(以速度=7.5计)</t>
    </r>
    <phoneticPr fontId="21" type="noConversion"/>
  </si>
  <si>
    <t>DScript_Special_CarBomb</t>
    <phoneticPr fontId="21" type="noConversion"/>
  </si>
  <si>
    <t>喷火声</t>
  </si>
  <si>
    <t>喷火声</t>
    <phoneticPr fontId="21" type="noConversion"/>
  </si>
  <si>
    <t>电锯转动声</t>
  </si>
  <si>
    <t>电流声</t>
  </si>
  <si>
    <t>DScript_Melee_Charge_Rocket</t>
  </si>
  <si>
    <t>Melee_Charge_Rocket</t>
    <phoneticPr fontId="21" type="noConversion"/>
  </si>
  <si>
    <t>prm_05</t>
  </si>
  <si>
    <t>prm_06</t>
  </si>
  <si>
    <t>acc</t>
    <phoneticPr fontId="21" type="noConversion"/>
  </si>
  <si>
    <t>max_speedX</t>
    <phoneticPr fontId="21" type="noConversion"/>
  </si>
  <si>
    <t>提供的加速度</t>
    <phoneticPr fontId="21" type="noConversion"/>
  </si>
  <si>
    <t>最大横向速度</t>
    <phoneticPr fontId="21" type="noConversion"/>
  </si>
  <si>
    <t>可用于冲刺</t>
    <phoneticPr fontId="21" type="noConversion"/>
  </si>
  <si>
    <t>火焰喷射器</t>
    <phoneticPr fontId="21" type="noConversion"/>
  </si>
  <si>
    <t>火焰喷射器 Lv.2</t>
    <phoneticPr fontId="21" type="noConversion"/>
  </si>
  <si>
    <t>火焰喷射器 Lv.3</t>
    <phoneticPr fontId="21" type="noConversion"/>
  </si>
  <si>
    <t>火焰喷射器 Lv.4</t>
    <phoneticPr fontId="21" type="noConversion"/>
  </si>
  <si>
    <t>采矿炸弹</t>
  </si>
  <si>
    <t>采矿炸弹 Lv.0</t>
  </si>
  <si>
    <t>采矿炸弹 Lv.1</t>
  </si>
  <si>
    <t>采矿炸弹 Lv.2</t>
  </si>
  <si>
    <t>采矿炸弹 Lv.3</t>
  </si>
  <si>
    <t>采矿炸弹 Lv.4</t>
  </si>
  <si>
    <t>炸药爆炸声</t>
  </si>
  <si>
    <t>炸药爆炸声</t>
    <phoneticPr fontId="21" type="noConversion"/>
  </si>
  <si>
    <t>Special_Car_Bomb</t>
  </si>
  <si>
    <t>Special_Car_Bomb</t>
    <phoneticPr fontId="21" type="noConversion"/>
  </si>
  <si>
    <t>usage</t>
    <phoneticPr fontId="21" type="noConversion"/>
  </si>
  <si>
    <t>burst_speed</t>
    <phoneticPr fontId="21" type="noConversion"/>
  </si>
  <si>
    <t>爆发提供速度</t>
    <phoneticPr fontId="21" type="noConversion"/>
  </si>
  <si>
    <t>before_atk_sec</t>
    <phoneticPr fontId="21" type="noConversion"/>
  </si>
  <si>
    <t>攻击前摇时长（秒）</t>
    <phoneticPr fontId="21" type="noConversion"/>
  </si>
  <si>
    <t>cd</t>
    <phoneticPr fontId="21" type="noConversion"/>
  </si>
  <si>
    <t>每场景使用次数</t>
    <phoneticPr fontId="21" type="noConversion"/>
  </si>
  <si>
    <t>使用间隔</t>
    <phoneticPr fontId="21" type="noConversion"/>
  </si>
  <si>
    <t>伤害计算模型</t>
    <phoneticPr fontId="21" type="noConversion"/>
  </si>
  <si>
    <r>
      <rPr>
        <b/>
        <i/>
        <sz val="11"/>
        <color theme="1" tint="0.499984740745262"/>
        <rFont val="等线"/>
        <family val="3"/>
        <charset val="134"/>
        <scheme val="minor"/>
      </rPr>
      <t>计算参考</t>
    </r>
    <r>
      <rPr>
        <i/>
        <sz val="11"/>
        <color theme="1" tint="0.499984740745262"/>
        <rFont val="等线"/>
        <family val="3"/>
        <charset val="134"/>
        <scheme val="minor"/>
      </rPr>
      <t xml:space="preserve">
单次攻击基础
总伤害</t>
    </r>
    <phoneticPr fontId="21" type="noConversion"/>
  </si>
  <si>
    <r>
      <rPr>
        <b/>
        <i/>
        <sz val="11"/>
        <color theme="1" tint="0.499984740745262"/>
        <rFont val="等线"/>
        <family val="3"/>
        <charset val="134"/>
        <scheme val="minor"/>
      </rPr>
      <t>计算参考</t>
    </r>
    <r>
      <rPr>
        <i/>
        <sz val="11"/>
        <color theme="1" tint="0.499984740745262"/>
        <rFont val="等线"/>
        <family val="3"/>
        <charset val="134"/>
        <scheme val="minor"/>
      </rPr>
      <t xml:space="preserve">
单次攻击
暴击修正
总伤害</t>
    </r>
    <phoneticPr fontId="21" type="noConversion"/>
  </si>
  <si>
    <t>单场景时长</t>
    <phoneticPr fontId="21" type="noConversion"/>
  </si>
  <si>
    <t>可用于紧急脱困</t>
    <phoneticPr fontId="21" type="noConversion"/>
  </si>
  <si>
    <t>*时长说明</t>
    <phoneticPr fontId="21" type="noConversion"/>
  </si>
  <si>
    <t>充放电总时长</t>
    <phoneticPr fontId="21" type="noConversion"/>
  </si>
  <si>
    <t>精准度</t>
    <phoneticPr fontId="21" type="noConversion"/>
  </si>
  <si>
    <t>机枪子弹</t>
    <phoneticPr fontId="21" type="noConversion"/>
  </si>
  <si>
    <t>加特林机枪的子弹</t>
    <phoneticPr fontId="21" type="noConversion"/>
  </si>
  <si>
    <r>
      <rPr>
        <b/>
        <i/>
        <sz val="11"/>
        <color theme="8"/>
        <rFont val="等线"/>
        <family val="3"/>
        <charset val="134"/>
        <scheme val="minor"/>
      </rPr>
      <t>特殊</t>
    </r>
    <r>
      <rPr>
        <i/>
        <sz val="11"/>
        <color theme="8"/>
        <rFont val="等线"/>
        <family val="3"/>
        <charset val="134"/>
        <scheme val="minor"/>
      </rPr>
      <t xml:space="preserve">
单轮装填耗时
（帧）</t>
    </r>
    <phoneticPr fontId="21" type="noConversion"/>
  </si>
  <si>
    <t>备注
设备宽度</t>
    <phoneticPr fontId="21" type="noConversion"/>
  </si>
  <si>
    <t>设定
等级</t>
    <phoneticPr fontId="21" type="noConversion"/>
  </si>
  <si>
    <t>设定
宽度</t>
    <phoneticPr fontId="21" type="noConversion"/>
  </si>
  <si>
    <t>战力
等级
base=2</t>
    <phoneticPr fontId="21" type="noConversion"/>
  </si>
  <si>
    <t>amy左轮手枪</t>
    <phoneticPr fontId="21" type="noConversion"/>
  </si>
  <si>
    <t>老舅的手枪</t>
    <phoneticPr fontId="21" type="noConversion"/>
  </si>
  <si>
    <t>硬木车轮 Lv.2</t>
  </si>
  <si>
    <t>履带 Lv.2</t>
  </si>
  <si>
    <t>履带 Lv.3</t>
  </si>
  <si>
    <t>履带 Lv.4</t>
  </si>
  <si>
    <t>硬木车轮 Lv.1</t>
    <phoneticPr fontId="21" type="noConversion"/>
  </si>
  <si>
    <t>硬木车轮 Lv.3</t>
  </si>
  <si>
    <t>旧木车轮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</si>
</sst>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theme="5"/>
      <name val="等线"/>
      <family val="3"/>
      <charset val="134"/>
      <scheme val="minor"/>
    </font>
    <font>
      <i/>
      <sz val="11"/>
      <color theme="1" tint="0.499984740745262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 tint="0.499984740745262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i/>
      <sz val="11"/>
      <color theme="0"/>
      <name val="等线"/>
      <family val="3"/>
      <charset val="134"/>
      <scheme val="minor"/>
    </font>
    <font>
      <i/>
      <sz val="11"/>
      <color theme="5"/>
      <name val="等线"/>
      <family val="3"/>
      <charset val="134"/>
      <scheme val="minor"/>
    </font>
    <font>
      <i/>
      <sz val="11"/>
      <color rgb="FF7030A0"/>
      <name val="等线"/>
      <family val="3"/>
      <charset val="134"/>
      <scheme val="minor"/>
    </font>
    <font>
      <i/>
      <sz val="11"/>
      <color theme="9"/>
      <name val="等线"/>
      <family val="3"/>
      <charset val="134"/>
      <scheme val="minor"/>
    </font>
    <font>
      <i/>
      <sz val="10"/>
      <color theme="1"/>
      <name val="等线"/>
      <family val="3"/>
      <charset val="134"/>
      <scheme val="minor"/>
    </font>
    <font>
      <i/>
      <sz val="10"/>
      <color theme="0"/>
      <name val="等线"/>
      <family val="3"/>
      <charset val="134"/>
      <scheme val="minor"/>
    </font>
    <font>
      <i/>
      <sz val="10"/>
      <color theme="5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i/>
      <sz val="9"/>
      <color theme="1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  <font>
      <i/>
      <sz val="9"/>
      <color rgb="FFFF0000"/>
      <name val="等线"/>
      <family val="3"/>
      <charset val="134"/>
      <scheme val="minor"/>
    </font>
    <font>
      <i/>
      <sz val="11"/>
      <color rgb="FFFF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i/>
      <sz val="11"/>
      <color rgb="FFC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i/>
      <sz val="11"/>
      <color theme="8"/>
      <name val="等线"/>
      <family val="3"/>
      <charset val="134"/>
      <scheme val="minor"/>
    </font>
    <font>
      <b/>
      <i/>
      <sz val="11"/>
      <color theme="8"/>
      <name val="等线"/>
      <family val="3"/>
      <charset val="134"/>
      <scheme val="minor"/>
    </font>
    <font>
      <b/>
      <i/>
      <sz val="11"/>
      <color theme="9"/>
      <name val="等线"/>
      <family val="3"/>
      <charset val="134"/>
      <scheme val="minor"/>
    </font>
    <font>
      <sz val="11"/>
      <color theme="9"/>
      <name val="等线"/>
      <family val="3"/>
      <charset val="134"/>
      <scheme val="minor"/>
    </font>
    <font>
      <sz val="11"/>
      <color theme="8"/>
      <name val="等线"/>
      <family val="3"/>
      <charset val="134"/>
      <scheme val="minor"/>
    </font>
    <font>
      <i/>
      <sz val="9"/>
      <color theme="8"/>
      <name val="等线"/>
      <family val="3"/>
      <charset val="134"/>
      <scheme val="minor"/>
    </font>
    <font>
      <sz val="11"/>
      <color theme="0"/>
      <name val="等线"/>
      <family val="2"/>
      <scheme val="minor"/>
    </font>
    <font>
      <sz val="11"/>
      <color theme="5"/>
      <name val="等线"/>
      <family val="2"/>
      <scheme val="minor"/>
    </font>
    <font>
      <i/>
      <sz val="11"/>
      <name val="等线"/>
      <family val="3"/>
      <charset val="134"/>
      <scheme val="minor"/>
    </font>
    <font>
      <sz val="11"/>
      <color theme="9" tint="-0.499984740745262"/>
      <name val="等线"/>
      <family val="3"/>
      <charset val="134"/>
      <scheme val="minor"/>
    </font>
    <font>
      <i/>
      <sz val="9"/>
      <color theme="1" tint="0.499984740745262"/>
      <name val="等线"/>
      <family val="3"/>
      <charset val="134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6" tint="0.7997985778374584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7FADA"/>
        <bgColor indexed="64"/>
      </patternFill>
    </fill>
    <fill>
      <patternFill patternType="solid">
        <fgColor rgb="FFF7FCD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4" fillId="0" borderId="0"/>
    <xf numFmtId="0" fontId="14" fillId="0" borderId="0"/>
  </cellStyleXfs>
  <cellXfs count="10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3" borderId="0" xfId="2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6" fillId="6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9" fontId="10" fillId="0" borderId="0" xfId="0" applyNumberFormat="1" applyFont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 wrapText="1"/>
    </xf>
    <xf numFmtId="0" fontId="4" fillId="13" borderId="0" xfId="0" applyFont="1" applyFill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3" fillId="3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5" fillId="14" borderId="0" xfId="0" applyFont="1" applyFill="1" applyAlignment="1">
      <alignment horizontal="center" vertical="center" wrapText="1"/>
    </xf>
    <xf numFmtId="0" fontId="3" fillId="14" borderId="0" xfId="0" applyFont="1" applyFill="1" applyAlignment="1">
      <alignment horizontal="center" vertical="center" wrapText="1"/>
    </xf>
    <xf numFmtId="0" fontId="24" fillId="14" borderId="0" xfId="0" applyFont="1" applyFill="1" applyAlignment="1">
      <alignment horizontal="center" vertical="center" wrapText="1"/>
    </xf>
    <xf numFmtId="0" fontId="25" fillId="14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14" borderId="0" xfId="0" applyFont="1" applyFill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3" borderId="0" xfId="0" applyFont="1" applyFill="1" applyAlignment="1">
      <alignment horizontal="center" vertical="center" wrapText="1"/>
    </xf>
    <xf numFmtId="0" fontId="26" fillId="14" borderId="0" xfId="0" applyFont="1" applyFill="1" applyAlignment="1">
      <alignment horizontal="center" vertical="center"/>
    </xf>
    <xf numFmtId="0" fontId="27" fillId="14" borderId="0" xfId="0" applyFont="1" applyFill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23" fillId="15" borderId="0" xfId="0" applyFont="1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9" fillId="16" borderId="0" xfId="0" applyFont="1" applyFill="1" applyAlignment="1">
      <alignment horizontal="center" vertical="center"/>
    </xf>
    <xf numFmtId="0" fontId="10" fillId="16" borderId="0" xfId="0" applyFont="1" applyFill="1" applyAlignment="1">
      <alignment horizontal="center" vertical="center"/>
    </xf>
    <xf numFmtId="0" fontId="6" fillId="16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center"/>
    </xf>
    <xf numFmtId="0" fontId="10" fillId="17" borderId="0" xfId="0" applyFont="1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23" fillId="18" borderId="0" xfId="0" applyFont="1" applyFill="1" applyAlignment="1">
      <alignment horizontal="center" vertical="center"/>
    </xf>
    <xf numFmtId="0" fontId="9" fillId="0" borderId="0" xfId="0" quotePrefix="1" applyFont="1" applyAlignment="1">
      <alignment horizontal="center" vertical="center"/>
    </xf>
    <xf numFmtId="0" fontId="31" fillId="3" borderId="0" xfId="0" applyFont="1" applyFill="1" applyAlignment="1">
      <alignment horizontal="center" vertical="center" wrapText="1"/>
    </xf>
    <xf numFmtId="0" fontId="0" fillId="19" borderId="0" xfId="0" applyFill="1" applyAlignment="1">
      <alignment horizontal="center" vertical="center"/>
    </xf>
    <xf numFmtId="0" fontId="3" fillId="19" borderId="0" xfId="0" applyFont="1" applyFill="1" applyAlignment="1">
      <alignment horizontal="center" vertical="center" wrapText="1"/>
    </xf>
    <xf numFmtId="0" fontId="3" fillId="19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vertical="center"/>
    </xf>
    <xf numFmtId="0" fontId="32" fillId="13" borderId="0" xfId="0" applyFont="1" applyFill="1"/>
    <xf numFmtId="0" fontId="24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20" borderId="0" xfId="0" applyFont="1" applyFill="1" applyAlignment="1">
      <alignment horizontal="center" vertical="center"/>
    </xf>
    <xf numFmtId="0" fontId="25" fillId="20" borderId="0" xfId="0" applyFont="1" applyFill="1" applyAlignment="1">
      <alignment horizontal="center" vertical="center"/>
    </xf>
    <xf numFmtId="0" fontId="26" fillId="20" borderId="0" xfId="0" applyFont="1" applyFill="1" applyAlignment="1">
      <alignment horizontal="center" vertical="center"/>
    </xf>
    <xf numFmtId="0" fontId="27" fillId="20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14" fillId="19" borderId="0" xfId="0" applyFont="1" applyFill="1" applyAlignment="1">
      <alignment horizontal="center" vertical="center"/>
    </xf>
    <xf numFmtId="10" fontId="7" fillId="2" borderId="0" xfId="0" applyNumberFormat="1" applyFont="1" applyFill="1" applyAlignment="1">
      <alignment horizontal="center" vertical="center"/>
    </xf>
    <xf numFmtId="10" fontId="8" fillId="2" borderId="0" xfId="0" applyNumberFormat="1" applyFont="1" applyFill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10" fontId="6" fillId="3" borderId="0" xfId="0" applyNumberFormat="1" applyFont="1" applyFill="1" applyAlignment="1">
      <alignment horizontal="center" vertical="center"/>
    </xf>
    <xf numFmtId="0" fontId="24" fillId="18" borderId="0" xfId="0" applyFont="1" applyFill="1" applyAlignment="1">
      <alignment horizontal="center" vertical="center"/>
    </xf>
    <xf numFmtId="0" fontId="24" fillId="15" borderId="0" xfId="0" applyFont="1" applyFill="1" applyAlignment="1">
      <alignment horizontal="center" vertical="center"/>
    </xf>
    <xf numFmtId="0" fontId="25" fillId="18" borderId="0" xfId="0" applyFont="1" applyFill="1" applyAlignment="1">
      <alignment horizontal="center" vertical="center"/>
    </xf>
    <xf numFmtId="0" fontId="25" fillId="15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0" fontId="0" fillId="21" borderId="0" xfId="0" applyFill="1" applyAlignment="1">
      <alignment horizontal="center" vertical="center"/>
    </xf>
  </cellXfs>
  <cellStyles count="3">
    <cellStyle name="常规" xfId="0" builtinId="0"/>
    <cellStyle name="常规 2" xfId="1" xr:uid="{00000000-0005-0000-0000-000031000000}"/>
    <cellStyle name="常规 2 2" xfId="2" xr:uid="{00000000-0005-0000-0000-000032000000}"/>
  </cellStyles>
  <dxfs count="17"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7C8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  <color rgb="FFF7FCD8"/>
      <color rgb="FFE7FADA"/>
      <color rgb="FFF7D5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2196C2-48A1-40DE-A98E-C5E0FBAC3BC0}" name="tb_sheetField" displayName="tb_sheetField" ref="Q25:R29" totalsRowShown="0" headerRowDxfId="16">
  <autoFilter ref="Q25:R29" xr:uid="{692196C2-48A1-40DE-A98E-C5E0FBAC3BC0}"/>
  <tableColumns count="2">
    <tableColumn id="1" xr3:uid="{673841AC-3467-40CB-8543-24DE622C2FFA}" name="表名"/>
    <tableColumn id="2" xr3:uid="{2A8DAB8E-3788-4C19-9C2B-532594542829}" name="生存等级-列" dataDxfId="15">
      <calculatedColumnFormula>COLUMN(melee_logic!$BG$3)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BB594C-F69D-4D07-A614-F743EE5EED21}" name="t_proj" displayName="t_proj" ref="A2:C25" totalsRowShown="0" headerRowDxfId="14" dataDxfId="13">
  <autoFilter ref="A2:C25" xr:uid="{81BB594C-F69D-4D07-A614-F743EE5EED21}"/>
  <tableColumns count="3">
    <tableColumn id="1" xr3:uid="{846E7B61-4E48-4B15-8DFA-66E74D07F25E}" name="id" dataDxfId="12"/>
    <tableColumn id="2" xr3:uid="{78991E0E-6782-4024-9457-EABA2336CB2A}" name="name" dataDxfId="11"/>
    <tableColumn id="3" xr3:uid="{87961C18-5E87-4DDA-9EC9-1A2BFF2FBECF}" name="desc" dataDxfId="10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8B1420-B92E-4D26-881C-C5E52AA28D1A}" name="tb_prms" displayName="tb_prms" ref="A1:C17" totalsRowShown="0" headerRowDxfId="9" dataDxfId="8">
  <autoFilter ref="A1:C17" xr:uid="{4A8B1420-B92E-4D26-881C-C5E52AA28D1A}"/>
  <tableColumns count="3">
    <tableColumn id="1" xr3:uid="{06D36105-ECA6-4360-9DD1-EB49C275FEAF}" name="Type" dataDxfId="7"/>
    <tableColumn id="2" xr3:uid="{C6BF8F61-5370-4F0F-BCEE-9453A74BD120}" name="prm" dataDxfId="6"/>
    <tableColumn id="3" xr3:uid="{366830A9-AE95-45F0-AF7A-3E53E29D47D4}" name="comment" dataDxfId="5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4C720-66D8-4977-9E5A-9342250547D4}">
  <dimension ref="A1:R148"/>
  <sheetViews>
    <sheetView tabSelected="1" workbookViewId="0">
      <pane xSplit="4" ySplit="3" topLeftCell="E4" activePane="bottomRight" state="frozen"/>
      <selection activeCell="AP16" sqref="AP16:AU27"/>
      <selection pane="topRight" activeCell="AP16" sqref="AP16:AU27"/>
      <selection pane="bottomLeft" activeCell="AP16" sqref="AP16:AU27"/>
      <selection pane="bottomRight" activeCell="N8" sqref="N8"/>
    </sheetView>
  </sheetViews>
  <sheetFormatPr defaultColWidth="9.125" defaultRowHeight="14.25" x14ac:dyDescent="0.2"/>
  <cols>
    <col min="1" max="1" width="12.5" style="4" customWidth="1"/>
    <col min="2" max="2" width="19.75" style="5" bestFit="1" customWidth="1"/>
    <col min="3" max="3" width="9.5" style="5" bestFit="1" customWidth="1"/>
    <col min="4" max="4" width="9.125" style="4"/>
    <col min="5" max="6" width="13" style="4" customWidth="1"/>
    <col min="7" max="7" width="15.875" style="4" bestFit="1" customWidth="1"/>
    <col min="8" max="8" width="9.125" style="4"/>
    <col min="9" max="9" width="11.75" style="14" bestFit="1" customWidth="1"/>
    <col min="10" max="10" width="9.5" style="60" bestFit="1" customWidth="1"/>
    <col min="11" max="12" width="9.125" style="4"/>
    <col min="13" max="13" width="11.125" style="56" customWidth="1"/>
    <col min="14" max="14" width="9.625" style="56" bestFit="1" customWidth="1"/>
    <col min="15" max="15" width="18.75" style="4" customWidth="1"/>
    <col min="16" max="16" width="9.125" style="4"/>
    <col min="17" max="17" width="11.25" style="4" bestFit="1" customWidth="1"/>
    <col min="18" max="18" width="15.125" style="4" customWidth="1"/>
    <col min="19" max="16384" width="9.125" style="4"/>
  </cols>
  <sheetData>
    <row r="1" spans="1:15" s="1" customFormat="1" x14ac:dyDescent="0.2">
      <c r="A1" s="1" t="s">
        <v>301</v>
      </c>
      <c r="B1" s="6"/>
      <c r="C1" s="6"/>
      <c r="E1" s="1" t="s">
        <v>329</v>
      </c>
      <c r="F1" s="1" t="s">
        <v>18</v>
      </c>
      <c r="G1" s="1" t="s">
        <v>330</v>
      </c>
      <c r="I1" s="15"/>
      <c r="J1" s="59"/>
      <c r="K1" s="1" t="s">
        <v>373</v>
      </c>
      <c r="L1" s="1" t="s">
        <v>374</v>
      </c>
      <c r="M1" s="55"/>
      <c r="N1" s="55"/>
      <c r="O1" s="1" t="s">
        <v>433</v>
      </c>
    </row>
    <row r="2" spans="1:15" s="2" customFormat="1" x14ac:dyDescent="0.2">
      <c r="A2" s="2" t="s">
        <v>20</v>
      </c>
      <c r="B2" s="6"/>
      <c r="C2" s="6"/>
      <c r="E2" s="2" t="s">
        <v>21</v>
      </c>
      <c r="F2" s="2" t="s">
        <v>21</v>
      </c>
      <c r="G2" s="2" t="s">
        <v>21</v>
      </c>
      <c r="I2" s="16"/>
      <c r="J2" s="59"/>
      <c r="K2" s="2" t="s">
        <v>375</v>
      </c>
      <c r="L2" s="2" t="s">
        <v>375</v>
      </c>
      <c r="M2" s="55"/>
      <c r="N2" s="55"/>
      <c r="O2" s="2" t="s">
        <v>434</v>
      </c>
    </row>
    <row r="3" spans="1:15" s="3" customFormat="1" ht="50.25" x14ac:dyDescent="0.2">
      <c r="A3" s="7" t="s">
        <v>335</v>
      </c>
      <c r="B3" s="8" t="s">
        <v>372</v>
      </c>
      <c r="C3" s="8" t="s">
        <v>432</v>
      </c>
      <c r="D3" s="8" t="s">
        <v>600</v>
      </c>
      <c r="E3" s="9" t="s">
        <v>331</v>
      </c>
      <c r="F3" s="9" t="s">
        <v>332</v>
      </c>
      <c r="G3" s="9" t="s">
        <v>333</v>
      </c>
      <c r="I3" s="17" t="s">
        <v>467</v>
      </c>
      <c r="J3" s="58" t="s">
        <v>429</v>
      </c>
      <c r="K3" s="7" t="s">
        <v>377</v>
      </c>
      <c r="L3" s="7" t="s">
        <v>376</v>
      </c>
      <c r="M3" s="61" t="s">
        <v>470</v>
      </c>
      <c r="N3" s="78" t="s">
        <v>471</v>
      </c>
      <c r="O3" s="7" t="s">
        <v>435</v>
      </c>
    </row>
    <row r="4" spans="1:15" x14ac:dyDescent="0.2">
      <c r="A4" s="74">
        <v>1210101</v>
      </c>
      <c r="B4" s="5" t="s">
        <v>336</v>
      </c>
      <c r="C4" s="102" t="str">
        <f t="shared" ref="C4:C6" si="0">IF(A4&gt;=10000000,MOD(A4,10),"模板")</f>
        <v>模板</v>
      </c>
      <c r="D4" s="102" t="s">
        <v>451</v>
      </c>
      <c r="E4" s="103"/>
      <c r="F4" s="103"/>
      <c r="G4" s="103">
        <v>1000</v>
      </c>
      <c r="K4" s="103">
        <v>2400</v>
      </c>
      <c r="L4" s="103">
        <v>2</v>
      </c>
    </row>
    <row r="5" spans="1:15" x14ac:dyDescent="0.2">
      <c r="A5" s="47">
        <v>12101011</v>
      </c>
      <c r="B5" s="5" t="s">
        <v>610</v>
      </c>
      <c r="C5" s="91">
        <f t="shared" si="0"/>
        <v>1</v>
      </c>
      <c r="D5" s="91">
        <v>0</v>
      </c>
      <c r="E5" s="103"/>
      <c r="F5" s="103"/>
      <c r="G5" s="103">
        <v>1000</v>
      </c>
      <c r="K5" s="103">
        <v>2400</v>
      </c>
      <c r="L5" s="103">
        <v>2</v>
      </c>
    </row>
    <row r="6" spans="1:15" x14ac:dyDescent="0.2">
      <c r="A6" s="47">
        <v>12101012</v>
      </c>
      <c r="B6" s="5" t="s">
        <v>606</v>
      </c>
      <c r="C6" s="91">
        <f t="shared" si="0"/>
        <v>2</v>
      </c>
      <c r="D6" s="91">
        <v>0</v>
      </c>
      <c r="E6" s="103"/>
      <c r="F6" s="103"/>
      <c r="G6" s="103">
        <v>1000</v>
      </c>
      <c r="K6" s="103">
        <v>2400</v>
      </c>
      <c r="L6" s="103">
        <v>2</v>
      </c>
    </row>
    <row r="7" spans="1:15" x14ac:dyDescent="0.2">
      <c r="A7" s="47">
        <v>12101013</v>
      </c>
      <c r="B7" s="5" t="s">
        <v>611</v>
      </c>
      <c r="C7" s="91">
        <f t="shared" ref="C7" si="1">IF(A7&gt;=10000000,MOD(A7,10),"模板")</f>
        <v>3</v>
      </c>
      <c r="D7" s="91">
        <v>0</v>
      </c>
      <c r="E7" s="103"/>
      <c r="F7" s="103"/>
      <c r="G7" s="103">
        <v>1000</v>
      </c>
      <c r="K7" s="103">
        <v>2400</v>
      </c>
      <c r="L7" s="103">
        <v>2</v>
      </c>
    </row>
    <row r="8" spans="1:15" x14ac:dyDescent="0.2">
      <c r="A8" s="47">
        <v>12101019</v>
      </c>
      <c r="B8" s="5" t="s">
        <v>612</v>
      </c>
      <c r="C8" s="101">
        <v>0</v>
      </c>
      <c r="D8" s="91">
        <v>0</v>
      </c>
      <c r="E8" s="103"/>
      <c r="F8" s="103"/>
      <c r="G8" s="103">
        <v>1000</v>
      </c>
      <c r="K8" s="103">
        <v>2400</v>
      </c>
      <c r="L8" s="103">
        <v>2</v>
      </c>
    </row>
    <row r="9" spans="1:15" x14ac:dyDescent="0.2">
      <c r="A9" s="74">
        <v>1210102</v>
      </c>
      <c r="B9" s="5" t="s">
        <v>337</v>
      </c>
      <c r="C9" s="102" t="str">
        <f t="shared" ref="C9:C12" si="2">IF(A9&gt;=10000000,MOD(A9,10),"模板")</f>
        <v>模板</v>
      </c>
      <c r="D9" s="102" t="s">
        <v>451</v>
      </c>
      <c r="E9" s="103"/>
      <c r="F9" s="103"/>
      <c r="G9" s="103">
        <v>1000</v>
      </c>
      <c r="K9" s="103">
        <v>5100</v>
      </c>
      <c r="L9" s="103">
        <v>9</v>
      </c>
    </row>
    <row r="10" spans="1:15" x14ac:dyDescent="0.2">
      <c r="A10" s="47">
        <v>12101022</v>
      </c>
      <c r="B10" s="5" t="s">
        <v>607</v>
      </c>
      <c r="C10" s="91">
        <f t="shared" si="2"/>
        <v>2</v>
      </c>
      <c r="D10" s="91">
        <v>0</v>
      </c>
      <c r="E10" s="103"/>
      <c r="F10" s="103"/>
      <c r="G10" s="103">
        <v>1000</v>
      </c>
      <c r="K10" s="103">
        <v>5100</v>
      </c>
      <c r="L10" s="103">
        <v>9</v>
      </c>
    </row>
    <row r="11" spans="1:15" x14ac:dyDescent="0.2">
      <c r="A11" s="47">
        <v>12101023</v>
      </c>
      <c r="B11" s="5" t="s">
        <v>608</v>
      </c>
      <c r="C11" s="91">
        <f t="shared" si="2"/>
        <v>3</v>
      </c>
      <c r="D11" s="91">
        <v>0</v>
      </c>
      <c r="E11" s="103"/>
      <c r="F11" s="103"/>
      <c r="G11" s="103">
        <v>1000</v>
      </c>
      <c r="K11" s="103">
        <v>5100</v>
      </c>
      <c r="L11" s="103">
        <v>9</v>
      </c>
    </row>
    <row r="12" spans="1:15" x14ac:dyDescent="0.2">
      <c r="A12" s="47">
        <v>12101024</v>
      </c>
      <c r="B12" s="5" t="s">
        <v>609</v>
      </c>
      <c r="C12" s="91">
        <f t="shared" si="2"/>
        <v>4</v>
      </c>
      <c r="D12" s="91">
        <v>0</v>
      </c>
      <c r="E12" s="103"/>
      <c r="F12" s="103"/>
      <c r="G12" s="103">
        <v>1000</v>
      </c>
      <c r="K12" s="103">
        <v>5100</v>
      </c>
      <c r="L12" s="103">
        <v>9</v>
      </c>
    </row>
    <row r="13" spans="1:15" x14ac:dyDescent="0.2">
      <c r="A13" s="4">
        <v>1211801</v>
      </c>
      <c r="B13" s="5" t="s">
        <v>338</v>
      </c>
      <c r="G13" s="4">
        <v>1000</v>
      </c>
      <c r="K13" s="4">
        <v>1500</v>
      </c>
      <c r="L13" s="4">
        <v>0</v>
      </c>
    </row>
    <row r="14" spans="1:15" x14ac:dyDescent="0.2">
      <c r="A14" s="4">
        <v>120000002</v>
      </c>
      <c r="B14" s="5" t="s">
        <v>339</v>
      </c>
      <c r="G14" s="4">
        <v>1000</v>
      </c>
      <c r="K14" s="4">
        <v>2400</v>
      </c>
      <c r="L14" s="4">
        <v>0</v>
      </c>
    </row>
    <row r="15" spans="1:15" x14ac:dyDescent="0.2">
      <c r="A15" s="4">
        <v>120000003</v>
      </c>
      <c r="B15" s="5" t="s">
        <v>340</v>
      </c>
      <c r="G15" s="4">
        <v>1000</v>
      </c>
      <c r="K15" s="4">
        <v>2400</v>
      </c>
      <c r="L15" s="4">
        <v>0</v>
      </c>
    </row>
    <row r="16" spans="1:15" x14ac:dyDescent="0.2">
      <c r="A16" s="4">
        <v>120000004</v>
      </c>
      <c r="B16" s="5" t="s">
        <v>341</v>
      </c>
      <c r="G16" s="4">
        <v>1000</v>
      </c>
      <c r="K16" s="4">
        <v>2400</v>
      </c>
      <c r="L16" s="4">
        <v>0</v>
      </c>
    </row>
    <row r="17" spans="1:18" x14ac:dyDescent="0.2">
      <c r="A17" s="4">
        <v>120000006</v>
      </c>
      <c r="B17" s="5" t="s">
        <v>342</v>
      </c>
      <c r="G17" s="4">
        <v>1000</v>
      </c>
      <c r="K17" s="4">
        <v>2400</v>
      </c>
      <c r="L17" s="4">
        <v>0</v>
      </c>
    </row>
    <row r="18" spans="1:18" x14ac:dyDescent="0.2">
      <c r="A18" s="4">
        <v>120000007</v>
      </c>
      <c r="B18" s="5" t="s">
        <v>343</v>
      </c>
      <c r="G18" s="4">
        <v>1000</v>
      </c>
      <c r="K18" s="4">
        <v>2400</v>
      </c>
      <c r="L18" s="4">
        <v>2</v>
      </c>
    </row>
    <row r="19" spans="1:18" x14ac:dyDescent="0.2">
      <c r="A19" s="4">
        <v>120000008</v>
      </c>
      <c r="B19" s="5" t="s">
        <v>344</v>
      </c>
      <c r="G19" s="4">
        <v>1000</v>
      </c>
      <c r="K19" s="4">
        <v>2400</v>
      </c>
      <c r="L19" s="4">
        <v>2</v>
      </c>
    </row>
    <row r="20" spans="1:18" x14ac:dyDescent="0.2">
      <c r="K20" s="4" t="s">
        <v>378</v>
      </c>
    </row>
    <row r="21" spans="1:18" x14ac:dyDescent="0.2">
      <c r="A21" s="4">
        <v>1310101</v>
      </c>
      <c r="B21" s="5" t="s">
        <v>70</v>
      </c>
      <c r="E21" s="4">
        <v>250</v>
      </c>
      <c r="F21" s="4">
        <v>300</v>
      </c>
      <c r="G21" s="4">
        <v>2500</v>
      </c>
      <c r="K21" s="4">
        <v>3300</v>
      </c>
      <c r="L21" s="4">
        <v>2</v>
      </c>
    </row>
    <row r="22" spans="1:18" x14ac:dyDescent="0.2">
      <c r="A22" s="4">
        <v>1310102</v>
      </c>
      <c r="B22" s="5" t="s">
        <v>76</v>
      </c>
      <c r="E22" s="4">
        <v>0</v>
      </c>
      <c r="F22" s="4">
        <v>150</v>
      </c>
      <c r="G22" s="4">
        <v>2000</v>
      </c>
      <c r="K22" s="4">
        <v>3900</v>
      </c>
      <c r="L22" s="4">
        <v>3</v>
      </c>
    </row>
    <row r="23" spans="1:18" x14ac:dyDescent="0.2">
      <c r="A23" s="4">
        <v>1310103</v>
      </c>
      <c r="B23" s="5" t="s">
        <v>78</v>
      </c>
      <c r="E23" s="4">
        <v>0</v>
      </c>
      <c r="F23" s="4">
        <v>100</v>
      </c>
      <c r="G23" s="4">
        <v>2000</v>
      </c>
      <c r="K23" s="4">
        <v>4500</v>
      </c>
      <c r="L23" s="4">
        <v>5</v>
      </c>
    </row>
    <row r="24" spans="1:18" x14ac:dyDescent="0.2">
      <c r="A24" s="4">
        <v>1310104</v>
      </c>
      <c r="B24" s="5" t="s">
        <v>79</v>
      </c>
      <c r="E24" s="4">
        <v>250</v>
      </c>
      <c r="F24" s="4">
        <v>200</v>
      </c>
      <c r="G24" s="4">
        <v>2000</v>
      </c>
      <c r="K24" s="4">
        <v>3900</v>
      </c>
      <c r="L24" s="4">
        <v>3</v>
      </c>
    </row>
    <row r="25" spans="1:18" x14ac:dyDescent="0.2">
      <c r="A25" s="74">
        <v>1310105</v>
      </c>
      <c r="B25" s="5" t="s">
        <v>436</v>
      </c>
      <c r="C25" s="102" t="str">
        <f t="shared" ref="C25:C37" si="3">IF(A25&gt;=10000000,MOD(A25,10),"模板")</f>
        <v>模板</v>
      </c>
      <c r="D25" s="102" t="s">
        <v>451</v>
      </c>
      <c r="E25" s="4">
        <v>0</v>
      </c>
      <c r="F25" s="4">
        <v>600</v>
      </c>
      <c r="G25" s="4">
        <v>1010</v>
      </c>
      <c r="I25" s="87"/>
      <c r="J25" s="88"/>
      <c r="K25" s="89"/>
      <c r="L25" s="90"/>
      <c r="M25" s="88"/>
      <c r="N25" s="87"/>
      <c r="Q25" s="39" t="s">
        <v>529</v>
      </c>
      <c r="R25" s="39" t="s">
        <v>530</v>
      </c>
    </row>
    <row r="26" spans="1:18" x14ac:dyDescent="0.2">
      <c r="A26" s="47">
        <v>13101050</v>
      </c>
      <c r="B26" s="5" t="s">
        <v>465</v>
      </c>
      <c r="C26" s="91">
        <f t="shared" si="3"/>
        <v>0</v>
      </c>
      <c r="D26" s="91">
        <v>1</v>
      </c>
      <c r="E26" s="4">
        <v>0</v>
      </c>
      <c r="F26" s="4">
        <v>600</v>
      </c>
      <c r="G26" s="4">
        <v>1000</v>
      </c>
      <c r="I26" s="14" t="s">
        <v>468</v>
      </c>
      <c r="J26" s="57" cm="1">
        <f t="array" aca="1" ref="J26" ca="1">_xlfn.XLOOKUP(A26,INDIRECT($I26&amp;"!C1",0),INDIRECT(_xlfn.CONCAT($I26,"!C",_xlfn.XLOOKUP(I26,tb_sheetField[表名],tb_sheetField[生存等级-列])),0))</f>
        <v>-1.5</v>
      </c>
      <c r="K26" s="62">
        <f t="shared" ref="K26:K32" ca="1" si="4">MROUND(M26/(1+L26*0.01),10)</f>
        <v>1210</v>
      </c>
      <c r="L26" s="63">
        <v>-10</v>
      </c>
      <c r="M26" s="57">
        <f t="shared" ref="M26:M37" ca="1" si="5">$N26*1.5^$J26</f>
        <v>1088.6621079036347</v>
      </c>
      <c r="N26" s="14">
        <v>2000</v>
      </c>
      <c r="Q26" s="39" t="s">
        <v>468</v>
      </c>
      <c r="R26" s="4">
        <f>COLUMN(melee_logic!$BG$3)</f>
        <v>59</v>
      </c>
    </row>
    <row r="27" spans="1:18" x14ac:dyDescent="0.2">
      <c r="A27" s="47">
        <v>13101051</v>
      </c>
      <c r="B27" s="5" t="s">
        <v>464</v>
      </c>
      <c r="C27" s="91">
        <f t="shared" si="3"/>
        <v>1</v>
      </c>
      <c r="D27" s="91">
        <v>1</v>
      </c>
      <c r="E27" s="4">
        <v>0</v>
      </c>
      <c r="F27" s="4">
        <v>600</v>
      </c>
      <c r="G27" s="4">
        <v>1000</v>
      </c>
      <c r="I27" s="14" t="s">
        <v>468</v>
      </c>
      <c r="J27" s="57" cm="1">
        <f t="array" aca="1" ref="J27" ca="1">_xlfn.XLOOKUP(A27,INDIRECT($I27&amp;"!C1",0),INDIRECT(_xlfn.CONCAT($I27,"!C",_xlfn.XLOOKUP(I27,tb_sheetField[表名],tb_sheetField[生存等级-列])),0))</f>
        <v>0.90000000000000036</v>
      </c>
      <c r="K27" s="62">
        <f t="shared" ca="1" si="4"/>
        <v>3030</v>
      </c>
      <c r="L27" s="63">
        <v>-5</v>
      </c>
      <c r="M27" s="57">
        <f t="shared" ca="1" si="5"/>
        <v>2880.7935023766545</v>
      </c>
      <c r="N27" s="14">
        <v>2000</v>
      </c>
      <c r="Q27" s="39" t="s">
        <v>466</v>
      </c>
      <c r="R27" s="4">
        <f>COLUMN(fire_logic!$BM$3)</f>
        <v>65</v>
      </c>
    </row>
    <row r="28" spans="1:18" x14ac:dyDescent="0.2">
      <c r="A28" s="74">
        <v>1310106</v>
      </c>
      <c r="B28" s="5" t="s">
        <v>444</v>
      </c>
      <c r="C28" s="102" t="str">
        <f t="shared" si="3"/>
        <v>模板</v>
      </c>
      <c r="D28" s="102" t="s">
        <v>451</v>
      </c>
      <c r="E28" s="4">
        <v>200</v>
      </c>
      <c r="F28" s="4">
        <v>200</v>
      </c>
      <c r="G28" s="4">
        <v>1050</v>
      </c>
      <c r="I28" s="87"/>
      <c r="J28" s="88"/>
      <c r="K28" s="89"/>
      <c r="L28" s="90"/>
      <c r="M28" s="88"/>
      <c r="N28" s="87"/>
      <c r="Q28" s="39" t="s">
        <v>505</v>
      </c>
      <c r="R28" s="4">
        <f>COLUMN(other_logic!$AU$3)</f>
        <v>47</v>
      </c>
    </row>
    <row r="29" spans="1:18" x14ac:dyDescent="0.2">
      <c r="A29" s="47">
        <v>13101061</v>
      </c>
      <c r="B29" s="5" t="s">
        <v>510</v>
      </c>
      <c r="C29" s="91">
        <f t="shared" si="3"/>
        <v>1</v>
      </c>
      <c r="D29" s="91">
        <v>1</v>
      </c>
      <c r="E29" s="4">
        <v>200</v>
      </c>
      <c r="F29" s="4">
        <v>200</v>
      </c>
      <c r="G29" s="4">
        <v>1050</v>
      </c>
      <c r="I29" s="14" t="s">
        <v>505</v>
      </c>
      <c r="J29" s="57" cm="1">
        <f t="array" aca="1" ref="J29" ca="1">_xlfn.XLOOKUP(A29,INDIRECT($I29&amp;"!C1",0),INDIRECT(_xlfn.CONCAT($I29,"!C",_xlfn.XLOOKUP(I29,tb_sheetField[表名],tb_sheetField[生存等级-列])),0))</f>
        <v>1.23</v>
      </c>
      <c r="K29" s="62">
        <f t="shared" ca="1" si="4"/>
        <v>1500</v>
      </c>
      <c r="L29" s="63">
        <v>120</v>
      </c>
      <c r="M29" s="57">
        <f t="shared" ca="1" si="5"/>
        <v>3293.2313747650542</v>
      </c>
      <c r="N29" s="14">
        <v>2000</v>
      </c>
      <c r="Q29" s="39" t="s">
        <v>537</v>
      </c>
      <c r="R29" s="4">
        <f>COLUMN(ram_logic!$AF$3)</f>
        <v>32</v>
      </c>
    </row>
    <row r="30" spans="1:18" x14ac:dyDescent="0.2">
      <c r="A30" s="47">
        <v>13101062</v>
      </c>
      <c r="B30" s="5" t="s">
        <v>511</v>
      </c>
      <c r="C30" s="91">
        <f t="shared" si="3"/>
        <v>2</v>
      </c>
      <c r="D30" s="91">
        <v>1</v>
      </c>
      <c r="E30" s="4">
        <v>200</v>
      </c>
      <c r="F30" s="4">
        <v>200</v>
      </c>
      <c r="G30" s="4">
        <v>1050</v>
      </c>
      <c r="I30" s="14" t="s">
        <v>505</v>
      </c>
      <c r="J30" s="57" cm="1">
        <f t="array" aca="1" ref="J30" ca="1">_xlfn.XLOOKUP(A30,INDIRECT($I30&amp;"!C1",0),INDIRECT(_xlfn.CONCAT($I30,"!C",_xlfn.XLOOKUP(I30,tb_sheetField[表名],tb_sheetField[生存等级-列])),0))</f>
        <v>2.06</v>
      </c>
      <c r="K30" s="62">
        <f t="shared" ca="1" si="4"/>
        <v>1770</v>
      </c>
      <c r="L30" s="63">
        <v>160</v>
      </c>
      <c r="M30" s="57">
        <f t="shared" ca="1" si="5"/>
        <v>4610.8180998141206</v>
      </c>
      <c r="N30" s="14">
        <v>2000</v>
      </c>
    </row>
    <row r="31" spans="1:18" x14ac:dyDescent="0.2">
      <c r="A31" s="47">
        <v>13101063</v>
      </c>
      <c r="B31" s="5" t="s">
        <v>512</v>
      </c>
      <c r="C31" s="91">
        <f t="shared" si="3"/>
        <v>3</v>
      </c>
      <c r="D31" s="91">
        <v>1</v>
      </c>
      <c r="E31" s="4">
        <v>200</v>
      </c>
      <c r="F31" s="4">
        <v>200</v>
      </c>
      <c r="G31" s="4">
        <v>1050</v>
      </c>
      <c r="I31" s="14" t="s">
        <v>505</v>
      </c>
      <c r="J31" s="57" cm="1">
        <f t="array" aca="1" ref="J31" ca="1">_xlfn.XLOOKUP(A31,INDIRECT($I31&amp;"!C1",0),INDIRECT(_xlfn.CONCAT($I31,"!C",_xlfn.XLOOKUP(I31,tb_sheetField[表名],tb_sheetField[生存等级-列])),0))</f>
        <v>2.9000000000000004</v>
      </c>
      <c r="K31" s="62">
        <f t="shared" ca="1" si="4"/>
        <v>2160</v>
      </c>
      <c r="L31" s="63">
        <v>200</v>
      </c>
      <c r="M31" s="57">
        <f t="shared" ca="1" si="5"/>
        <v>6481.7853803474727</v>
      </c>
      <c r="N31" s="14">
        <v>2000</v>
      </c>
    </row>
    <row r="32" spans="1:18" x14ac:dyDescent="0.2">
      <c r="A32" s="47">
        <v>13101064</v>
      </c>
      <c r="B32" s="5" t="s">
        <v>513</v>
      </c>
      <c r="C32" s="91">
        <f t="shared" si="3"/>
        <v>4</v>
      </c>
      <c r="D32" s="91">
        <v>1</v>
      </c>
      <c r="E32" s="4">
        <v>200</v>
      </c>
      <c r="F32" s="4">
        <v>200</v>
      </c>
      <c r="G32" s="4">
        <v>1050</v>
      </c>
      <c r="I32" s="14" t="s">
        <v>505</v>
      </c>
      <c r="J32" s="57" cm="1">
        <f t="array" aca="1" ref="J32" ca="1">_xlfn.XLOOKUP(A32,INDIRECT($I32&amp;"!C1",0),INDIRECT(_xlfn.CONCAT($I32,"!C",_xlfn.XLOOKUP(I32,tb_sheetField[表名],tb_sheetField[生存等级-列])),0))</f>
        <v>3.79</v>
      </c>
      <c r="K32" s="62">
        <f t="shared" ca="1" si="4"/>
        <v>2730</v>
      </c>
      <c r="L32" s="63">
        <v>240</v>
      </c>
      <c r="M32" s="57">
        <f t="shared" ca="1" si="5"/>
        <v>9298.5636341486043</v>
      </c>
      <c r="N32" s="14">
        <v>2000</v>
      </c>
    </row>
    <row r="33" spans="1:14" x14ac:dyDescent="0.2">
      <c r="A33" s="74">
        <v>1310107</v>
      </c>
      <c r="B33" s="5" t="s">
        <v>520</v>
      </c>
      <c r="C33" s="102" t="str">
        <f t="shared" si="3"/>
        <v>模板</v>
      </c>
      <c r="D33" s="102" t="s">
        <v>451</v>
      </c>
      <c r="E33" s="4">
        <v>0</v>
      </c>
      <c r="F33" s="4">
        <v>80</v>
      </c>
      <c r="G33" s="4">
        <v>1300</v>
      </c>
      <c r="I33" s="87"/>
      <c r="J33" s="88"/>
      <c r="K33" s="89"/>
      <c r="L33" s="90"/>
      <c r="M33" s="88"/>
      <c r="N33" s="87"/>
    </row>
    <row r="34" spans="1:14" x14ac:dyDescent="0.2">
      <c r="A34" s="47">
        <v>13101070</v>
      </c>
      <c r="B34" s="5" t="s">
        <v>521</v>
      </c>
      <c r="C34" s="91">
        <f t="shared" si="3"/>
        <v>0</v>
      </c>
      <c r="D34" s="91">
        <v>1</v>
      </c>
      <c r="E34" s="4">
        <v>0</v>
      </c>
      <c r="F34" s="4">
        <v>80</v>
      </c>
      <c r="G34" s="4">
        <v>1300</v>
      </c>
      <c r="I34" s="14" t="s">
        <v>468</v>
      </c>
      <c r="J34" s="57" cm="1">
        <f t="array" aca="1" ref="J34" ca="1">_xlfn.XLOOKUP(A34,INDIRECT($I34&amp;"!C1",0),INDIRECT(_xlfn.CONCAT($I34,"!C",_xlfn.XLOOKUP(I34,tb_sheetField[表名],tb_sheetField[生存等级-列])),0))</f>
        <v>0</v>
      </c>
      <c r="K34" s="62">
        <f t="shared" ref="K34:K37" ca="1" si="6">MROUND(M34/(1+L34*0.01),10)</f>
        <v>1820</v>
      </c>
      <c r="L34" s="63">
        <v>10</v>
      </c>
      <c r="M34" s="57">
        <f t="shared" ca="1" si="5"/>
        <v>2000</v>
      </c>
      <c r="N34" s="14">
        <v>2000</v>
      </c>
    </row>
    <row r="35" spans="1:14" x14ac:dyDescent="0.2">
      <c r="A35" s="47">
        <v>13101071</v>
      </c>
      <c r="B35" s="5" t="s">
        <v>522</v>
      </c>
      <c r="C35" s="91">
        <f t="shared" si="3"/>
        <v>1</v>
      </c>
      <c r="D35" s="91">
        <v>1</v>
      </c>
      <c r="E35" s="4">
        <v>0</v>
      </c>
      <c r="F35" s="4">
        <v>80</v>
      </c>
      <c r="G35" s="4">
        <v>1300</v>
      </c>
      <c r="I35" s="14" t="s">
        <v>468</v>
      </c>
      <c r="J35" s="57" cm="1">
        <f t="array" aca="1" ref="J35" ca="1">_xlfn.XLOOKUP(A35,INDIRECT($I35&amp;"!C1",0),INDIRECT(_xlfn.CONCAT($I35,"!C",_xlfn.XLOOKUP(I35,tb_sheetField[表名],tb_sheetField[生存等级-列])),0))</f>
        <v>0.66999999999999993</v>
      </c>
      <c r="K35" s="62">
        <f t="shared" ca="1" si="6"/>
        <v>2190</v>
      </c>
      <c r="L35" s="63">
        <v>20</v>
      </c>
      <c r="M35" s="57">
        <f t="shared" ca="1" si="5"/>
        <v>2624.2858529023119</v>
      </c>
      <c r="N35" s="14">
        <v>2000</v>
      </c>
    </row>
    <row r="36" spans="1:14" x14ac:dyDescent="0.2">
      <c r="A36" s="47">
        <v>13101072</v>
      </c>
      <c r="B36" s="5" t="s">
        <v>523</v>
      </c>
      <c r="C36" s="91">
        <f t="shared" si="3"/>
        <v>2</v>
      </c>
      <c r="D36" s="91">
        <v>1</v>
      </c>
      <c r="E36" s="4">
        <v>0</v>
      </c>
      <c r="F36" s="4">
        <v>80</v>
      </c>
      <c r="G36" s="4">
        <v>1300</v>
      </c>
      <c r="I36" s="14" t="s">
        <v>468</v>
      </c>
      <c r="J36" s="57" cm="1">
        <f t="array" aca="1" ref="J36" ca="1">_xlfn.XLOOKUP(A36,INDIRECT($I36&amp;"!C1",0),INDIRECT(_xlfn.CONCAT($I36,"!C",_xlfn.XLOOKUP(I36,tb_sheetField[表名],tb_sheetField[生存等级-列])),0))</f>
        <v>1.54</v>
      </c>
      <c r="K36" s="62">
        <f t="shared" ca="1" si="6"/>
        <v>2670</v>
      </c>
      <c r="L36" s="63">
        <v>40</v>
      </c>
      <c r="M36" s="57">
        <f t="shared" ca="1" si="5"/>
        <v>3734.3114357823629</v>
      </c>
      <c r="N36" s="14">
        <v>2000</v>
      </c>
    </row>
    <row r="37" spans="1:14" x14ac:dyDescent="0.2">
      <c r="A37" s="47">
        <v>13101073</v>
      </c>
      <c r="B37" s="5" t="s">
        <v>524</v>
      </c>
      <c r="C37" s="91">
        <f t="shared" si="3"/>
        <v>3</v>
      </c>
      <c r="D37" s="91">
        <v>1</v>
      </c>
      <c r="E37" s="4">
        <v>0</v>
      </c>
      <c r="F37" s="4">
        <v>80</v>
      </c>
      <c r="G37" s="4">
        <v>1300</v>
      </c>
      <c r="I37" s="14" t="s">
        <v>468</v>
      </c>
      <c r="J37" s="57" cm="1">
        <f t="array" aca="1" ref="J37" ca="1">_xlfn.XLOOKUP(A37,INDIRECT($I37&amp;"!C1",0),INDIRECT(_xlfn.CONCAT($I37,"!C",_xlfn.XLOOKUP(I37,tb_sheetField[表名],tb_sheetField[生存等级-列])),0))</f>
        <v>2.5799999999999996</v>
      </c>
      <c r="K37" s="62">
        <f t="shared" ca="1" si="6"/>
        <v>3160</v>
      </c>
      <c r="L37" s="63">
        <v>80</v>
      </c>
      <c r="M37" s="57">
        <f t="shared" ca="1" si="5"/>
        <v>5693.0558458147061</v>
      </c>
      <c r="N37" s="14">
        <v>2000</v>
      </c>
    </row>
    <row r="38" spans="1:14" x14ac:dyDescent="0.2">
      <c r="A38" s="4">
        <v>1311101</v>
      </c>
      <c r="B38" s="5" t="s">
        <v>345</v>
      </c>
      <c r="E38" s="4">
        <v>600</v>
      </c>
      <c r="F38" s="4">
        <v>100</v>
      </c>
      <c r="G38" s="4">
        <v>2000</v>
      </c>
      <c r="K38" s="4">
        <v>3900</v>
      </c>
      <c r="L38" s="4">
        <v>3</v>
      </c>
    </row>
    <row r="39" spans="1:14" x14ac:dyDescent="0.2">
      <c r="A39" s="4">
        <v>1311102</v>
      </c>
      <c r="B39" s="5" t="s">
        <v>81</v>
      </c>
      <c r="E39" s="4">
        <v>550</v>
      </c>
      <c r="F39" s="4">
        <v>100</v>
      </c>
      <c r="G39" s="4">
        <v>2000</v>
      </c>
      <c r="K39" s="4">
        <v>4500</v>
      </c>
      <c r="L39" s="4">
        <v>5</v>
      </c>
    </row>
    <row r="40" spans="1:14" x14ac:dyDescent="0.2">
      <c r="A40" s="4">
        <v>1311801</v>
      </c>
      <c r="B40" s="5" t="s">
        <v>346</v>
      </c>
      <c r="E40" s="4">
        <v>500</v>
      </c>
      <c r="F40" s="4">
        <v>150</v>
      </c>
      <c r="G40" s="4">
        <v>3000</v>
      </c>
      <c r="K40" s="4">
        <v>3900</v>
      </c>
      <c r="L40" s="4">
        <v>3</v>
      </c>
    </row>
    <row r="41" spans="1:14" x14ac:dyDescent="0.2">
      <c r="A41" s="4">
        <v>1311802</v>
      </c>
      <c r="B41" s="5" t="s">
        <v>347</v>
      </c>
      <c r="E41" s="4">
        <v>350</v>
      </c>
      <c r="F41" s="4">
        <v>0</v>
      </c>
      <c r="G41" s="4">
        <v>1500</v>
      </c>
      <c r="K41" s="4">
        <v>3900</v>
      </c>
      <c r="L41" s="4">
        <v>3</v>
      </c>
    </row>
    <row r="42" spans="1:14" x14ac:dyDescent="0.2">
      <c r="A42" s="4">
        <v>1319001</v>
      </c>
      <c r="B42" s="5" t="s">
        <v>519</v>
      </c>
      <c r="E42" s="4">
        <v>600</v>
      </c>
      <c r="F42" s="4">
        <v>100</v>
      </c>
      <c r="G42" s="4">
        <v>2000</v>
      </c>
      <c r="K42" s="4">
        <v>3900</v>
      </c>
      <c r="L42" s="4">
        <v>3</v>
      </c>
    </row>
    <row r="43" spans="1:14" x14ac:dyDescent="0.2">
      <c r="A43" s="4">
        <v>1319002</v>
      </c>
      <c r="B43" s="5" t="s">
        <v>409</v>
      </c>
      <c r="E43" s="4">
        <v>0</v>
      </c>
      <c r="F43" s="4">
        <v>100</v>
      </c>
      <c r="G43" s="4">
        <v>2000</v>
      </c>
      <c r="K43" s="4">
        <v>4500</v>
      </c>
      <c r="L43" s="4">
        <v>5</v>
      </c>
    </row>
    <row r="44" spans="1:14" x14ac:dyDescent="0.2">
      <c r="A44" s="4">
        <v>130001005</v>
      </c>
      <c r="B44" s="5" t="s">
        <v>348</v>
      </c>
      <c r="K44" s="4">
        <v>3000</v>
      </c>
    </row>
    <row r="45" spans="1:14" x14ac:dyDescent="0.2">
      <c r="A45" s="4">
        <v>130001006</v>
      </c>
      <c r="B45" s="5" t="s">
        <v>349</v>
      </c>
      <c r="K45" s="4">
        <v>3000</v>
      </c>
    </row>
    <row r="46" spans="1:14" x14ac:dyDescent="0.2">
      <c r="K46" s="4" t="s">
        <v>378</v>
      </c>
    </row>
    <row r="47" spans="1:14" x14ac:dyDescent="0.2">
      <c r="A47" s="4">
        <v>1320101</v>
      </c>
      <c r="B47" s="5" t="s">
        <v>350</v>
      </c>
      <c r="E47" s="4">
        <v>200</v>
      </c>
      <c r="F47" s="4">
        <v>200</v>
      </c>
      <c r="G47" s="4">
        <v>3000</v>
      </c>
      <c r="K47" s="4">
        <v>2100</v>
      </c>
      <c r="L47" s="4">
        <v>0</v>
      </c>
    </row>
    <row r="48" spans="1:14" x14ac:dyDescent="0.2">
      <c r="A48" s="74">
        <v>1320102</v>
      </c>
      <c r="B48" s="5" t="s">
        <v>144</v>
      </c>
      <c r="C48" s="102" t="str">
        <f t="shared" ref="C48:C60" si="7">IF(A48&gt;=10000000,MOD(A48,10),"模板")</f>
        <v>模板</v>
      </c>
      <c r="D48" s="102" t="s">
        <v>451</v>
      </c>
      <c r="E48" s="4">
        <v>0</v>
      </c>
      <c r="F48" s="4">
        <v>30</v>
      </c>
      <c r="G48" s="4">
        <v>1500</v>
      </c>
      <c r="I48" s="87"/>
      <c r="J48" s="88"/>
      <c r="K48" s="89"/>
      <c r="L48" s="90"/>
      <c r="M48" s="88"/>
      <c r="N48" s="87"/>
    </row>
    <row r="49" spans="1:14" x14ac:dyDescent="0.2">
      <c r="A49" s="47">
        <v>13201021</v>
      </c>
      <c r="B49" s="5" t="s">
        <v>455</v>
      </c>
      <c r="C49" s="91">
        <f t="shared" si="7"/>
        <v>1</v>
      </c>
      <c r="D49" s="91">
        <v>2</v>
      </c>
      <c r="E49" s="4">
        <v>0</v>
      </c>
      <c r="F49" s="4">
        <v>30</v>
      </c>
      <c r="G49" s="4">
        <v>1500</v>
      </c>
      <c r="I49" s="14" t="s">
        <v>466</v>
      </c>
      <c r="J49" s="57" cm="1">
        <f t="array" aca="1" ref="J49" ca="1">_xlfn.XLOOKUP(A49,INDIRECT($I49&amp;"!C1",0),INDIRECT(_xlfn.CONCAT($I49,"!C",_xlfn.XLOOKUP(I49,tb_sheetField[表名],tb_sheetField[生存等级-列])),0))</f>
        <v>1.01</v>
      </c>
      <c r="K49" s="62">
        <f ca="1">MROUND(M49/(1+L49*0.01),10)</f>
        <v>1880</v>
      </c>
      <c r="L49" s="63">
        <v>20</v>
      </c>
      <c r="M49" s="57">
        <f t="shared" ref="M49:M57" ca="1" si="8">$N49*1.5^$J49</f>
        <v>2259.1414851748273</v>
      </c>
      <c r="N49" s="14">
        <v>1500</v>
      </c>
    </row>
    <row r="50" spans="1:14" x14ac:dyDescent="0.2">
      <c r="A50" s="47">
        <v>13201022</v>
      </c>
      <c r="B50" s="5" t="s">
        <v>456</v>
      </c>
      <c r="C50" s="91">
        <f t="shared" si="7"/>
        <v>2</v>
      </c>
      <c r="D50" s="91">
        <v>2</v>
      </c>
      <c r="E50" s="4">
        <v>0</v>
      </c>
      <c r="F50" s="4">
        <v>30</v>
      </c>
      <c r="G50" s="4">
        <v>1500</v>
      </c>
      <c r="I50" s="14" t="s">
        <v>466</v>
      </c>
      <c r="J50" s="57" cm="1">
        <f t="array" aca="1" ref="J50" ca="1">_xlfn.XLOOKUP(A50,INDIRECT($I50&amp;"!C1",0),INDIRECT(_xlfn.CONCAT($I50,"!C",_xlfn.XLOOKUP(I50,tb_sheetField[表名],tb_sheetField[生存等级-列])),0))</f>
        <v>2.0099999999999998</v>
      </c>
      <c r="K50" s="62">
        <f t="shared" ref="K50:K57" ca="1" si="9">MROUND(M50/(1+L50*0.01),10)</f>
        <v>2420</v>
      </c>
      <c r="L50" s="63">
        <v>40</v>
      </c>
      <c r="M50" s="57">
        <f t="shared" ca="1" si="8"/>
        <v>3388.7122277622407</v>
      </c>
      <c r="N50" s="14">
        <v>1500</v>
      </c>
    </row>
    <row r="51" spans="1:14" x14ac:dyDescent="0.2">
      <c r="A51" s="47">
        <v>13201023</v>
      </c>
      <c r="B51" s="5" t="s">
        <v>457</v>
      </c>
      <c r="C51" s="91">
        <f t="shared" si="7"/>
        <v>3</v>
      </c>
      <c r="D51" s="91">
        <v>2</v>
      </c>
      <c r="E51" s="4">
        <v>0</v>
      </c>
      <c r="F51" s="4">
        <v>30</v>
      </c>
      <c r="G51" s="4">
        <v>1500</v>
      </c>
      <c r="I51" s="14" t="s">
        <v>466</v>
      </c>
      <c r="J51" s="57" cm="1">
        <f t="array" aca="1" ref="J51" ca="1">_xlfn.XLOOKUP(A51,INDIRECT($I51&amp;"!C1",0),INDIRECT(_xlfn.CONCAT($I51,"!C",_xlfn.XLOOKUP(I51,tb_sheetField[表名],tb_sheetField[生存等级-列])),0))</f>
        <v>3.05</v>
      </c>
      <c r="K51" s="62">
        <f t="shared" ca="1" si="9"/>
        <v>2870</v>
      </c>
      <c r="L51" s="63">
        <v>80</v>
      </c>
      <c r="M51" s="57">
        <f t="shared" ca="1" si="8"/>
        <v>5166.1807778503535</v>
      </c>
      <c r="N51" s="14">
        <v>1500</v>
      </c>
    </row>
    <row r="52" spans="1:14" x14ac:dyDescent="0.2">
      <c r="A52" s="47">
        <v>13201029</v>
      </c>
      <c r="B52" s="5" t="s">
        <v>605</v>
      </c>
      <c r="C52" s="101">
        <v>0</v>
      </c>
      <c r="D52" s="91">
        <v>2</v>
      </c>
      <c r="E52" s="4">
        <v>0</v>
      </c>
      <c r="F52" s="4">
        <v>30</v>
      </c>
      <c r="G52" s="4">
        <v>1500</v>
      </c>
      <c r="I52" s="14" t="s">
        <v>466</v>
      </c>
      <c r="J52" s="57" cm="1">
        <f t="array" aca="1" ref="J52" ca="1">_xlfn.XLOOKUP(A52,INDIRECT($I52&amp;"!C1",0),INDIRECT(_xlfn.CONCAT($I52,"!C",_xlfn.XLOOKUP(I52,tb_sheetField[表名],tb_sheetField[生存等级-列])),0))</f>
        <v>-7.0000000000000007E-2</v>
      </c>
      <c r="K52" s="62">
        <f t="shared" ref="K52" ca="1" si="10">MROUND(M52/(1+L52*0.01),10)</f>
        <v>1460</v>
      </c>
      <c r="L52" s="63">
        <v>0</v>
      </c>
      <c r="M52" s="57">
        <f t="shared" ca="1" si="8"/>
        <v>1458.0246651277453</v>
      </c>
      <c r="N52" s="14">
        <v>1500</v>
      </c>
    </row>
    <row r="53" spans="1:14" x14ac:dyDescent="0.2">
      <c r="A53" s="74">
        <v>1320103</v>
      </c>
      <c r="B53" s="5" t="s">
        <v>147</v>
      </c>
      <c r="C53" s="102" t="str">
        <f t="shared" si="7"/>
        <v>模板</v>
      </c>
      <c r="D53" s="102" t="s">
        <v>451</v>
      </c>
      <c r="E53" s="4">
        <v>0</v>
      </c>
      <c r="F53" s="4">
        <v>20</v>
      </c>
      <c r="G53" s="4">
        <v>1500</v>
      </c>
      <c r="I53" s="87"/>
      <c r="J53" s="88"/>
      <c r="K53" s="89"/>
      <c r="L53" s="90"/>
      <c r="M53" s="88"/>
      <c r="N53" s="87"/>
    </row>
    <row r="54" spans="1:14" x14ac:dyDescent="0.2">
      <c r="A54" s="47">
        <v>13201030</v>
      </c>
      <c r="B54" s="5" t="s">
        <v>445</v>
      </c>
      <c r="C54" s="91">
        <f t="shared" si="7"/>
        <v>0</v>
      </c>
      <c r="D54" s="91">
        <v>1</v>
      </c>
      <c r="E54" s="4">
        <v>0</v>
      </c>
      <c r="F54" s="4">
        <v>20</v>
      </c>
      <c r="G54" s="4">
        <v>1500</v>
      </c>
      <c r="I54" s="14" t="s">
        <v>466</v>
      </c>
      <c r="J54" s="57" cm="1">
        <f t="array" aca="1" ref="J54" ca="1">_xlfn.XLOOKUP(A54,INDIRECT($I54&amp;"!C1",0),INDIRECT(_xlfn.CONCAT($I54,"!C",_xlfn.XLOOKUP(I54,tb_sheetField[表名],tb_sheetField[生存等级-列])),0))</f>
        <v>0.26499999999999996</v>
      </c>
      <c r="K54" s="62">
        <f t="shared" ca="1" si="9"/>
        <v>1650</v>
      </c>
      <c r="L54" s="63">
        <v>1</v>
      </c>
      <c r="M54" s="57">
        <f t="shared" ca="1" si="8"/>
        <v>1670.1498647220137</v>
      </c>
      <c r="N54" s="14">
        <v>1500</v>
      </c>
    </row>
    <row r="55" spans="1:14" x14ac:dyDescent="0.2">
      <c r="A55" s="47">
        <v>13201031</v>
      </c>
      <c r="B55" s="5" t="s">
        <v>446</v>
      </c>
      <c r="C55" s="91">
        <f t="shared" si="7"/>
        <v>1</v>
      </c>
      <c r="D55" s="91">
        <v>1</v>
      </c>
      <c r="E55" s="4">
        <v>0</v>
      </c>
      <c r="F55" s="4">
        <v>20</v>
      </c>
      <c r="G55" s="4">
        <v>1500</v>
      </c>
      <c r="I55" s="14" t="s">
        <v>466</v>
      </c>
      <c r="J55" s="57" cm="1">
        <f t="array" aca="1" ref="J55" ca="1">_xlfn.XLOOKUP(A55,INDIRECT($I55&amp;"!C1",0),INDIRECT(_xlfn.CONCAT($I55,"!C",_xlfn.XLOOKUP(I55,tb_sheetField[表名],tb_sheetField[生存等级-列])),0))</f>
        <v>0.75499999999999989</v>
      </c>
      <c r="K55" s="62">
        <f t="shared" ca="1" si="9"/>
        <v>1730</v>
      </c>
      <c r="L55" s="63">
        <v>18</v>
      </c>
      <c r="M55" s="57">
        <f t="shared" ca="1" si="8"/>
        <v>2037.2304537223497</v>
      </c>
      <c r="N55" s="14">
        <v>1500</v>
      </c>
    </row>
    <row r="56" spans="1:14" x14ac:dyDescent="0.2">
      <c r="A56" s="47">
        <v>13201032</v>
      </c>
      <c r="B56" s="5" t="s">
        <v>447</v>
      </c>
      <c r="C56" s="91">
        <f t="shared" si="7"/>
        <v>2</v>
      </c>
      <c r="D56" s="91">
        <v>1</v>
      </c>
      <c r="E56" s="4">
        <v>0</v>
      </c>
      <c r="F56" s="4">
        <v>20</v>
      </c>
      <c r="G56" s="4">
        <v>1500</v>
      </c>
      <c r="I56" s="14" t="s">
        <v>466</v>
      </c>
      <c r="J56" s="57" cm="1">
        <f t="array" aca="1" ref="J56" ca="1">_xlfn.XLOOKUP(A56,INDIRECT($I56&amp;"!C1",0),INDIRECT(_xlfn.CONCAT($I56,"!C",_xlfn.XLOOKUP(I56,tb_sheetField[表名],tb_sheetField[生存等级-列])),0))</f>
        <v>1.335</v>
      </c>
      <c r="K56" s="62">
        <f t="shared" ca="1" si="9"/>
        <v>1850</v>
      </c>
      <c r="L56" s="63">
        <v>39</v>
      </c>
      <c r="M56" s="57">
        <f t="shared" ca="1" si="8"/>
        <v>2577.348165296838</v>
      </c>
      <c r="N56" s="14">
        <v>1500</v>
      </c>
    </row>
    <row r="57" spans="1:14" x14ac:dyDescent="0.2">
      <c r="A57" s="47">
        <v>13201033</v>
      </c>
      <c r="B57" s="5" t="s">
        <v>448</v>
      </c>
      <c r="C57" s="91">
        <f t="shared" si="7"/>
        <v>3</v>
      </c>
      <c r="D57" s="91">
        <v>1</v>
      </c>
      <c r="E57" s="4">
        <v>0</v>
      </c>
      <c r="F57" s="4">
        <v>20</v>
      </c>
      <c r="G57" s="4">
        <v>1500</v>
      </c>
      <c r="I57" s="14" t="s">
        <v>466</v>
      </c>
      <c r="J57" s="57" cm="1">
        <f t="array" aca="1" ref="J57" ca="1">_xlfn.XLOOKUP(A57,INDIRECT($I57&amp;"!C1",0),INDIRECT(_xlfn.CONCAT($I57,"!C",_xlfn.XLOOKUP(I57,tb_sheetField[表名],tb_sheetField[生存等级-列])),0))</f>
        <v>2.165</v>
      </c>
      <c r="K57" s="62">
        <f t="shared" ca="1" si="9"/>
        <v>1950</v>
      </c>
      <c r="L57" s="63">
        <v>85</v>
      </c>
      <c r="M57" s="57">
        <f t="shared" ca="1" si="8"/>
        <v>3608.5176587148185</v>
      </c>
      <c r="N57" s="14">
        <v>1500</v>
      </c>
    </row>
    <row r="58" spans="1:14" x14ac:dyDescent="0.2">
      <c r="A58" s="74">
        <v>1320104</v>
      </c>
      <c r="B58" s="5" t="s">
        <v>473</v>
      </c>
      <c r="C58" s="102" t="str">
        <f t="shared" si="7"/>
        <v>模板</v>
      </c>
      <c r="D58" s="102" t="s">
        <v>451</v>
      </c>
      <c r="E58" s="4">
        <v>0</v>
      </c>
      <c r="F58" s="4">
        <v>10</v>
      </c>
      <c r="G58" s="4">
        <v>1100</v>
      </c>
      <c r="I58" s="87"/>
      <c r="J58" s="88"/>
      <c r="K58" s="89"/>
      <c r="L58" s="90"/>
      <c r="M58" s="88"/>
      <c r="N58" s="87"/>
    </row>
    <row r="59" spans="1:14" x14ac:dyDescent="0.2">
      <c r="A59" s="47">
        <v>13201043</v>
      </c>
      <c r="B59" s="5" t="s">
        <v>475</v>
      </c>
      <c r="C59" s="91">
        <f t="shared" si="7"/>
        <v>3</v>
      </c>
      <c r="D59" s="91">
        <v>3</v>
      </c>
      <c r="E59" s="4">
        <v>0</v>
      </c>
      <c r="F59" s="4">
        <v>10</v>
      </c>
      <c r="G59" s="4">
        <v>1100</v>
      </c>
      <c r="I59" s="14" t="s">
        <v>466</v>
      </c>
      <c r="J59" s="57" cm="1">
        <f t="array" aca="1" ref="J59" ca="1">_xlfn.XLOOKUP(A59,INDIRECT($I59&amp;"!C1",0),INDIRECT(_xlfn.CONCAT($I59,"!C",_xlfn.XLOOKUP(I59,tb_sheetField[表名],tb_sheetField[生存等级-列])),0))</f>
        <v>3.5000000000000004</v>
      </c>
      <c r="K59" s="62">
        <f t="shared" ref="K59" ca="1" si="11">MROUND(M59/(1+L59*0.01),10)</f>
        <v>4960</v>
      </c>
      <c r="L59" s="63">
        <v>25</v>
      </c>
      <c r="M59" s="57">
        <f t="shared" ref="M59:M60" ca="1" si="12">$N59*1.5^$J59</f>
        <v>6200.2709114199206</v>
      </c>
      <c r="N59" s="14">
        <v>1500</v>
      </c>
    </row>
    <row r="60" spans="1:14" x14ac:dyDescent="0.2">
      <c r="A60" s="47">
        <v>13201044</v>
      </c>
      <c r="B60" s="5" t="s">
        <v>477</v>
      </c>
      <c r="C60" s="91">
        <f t="shared" si="7"/>
        <v>4</v>
      </c>
      <c r="D60" s="91">
        <v>3</v>
      </c>
      <c r="E60" s="4">
        <v>0</v>
      </c>
      <c r="F60" s="4">
        <v>10</v>
      </c>
      <c r="G60" s="4">
        <v>1100</v>
      </c>
      <c r="I60" s="14" t="s">
        <v>466</v>
      </c>
      <c r="J60" s="57" cm="1">
        <f t="array" aca="1" ref="J60" ca="1">_xlfn.XLOOKUP(A60,INDIRECT($I60&amp;"!C1",0),INDIRECT(_xlfn.CONCAT($I60,"!C",_xlfn.XLOOKUP(I60,tb_sheetField[表名],tb_sheetField[生存等级-列])),0))</f>
        <v>4.6199999999999992</v>
      </c>
      <c r="K60" s="62">
        <f t="shared" ref="K60" ca="1" si="13">MROUND(M60/(1+L60*0.01),10)</f>
        <v>6510</v>
      </c>
      <c r="L60" s="63">
        <v>50</v>
      </c>
      <c r="M60" s="57">
        <f t="shared" ca="1" si="12"/>
        <v>9764.1147768575283</v>
      </c>
      <c r="N60" s="14">
        <v>1500</v>
      </c>
    </row>
    <row r="61" spans="1:14" x14ac:dyDescent="0.2">
      <c r="A61" s="4">
        <v>1320105</v>
      </c>
      <c r="B61" s="5" t="s">
        <v>150</v>
      </c>
      <c r="E61" s="4">
        <v>200</v>
      </c>
      <c r="F61" s="4">
        <v>200</v>
      </c>
      <c r="G61" s="4">
        <v>3000</v>
      </c>
      <c r="K61" s="4">
        <v>2700</v>
      </c>
      <c r="L61" s="4">
        <v>0</v>
      </c>
    </row>
    <row r="62" spans="1:14" x14ac:dyDescent="0.2">
      <c r="A62" s="4">
        <v>1320106</v>
      </c>
      <c r="B62" s="5" t="s">
        <v>151</v>
      </c>
      <c r="E62" s="4">
        <v>0</v>
      </c>
      <c r="F62" s="4">
        <v>0</v>
      </c>
      <c r="G62" s="4">
        <v>1500</v>
      </c>
      <c r="K62" s="4">
        <v>1500</v>
      </c>
      <c r="L62" s="4">
        <v>0</v>
      </c>
    </row>
    <row r="63" spans="1:14" x14ac:dyDescent="0.2">
      <c r="A63" s="4">
        <v>1320107</v>
      </c>
      <c r="B63" s="44" t="s">
        <v>153</v>
      </c>
      <c r="C63" s="44"/>
      <c r="E63" s="4">
        <v>0</v>
      </c>
      <c r="K63" s="4">
        <v>1500</v>
      </c>
      <c r="L63" s="4">
        <v>0</v>
      </c>
    </row>
    <row r="64" spans="1:14" x14ac:dyDescent="0.2">
      <c r="A64" s="4">
        <v>1320108</v>
      </c>
      <c r="B64" s="5" t="s">
        <v>154</v>
      </c>
      <c r="E64" s="4">
        <v>0</v>
      </c>
      <c r="F64" s="4">
        <v>20</v>
      </c>
      <c r="G64" s="4">
        <v>1500</v>
      </c>
      <c r="K64" s="4">
        <v>2400</v>
      </c>
      <c r="L64" s="4">
        <v>0</v>
      </c>
    </row>
    <row r="65" spans="1:14" x14ac:dyDescent="0.2">
      <c r="A65" s="4">
        <v>1320109</v>
      </c>
      <c r="B65" s="44" t="s">
        <v>156</v>
      </c>
      <c r="C65" s="44"/>
      <c r="E65" s="4">
        <v>0</v>
      </c>
      <c r="F65" s="4">
        <v>500</v>
      </c>
      <c r="G65" s="4">
        <v>5000</v>
      </c>
      <c r="K65" s="4">
        <v>2400</v>
      </c>
      <c r="L65" s="4">
        <v>0</v>
      </c>
    </row>
    <row r="66" spans="1:14" x14ac:dyDescent="0.2">
      <c r="A66" s="4">
        <v>1320110</v>
      </c>
      <c r="B66" s="44" t="s">
        <v>351</v>
      </c>
      <c r="C66" s="44"/>
      <c r="E66" s="4">
        <v>0</v>
      </c>
      <c r="K66" s="4">
        <v>2400</v>
      </c>
      <c r="L66" s="4">
        <v>0</v>
      </c>
    </row>
    <row r="67" spans="1:14" x14ac:dyDescent="0.2">
      <c r="A67" s="4">
        <v>1320111</v>
      </c>
      <c r="B67" s="5" t="s">
        <v>157</v>
      </c>
      <c r="E67" s="4">
        <v>0</v>
      </c>
      <c r="F67" s="4">
        <v>20</v>
      </c>
      <c r="G67" s="4">
        <v>1500</v>
      </c>
      <c r="K67" s="4">
        <v>2400</v>
      </c>
      <c r="L67" s="4">
        <v>0</v>
      </c>
    </row>
    <row r="68" spans="1:14" x14ac:dyDescent="0.2">
      <c r="A68" s="74">
        <v>1320112</v>
      </c>
      <c r="B68" s="5" t="s">
        <v>450</v>
      </c>
      <c r="C68" s="102" t="str">
        <f>IF(A68&gt;=10000000,MOD(A68,10),"模板")</f>
        <v>模板</v>
      </c>
      <c r="D68" s="102" t="s">
        <v>451</v>
      </c>
      <c r="E68" s="4">
        <v>0</v>
      </c>
      <c r="F68" s="4">
        <v>100</v>
      </c>
      <c r="G68" s="4">
        <v>2000</v>
      </c>
      <c r="I68" s="87"/>
      <c r="J68" s="88"/>
      <c r="K68" s="89"/>
      <c r="L68" s="90"/>
      <c r="M68" s="88"/>
      <c r="N68" s="87"/>
    </row>
    <row r="69" spans="1:14" x14ac:dyDescent="0.2">
      <c r="A69" s="47">
        <v>13201120</v>
      </c>
      <c r="B69" s="5" t="s">
        <v>458</v>
      </c>
      <c r="C69" s="91">
        <f>IF(A69&gt;=10000000,MOD(A69,10),"模板")</f>
        <v>0</v>
      </c>
      <c r="D69" s="91">
        <v>2</v>
      </c>
      <c r="E69" s="4">
        <v>0</v>
      </c>
      <c r="F69" s="4">
        <v>100</v>
      </c>
      <c r="G69" s="4">
        <v>2000</v>
      </c>
      <c r="I69" s="14" t="s">
        <v>466</v>
      </c>
      <c r="J69" s="57" cm="1">
        <f t="array" aca="1" ref="J69" ca="1">_xlfn.XLOOKUP(A69,INDIRECT($I69&amp;"!C1",0),INDIRECT(_xlfn.CONCAT($I69,"!C",_xlfn.XLOOKUP(I69,tb_sheetField[表名],tb_sheetField[生存等级-列])),0))</f>
        <v>-1.0099999999999998</v>
      </c>
      <c r="K69" s="62">
        <f t="shared" ref="K69:K71" ca="1" si="14">MROUND(M69/(1+L69*0.01),10)</f>
        <v>1000</v>
      </c>
      <c r="L69" s="63">
        <v>0</v>
      </c>
      <c r="M69" s="57">
        <f t="shared" ref="M69:M71" ca="1" si="15">$N69*1.5^$J69</f>
        <v>995.95355791798966</v>
      </c>
      <c r="N69" s="14">
        <v>1500</v>
      </c>
    </row>
    <row r="70" spans="1:14" x14ac:dyDescent="0.2">
      <c r="A70" s="47">
        <v>13201121</v>
      </c>
      <c r="B70" s="5" t="s">
        <v>459</v>
      </c>
      <c r="C70" s="91">
        <f>IF(A70&gt;=10000000,MOD(A70,10),"模板")</f>
        <v>1</v>
      </c>
      <c r="D70" s="91">
        <v>2</v>
      </c>
      <c r="E70" s="4">
        <v>0</v>
      </c>
      <c r="F70" s="4">
        <v>150</v>
      </c>
      <c r="G70" s="4">
        <v>2200</v>
      </c>
      <c r="I70" s="14" t="s">
        <v>466</v>
      </c>
      <c r="J70" s="57" cm="1">
        <f t="array" aca="1" ref="J70" ca="1">_xlfn.XLOOKUP(A70,INDIRECT($I70&amp;"!C1",0),INDIRECT(_xlfn.CONCAT($I70,"!C",_xlfn.XLOOKUP(I70,tb_sheetField[表名],tb_sheetField[生存等级-列])),0))</f>
        <v>-5.9999999999999831E-2</v>
      </c>
      <c r="K70" s="62">
        <f t="shared" ca="1" si="14"/>
        <v>1330</v>
      </c>
      <c r="L70" s="63">
        <v>10</v>
      </c>
      <c r="M70" s="57">
        <f t="shared" ca="1" si="15"/>
        <v>1463.9484477325443</v>
      </c>
      <c r="N70" s="14">
        <v>1500</v>
      </c>
    </row>
    <row r="71" spans="1:14" x14ac:dyDescent="0.2">
      <c r="A71" s="47">
        <v>13201122</v>
      </c>
      <c r="B71" s="5" t="s">
        <v>460</v>
      </c>
      <c r="C71" s="91">
        <f>IF(A71&gt;=10000000,MOD(A71,10),"模板")</f>
        <v>2</v>
      </c>
      <c r="D71" s="91">
        <v>2</v>
      </c>
      <c r="E71" s="4">
        <v>0</v>
      </c>
      <c r="F71" s="4">
        <v>200</v>
      </c>
      <c r="G71" s="4">
        <v>2400</v>
      </c>
      <c r="I71" s="14" t="s">
        <v>466</v>
      </c>
      <c r="J71" s="57" cm="1">
        <f t="array" aca="1" ref="J71" ca="1">_xlfn.XLOOKUP(A71,INDIRECT($I71&amp;"!C1",0),INDIRECT(_xlfn.CONCAT($I71,"!C",_xlfn.XLOOKUP(I71,tb_sheetField[表名],tb_sheetField[生存等级-列])),0))</f>
        <v>0.66999999999999982</v>
      </c>
      <c r="K71" s="62">
        <f t="shared" ca="1" si="14"/>
        <v>1610</v>
      </c>
      <c r="L71" s="63">
        <v>22</v>
      </c>
      <c r="M71" s="57">
        <f t="shared" ca="1" si="15"/>
        <v>1968.2143896767336</v>
      </c>
      <c r="N71" s="14">
        <v>1500</v>
      </c>
    </row>
    <row r="72" spans="1:14" x14ac:dyDescent="0.2">
      <c r="A72" s="4">
        <v>1320113</v>
      </c>
      <c r="B72" s="5" t="s">
        <v>158</v>
      </c>
      <c r="E72" s="4">
        <v>300</v>
      </c>
      <c r="F72" s="4">
        <v>200</v>
      </c>
      <c r="G72" s="4">
        <v>3000</v>
      </c>
      <c r="K72" s="4">
        <v>3000</v>
      </c>
      <c r="L72" s="4">
        <v>0</v>
      </c>
    </row>
    <row r="73" spans="1:14" x14ac:dyDescent="0.2">
      <c r="A73" s="4">
        <v>1320114</v>
      </c>
      <c r="B73" s="5" t="s">
        <v>161</v>
      </c>
      <c r="E73" s="4">
        <v>500</v>
      </c>
      <c r="F73" s="4">
        <v>10</v>
      </c>
      <c r="G73" s="4">
        <v>1100</v>
      </c>
      <c r="K73" s="4">
        <v>5400</v>
      </c>
      <c r="L73" s="4">
        <v>3</v>
      </c>
    </row>
    <row r="74" spans="1:14" x14ac:dyDescent="0.2">
      <c r="A74" s="4">
        <v>1320115</v>
      </c>
      <c r="B74" s="5" t="s">
        <v>163</v>
      </c>
      <c r="E74" s="4">
        <v>500</v>
      </c>
      <c r="F74" s="4">
        <v>10</v>
      </c>
      <c r="G74" s="4">
        <v>1100</v>
      </c>
      <c r="K74" s="4">
        <v>2100</v>
      </c>
      <c r="L74" s="4">
        <v>0</v>
      </c>
    </row>
    <row r="75" spans="1:14" x14ac:dyDescent="0.2">
      <c r="A75" s="4">
        <v>1321101</v>
      </c>
      <c r="B75" s="5" t="s">
        <v>166</v>
      </c>
      <c r="E75" s="4">
        <v>0</v>
      </c>
      <c r="F75" s="4">
        <v>20</v>
      </c>
      <c r="G75" s="4">
        <v>1500</v>
      </c>
      <c r="K75" s="4">
        <v>1800</v>
      </c>
      <c r="L75" s="4">
        <v>0</v>
      </c>
    </row>
    <row r="76" spans="1:14" x14ac:dyDescent="0.2">
      <c r="A76" s="4">
        <v>1321102</v>
      </c>
      <c r="B76" s="5" t="s">
        <v>167</v>
      </c>
      <c r="E76" s="4">
        <v>0</v>
      </c>
      <c r="F76" s="4">
        <v>20</v>
      </c>
      <c r="G76" s="4">
        <v>1500</v>
      </c>
      <c r="K76" s="4">
        <v>2400</v>
      </c>
      <c r="L76" s="4">
        <v>0</v>
      </c>
    </row>
    <row r="77" spans="1:14" x14ac:dyDescent="0.2">
      <c r="A77" s="4">
        <v>1329000</v>
      </c>
      <c r="B77" s="5" t="s">
        <v>402</v>
      </c>
      <c r="E77" s="4">
        <v>0</v>
      </c>
      <c r="F77" s="4">
        <v>20</v>
      </c>
      <c r="G77" s="4">
        <v>1500</v>
      </c>
      <c r="K77" s="4">
        <v>1800</v>
      </c>
      <c r="L77" s="4">
        <v>0</v>
      </c>
    </row>
    <row r="78" spans="1:14" x14ac:dyDescent="0.2">
      <c r="A78" s="4">
        <v>1329001</v>
      </c>
      <c r="B78" s="5" t="s">
        <v>403</v>
      </c>
      <c r="C78" s="5" t="s">
        <v>451</v>
      </c>
      <c r="E78" s="4">
        <v>0</v>
      </c>
      <c r="F78" s="4">
        <v>100</v>
      </c>
      <c r="G78" s="4">
        <v>2000</v>
      </c>
      <c r="I78" s="87"/>
      <c r="J78" s="88"/>
      <c r="K78" s="89"/>
      <c r="L78" s="90"/>
      <c r="M78" s="88"/>
      <c r="N78" s="87"/>
    </row>
    <row r="79" spans="1:14" x14ac:dyDescent="0.2">
      <c r="A79" s="4">
        <v>130002007</v>
      </c>
      <c r="B79" s="5" t="s">
        <v>401</v>
      </c>
      <c r="K79" s="4">
        <v>3600</v>
      </c>
    </row>
    <row r="80" spans="1:14" x14ac:dyDescent="0.2">
      <c r="K80" s="4" t="s">
        <v>378</v>
      </c>
    </row>
    <row r="82" spans="1:14" x14ac:dyDescent="0.2">
      <c r="A82" s="74">
        <v>1330101</v>
      </c>
      <c r="B82" s="5" t="s">
        <v>567</v>
      </c>
      <c r="C82" s="102" t="str">
        <f>IF(A82&gt;=10000000,MOD(A82,10),"模板")</f>
        <v>模板</v>
      </c>
      <c r="D82" s="102" t="s">
        <v>451</v>
      </c>
      <c r="E82" s="4">
        <v>0</v>
      </c>
      <c r="F82" s="4">
        <v>0</v>
      </c>
      <c r="G82" s="4">
        <v>1000</v>
      </c>
      <c r="I82" s="87"/>
      <c r="J82" s="88"/>
      <c r="K82" s="89"/>
      <c r="L82" s="90"/>
      <c r="M82" s="88"/>
      <c r="N82" s="87"/>
    </row>
    <row r="83" spans="1:14" x14ac:dyDescent="0.2">
      <c r="A83" s="47">
        <v>13301012</v>
      </c>
      <c r="B83" s="5" t="s">
        <v>568</v>
      </c>
      <c r="C83" s="91">
        <f>IF(A83&gt;=10000000,MOD(A83,10),"模板")</f>
        <v>2</v>
      </c>
      <c r="D83" s="91">
        <v>1</v>
      </c>
      <c r="E83" s="4">
        <v>0</v>
      </c>
      <c r="F83" s="4">
        <v>0</v>
      </c>
      <c r="G83" s="4">
        <v>1000</v>
      </c>
      <c r="I83" s="14" t="s">
        <v>505</v>
      </c>
      <c r="J83" s="57" cm="1">
        <f t="array" aca="1" ref="J83" ca="1">_xlfn.XLOOKUP(A83,INDIRECT($I83&amp;"!C1",0),INDIRECT(_xlfn.CONCAT($I83,"!C",_xlfn.XLOOKUP(I83,tb_sheetField[表名],tb_sheetField[生存等级-列])),0))</f>
        <v>0.70000000000000007</v>
      </c>
      <c r="K83" s="62">
        <f t="shared" ref="K83" ca="1" si="16">MROUND(M83/(1+L83*0.01),10)</f>
        <v>1990</v>
      </c>
      <c r="L83" s="63">
        <v>0</v>
      </c>
      <c r="M83" s="57">
        <f t="shared" ref="M83:M85" ca="1" si="17">$N83*1.5^$J83</f>
        <v>1992.3018599150014</v>
      </c>
      <c r="N83" s="14">
        <v>1500</v>
      </c>
    </row>
    <row r="84" spans="1:14" x14ac:dyDescent="0.2">
      <c r="A84" s="47">
        <v>13301013</v>
      </c>
      <c r="B84" s="5" t="s">
        <v>569</v>
      </c>
      <c r="C84" s="91">
        <f>IF(A84&gt;=10000000,MOD(A84,10),"模板")</f>
        <v>3</v>
      </c>
      <c r="D84" s="91">
        <v>1</v>
      </c>
      <c r="E84" s="4">
        <v>0</v>
      </c>
      <c r="F84" s="4">
        <v>0</v>
      </c>
      <c r="G84" s="4">
        <v>1000</v>
      </c>
      <c r="I84" s="14" t="s">
        <v>505</v>
      </c>
      <c r="J84" s="57" cm="1">
        <f t="array" aca="1" ref="J84" ca="1">_xlfn.XLOOKUP(A84,INDIRECT($I84&amp;"!C1",0),INDIRECT(_xlfn.CONCAT($I84,"!C",_xlfn.XLOOKUP(I84,tb_sheetField[表名],tb_sheetField[生存等级-列])),0))</f>
        <v>1.4100000000000001</v>
      </c>
      <c r="K84" s="62">
        <f t="shared" ref="K84" ca="1" si="18">MROUND(M84/(1+L84*0.01),10)</f>
        <v>2630</v>
      </c>
      <c r="L84" s="63">
        <v>1</v>
      </c>
      <c r="M84" s="57">
        <f t="shared" ca="1" si="17"/>
        <v>2656.9289096293501</v>
      </c>
      <c r="N84" s="14">
        <v>1500</v>
      </c>
    </row>
    <row r="85" spans="1:14" x14ac:dyDescent="0.2">
      <c r="A85" s="47">
        <v>13301014</v>
      </c>
      <c r="B85" s="5" t="s">
        <v>570</v>
      </c>
      <c r="C85" s="91">
        <f>IF(A85&gt;=10000000,MOD(A85,10),"模板")</f>
        <v>4</v>
      </c>
      <c r="D85" s="91">
        <v>1</v>
      </c>
      <c r="E85" s="4">
        <v>0</v>
      </c>
      <c r="F85" s="4">
        <v>0</v>
      </c>
      <c r="G85" s="4">
        <v>1000</v>
      </c>
      <c r="I85" s="14" t="s">
        <v>505</v>
      </c>
      <c r="J85" s="57" cm="1">
        <f t="array" aca="1" ref="J85" ca="1">_xlfn.XLOOKUP(A85,INDIRECT($I85&amp;"!C1",0),INDIRECT(_xlfn.CONCAT($I85,"!C",_xlfn.XLOOKUP(I85,tb_sheetField[表名],tb_sheetField[生存等级-列])),0))</f>
        <v>2.2200000000000002</v>
      </c>
      <c r="K85" s="62">
        <f t="shared" ref="K85" ca="1" si="19">MROUND(M85/(1+L85*0.01),10)</f>
        <v>3580</v>
      </c>
      <c r="L85" s="63">
        <v>3</v>
      </c>
      <c r="M85" s="57">
        <f t="shared" ca="1" si="17"/>
        <v>3689.8936928374583</v>
      </c>
      <c r="N85" s="14">
        <v>1500</v>
      </c>
    </row>
    <row r="86" spans="1:14" x14ac:dyDescent="0.2">
      <c r="A86" s="4">
        <v>1330102</v>
      </c>
      <c r="B86" s="5" t="s">
        <v>261</v>
      </c>
      <c r="E86" s="4">
        <v>800</v>
      </c>
      <c r="F86" s="4">
        <v>0</v>
      </c>
      <c r="G86" s="4">
        <v>1500</v>
      </c>
      <c r="K86" s="4">
        <v>2400</v>
      </c>
      <c r="L86" s="4">
        <v>1</v>
      </c>
    </row>
    <row r="87" spans="1:14" x14ac:dyDescent="0.2">
      <c r="A87" s="4">
        <v>1330103</v>
      </c>
      <c r="B87" s="5" t="s">
        <v>352</v>
      </c>
      <c r="K87" s="4">
        <v>5400</v>
      </c>
      <c r="L87" s="4">
        <v>2</v>
      </c>
    </row>
    <row r="88" spans="1:14" x14ac:dyDescent="0.2">
      <c r="A88" s="4">
        <v>1330104</v>
      </c>
      <c r="B88" s="5" t="s">
        <v>170</v>
      </c>
      <c r="K88" s="4">
        <v>5400</v>
      </c>
      <c r="L88" s="4">
        <v>3</v>
      </c>
    </row>
    <row r="89" spans="1:14" x14ac:dyDescent="0.2">
      <c r="A89" s="4">
        <v>1330105</v>
      </c>
      <c r="B89" s="5" t="s">
        <v>353</v>
      </c>
      <c r="K89" s="4">
        <v>3000</v>
      </c>
    </row>
    <row r="90" spans="1:14" x14ac:dyDescent="0.2">
      <c r="A90" s="4">
        <v>1330107</v>
      </c>
      <c r="B90" s="5" t="s">
        <v>354</v>
      </c>
      <c r="K90" s="4">
        <v>2100</v>
      </c>
      <c r="L90" s="4">
        <v>0</v>
      </c>
    </row>
    <row r="91" spans="1:14" x14ac:dyDescent="0.2">
      <c r="A91" s="74">
        <v>1330106</v>
      </c>
      <c r="B91" s="5" t="s">
        <v>571</v>
      </c>
      <c r="C91" s="102" t="str">
        <f t="shared" ref="C91:C96" si="20">IF(A91&gt;=10000000,MOD(A91,10),"模板")</f>
        <v>模板</v>
      </c>
      <c r="D91" s="102" t="s">
        <v>451</v>
      </c>
      <c r="E91" s="4">
        <v>0</v>
      </c>
      <c r="F91" s="4">
        <v>0</v>
      </c>
      <c r="G91" s="4">
        <v>1000</v>
      </c>
      <c r="I91" s="87"/>
      <c r="J91" s="88"/>
      <c r="K91" s="89"/>
      <c r="L91" s="90"/>
      <c r="M91" s="88"/>
      <c r="N91" s="87"/>
    </row>
    <row r="92" spans="1:14" x14ac:dyDescent="0.2">
      <c r="A92" s="47">
        <v>13301060</v>
      </c>
      <c r="B92" s="5" t="s">
        <v>572</v>
      </c>
      <c r="C92" s="91">
        <f t="shared" si="20"/>
        <v>0</v>
      </c>
      <c r="D92" s="91">
        <v>1</v>
      </c>
      <c r="E92" s="4">
        <v>0</v>
      </c>
      <c r="F92" s="4">
        <v>0</v>
      </c>
      <c r="G92" s="4">
        <v>1000</v>
      </c>
      <c r="I92" s="14" t="s">
        <v>505</v>
      </c>
      <c r="J92" s="57" cm="1">
        <f t="array" aca="1" ref="J92" ca="1">_xlfn.XLOOKUP(A92,INDIRECT($I92&amp;"!C1",0),INDIRECT(_xlfn.CONCAT($I92,"!C",_xlfn.XLOOKUP(I92,tb_sheetField[表名],tb_sheetField[生存等级-列])),0))</f>
        <v>-0.37000000000000011</v>
      </c>
      <c r="K92" s="62">
        <f t="shared" ref="K92:K93" ca="1" si="21">MROUND(M92/(1+L92*0.01),10)</f>
        <v>1290</v>
      </c>
      <c r="L92" s="63">
        <v>0</v>
      </c>
      <c r="M92" s="57">
        <f t="shared" ref="M92:M96" ca="1" si="22">$N92*1.5^$J92</f>
        <v>1291.0334453937571</v>
      </c>
      <c r="N92" s="14">
        <v>1500</v>
      </c>
    </row>
    <row r="93" spans="1:14" x14ac:dyDescent="0.2">
      <c r="A93" s="47">
        <v>13301061</v>
      </c>
      <c r="B93" s="5" t="s">
        <v>573</v>
      </c>
      <c r="C93" s="91">
        <f t="shared" si="20"/>
        <v>1</v>
      </c>
      <c r="D93" s="91">
        <v>1</v>
      </c>
      <c r="E93" s="4">
        <v>0</v>
      </c>
      <c r="F93" s="4">
        <v>0</v>
      </c>
      <c r="G93" s="4">
        <v>1000</v>
      </c>
      <c r="I93" s="14" t="s">
        <v>505</v>
      </c>
      <c r="J93" s="57" cm="1">
        <f t="array" aca="1" ref="J93" ca="1">_xlfn.XLOOKUP(A93,INDIRECT($I93&amp;"!C1",0),INDIRECT(_xlfn.CONCAT($I93,"!C",_xlfn.XLOOKUP(I93,tb_sheetField[表名],tb_sheetField[生存等级-列])),0))</f>
        <v>-8.0000000000000071E-2</v>
      </c>
      <c r="K93" s="62">
        <f t="shared" ca="1" si="21"/>
        <v>1450</v>
      </c>
      <c r="L93" s="63">
        <v>0</v>
      </c>
      <c r="M93" s="57">
        <f t="shared" ca="1" si="22"/>
        <v>1452.124852766163</v>
      </c>
      <c r="N93" s="14">
        <v>1500</v>
      </c>
    </row>
    <row r="94" spans="1:14" x14ac:dyDescent="0.2">
      <c r="A94" s="47">
        <v>13301062</v>
      </c>
      <c r="B94" s="5" t="s">
        <v>574</v>
      </c>
      <c r="C94" s="91">
        <f t="shared" si="20"/>
        <v>2</v>
      </c>
      <c r="D94" s="91">
        <v>1</v>
      </c>
      <c r="E94" s="4">
        <v>0</v>
      </c>
      <c r="F94" s="4">
        <v>0</v>
      </c>
      <c r="G94" s="4">
        <v>1000</v>
      </c>
      <c r="I94" s="14" t="s">
        <v>505</v>
      </c>
      <c r="J94" s="57" cm="1">
        <f t="array" aca="1" ref="J94" ca="1">_xlfn.XLOOKUP(A94,INDIRECT($I94&amp;"!C1",0),INDIRECT(_xlfn.CONCAT($I94,"!C",_xlfn.XLOOKUP(I94,tb_sheetField[表名],tb_sheetField[生存等级-列])),0))</f>
        <v>0.91999999999999993</v>
      </c>
      <c r="K94" s="62">
        <f t="shared" ref="K94:K95" ca="1" si="23">MROUND(M94/(1+L94*0.01),10)</f>
        <v>2180</v>
      </c>
      <c r="L94" s="63">
        <v>0</v>
      </c>
      <c r="M94" s="57">
        <f t="shared" ca="1" si="22"/>
        <v>2178.1872791492447</v>
      </c>
      <c r="N94" s="14">
        <v>1500</v>
      </c>
    </row>
    <row r="95" spans="1:14" x14ac:dyDescent="0.2">
      <c r="A95" s="47">
        <v>13301063</v>
      </c>
      <c r="B95" s="5" t="s">
        <v>575</v>
      </c>
      <c r="C95" s="91">
        <f t="shared" si="20"/>
        <v>3</v>
      </c>
      <c r="D95" s="91">
        <v>1</v>
      </c>
      <c r="E95" s="4">
        <v>0</v>
      </c>
      <c r="F95" s="4">
        <v>0</v>
      </c>
      <c r="G95" s="4">
        <v>1000</v>
      </c>
      <c r="I95" s="14" t="s">
        <v>505</v>
      </c>
      <c r="J95" s="57" cm="1">
        <f t="array" aca="1" ref="J95" ca="1">_xlfn.XLOOKUP(A95,INDIRECT($I95&amp;"!C1",0),INDIRECT(_xlfn.CONCAT($I95,"!C",_xlfn.XLOOKUP(I95,tb_sheetField[表名],tb_sheetField[生存等级-列])),0))</f>
        <v>1.92</v>
      </c>
      <c r="K95" s="62">
        <f t="shared" ca="1" si="23"/>
        <v>3270</v>
      </c>
      <c r="L95" s="63">
        <v>0</v>
      </c>
      <c r="M95" s="57">
        <f t="shared" ca="1" si="22"/>
        <v>3267.2809187238668</v>
      </c>
      <c r="N95" s="14">
        <v>1500</v>
      </c>
    </row>
    <row r="96" spans="1:14" x14ac:dyDescent="0.2">
      <c r="A96" s="47">
        <v>13301064</v>
      </c>
      <c r="B96" s="5" t="s">
        <v>576</v>
      </c>
      <c r="C96" s="91">
        <f t="shared" si="20"/>
        <v>4</v>
      </c>
      <c r="D96" s="91">
        <v>1</v>
      </c>
      <c r="E96" s="4">
        <v>0</v>
      </c>
      <c r="F96" s="4">
        <v>0</v>
      </c>
      <c r="G96" s="4">
        <v>1000</v>
      </c>
      <c r="I96" s="14" t="s">
        <v>505</v>
      </c>
      <c r="J96" s="57" cm="1">
        <f t="array" aca="1" ref="J96" ca="1">_xlfn.XLOOKUP(A96,INDIRECT($I96&amp;"!C1",0),INDIRECT(_xlfn.CONCAT($I96,"!C",_xlfn.XLOOKUP(I96,tb_sheetField[表名],tb_sheetField[生存等级-列])),0))</f>
        <v>2.92</v>
      </c>
      <c r="K96" s="62">
        <f t="shared" ref="K96" ca="1" si="24">MROUND(M96/(1+L96*0.01),10)</f>
        <v>4900</v>
      </c>
      <c r="L96" s="63">
        <v>0</v>
      </c>
      <c r="M96" s="57">
        <f t="shared" ca="1" si="22"/>
        <v>4900.9213780858008</v>
      </c>
      <c r="N96" s="14">
        <v>1500</v>
      </c>
    </row>
    <row r="97" spans="1:14" x14ac:dyDescent="0.2">
      <c r="A97" s="4">
        <v>1330108</v>
      </c>
      <c r="B97" s="5" t="s">
        <v>355</v>
      </c>
      <c r="K97" s="4">
        <v>2100</v>
      </c>
      <c r="L97" s="4">
        <v>0</v>
      </c>
    </row>
    <row r="98" spans="1:14" x14ac:dyDescent="0.2">
      <c r="A98" s="4">
        <v>1330109</v>
      </c>
      <c r="B98" s="5" t="s">
        <v>356</v>
      </c>
      <c r="K98" s="4">
        <v>2100</v>
      </c>
      <c r="L98" s="4">
        <v>0</v>
      </c>
    </row>
    <row r="99" spans="1:14" x14ac:dyDescent="0.2">
      <c r="A99" s="4">
        <v>1330110</v>
      </c>
      <c r="B99" s="5" t="s">
        <v>357</v>
      </c>
      <c r="K99" s="4">
        <v>2100</v>
      </c>
      <c r="L99" s="4">
        <v>0</v>
      </c>
    </row>
    <row r="100" spans="1:14" x14ac:dyDescent="0.2">
      <c r="A100" s="4">
        <v>1330111</v>
      </c>
      <c r="B100" s="5" t="s">
        <v>358</v>
      </c>
      <c r="K100" s="4">
        <v>2100</v>
      </c>
      <c r="L100" s="4">
        <v>0</v>
      </c>
    </row>
    <row r="101" spans="1:14" x14ac:dyDescent="0.2">
      <c r="A101" s="4">
        <v>1330112</v>
      </c>
      <c r="B101" s="5" t="s">
        <v>168</v>
      </c>
      <c r="K101" s="4">
        <v>2100</v>
      </c>
      <c r="L101" s="4">
        <v>0</v>
      </c>
    </row>
    <row r="102" spans="1:14" x14ac:dyDescent="0.2">
      <c r="A102" s="4">
        <v>1330113</v>
      </c>
      <c r="B102" s="5" t="s">
        <v>359</v>
      </c>
      <c r="K102" s="4">
        <v>2100</v>
      </c>
      <c r="L102" s="4">
        <v>0</v>
      </c>
    </row>
    <row r="103" spans="1:14" x14ac:dyDescent="0.2">
      <c r="A103" s="4">
        <v>1330128</v>
      </c>
      <c r="B103" s="5" t="s">
        <v>299</v>
      </c>
      <c r="K103" s="4">
        <v>2100</v>
      </c>
      <c r="L103" s="4">
        <v>0</v>
      </c>
    </row>
    <row r="104" spans="1:14" x14ac:dyDescent="0.2">
      <c r="A104" s="4">
        <v>1330129</v>
      </c>
      <c r="B104" s="5" t="s">
        <v>360</v>
      </c>
      <c r="K104" s="4">
        <v>2100</v>
      </c>
      <c r="L104" s="4">
        <v>0</v>
      </c>
    </row>
    <row r="105" spans="1:14" x14ac:dyDescent="0.2">
      <c r="A105" s="4">
        <v>130003002</v>
      </c>
      <c r="B105" s="5" t="s">
        <v>361</v>
      </c>
      <c r="K105" s="4">
        <v>3000</v>
      </c>
    </row>
    <row r="106" spans="1:14" x14ac:dyDescent="0.2">
      <c r="A106" s="4">
        <v>130003003</v>
      </c>
      <c r="B106" s="5" t="s">
        <v>362</v>
      </c>
      <c r="K106" s="4">
        <v>3000</v>
      </c>
    </row>
    <row r="107" spans="1:14" x14ac:dyDescent="0.2">
      <c r="A107" s="4">
        <v>130003004</v>
      </c>
      <c r="B107" s="5" t="s">
        <v>363</v>
      </c>
      <c r="K107" s="4">
        <v>3000</v>
      </c>
    </row>
    <row r="108" spans="1:14" x14ac:dyDescent="0.2">
      <c r="A108" s="4">
        <v>130003005</v>
      </c>
      <c r="B108" s="5" t="s">
        <v>364</v>
      </c>
      <c r="K108" s="4">
        <v>3000</v>
      </c>
    </row>
    <row r="109" spans="1:14" x14ac:dyDescent="0.2">
      <c r="A109" s="4">
        <v>130003006</v>
      </c>
      <c r="B109" s="5" t="s">
        <v>365</v>
      </c>
      <c r="K109" s="4">
        <v>3000</v>
      </c>
    </row>
    <row r="110" spans="1:14" x14ac:dyDescent="0.2">
      <c r="A110" s="4">
        <v>130003007</v>
      </c>
      <c r="B110" s="5" t="s">
        <v>366</v>
      </c>
      <c r="K110" s="4">
        <v>3000</v>
      </c>
    </row>
    <row r="111" spans="1:14" x14ac:dyDescent="0.2">
      <c r="A111" s="74">
        <v>1331801</v>
      </c>
      <c r="B111" s="5" t="s">
        <v>442</v>
      </c>
      <c r="C111" s="102" t="str">
        <f>IF(A111&gt;=10000000,MOD(A111,10),"模板")</f>
        <v>模板</v>
      </c>
      <c r="D111" s="102" t="s">
        <v>451</v>
      </c>
      <c r="E111" s="4">
        <v>333</v>
      </c>
      <c r="F111" s="4">
        <v>333</v>
      </c>
      <c r="G111" s="4">
        <v>1020</v>
      </c>
      <c r="I111" s="87"/>
      <c r="J111" s="88"/>
      <c r="K111" s="89"/>
      <c r="L111" s="90"/>
      <c r="M111" s="88"/>
      <c r="N111" s="87"/>
    </row>
    <row r="112" spans="1:14" x14ac:dyDescent="0.2">
      <c r="A112" s="47">
        <v>13318012</v>
      </c>
      <c r="B112" s="5" t="s">
        <v>480</v>
      </c>
      <c r="C112" s="91">
        <f>IF(A112&gt;=10000000,MOD(A112,10),"模板")</f>
        <v>2</v>
      </c>
      <c r="D112" s="91">
        <v>2</v>
      </c>
      <c r="E112" s="4">
        <v>333</v>
      </c>
      <c r="F112" s="4">
        <v>333</v>
      </c>
      <c r="G112" s="4">
        <v>1020</v>
      </c>
      <c r="I112" s="14" t="s">
        <v>505</v>
      </c>
      <c r="J112" s="57" cm="1">
        <f t="array" aca="1" ref="J112" ca="1">_xlfn.XLOOKUP(A112,INDIRECT($I112&amp;"!C1",0),INDIRECT(_xlfn.CONCAT($I112,"!C",_xlfn.XLOOKUP(I112,tb_sheetField[表名],tb_sheetField[生存等级-列])),0))</f>
        <v>1.8199999999999998</v>
      </c>
      <c r="K112" s="62">
        <f t="shared" ref="K112" ca="1" si="25">MROUND(M112/(1+L112*0.01),10)</f>
        <v>2090</v>
      </c>
      <c r="L112" s="63">
        <v>50</v>
      </c>
      <c r="M112" s="57">
        <f t="shared" ref="M112:M114" ca="1" si="26">$N112*1.5^$J112</f>
        <v>3137.4538803663136</v>
      </c>
      <c r="N112" s="14">
        <v>1500</v>
      </c>
    </row>
    <row r="113" spans="1:14" x14ac:dyDescent="0.2">
      <c r="A113" s="47">
        <v>13318013</v>
      </c>
      <c r="B113" s="5" t="s">
        <v>481</v>
      </c>
      <c r="C113" s="91">
        <f>IF(A113&gt;=10000000,MOD(A113,10),"模板")</f>
        <v>3</v>
      </c>
      <c r="D113" s="91">
        <v>2</v>
      </c>
      <c r="E113" s="4">
        <v>333</v>
      </c>
      <c r="F113" s="4">
        <v>333</v>
      </c>
      <c r="G113" s="4">
        <v>1020</v>
      </c>
      <c r="I113" s="14" t="s">
        <v>505</v>
      </c>
      <c r="J113" s="57" cm="1">
        <f t="array" aca="1" ref="J113" ca="1">_xlfn.XLOOKUP(A113,INDIRECT($I113&amp;"!C1",0),INDIRECT(_xlfn.CONCAT($I113,"!C",_xlfn.XLOOKUP(I113,tb_sheetField[表名],tb_sheetField[生存等级-列])),0))</f>
        <v>2.75</v>
      </c>
      <c r="K113" s="62">
        <f t="shared" ref="K113" ca="1" si="27">MROUND(M113/(1+L113*0.01),10)</f>
        <v>2860</v>
      </c>
      <c r="L113" s="63">
        <v>60</v>
      </c>
      <c r="M113" s="57">
        <f t="shared" ca="1" si="26"/>
        <v>4574.4851432748392</v>
      </c>
      <c r="N113" s="14">
        <v>1500</v>
      </c>
    </row>
    <row r="114" spans="1:14" x14ac:dyDescent="0.2">
      <c r="A114" s="47">
        <v>13318014</v>
      </c>
      <c r="B114" s="5" t="s">
        <v>482</v>
      </c>
      <c r="C114" s="91">
        <f>IF(A114&gt;=10000000,MOD(A114,10),"模板")</f>
        <v>4</v>
      </c>
      <c r="D114" s="91">
        <v>2</v>
      </c>
      <c r="E114" s="4">
        <v>333</v>
      </c>
      <c r="F114" s="4">
        <v>333</v>
      </c>
      <c r="G114" s="4">
        <v>1020</v>
      </c>
      <c r="I114" s="14" t="s">
        <v>505</v>
      </c>
      <c r="J114" s="57" cm="1">
        <f t="array" aca="1" ref="J114" ca="1">_xlfn.XLOOKUP(A114,INDIRECT($I114&amp;"!C1",0),INDIRECT(_xlfn.CONCAT($I114,"!C",_xlfn.XLOOKUP(I114,tb_sheetField[表名],tb_sheetField[生存等级-列])),0))</f>
        <v>3.75</v>
      </c>
      <c r="K114" s="62">
        <f t="shared" ref="K114" ca="1" si="28">MROUND(M114/(1+L114*0.01),10)</f>
        <v>4040</v>
      </c>
      <c r="L114" s="63">
        <v>70</v>
      </c>
      <c r="M114" s="57">
        <f t="shared" ca="1" si="26"/>
        <v>6861.7277149122592</v>
      </c>
      <c r="N114" s="14">
        <v>1500</v>
      </c>
    </row>
    <row r="116" spans="1:14" x14ac:dyDescent="0.2">
      <c r="K116" s="4" t="s">
        <v>378</v>
      </c>
    </row>
    <row r="117" spans="1:14" x14ac:dyDescent="0.2">
      <c r="A117" s="4">
        <v>1340101</v>
      </c>
      <c r="B117" s="5" t="s">
        <v>281</v>
      </c>
      <c r="G117" s="4">
        <v>1000</v>
      </c>
      <c r="K117" s="4">
        <v>3600</v>
      </c>
      <c r="L117" s="4">
        <v>8</v>
      </c>
    </row>
    <row r="118" spans="1:14" x14ac:dyDescent="0.2">
      <c r="A118" s="4">
        <v>1340102</v>
      </c>
      <c r="B118" s="5" t="s">
        <v>285</v>
      </c>
      <c r="G118" s="4">
        <v>1000</v>
      </c>
      <c r="K118" s="4">
        <v>3600</v>
      </c>
      <c r="L118" s="4">
        <v>8</v>
      </c>
    </row>
    <row r="119" spans="1:14" x14ac:dyDescent="0.2">
      <c r="A119" s="4">
        <v>1340103</v>
      </c>
      <c r="B119" s="5" t="s">
        <v>286</v>
      </c>
      <c r="G119" s="4">
        <v>1000</v>
      </c>
      <c r="K119" s="4">
        <v>3600</v>
      </c>
      <c r="L119" s="4">
        <v>8</v>
      </c>
    </row>
    <row r="120" spans="1:14" x14ac:dyDescent="0.2">
      <c r="A120" s="4">
        <v>1340104</v>
      </c>
      <c r="B120" s="5" t="s">
        <v>287</v>
      </c>
      <c r="G120" s="4">
        <v>1000</v>
      </c>
      <c r="K120" s="4">
        <v>3600</v>
      </c>
      <c r="L120" s="4">
        <v>8</v>
      </c>
    </row>
    <row r="121" spans="1:14" x14ac:dyDescent="0.2">
      <c r="A121" s="4">
        <v>1340105</v>
      </c>
      <c r="B121" s="5" t="s">
        <v>288</v>
      </c>
      <c r="G121" s="4">
        <v>1000</v>
      </c>
      <c r="K121" s="4">
        <v>3600</v>
      </c>
      <c r="L121" s="4">
        <v>8</v>
      </c>
    </row>
    <row r="122" spans="1:14" x14ac:dyDescent="0.2">
      <c r="A122" s="4">
        <v>1340106</v>
      </c>
      <c r="B122" s="5" t="s">
        <v>289</v>
      </c>
      <c r="G122" s="4">
        <v>1000</v>
      </c>
      <c r="K122" s="4">
        <v>3600</v>
      </c>
      <c r="L122" s="4">
        <v>8</v>
      </c>
    </row>
    <row r="123" spans="1:14" x14ac:dyDescent="0.2">
      <c r="A123" s="4">
        <v>1340107</v>
      </c>
      <c r="B123" s="5" t="s">
        <v>290</v>
      </c>
      <c r="G123" s="4">
        <v>1000</v>
      </c>
      <c r="K123" s="4">
        <v>3600</v>
      </c>
      <c r="L123" s="4">
        <v>8</v>
      </c>
    </row>
    <row r="124" spans="1:14" x14ac:dyDescent="0.2">
      <c r="A124" s="4">
        <v>1340108</v>
      </c>
      <c r="B124" s="5" t="s">
        <v>291</v>
      </c>
      <c r="G124" s="4">
        <v>1000</v>
      </c>
      <c r="K124" s="4">
        <v>3600</v>
      </c>
      <c r="L124" s="4">
        <v>8</v>
      </c>
    </row>
    <row r="125" spans="1:14" x14ac:dyDescent="0.2">
      <c r="A125" s="4">
        <v>1340109</v>
      </c>
      <c r="B125" s="5" t="s">
        <v>367</v>
      </c>
      <c r="G125" s="4">
        <v>1000</v>
      </c>
      <c r="K125" s="4">
        <v>3600</v>
      </c>
      <c r="L125" s="4">
        <v>8</v>
      </c>
    </row>
    <row r="126" spans="1:14" x14ac:dyDescent="0.2">
      <c r="K126" s="4" t="s">
        <v>378</v>
      </c>
    </row>
    <row r="127" spans="1:14" x14ac:dyDescent="0.2">
      <c r="A127" s="4">
        <v>1350101</v>
      </c>
      <c r="B127" s="5" t="s">
        <v>213</v>
      </c>
      <c r="E127" s="4">
        <v>0</v>
      </c>
      <c r="F127" s="4">
        <v>50</v>
      </c>
      <c r="G127" s="4">
        <v>1500</v>
      </c>
      <c r="K127" s="4">
        <v>3000</v>
      </c>
      <c r="L127" s="4">
        <v>0</v>
      </c>
    </row>
    <row r="128" spans="1:14" x14ac:dyDescent="0.2">
      <c r="A128" s="4">
        <v>1350102</v>
      </c>
      <c r="B128" s="5" t="s">
        <v>217</v>
      </c>
      <c r="E128" s="4">
        <v>0</v>
      </c>
      <c r="F128" s="4">
        <v>50</v>
      </c>
      <c r="G128" s="4">
        <v>1500</v>
      </c>
      <c r="K128" s="4">
        <v>3000</v>
      </c>
      <c r="L128" s="4">
        <v>0</v>
      </c>
    </row>
    <row r="129" spans="1:14" x14ac:dyDescent="0.2">
      <c r="A129" s="4">
        <v>1350103</v>
      </c>
      <c r="B129" s="5" t="s">
        <v>218</v>
      </c>
      <c r="E129" s="4">
        <v>0</v>
      </c>
      <c r="F129" s="4">
        <v>50</v>
      </c>
      <c r="G129" s="4">
        <v>1500</v>
      </c>
      <c r="K129" s="4">
        <v>3000</v>
      </c>
      <c r="L129" s="4">
        <v>0</v>
      </c>
    </row>
    <row r="130" spans="1:14" x14ac:dyDescent="0.2">
      <c r="A130" s="4">
        <v>1351101</v>
      </c>
      <c r="B130" s="5" t="s">
        <v>219</v>
      </c>
      <c r="E130" s="4">
        <v>250</v>
      </c>
      <c r="F130" s="4">
        <v>330</v>
      </c>
      <c r="G130" s="4">
        <v>2500</v>
      </c>
      <c r="K130" s="4">
        <v>3000</v>
      </c>
      <c r="L130" s="4">
        <v>1</v>
      </c>
    </row>
    <row r="131" spans="1:14" x14ac:dyDescent="0.2">
      <c r="A131" s="4">
        <v>1351102</v>
      </c>
      <c r="B131" s="5" t="s">
        <v>368</v>
      </c>
      <c r="E131" s="4">
        <v>0</v>
      </c>
      <c r="F131" s="4">
        <v>50</v>
      </c>
      <c r="G131" s="4">
        <v>1500</v>
      </c>
      <c r="K131" s="4">
        <v>3000</v>
      </c>
      <c r="L131" s="4">
        <v>2</v>
      </c>
    </row>
    <row r="132" spans="1:14" x14ac:dyDescent="0.2">
      <c r="A132" s="4">
        <v>1351401</v>
      </c>
      <c r="B132" s="5" t="s">
        <v>369</v>
      </c>
      <c r="E132" s="4">
        <v>800</v>
      </c>
      <c r="F132" s="4">
        <v>0</v>
      </c>
      <c r="G132" s="4">
        <v>1500</v>
      </c>
      <c r="K132" s="4">
        <v>3000</v>
      </c>
      <c r="L132" s="4">
        <v>2</v>
      </c>
    </row>
    <row r="133" spans="1:14" x14ac:dyDescent="0.2">
      <c r="A133" s="4">
        <v>1351801</v>
      </c>
      <c r="B133" s="5" t="s">
        <v>370</v>
      </c>
      <c r="E133" s="4">
        <v>500</v>
      </c>
      <c r="F133" s="4">
        <v>150</v>
      </c>
      <c r="G133" s="4">
        <v>3000</v>
      </c>
      <c r="K133" s="4">
        <v>3000</v>
      </c>
      <c r="L133" s="4">
        <v>2</v>
      </c>
    </row>
    <row r="134" spans="1:14" x14ac:dyDescent="0.2">
      <c r="K134" s="4" t="s">
        <v>378</v>
      </c>
    </row>
    <row r="135" spans="1:14" x14ac:dyDescent="0.2">
      <c r="A135" s="74">
        <v>1360101</v>
      </c>
      <c r="B135" s="5" t="s">
        <v>246</v>
      </c>
      <c r="C135" s="102" t="str">
        <f t="shared" ref="C135:C148" si="29">IF(A135&gt;=10000000,MOD(A135,10),"模板")</f>
        <v>模板</v>
      </c>
      <c r="D135" s="102" t="s">
        <v>451</v>
      </c>
      <c r="E135" s="4">
        <v>200</v>
      </c>
      <c r="F135" s="4">
        <v>100</v>
      </c>
      <c r="G135" s="4">
        <v>2000</v>
      </c>
      <c r="I135" s="87"/>
      <c r="J135" s="88"/>
      <c r="K135" s="89"/>
      <c r="L135" s="90"/>
      <c r="M135" s="88"/>
      <c r="N135" s="87"/>
    </row>
    <row r="136" spans="1:14" x14ac:dyDescent="0.2">
      <c r="A136" s="47">
        <v>13601010</v>
      </c>
      <c r="B136" s="5" t="s">
        <v>526</v>
      </c>
      <c r="C136" s="91">
        <f t="shared" si="29"/>
        <v>0</v>
      </c>
      <c r="D136" s="91">
        <v>1</v>
      </c>
      <c r="E136" s="4">
        <v>200</v>
      </c>
      <c r="F136" s="4">
        <v>100</v>
      </c>
      <c r="G136" s="4">
        <v>2000</v>
      </c>
      <c r="I136" s="14" t="s">
        <v>537</v>
      </c>
      <c r="J136" s="57" cm="1">
        <f t="array" aca="1" ref="J136" ca="1">_xlfn.XLOOKUP(A136,INDIRECT($I136&amp;"!C1",0),INDIRECT(_xlfn.CONCAT($I136,"!C",_xlfn.XLOOKUP(I136,tb_sheetField[表名],tb_sheetField[生存等级-列])),0))</f>
        <v>-0.91</v>
      </c>
      <c r="K136" s="62">
        <f t="shared" ref="K136" ca="1" si="30">MROUND(M136/(1+L136*0.01),10)</f>
        <v>1100</v>
      </c>
      <c r="L136" s="63">
        <v>10</v>
      </c>
      <c r="M136" s="57">
        <f t="shared" ref="M136:M144" ca="1" si="31">$N136*1.5^$J136</f>
        <v>1210.0268380351274</v>
      </c>
      <c r="N136" s="14">
        <v>1750</v>
      </c>
    </row>
    <row r="137" spans="1:14" x14ac:dyDescent="0.2">
      <c r="A137" s="47">
        <v>13601011</v>
      </c>
      <c r="B137" s="5" t="s">
        <v>527</v>
      </c>
      <c r="C137" s="91">
        <f t="shared" si="29"/>
        <v>1</v>
      </c>
      <c r="D137" s="91">
        <v>1</v>
      </c>
      <c r="E137" s="4">
        <v>200</v>
      </c>
      <c r="F137" s="4">
        <v>100</v>
      </c>
      <c r="G137" s="4">
        <v>2000</v>
      </c>
      <c r="I137" s="14" t="s">
        <v>537</v>
      </c>
      <c r="J137" s="57" cm="1">
        <f t="array" aca="1" ref="J137" ca="1">_xlfn.XLOOKUP(A137,INDIRECT($I137&amp;"!C1",0),INDIRECT(_xlfn.CONCAT($I137,"!C",_xlfn.XLOOKUP(I137,tb_sheetField[表名],tb_sheetField[生存等级-列])),0))</f>
        <v>8.9999999999999969E-2</v>
      </c>
      <c r="K137" s="62">
        <f t="shared" ref="K137" ca="1" si="32">MROUND(M137/(1+L137*0.01),10)</f>
        <v>1510</v>
      </c>
      <c r="L137" s="63">
        <v>20</v>
      </c>
      <c r="M137" s="57">
        <f t="shared" ca="1" si="31"/>
        <v>1815.0402570526912</v>
      </c>
      <c r="N137" s="14">
        <v>1750</v>
      </c>
    </row>
    <row r="138" spans="1:14" x14ac:dyDescent="0.2">
      <c r="A138" s="47">
        <v>13601012</v>
      </c>
      <c r="B138" s="5" t="s">
        <v>528</v>
      </c>
      <c r="C138" s="91">
        <f t="shared" si="29"/>
        <v>2</v>
      </c>
      <c r="D138" s="91">
        <v>1</v>
      </c>
      <c r="E138" s="4">
        <v>200</v>
      </c>
      <c r="F138" s="4">
        <v>100</v>
      </c>
      <c r="G138" s="4">
        <v>2000</v>
      </c>
      <c r="I138" s="14" t="s">
        <v>537</v>
      </c>
      <c r="J138" s="57" cm="1">
        <f t="array" aca="1" ref="J138" ca="1">_xlfn.XLOOKUP(A138,INDIRECT($I138&amp;"!C1",0),INDIRECT(_xlfn.CONCAT($I138,"!C",_xlfn.XLOOKUP(I138,tb_sheetField[表名],tb_sheetField[生存等级-列])),0))</f>
        <v>1.0900000000000001</v>
      </c>
      <c r="K138" s="62">
        <f t="shared" ref="K138" ca="1" si="33">MROUND(M138/(1+L138*0.01),10)</f>
        <v>2090</v>
      </c>
      <c r="L138" s="63">
        <v>30</v>
      </c>
      <c r="M138" s="57">
        <f t="shared" ca="1" si="31"/>
        <v>2722.5603855790368</v>
      </c>
      <c r="N138" s="14">
        <v>1750</v>
      </c>
    </row>
    <row r="139" spans="1:14" x14ac:dyDescent="0.2">
      <c r="A139" s="74">
        <v>1360102</v>
      </c>
      <c r="B139" s="5" t="s">
        <v>249</v>
      </c>
      <c r="C139" s="102" t="str">
        <f t="shared" si="29"/>
        <v>模板</v>
      </c>
      <c r="D139" s="102" t="s">
        <v>451</v>
      </c>
      <c r="E139" s="4">
        <v>0</v>
      </c>
      <c r="F139" s="4">
        <v>20</v>
      </c>
      <c r="G139" s="4">
        <v>1500</v>
      </c>
      <c r="I139" s="87"/>
      <c r="J139" s="88"/>
      <c r="K139" s="89"/>
      <c r="L139" s="90"/>
      <c r="M139" s="88"/>
      <c r="N139" s="87"/>
    </row>
    <row r="140" spans="1:14" x14ac:dyDescent="0.2">
      <c r="A140" s="47">
        <v>13601022</v>
      </c>
      <c r="B140" s="5" t="s">
        <v>539</v>
      </c>
      <c r="C140" s="91">
        <f t="shared" si="29"/>
        <v>2</v>
      </c>
      <c r="D140" s="91">
        <v>1</v>
      </c>
      <c r="E140" s="4">
        <v>0</v>
      </c>
      <c r="F140" s="4">
        <v>20</v>
      </c>
      <c r="G140" s="4">
        <v>1500</v>
      </c>
      <c r="I140" s="14" t="s">
        <v>537</v>
      </c>
      <c r="J140" s="57" cm="1">
        <f t="array" aca="1" ref="J140" ca="1">_xlfn.XLOOKUP(A140,INDIRECT($I140&amp;"!C1",0),INDIRECT(_xlfn.CONCAT($I140,"!C",_xlfn.XLOOKUP(I140,tb_sheetField[表名],tb_sheetField[生存等级-列])),0))</f>
        <v>3.3499999999999996</v>
      </c>
      <c r="K140" s="62">
        <f t="shared" ref="K140:K141" ca="1" si="34">MROUND(M140/(1+L140*0.01),10)</f>
        <v>2270</v>
      </c>
      <c r="L140" s="63">
        <v>200</v>
      </c>
      <c r="M140" s="57">
        <f t="shared" ca="1" si="31"/>
        <v>6806.8121677283125</v>
      </c>
      <c r="N140" s="14">
        <v>1750</v>
      </c>
    </row>
    <row r="141" spans="1:14" x14ac:dyDescent="0.2">
      <c r="A141" s="47">
        <v>13601023</v>
      </c>
      <c r="B141" s="5" t="s">
        <v>540</v>
      </c>
      <c r="C141" s="91">
        <f t="shared" si="29"/>
        <v>3</v>
      </c>
      <c r="D141" s="91">
        <v>1</v>
      </c>
      <c r="E141" s="4">
        <v>0</v>
      </c>
      <c r="F141" s="4">
        <v>20</v>
      </c>
      <c r="G141" s="4">
        <v>1500</v>
      </c>
      <c r="I141" s="14" t="s">
        <v>537</v>
      </c>
      <c r="J141" s="57" cm="1">
        <f t="array" aca="1" ref="J141" ca="1">_xlfn.XLOOKUP(A141,INDIRECT($I141&amp;"!C1",0),INDIRECT(_xlfn.CONCAT($I141,"!C",_xlfn.XLOOKUP(I141,tb_sheetField[表名],tb_sheetField[生存等级-列])),0))</f>
        <v>4.5299999999999994</v>
      </c>
      <c r="K141" s="62">
        <f t="shared" ca="1" si="34"/>
        <v>3230</v>
      </c>
      <c r="L141" s="63">
        <v>240</v>
      </c>
      <c r="M141" s="57">
        <f t="shared" ca="1" si="31"/>
        <v>10983.264746859402</v>
      </c>
      <c r="N141" s="14">
        <v>1750</v>
      </c>
    </row>
    <row r="142" spans="1:14" x14ac:dyDescent="0.2">
      <c r="A142" s="74">
        <v>1360103</v>
      </c>
      <c r="B142" s="5" t="s">
        <v>250</v>
      </c>
      <c r="C142" s="102" t="str">
        <f t="shared" si="29"/>
        <v>模板</v>
      </c>
      <c r="D142" s="102" t="s">
        <v>451</v>
      </c>
      <c r="E142" s="4">
        <v>0</v>
      </c>
      <c r="F142" s="4">
        <v>10</v>
      </c>
      <c r="G142" s="4">
        <v>1500</v>
      </c>
      <c r="I142" s="87"/>
      <c r="J142" s="88"/>
      <c r="K142" s="89"/>
      <c r="L142" s="90"/>
      <c r="M142" s="88"/>
      <c r="N142" s="87"/>
    </row>
    <row r="143" spans="1:14" x14ac:dyDescent="0.2">
      <c r="A143" s="47">
        <v>13601030</v>
      </c>
      <c r="B143" s="5" t="s">
        <v>550</v>
      </c>
      <c r="C143" s="91">
        <f t="shared" si="29"/>
        <v>0</v>
      </c>
      <c r="D143" s="91">
        <v>1</v>
      </c>
      <c r="E143" s="4">
        <v>0</v>
      </c>
      <c r="F143" s="4">
        <v>10</v>
      </c>
      <c r="G143" s="4">
        <v>1500</v>
      </c>
      <c r="I143" s="14" t="s">
        <v>537</v>
      </c>
      <c r="J143" s="57" cm="1">
        <f t="array" aca="1" ref="J143" ca="1">_xlfn.XLOOKUP(A143,INDIRECT($I143&amp;"!C1",0),INDIRECT(_xlfn.CONCAT($I143,"!C",_xlfn.XLOOKUP(I143,tb_sheetField[表名],tb_sheetField[生存等级-列])),0))</f>
        <v>0.16000000000000014</v>
      </c>
      <c r="K143" s="62">
        <f t="shared" ref="K143:K144" ca="1" si="35">MROUND(M143/(1+L143*0.01),10)</f>
        <v>1870</v>
      </c>
      <c r="L143" s="63">
        <v>0</v>
      </c>
      <c r="M143" s="57">
        <f t="shared" ca="1" si="31"/>
        <v>1867.2937781477788</v>
      </c>
      <c r="N143" s="14">
        <v>1750</v>
      </c>
    </row>
    <row r="144" spans="1:14" x14ac:dyDescent="0.2">
      <c r="A144" s="47">
        <v>13601031</v>
      </c>
      <c r="B144" s="5" t="s">
        <v>551</v>
      </c>
      <c r="C144" s="91">
        <f t="shared" si="29"/>
        <v>1</v>
      </c>
      <c r="D144" s="91">
        <v>1</v>
      </c>
      <c r="E144" s="4">
        <v>0</v>
      </c>
      <c r="F144" s="4">
        <v>10</v>
      </c>
      <c r="G144" s="4">
        <v>1500</v>
      </c>
      <c r="I144" s="14" t="s">
        <v>537</v>
      </c>
      <c r="J144" s="57" cm="1">
        <f t="array" aca="1" ref="J144" ca="1">_xlfn.XLOOKUP(A144,INDIRECT($I144&amp;"!C1",0),INDIRECT(_xlfn.CONCAT($I144,"!C",_xlfn.XLOOKUP(I144,tb_sheetField[表名],tb_sheetField[生存等级-列])),0))</f>
        <v>1.4500000000000002</v>
      </c>
      <c r="K144" s="62">
        <f t="shared" ca="1" si="35"/>
        <v>3150</v>
      </c>
      <c r="L144" s="63">
        <v>0</v>
      </c>
      <c r="M144" s="57">
        <f t="shared" ca="1" si="31"/>
        <v>3150.4339167259272</v>
      </c>
      <c r="N144" s="14">
        <v>1750</v>
      </c>
    </row>
    <row r="145" spans="1:14" x14ac:dyDescent="0.2">
      <c r="A145" s="74">
        <v>1361801</v>
      </c>
      <c r="B145" s="5" t="s">
        <v>371</v>
      </c>
      <c r="C145" s="102" t="str">
        <f t="shared" si="29"/>
        <v>模板</v>
      </c>
      <c r="D145" s="102" t="s">
        <v>451</v>
      </c>
      <c r="E145" s="4">
        <v>500</v>
      </c>
      <c r="F145" s="4">
        <v>150</v>
      </c>
      <c r="G145" s="4">
        <v>3000</v>
      </c>
      <c r="I145" s="87"/>
      <c r="J145" s="88"/>
      <c r="K145" s="89"/>
      <c r="L145" s="90"/>
      <c r="M145" s="88"/>
      <c r="N145" s="87"/>
    </row>
    <row r="146" spans="1:14" x14ac:dyDescent="0.2">
      <c r="A146" s="47">
        <v>13618011</v>
      </c>
      <c r="B146" s="5" t="s">
        <v>547</v>
      </c>
      <c r="C146" s="91">
        <f t="shared" si="29"/>
        <v>1</v>
      </c>
      <c r="D146" s="91">
        <v>1</v>
      </c>
      <c r="E146" s="4">
        <v>500</v>
      </c>
      <c r="F146" s="4">
        <v>150</v>
      </c>
      <c r="G146" s="4">
        <v>3000</v>
      </c>
      <c r="I146" s="14" t="s">
        <v>537</v>
      </c>
      <c r="J146" s="57" cm="1">
        <f t="array" aca="1" ref="J146" ca="1">_xlfn.XLOOKUP(A146,INDIRECT($I146&amp;"!C1",0),INDIRECT(_xlfn.CONCAT($I146,"!C",_xlfn.XLOOKUP(I146,tb_sheetField[表名],tb_sheetField[生存等级-列])),0))</f>
        <v>-1.0000000000000009E-2</v>
      </c>
      <c r="K146" s="62">
        <f t="shared" ref="K146" ca="1" si="36">MROUND(M146/(1+L146*0.01),10)</f>
        <v>1660</v>
      </c>
      <c r="L146" s="63">
        <v>5</v>
      </c>
      <c r="M146" s="57">
        <f t="shared" ref="M146:M148" ca="1" si="37">$N146*1.5^$J146</f>
        <v>1742.9187263564818</v>
      </c>
      <c r="N146" s="14">
        <v>1750</v>
      </c>
    </row>
    <row r="147" spans="1:14" x14ac:dyDescent="0.2">
      <c r="A147" s="47">
        <v>13618012</v>
      </c>
      <c r="B147" s="5" t="s">
        <v>548</v>
      </c>
      <c r="C147" s="91">
        <f t="shared" si="29"/>
        <v>2</v>
      </c>
      <c r="D147" s="91">
        <v>1</v>
      </c>
      <c r="E147" s="4">
        <v>500</v>
      </c>
      <c r="F147" s="4">
        <v>150</v>
      </c>
      <c r="G147" s="4">
        <v>3000</v>
      </c>
      <c r="I147" s="14" t="s">
        <v>537</v>
      </c>
      <c r="J147" s="57" cm="1">
        <f t="array" aca="1" ref="J147" ca="1">_xlfn.XLOOKUP(A147,INDIRECT($I147&amp;"!C1",0),INDIRECT(_xlfn.CONCAT($I147,"!C",_xlfn.XLOOKUP(I147,tb_sheetField[表名],tb_sheetField[生存等级-列])),0))</f>
        <v>0.91999999999999993</v>
      </c>
      <c r="K147" s="62">
        <f t="shared" ref="K147" ca="1" si="38">MROUND(M147/(1+L147*0.01),10)</f>
        <v>2420</v>
      </c>
      <c r="L147" s="63">
        <v>5</v>
      </c>
      <c r="M147" s="57">
        <f t="shared" ca="1" si="37"/>
        <v>2541.2184923407854</v>
      </c>
      <c r="N147" s="14">
        <v>1750</v>
      </c>
    </row>
    <row r="148" spans="1:14" x14ac:dyDescent="0.2">
      <c r="A148" s="47">
        <v>13618013</v>
      </c>
      <c r="B148" s="5" t="s">
        <v>549</v>
      </c>
      <c r="C148" s="91">
        <f t="shared" si="29"/>
        <v>3</v>
      </c>
      <c r="D148" s="91">
        <v>1</v>
      </c>
      <c r="E148" s="4">
        <v>500</v>
      </c>
      <c r="F148" s="4">
        <v>150</v>
      </c>
      <c r="G148" s="4">
        <v>3000</v>
      </c>
      <c r="I148" s="14" t="s">
        <v>537</v>
      </c>
      <c r="J148" s="57" cm="1">
        <f t="array" aca="1" ref="J148" ca="1">_xlfn.XLOOKUP(A148,INDIRECT($I148&amp;"!C1",0),INDIRECT(_xlfn.CONCAT($I148,"!C",_xlfn.XLOOKUP(I148,tb_sheetField[表名],tb_sheetField[生存等级-列])),0))</f>
        <v>1.69</v>
      </c>
      <c r="K148" s="62">
        <f t="shared" ref="K148" ca="1" si="39">MROUND(M148/(1+L148*0.01),10)</f>
        <v>3160</v>
      </c>
      <c r="L148" s="63">
        <v>10</v>
      </c>
      <c r="M148" s="57">
        <f t="shared" ca="1" si="37"/>
        <v>3472.4202202007036</v>
      </c>
      <c r="N148" s="14">
        <v>1750</v>
      </c>
    </row>
  </sheetData>
  <phoneticPr fontId="21" type="noConversion"/>
  <conditionalFormatting sqref="G1:G1048576">
    <cfRule type="expression" dxfId="4" priority="1">
      <formula>AND($A1&lt;&gt;"",G1&lt;1000)</formula>
    </cfRule>
  </conditionalFormatting>
  <pageMargins left="0.75" right="0.75" top="1" bottom="1" header="0.5" footer="0.5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30"/>
  <sheetViews>
    <sheetView workbookViewId="0">
      <pane xSplit="3" ySplit="3" topLeftCell="AL4" activePane="bottomRight" state="frozen"/>
      <selection pane="topRight"/>
      <selection pane="bottomLeft"/>
      <selection pane="bottomRight" activeCell="BD1" sqref="BD1:BE1048576"/>
    </sheetView>
  </sheetViews>
  <sheetFormatPr defaultColWidth="9.125" defaultRowHeight="14.25" x14ac:dyDescent="0.2"/>
  <cols>
    <col min="1" max="1" width="12.5" style="4" customWidth="1"/>
    <col min="2" max="2" width="11.5" style="5" customWidth="1"/>
    <col min="3" max="3" width="23.375" style="5" bestFit="1" customWidth="1"/>
    <col min="4" max="4" width="9" style="4" customWidth="1"/>
    <col min="5" max="5" width="6.625" style="5" bestFit="1" customWidth="1"/>
    <col min="6" max="6" width="11.25" style="4" bestFit="1" customWidth="1"/>
    <col min="7" max="7" width="13.625" style="4" customWidth="1"/>
    <col min="8" max="8" width="15.5" style="4" customWidth="1"/>
    <col min="9" max="11" width="7.625" style="24" customWidth="1"/>
    <col min="12" max="12" width="20.625" style="4" customWidth="1"/>
    <col min="13" max="15" width="7.625" style="24" customWidth="1"/>
    <col min="16" max="16" width="13.625" style="4" customWidth="1"/>
    <col min="17" max="17" width="14.625" style="4" customWidth="1"/>
    <col min="18" max="18" width="14.625" style="24" customWidth="1"/>
    <col min="19" max="20" width="20.75" style="4" customWidth="1"/>
    <col min="21" max="21" width="17.625" style="4" customWidth="1"/>
    <col min="22" max="22" width="20.375" style="4" customWidth="1"/>
    <col min="23" max="23" width="14" style="4" customWidth="1"/>
    <col min="24" max="24" width="20.75" style="4" customWidth="1"/>
    <col min="25" max="27" width="10.875" style="14" customWidth="1"/>
    <col min="28" max="28" width="20.75" style="4" customWidth="1"/>
    <col min="29" max="31" width="10.875" style="14" customWidth="1"/>
    <col min="32" max="32" width="16" style="4" customWidth="1"/>
    <col min="33" max="33" width="14.25" style="4" customWidth="1"/>
    <col min="34" max="35" width="19.75" style="4" bestFit="1" customWidth="1"/>
    <col min="36" max="36" width="22.25" style="24" customWidth="1"/>
    <col min="37" max="37" width="9.25" style="5" customWidth="1"/>
    <col min="38" max="38" width="17.875" style="4" customWidth="1"/>
    <col min="39" max="40" width="10.375" style="24" customWidth="1"/>
    <col min="41" max="41" width="25.125" style="4" bestFit="1" customWidth="1"/>
    <col min="42" max="46" width="9.125" style="18"/>
    <col min="47" max="47" width="14.625" style="5" bestFit="1" customWidth="1"/>
    <col min="48" max="48" width="12.875" style="5" bestFit="1" customWidth="1"/>
    <col min="49" max="49" width="11.25" style="5" bestFit="1" customWidth="1"/>
    <col min="50" max="50" width="9.125" style="5"/>
    <col min="51" max="51" width="12.75" style="5" customWidth="1"/>
    <col min="52" max="52" width="10.625" style="5" customWidth="1"/>
    <col min="53" max="54" width="9.125" style="5"/>
    <col min="55" max="56" width="5.75" style="50" bestFit="1" customWidth="1"/>
    <col min="57" max="57" width="5.75" style="60" bestFit="1" customWidth="1"/>
    <col min="58" max="58" width="9.125" style="50"/>
    <col min="59" max="59" width="9.125" style="56"/>
    <col min="60" max="61" width="12.75" style="5" customWidth="1"/>
    <col min="62" max="62" width="12.25" style="4" customWidth="1"/>
    <col min="63" max="63" width="9.125" style="5"/>
    <col min="64" max="65" width="13.5" style="5" customWidth="1"/>
    <col min="66" max="16384" width="9.125" style="4"/>
  </cols>
  <sheetData>
    <row r="1" spans="1:65" s="1" customFormat="1" x14ac:dyDescent="0.2">
      <c r="A1" s="1" t="s">
        <v>0</v>
      </c>
      <c r="B1" s="6"/>
      <c r="C1" s="6"/>
      <c r="D1" s="1" t="s">
        <v>1</v>
      </c>
      <c r="E1" s="6"/>
      <c r="F1" s="1" t="s">
        <v>2</v>
      </c>
      <c r="G1" s="1" t="s">
        <v>3</v>
      </c>
      <c r="H1" s="1" t="s">
        <v>4</v>
      </c>
      <c r="I1" s="31"/>
      <c r="J1" s="31"/>
      <c r="K1" s="31"/>
      <c r="L1" s="1" t="s">
        <v>5</v>
      </c>
      <c r="M1" s="31"/>
      <c r="N1" s="31"/>
      <c r="O1" s="31"/>
      <c r="P1" s="1" t="s">
        <v>6</v>
      </c>
      <c r="Q1" s="1" t="s">
        <v>7</v>
      </c>
      <c r="R1" s="31"/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5"/>
      <c r="Z1" s="15"/>
      <c r="AA1" s="15"/>
      <c r="AB1" s="1" t="s">
        <v>14</v>
      </c>
      <c r="AC1" s="15"/>
      <c r="AD1" s="15"/>
      <c r="AE1" s="15"/>
      <c r="AF1" s="1" t="s">
        <v>15</v>
      </c>
      <c r="AG1" s="1" t="s">
        <v>16</v>
      </c>
      <c r="AH1" s="1" t="s">
        <v>423</v>
      </c>
      <c r="AI1" s="1" t="s">
        <v>418</v>
      </c>
      <c r="AJ1" s="31" t="s">
        <v>420</v>
      </c>
      <c r="AK1" s="6"/>
      <c r="AL1" s="1" t="s">
        <v>396</v>
      </c>
      <c r="AM1" s="31"/>
      <c r="AN1" s="31"/>
      <c r="AO1" s="1" t="s">
        <v>17</v>
      </c>
      <c r="AP1" s="19"/>
      <c r="AQ1" s="19"/>
      <c r="AR1" s="19"/>
      <c r="AS1" s="19"/>
      <c r="AT1" s="19"/>
      <c r="AU1" s="6"/>
      <c r="AV1" s="6"/>
      <c r="AW1" s="6"/>
      <c r="AX1" s="6"/>
      <c r="AY1" s="6"/>
      <c r="AZ1" s="6"/>
      <c r="BA1" s="6"/>
      <c r="BB1" s="6"/>
      <c r="BC1" s="48"/>
      <c r="BD1" s="48"/>
      <c r="BE1" s="59"/>
      <c r="BF1" s="48"/>
      <c r="BG1" s="55"/>
      <c r="BH1" s="6"/>
      <c r="BI1" s="6"/>
      <c r="BJ1" s="1" t="s">
        <v>19</v>
      </c>
      <c r="BK1" s="6"/>
      <c r="BL1" s="6"/>
      <c r="BM1" s="6"/>
    </row>
    <row r="2" spans="1:65" s="2" customFormat="1" x14ac:dyDescent="0.2">
      <c r="A2" s="2" t="s">
        <v>20</v>
      </c>
      <c r="B2" s="6"/>
      <c r="C2" s="6"/>
      <c r="D2" s="2" t="s">
        <v>21</v>
      </c>
      <c r="E2" s="6"/>
      <c r="F2" s="2" t="s">
        <v>22</v>
      </c>
      <c r="G2" s="2" t="s">
        <v>23</v>
      </c>
      <c r="H2" s="2" t="s">
        <v>24</v>
      </c>
      <c r="I2" s="31"/>
      <c r="J2" s="31"/>
      <c r="K2" s="31"/>
      <c r="L2" s="2" t="s">
        <v>24</v>
      </c>
      <c r="M2" s="31"/>
      <c r="N2" s="31"/>
      <c r="O2" s="31"/>
      <c r="P2" s="2" t="s">
        <v>23</v>
      </c>
      <c r="Q2" s="2" t="s">
        <v>23</v>
      </c>
      <c r="R2" s="31"/>
      <c r="S2" s="2" t="s">
        <v>25</v>
      </c>
      <c r="T2" s="2" t="s">
        <v>25</v>
      </c>
      <c r="U2" s="2" t="s">
        <v>26</v>
      </c>
      <c r="V2" s="2" t="s">
        <v>26</v>
      </c>
      <c r="W2" s="2" t="s">
        <v>21</v>
      </c>
      <c r="X2" s="2" t="s">
        <v>27</v>
      </c>
      <c r="Y2" s="16"/>
      <c r="Z2" s="16"/>
      <c r="AA2" s="16"/>
      <c r="AB2" s="2" t="s">
        <v>28</v>
      </c>
      <c r="AC2" s="16"/>
      <c r="AD2" s="16"/>
      <c r="AE2" s="16"/>
      <c r="AF2" s="2" t="s">
        <v>23</v>
      </c>
      <c r="AG2" s="2" t="s">
        <v>23</v>
      </c>
      <c r="AH2" s="2" t="s">
        <v>419</v>
      </c>
      <c r="AI2" s="2" t="s">
        <v>419</v>
      </c>
      <c r="AJ2" s="31" t="s">
        <v>21</v>
      </c>
      <c r="AK2" s="6"/>
      <c r="AL2" s="2" t="s">
        <v>400</v>
      </c>
      <c r="AM2" s="31"/>
      <c r="AN2" s="31"/>
      <c r="AO2" s="2" t="s">
        <v>29</v>
      </c>
      <c r="AP2" s="19"/>
      <c r="AQ2" s="19"/>
      <c r="AR2" s="19"/>
      <c r="AS2" s="19"/>
      <c r="AT2" s="19"/>
      <c r="AU2" s="6"/>
      <c r="AV2" s="6"/>
      <c r="AW2" s="6"/>
      <c r="AX2" s="6"/>
      <c r="AY2" s="6"/>
      <c r="AZ2" s="6"/>
      <c r="BA2" s="6"/>
      <c r="BB2" s="6"/>
      <c r="BC2" s="48"/>
      <c r="BD2" s="48"/>
      <c r="BE2" s="59"/>
      <c r="BF2" s="48"/>
      <c r="BG2" s="55"/>
      <c r="BH2" s="6"/>
      <c r="BI2" s="6"/>
      <c r="BJ2" s="2" t="s">
        <v>23</v>
      </c>
      <c r="BK2" s="6"/>
      <c r="BL2" s="6"/>
      <c r="BM2" s="6"/>
    </row>
    <row r="3" spans="1:65" s="3" customFormat="1" ht="76.5" x14ac:dyDescent="0.2">
      <c r="A3" s="7" t="s">
        <v>30</v>
      </c>
      <c r="B3" s="8" t="s">
        <v>31</v>
      </c>
      <c r="C3" s="8" t="s">
        <v>32</v>
      </c>
      <c r="D3" s="9" t="s">
        <v>33</v>
      </c>
      <c r="E3" s="8" t="s">
        <v>34</v>
      </c>
      <c r="F3" s="9" t="s">
        <v>328</v>
      </c>
      <c r="G3" s="9" t="s">
        <v>35</v>
      </c>
      <c r="H3" s="9" t="s">
        <v>36</v>
      </c>
      <c r="I3" s="32" t="s">
        <v>37</v>
      </c>
      <c r="J3" s="32" t="s">
        <v>38</v>
      </c>
      <c r="K3" s="32" t="s">
        <v>39</v>
      </c>
      <c r="L3" s="9" t="s">
        <v>40</v>
      </c>
      <c r="M3" s="32" t="s">
        <v>41</v>
      </c>
      <c r="N3" s="32" t="s">
        <v>42</v>
      </c>
      <c r="O3" s="32" t="s">
        <v>43</v>
      </c>
      <c r="P3" s="9" t="s">
        <v>44</v>
      </c>
      <c r="Q3" s="9" t="s">
        <v>45</v>
      </c>
      <c r="R3" s="32" t="s">
        <v>46</v>
      </c>
      <c r="S3" s="20" t="s">
        <v>47</v>
      </c>
      <c r="T3" s="20" t="s">
        <v>48</v>
      </c>
      <c r="U3" s="20" t="s">
        <v>49</v>
      </c>
      <c r="V3" s="20" t="s">
        <v>50</v>
      </c>
      <c r="W3" s="20" t="s">
        <v>51</v>
      </c>
      <c r="X3" s="9" t="s">
        <v>52</v>
      </c>
      <c r="Y3" s="17" t="s">
        <v>53</v>
      </c>
      <c r="Z3" s="17" t="s">
        <v>54</v>
      </c>
      <c r="AA3" s="17" t="s">
        <v>55</v>
      </c>
      <c r="AB3" s="9" t="s">
        <v>56</v>
      </c>
      <c r="AC3" s="17" t="s">
        <v>57</v>
      </c>
      <c r="AD3" s="17" t="s">
        <v>58</v>
      </c>
      <c r="AE3" s="17" t="s">
        <v>59</v>
      </c>
      <c r="AF3" s="9" t="s">
        <v>60</v>
      </c>
      <c r="AG3" s="9" t="s">
        <v>61</v>
      </c>
      <c r="AH3" s="46" t="s">
        <v>424</v>
      </c>
      <c r="AI3" s="46" t="s">
        <v>422</v>
      </c>
      <c r="AJ3" s="32" t="s">
        <v>421</v>
      </c>
      <c r="AK3" s="8" t="s">
        <v>395</v>
      </c>
      <c r="AL3" s="46" t="s">
        <v>413</v>
      </c>
      <c r="AM3" s="32" t="s">
        <v>416</v>
      </c>
      <c r="AN3" s="32" t="s">
        <v>417</v>
      </c>
      <c r="AO3" s="7" t="s">
        <v>62</v>
      </c>
      <c r="AP3" s="21" t="s">
        <v>63</v>
      </c>
      <c r="AQ3" s="21" t="s">
        <v>64</v>
      </c>
      <c r="AR3" s="21" t="s">
        <v>65</v>
      </c>
      <c r="AS3" s="21" t="s">
        <v>66</v>
      </c>
      <c r="AT3" s="21" t="s">
        <v>327</v>
      </c>
      <c r="AU3" s="8" t="s">
        <v>379</v>
      </c>
      <c r="AV3" s="8" t="s">
        <v>380</v>
      </c>
      <c r="AW3" s="8" t="s">
        <v>381</v>
      </c>
      <c r="AX3" s="8" t="s">
        <v>131</v>
      </c>
      <c r="AY3" s="8" t="s">
        <v>334</v>
      </c>
      <c r="AZ3" s="51" t="s">
        <v>427</v>
      </c>
      <c r="BA3" s="52" t="s">
        <v>425</v>
      </c>
      <c r="BB3" s="52" t="s">
        <v>469</v>
      </c>
      <c r="BC3" s="53" t="s">
        <v>601</v>
      </c>
      <c r="BD3" s="53" t="s">
        <v>602</v>
      </c>
      <c r="BE3" s="53" t="s">
        <v>603</v>
      </c>
      <c r="BF3" s="53" t="s">
        <v>430</v>
      </c>
      <c r="BG3" s="54" t="s">
        <v>428</v>
      </c>
      <c r="BH3" s="8" t="s">
        <v>67</v>
      </c>
      <c r="BI3" s="8" t="s">
        <v>68</v>
      </c>
      <c r="BJ3" s="7" t="s">
        <v>69</v>
      </c>
      <c r="BK3" s="80" t="s">
        <v>483</v>
      </c>
      <c r="BL3" s="8" t="s">
        <v>386</v>
      </c>
      <c r="BM3" s="8" t="s">
        <v>387</v>
      </c>
    </row>
    <row r="4" spans="1:65" x14ac:dyDescent="0.2">
      <c r="A4" s="4">
        <v>1310101</v>
      </c>
      <c r="B4" s="5" t="s">
        <v>70</v>
      </c>
      <c r="C4" s="5" t="s">
        <v>71</v>
      </c>
      <c r="D4" s="4">
        <v>120</v>
      </c>
      <c r="E4" s="5" t="str">
        <f t="shared" ref="E4:E16" si="0">TEXT(D4/120,"0.00")&amp;" s"</f>
        <v>1.00 s</v>
      </c>
      <c r="F4" s="4" t="b">
        <v>1</v>
      </c>
      <c r="G4" s="4">
        <v>0</v>
      </c>
      <c r="H4" s="4" t="str">
        <f>_xlfn.TEXTJOIN(";",1,$I4:$K4)</f>
        <v>7;24;60</v>
      </c>
      <c r="I4" s="24">
        <v>7</v>
      </c>
      <c r="J4" s="24">
        <v>24</v>
      </c>
      <c r="K4" s="24">
        <v>60</v>
      </c>
      <c r="L4" s="4" t="str">
        <f>_xlfn.TEXTJOIN(";",1,$M4:$O4)</f>
        <v>0.25;0.6;0.85</v>
      </c>
      <c r="M4" s="41">
        <v>0.25</v>
      </c>
      <c r="N4" s="41">
        <v>0.6</v>
      </c>
      <c r="O4" s="41">
        <v>0.85</v>
      </c>
      <c r="P4" s="4">
        <v>0.12</v>
      </c>
      <c r="Q4" s="4">
        <f>R4/120</f>
        <v>0.11111111111111112</v>
      </c>
      <c r="R4" s="24">
        <f>40/3</f>
        <v>13.333333333333334</v>
      </c>
      <c r="S4" s="4" t="s">
        <v>72</v>
      </c>
      <c r="T4" s="4" t="s">
        <v>73</v>
      </c>
      <c r="U4" s="4" t="s">
        <v>74</v>
      </c>
      <c r="V4" s="4" t="s">
        <v>75</v>
      </c>
      <c r="W4" s="4">
        <v>2</v>
      </c>
      <c r="X4" s="4" t="str" cm="1">
        <f t="array" ref="X4">_xlfn.TEXTJOIN("~",1,Y4:Z4/AA4)</f>
        <v>0.25~0.45</v>
      </c>
      <c r="Y4" s="14">
        <v>5</v>
      </c>
      <c r="Z4" s="14">
        <v>9</v>
      </c>
      <c r="AA4" s="14">
        <v>20</v>
      </c>
      <c r="AB4" s="4" t="str" cm="1">
        <f t="array" ref="AB4">_xlfn.TEXTJOIN("~",1,AC4:AD4/AE4)</f>
        <v>0.5~0.8</v>
      </c>
      <c r="AC4" s="14">
        <v>10</v>
      </c>
      <c r="AD4" s="14">
        <v>16</v>
      </c>
      <c r="AE4" s="14">
        <v>20</v>
      </c>
      <c r="AF4" s="4">
        <v>0.71887000000000001</v>
      </c>
      <c r="AG4" s="4">
        <v>12</v>
      </c>
      <c r="AL4" s="4" t="str" cm="1">
        <f t="array" ref="AL4">_xlfn.TEXTJOIN(";",1,IFERROR(1/AM4:AN4,""))</f>
        <v/>
      </c>
      <c r="AO4" s="4" t="str" cm="1">
        <f t="array" aca="1" ref="AO4" ca="1">_xlfn.TEXTJOIN(";",1,_xlfn.LAMBDA(_xlpm.x,IF(_xlpm.x&lt;&gt;"",OFFSET(_xlpm.x,3-ROW(),0)&amp;"="&amp;_xlpm.x,""))(AP4:AT4))</f>
        <v>sharp=27</v>
      </c>
      <c r="AP4" s="18">
        <v>27</v>
      </c>
      <c r="AQ4" s="22"/>
      <c r="AR4" s="22"/>
      <c r="AS4" s="22"/>
      <c r="AT4" s="22"/>
      <c r="AU4" s="5" t="str" cm="1">
        <f t="array" ref="AU4">TEXT(VLOOKUP($A4,battle_data!$A:$G,MATCH(INDEX(_xlfn.TEXTSPLIT(AU$3,"|"),1),battle_data!$A$1:$G$1),0)*0.001,"0%")</f>
        <v>25%</v>
      </c>
      <c r="AV4" s="5" t="str" cm="1">
        <f t="array" ref="AV4">TEXT(VLOOKUP($A4,battle_data!$A:$G,MATCH(INDEX(_xlfn.TEXTSPLIT(AV$3,"|"),1),battle_data!$A$1:$G$1),0)*0.001,"0%")</f>
        <v>30%</v>
      </c>
      <c r="AW4" s="5" t="str" cm="1">
        <f t="array" ref="AW4">TEXT(VLOOKUP($A4,battle_data!$A:$G,MATCH(INDEX(_xlfn.TEXTSPLIT(AW$3,"|"),1),battle_data!$A$1:$G$1),0)*0.001,"0%")</f>
        <v>250%</v>
      </c>
      <c r="AX4" s="5">
        <f>_xlfn.LET(_xlpm.p,($AV4),_xlpm.p*$AW4+(1-_xlpm.p))</f>
        <v>1.45</v>
      </c>
      <c r="AY4" s="5">
        <f>SUM($AP4:$AT4)*AX4</f>
        <v>39.15</v>
      </c>
      <c r="AZ4" s="65">
        <f>AA4/30</f>
        <v>0.66666666666666663</v>
      </c>
      <c r="BA4" s="65">
        <f>AY4/AZ4</f>
        <v>58.725000000000001</v>
      </c>
      <c r="BB4" s="65" cm="1">
        <f t="array" ref="BB4">_xlfn.LAMBDA(_xlpm._dps,_xlpm._info_cell,ROUND(IF(_xlpm._dps&lt;=0,-10,LOG(_xlpm._dps/INDEX(_xlfn.TEXTSPLIT(_xlpm._info_cell,"="),2),1.5)),2))($BA4,BB$3)</f>
        <v>0.16</v>
      </c>
      <c r="BC4" s="66">
        <v>0</v>
      </c>
      <c r="BF4" s="66">
        <v>0.05</v>
      </c>
      <c r="BG4" s="100">
        <f>BC4*2-BB4-BF4</f>
        <v>-0.21000000000000002</v>
      </c>
      <c r="BH4" s="5">
        <f t="shared" ref="BH4:BH19" si="1">$AY4*30/$AA4</f>
        <v>58.725000000000001</v>
      </c>
      <c r="BI4" s="5">
        <f t="shared" ref="BI4:BI19" si="2">$AY4*120/($D4+4*$AA4)</f>
        <v>23.49</v>
      </c>
      <c r="BJ4" s="4">
        <v>1</v>
      </c>
      <c r="BK4" s="81">
        <v>0</v>
      </c>
      <c r="BL4" s="5">
        <f t="shared" ref="BL4:BL19" si="3">_xlfn.LET(_xlpm._level_power,2,IF($BK4&lt;&gt;"",BH4/_xlpm._level_power^$BK4,""))</f>
        <v>58.725000000000001</v>
      </c>
      <c r="BM4" s="5">
        <f t="shared" ref="BM4:BM19" si="4">_xlfn.LET(_xlpm._level_power,2,IF($BK4&lt;&gt;"",BH4/_xlpm._level_power^$BK4,""))</f>
        <v>58.725000000000001</v>
      </c>
    </row>
    <row r="5" spans="1:65" x14ac:dyDescent="0.2">
      <c r="A5" s="4">
        <v>1310102</v>
      </c>
      <c r="B5" s="5" t="s">
        <v>76</v>
      </c>
      <c r="C5" s="5" t="s">
        <v>71</v>
      </c>
      <c r="D5" s="4">
        <v>300</v>
      </c>
      <c r="E5" s="5" t="str">
        <f t="shared" si="0"/>
        <v>2.50 s</v>
      </c>
      <c r="F5" s="4" t="b">
        <v>1</v>
      </c>
      <c r="G5" s="4">
        <v>0</v>
      </c>
      <c r="H5" s="4" t="str">
        <f t="shared" ref="H5:H22" si="5">_xlfn.TEXTJOIN(";",1,$I5:$K5)</f>
        <v>7;24;60</v>
      </c>
      <c r="I5" s="24">
        <v>7</v>
      </c>
      <c r="J5" s="24">
        <v>24</v>
      </c>
      <c r="K5" s="24">
        <v>60</v>
      </c>
      <c r="L5" s="4" t="str">
        <f t="shared" ref="L5:L22" si="6">_xlfn.TEXTJOIN(";",1,$M5:$O5)</f>
        <v>0.25;0.6;0.85</v>
      </c>
      <c r="M5" s="41">
        <v>0.25</v>
      </c>
      <c r="N5" s="41">
        <v>0.6</v>
      </c>
      <c r="O5" s="41">
        <v>0.85</v>
      </c>
      <c r="P5" s="4">
        <v>0.12</v>
      </c>
      <c r="Q5" s="4">
        <f t="shared" ref="Q5:Q17" si="7">R5/120</f>
        <v>8.3333333333333329E-2</v>
      </c>
      <c r="R5" s="24">
        <v>10</v>
      </c>
      <c r="S5" s="4" t="s">
        <v>77</v>
      </c>
      <c r="T5" s="26"/>
      <c r="U5" s="4" t="s">
        <v>74</v>
      </c>
      <c r="V5" s="4" t="s">
        <v>75</v>
      </c>
      <c r="W5" s="4">
        <v>2</v>
      </c>
      <c r="X5" s="4" t="str" cm="1">
        <f t="array" ref="X5">_xlfn.TEXTJOIN("~",1,Y5:Z5/AA5)</f>
        <v>0.32~0.48</v>
      </c>
      <c r="Y5" s="14">
        <v>8</v>
      </c>
      <c r="Z5" s="14">
        <v>12</v>
      </c>
      <c r="AA5" s="14">
        <v>25</v>
      </c>
      <c r="AB5" s="26"/>
      <c r="AC5" s="28"/>
      <c r="AD5" s="28"/>
      <c r="AE5" s="28"/>
      <c r="AF5" s="4">
        <v>1.2643</v>
      </c>
      <c r="AG5" s="4">
        <v>8</v>
      </c>
      <c r="AL5" s="4" t="str" cm="1">
        <f t="array" ref="AL5">_xlfn.TEXTJOIN(";",1,IFERROR(1/AM5:AN5,""))</f>
        <v/>
      </c>
      <c r="AO5" s="4" t="str" cm="1">
        <f t="array" aca="1" ref="AO5" ca="1">_xlfn.TEXTJOIN(";",1,_xlfn.LAMBDA(_xlpm.x,IF(_xlpm.x&lt;&gt;"",OFFSET(_xlpm.x,3-ROW(),0)&amp;"="&amp;_xlpm.x,""))(AP5:AT5))</f>
        <v>sharp=52</v>
      </c>
      <c r="AP5" s="18">
        <v>52</v>
      </c>
      <c r="AQ5" s="22"/>
      <c r="AR5" s="22"/>
      <c r="AS5" s="22"/>
      <c r="AT5" s="22"/>
      <c r="AU5" s="5" t="str" cm="1">
        <f t="array" ref="AU5">TEXT(VLOOKUP($A5,battle_data!$A:$G,MATCH(INDEX(_xlfn.TEXTSPLIT(AU$3,"|"),1),battle_data!$A$1:$G$1),0)*0.001,"0%")</f>
        <v>0%</v>
      </c>
      <c r="AV5" s="5" t="str" cm="1">
        <f t="array" ref="AV5">TEXT(VLOOKUP($A5,battle_data!$A:$G,MATCH(INDEX(_xlfn.TEXTSPLIT(AV$3,"|"),1),battle_data!$A$1:$G$1),0)*0.001,"0%")</f>
        <v>15%</v>
      </c>
      <c r="AW5" s="5" t="str" cm="1">
        <f t="array" ref="AW5">TEXT(VLOOKUP($A5,battle_data!$A:$G,MATCH(INDEX(_xlfn.TEXTSPLIT(AW$3,"|"),1),battle_data!$A$1:$G$1),0)*0.001,"0%")</f>
        <v>200%</v>
      </c>
      <c r="AX5" s="5">
        <f t="shared" ref="AX5:AX22" si="8">_xlfn.LET(_xlpm.p,($AV5),_xlpm.p*$AW5+(1-_xlpm.p))</f>
        <v>1.1499999999999999</v>
      </c>
      <c r="AY5" s="5">
        <f t="shared" ref="AY5:AY22" si="9">SUM($AP5:$AT5)*AX5</f>
        <v>59.8</v>
      </c>
      <c r="AZ5" s="65">
        <f>AA5/30</f>
        <v>0.83333333333333337</v>
      </c>
      <c r="BA5" s="65">
        <f>AY5/AZ5</f>
        <v>71.759999999999991</v>
      </c>
      <c r="BB5" s="65" cm="1">
        <f t="array" ref="BB5">_xlfn.LAMBDA(_xlpm._dps,_xlpm._info_cell,ROUND(IF(_xlpm._dps&lt;=0,-10,LOG(_xlpm._dps/INDEX(_xlfn.TEXTSPLIT(_xlpm._info_cell,"="),2),1.5)),2))($BA5,BB$3)</f>
        <v>0.66</v>
      </c>
      <c r="BC5" s="66">
        <v>1</v>
      </c>
      <c r="BF5" s="66">
        <v>0</v>
      </c>
      <c r="BG5" s="100">
        <f>BC5*2-BB5-BF5</f>
        <v>1.3399999999999999</v>
      </c>
      <c r="BH5" s="5">
        <f t="shared" si="1"/>
        <v>71.760000000000005</v>
      </c>
      <c r="BI5" s="5">
        <f t="shared" si="2"/>
        <v>17.940000000000001</v>
      </c>
      <c r="BJ5" s="4">
        <v>4</v>
      </c>
      <c r="BK5" s="81">
        <v>1</v>
      </c>
      <c r="BL5" s="5">
        <f t="shared" si="3"/>
        <v>35.880000000000003</v>
      </c>
      <c r="BM5" s="5">
        <f t="shared" si="4"/>
        <v>35.880000000000003</v>
      </c>
    </row>
    <row r="6" spans="1:65" x14ac:dyDescent="0.2">
      <c r="A6" s="4">
        <v>1310103</v>
      </c>
      <c r="B6" s="5" t="s">
        <v>78</v>
      </c>
      <c r="C6" s="5" t="s">
        <v>71</v>
      </c>
      <c r="D6" s="4">
        <v>600</v>
      </c>
      <c r="E6" s="5" t="str">
        <f t="shared" si="0"/>
        <v>5.00 s</v>
      </c>
      <c r="F6" s="4" t="b">
        <v>0</v>
      </c>
      <c r="G6" s="4">
        <v>0</v>
      </c>
      <c r="H6" s="4" t="str">
        <f t="shared" si="5"/>
        <v>7;24;60</v>
      </c>
      <c r="I6" s="24">
        <v>7</v>
      </c>
      <c r="J6" s="24">
        <v>24</v>
      </c>
      <c r="K6" s="24">
        <v>60</v>
      </c>
      <c r="L6" s="4" t="str">
        <f t="shared" si="6"/>
        <v>0.25;0.6;0.85</v>
      </c>
      <c r="M6" s="41">
        <v>0.25</v>
      </c>
      <c r="N6" s="41">
        <v>0.6</v>
      </c>
      <c r="O6" s="41">
        <v>0.85</v>
      </c>
      <c r="P6" s="4">
        <v>0.1</v>
      </c>
      <c r="Q6" s="4">
        <f t="shared" si="7"/>
        <v>5.5555555555555559E-2</v>
      </c>
      <c r="R6" s="24">
        <f>20/3</f>
        <v>6.666666666666667</v>
      </c>
      <c r="S6" s="4" t="s">
        <v>77</v>
      </c>
      <c r="T6" s="26"/>
      <c r="U6" s="4" t="s">
        <v>74</v>
      </c>
      <c r="V6" s="4" t="s">
        <v>75</v>
      </c>
      <c r="W6" s="4">
        <v>2</v>
      </c>
      <c r="X6" s="4" t="str" cm="1">
        <f t="array" ref="X6">_xlfn.TEXTJOIN("~",1,Y6:Z6/AA6)</f>
        <v>0.466666666666667~0.6</v>
      </c>
      <c r="Y6" s="14">
        <v>14</v>
      </c>
      <c r="Z6" s="14">
        <v>18</v>
      </c>
      <c r="AA6" s="14">
        <v>30</v>
      </c>
      <c r="AB6" s="26"/>
      <c r="AC6" s="28"/>
      <c r="AD6" s="28"/>
      <c r="AE6" s="28"/>
      <c r="AF6" s="4">
        <v>1.7058</v>
      </c>
      <c r="AG6" s="4">
        <v>5</v>
      </c>
      <c r="AL6" s="4" t="str" cm="1">
        <f t="array" ref="AL6">_xlfn.TEXTJOIN(";",1,IFERROR(1/AM6:AN6,""))</f>
        <v/>
      </c>
      <c r="AO6" s="4" t="str" cm="1">
        <f t="array" aca="1" ref="AO6" ca="1">_xlfn.TEXTJOIN(";",1,_xlfn.LAMBDA(_xlpm.x,IF(_xlpm.x&lt;&gt;"",OFFSET(_xlpm.x,3-ROW(),0)&amp;"="&amp;_xlpm.x,""))(AP6:AT6))</f>
        <v>sharp=150</v>
      </c>
      <c r="AP6" s="18">
        <v>150</v>
      </c>
      <c r="AQ6" s="22"/>
      <c r="AR6" s="22"/>
      <c r="AS6" s="22"/>
      <c r="AT6" s="22"/>
      <c r="AU6" s="5" t="str" cm="1">
        <f t="array" ref="AU6">TEXT(VLOOKUP($A6,battle_data!$A:$G,MATCH(INDEX(_xlfn.TEXTSPLIT(AU$3,"|"),1),battle_data!$A$1:$G$1),0)*0.001,"0%")</f>
        <v>0%</v>
      </c>
      <c r="AV6" s="5" t="str" cm="1">
        <f t="array" ref="AV6">TEXT(VLOOKUP($A6,battle_data!$A:$G,MATCH(INDEX(_xlfn.TEXTSPLIT(AV$3,"|"),1),battle_data!$A$1:$G$1),0)*0.001,"0%")</f>
        <v>10%</v>
      </c>
      <c r="AW6" s="5" t="str" cm="1">
        <f t="array" ref="AW6">TEXT(VLOOKUP($A6,battle_data!$A:$G,MATCH(INDEX(_xlfn.TEXTSPLIT(AW$3,"|"),1),battle_data!$A$1:$G$1),0)*0.001,"0%")</f>
        <v>200%</v>
      </c>
      <c r="AX6" s="5">
        <f t="shared" si="8"/>
        <v>1.1000000000000001</v>
      </c>
      <c r="AY6" s="5">
        <f t="shared" si="9"/>
        <v>165</v>
      </c>
      <c r="AZ6" s="65">
        <f>AA6/30</f>
        <v>1</v>
      </c>
      <c r="BA6" s="65">
        <f>AY6/AZ6</f>
        <v>165</v>
      </c>
      <c r="BB6" s="65" cm="1">
        <f t="array" ref="BB6">_xlfn.LAMBDA(_xlpm._dps,_xlpm._info_cell,ROUND(IF(_xlpm._dps&lt;=0,-10,LOG(_xlpm._dps/INDEX(_xlfn.TEXTSPLIT(_xlpm._info_cell,"="),2),1.5)),2))($BA6,BB$3)</f>
        <v>2.71</v>
      </c>
      <c r="BC6" s="66">
        <v>2</v>
      </c>
      <c r="BF6" s="66">
        <v>-0.2</v>
      </c>
      <c r="BG6" s="100">
        <f>BC6*2-BB6-BF6</f>
        <v>1.49</v>
      </c>
      <c r="BH6" s="5">
        <f t="shared" si="1"/>
        <v>165</v>
      </c>
      <c r="BI6" s="5">
        <f t="shared" si="2"/>
        <v>27.5</v>
      </c>
      <c r="BJ6" s="4">
        <v>8</v>
      </c>
      <c r="BK6" s="81">
        <v>2</v>
      </c>
      <c r="BL6" s="5">
        <f t="shared" si="3"/>
        <v>41.25</v>
      </c>
      <c r="BM6" s="5">
        <f t="shared" si="4"/>
        <v>41.25</v>
      </c>
    </row>
    <row r="7" spans="1:65" x14ac:dyDescent="0.2">
      <c r="A7" s="4">
        <v>1310104</v>
      </c>
      <c r="B7" s="5" t="s">
        <v>79</v>
      </c>
      <c r="C7" s="5" t="s">
        <v>71</v>
      </c>
      <c r="D7" s="4">
        <v>450</v>
      </c>
      <c r="E7" s="5" t="str">
        <f t="shared" si="0"/>
        <v>3.75 s</v>
      </c>
      <c r="F7" s="4" t="b">
        <v>0</v>
      </c>
      <c r="G7" s="4">
        <v>0</v>
      </c>
      <c r="H7" s="4" t="str">
        <f t="shared" si="5"/>
        <v>7;24;60</v>
      </c>
      <c r="I7" s="24">
        <v>7</v>
      </c>
      <c r="J7" s="24">
        <v>24</v>
      </c>
      <c r="K7" s="24">
        <v>60</v>
      </c>
      <c r="L7" s="4" t="str">
        <f t="shared" si="6"/>
        <v>0.25;0.6;0.85</v>
      </c>
      <c r="M7" s="41">
        <v>0.25</v>
      </c>
      <c r="N7" s="41">
        <v>0.6</v>
      </c>
      <c r="O7" s="41">
        <v>0.85</v>
      </c>
      <c r="P7" s="4">
        <v>0.09</v>
      </c>
      <c r="Q7" s="4">
        <f t="shared" si="7"/>
        <v>2.777777777777778E-2</v>
      </c>
      <c r="R7" s="24">
        <f>10/3</f>
        <v>3.3333333333333335</v>
      </c>
      <c r="S7" s="4" t="s">
        <v>72</v>
      </c>
      <c r="T7" s="4" t="s">
        <v>73</v>
      </c>
      <c r="U7" s="4" t="s">
        <v>74</v>
      </c>
      <c r="V7" s="4" t="s">
        <v>75</v>
      </c>
      <c r="W7" s="4">
        <v>2</v>
      </c>
      <c r="X7" s="4" t="str" cm="1">
        <f t="array" ref="X7">_xlfn.TEXTJOIN("~",1,Y7:Z7/AA7)</f>
        <v>0.333333333333333~0.433333333333333</v>
      </c>
      <c r="Y7" s="14">
        <v>10</v>
      </c>
      <c r="Z7" s="14">
        <v>13</v>
      </c>
      <c r="AA7" s="14">
        <v>30</v>
      </c>
      <c r="AB7" s="4" t="str" cm="1">
        <f t="array" ref="AB7">_xlfn.TEXTJOIN("~",1,AC7:AD7/AE7)</f>
        <v>0.5~0.666666666666667</v>
      </c>
      <c r="AC7" s="14">
        <v>15</v>
      </c>
      <c r="AD7" s="14">
        <v>20</v>
      </c>
      <c r="AE7" s="14">
        <v>30</v>
      </c>
      <c r="AF7" s="4">
        <v>2.097</v>
      </c>
      <c r="AG7" s="4">
        <v>6</v>
      </c>
      <c r="AL7" s="4" t="str" cm="1">
        <f t="array" ref="AL7">_xlfn.TEXTJOIN(";",1,IFERROR(1/AM7:AN7,""))</f>
        <v/>
      </c>
      <c r="AO7" s="4" t="str" cm="1">
        <f t="array" aca="1" ref="AO7" ca="1">_xlfn.TEXTJOIN(";",1,_xlfn.LAMBDA(_xlpm.x,IF(_xlpm.x&lt;&gt;"",OFFSET(_xlpm.x,3-ROW(),0)&amp;"="&amp;_xlpm.x,""))(AP7:AT7))</f>
        <v>sharp=64</v>
      </c>
      <c r="AP7" s="18">
        <v>64</v>
      </c>
      <c r="AQ7" s="22"/>
      <c r="AR7" s="22"/>
      <c r="AS7" s="22"/>
      <c r="AT7" s="22"/>
      <c r="AU7" s="5" t="str" cm="1">
        <f t="array" ref="AU7">TEXT(VLOOKUP($A7,battle_data!$A:$G,MATCH(INDEX(_xlfn.TEXTSPLIT(AU$3,"|"),1),battle_data!$A$1:$G$1),0)*0.001,"0%")</f>
        <v>25%</v>
      </c>
      <c r="AV7" s="5" t="str" cm="1">
        <f t="array" ref="AV7">TEXT(VLOOKUP($A7,battle_data!$A:$G,MATCH(INDEX(_xlfn.TEXTSPLIT(AV$3,"|"),1),battle_data!$A$1:$G$1),0)*0.001,"0%")</f>
        <v>20%</v>
      </c>
      <c r="AW7" s="5" t="str" cm="1">
        <f t="array" ref="AW7">TEXT(VLOOKUP($A7,battle_data!$A:$G,MATCH(INDEX(_xlfn.TEXTSPLIT(AW$3,"|"),1),battle_data!$A$1:$G$1),0)*0.001,"0%")</f>
        <v>200%</v>
      </c>
      <c r="AX7" s="5">
        <f t="shared" si="8"/>
        <v>1.2000000000000002</v>
      </c>
      <c r="AY7" s="5">
        <f t="shared" si="9"/>
        <v>76.800000000000011</v>
      </c>
      <c r="AZ7" s="65">
        <f>AA7/30</f>
        <v>1</v>
      </c>
      <c r="BA7" s="65">
        <f>AY7/AZ7</f>
        <v>76.800000000000011</v>
      </c>
      <c r="BB7" s="65" cm="1">
        <f t="array" ref="BB7">_xlfn.LAMBDA(_xlpm._dps,_xlpm._info_cell,ROUND(IF(_xlpm._dps&lt;=0,-10,LOG(_xlpm._dps/INDEX(_xlfn.TEXTSPLIT(_xlpm._info_cell,"="),2),1.5)),2))($BA7,BB$3)</f>
        <v>0.82</v>
      </c>
      <c r="BC7" s="66">
        <v>1</v>
      </c>
      <c r="BF7" s="66">
        <v>-0.05</v>
      </c>
      <c r="BG7" s="100">
        <f>BC7*2-BB7-BF7</f>
        <v>1.2300000000000002</v>
      </c>
      <c r="BH7" s="5">
        <f t="shared" si="1"/>
        <v>76.800000000000011</v>
      </c>
      <c r="BI7" s="5">
        <f t="shared" si="2"/>
        <v>16.168421052631583</v>
      </c>
      <c r="BJ7" s="4">
        <v>5</v>
      </c>
      <c r="BK7" s="81">
        <v>2</v>
      </c>
      <c r="BL7" s="5">
        <f t="shared" si="3"/>
        <v>19.200000000000003</v>
      </c>
      <c r="BM7" s="5">
        <f t="shared" si="4"/>
        <v>19.200000000000003</v>
      </c>
    </row>
    <row r="8" spans="1:65" x14ac:dyDescent="0.2">
      <c r="A8" s="4">
        <v>1310105</v>
      </c>
      <c r="B8" s="5" t="s">
        <v>436</v>
      </c>
      <c r="C8" s="5" t="s">
        <v>508</v>
      </c>
      <c r="D8" s="4">
        <v>0</v>
      </c>
      <c r="E8" s="5" t="str">
        <f t="shared" si="0"/>
        <v>0.00 s</v>
      </c>
      <c r="F8" s="4" t="b">
        <v>1</v>
      </c>
      <c r="G8" s="26">
        <v>0</v>
      </c>
      <c r="H8" s="4" t="str">
        <f t="shared" si="5"/>
        <v>0</v>
      </c>
      <c r="I8" s="24">
        <v>0</v>
      </c>
      <c r="J8" s="26"/>
      <c r="K8" s="26"/>
      <c r="L8" s="4" t="str">
        <f t="shared" si="6"/>
        <v>1</v>
      </c>
      <c r="M8" s="41">
        <v>1</v>
      </c>
      <c r="N8" s="26"/>
      <c r="O8" s="26"/>
      <c r="P8" s="26"/>
      <c r="Q8" s="26"/>
      <c r="R8" s="43"/>
      <c r="S8" s="4" t="s">
        <v>77</v>
      </c>
      <c r="T8" s="26"/>
      <c r="U8" s="4" t="s">
        <v>74</v>
      </c>
      <c r="V8" s="26"/>
      <c r="W8" s="4">
        <v>2</v>
      </c>
      <c r="X8" s="4" t="str" cm="1">
        <f t="array" ref="X8">_xlfn.TEXTJOIN("~",1,Y8:Z8/AA8)</f>
        <v>0.428571428571429~0.571428571428571</v>
      </c>
      <c r="Y8" s="14">
        <v>15</v>
      </c>
      <c r="Z8" s="14">
        <v>20</v>
      </c>
      <c r="AA8" s="14">
        <v>35</v>
      </c>
      <c r="AB8" s="26"/>
      <c r="AC8" s="28"/>
      <c r="AD8" s="28"/>
      <c r="AE8" s="28"/>
      <c r="AF8" s="4">
        <v>0</v>
      </c>
      <c r="AG8" s="4">
        <v>8</v>
      </c>
      <c r="AL8" s="4" t="str" cm="1">
        <f t="array" ref="AL8">_xlfn.TEXTJOIN(";",1,IFERROR(1/AM8:AN8,""))</f>
        <v>0.00416666666666667</v>
      </c>
      <c r="AM8" s="34">
        <v>240</v>
      </c>
      <c r="AO8" s="4" t="str" cm="1">
        <f t="array" aca="1" ref="AO8" ca="1">_xlfn.TEXTJOIN(";",1,_xlfn.LAMBDA(_xlpm.x,IF(_xlpm.x&lt;&gt;"",OFFSET(_xlpm.x,3-ROW(),0)&amp;"="&amp;_xlpm.x,""))(AP8:AT8))</f>
        <v>blunt=0</v>
      </c>
      <c r="AP8" s="22"/>
      <c r="AQ8" s="18">
        <v>0</v>
      </c>
      <c r="AR8" s="22"/>
      <c r="AS8" s="22"/>
      <c r="AT8" s="22"/>
      <c r="AU8" s="5" t="str" cm="1">
        <f t="array" ref="AU8">TEXT(VLOOKUP($A8,battle_data!$A:$G,MATCH(INDEX(_xlfn.TEXTSPLIT(AU$3,"|"),1),battle_data!$A$1:$G$1),0)*0.001,"0%")</f>
        <v>0%</v>
      </c>
      <c r="AV8" s="5" t="str" cm="1">
        <f t="array" ref="AV8">TEXT(VLOOKUP($A8,battle_data!$A:$G,MATCH(INDEX(_xlfn.TEXTSPLIT(AV$3,"|"),1),battle_data!$A$1:$G$1),0)*0.001,"0%")</f>
        <v>60%</v>
      </c>
      <c r="AW8" s="5" t="str" cm="1">
        <f t="array" ref="AW8">TEXT(VLOOKUP($A8,battle_data!$A:$G,MATCH(INDEX(_xlfn.TEXTSPLIT(AW$3,"|"),1),battle_data!$A$1:$G$1),0)*0.001,"0%")</f>
        <v>101%</v>
      </c>
      <c r="AX8" s="5">
        <f t="shared" si="8"/>
        <v>1.006</v>
      </c>
      <c r="AY8" s="5">
        <f t="shared" si="9"/>
        <v>0</v>
      </c>
      <c r="AZ8" s="75"/>
      <c r="BA8" s="75"/>
      <c r="BB8" s="75"/>
      <c r="BC8" s="76"/>
      <c r="BD8" s="76"/>
      <c r="BE8" s="97"/>
      <c r="BF8" s="76"/>
      <c r="BG8" s="99"/>
      <c r="BH8" s="5">
        <f t="shared" si="1"/>
        <v>0</v>
      </c>
      <c r="BI8" s="5">
        <f t="shared" si="2"/>
        <v>0</v>
      </c>
      <c r="BJ8" s="4">
        <v>20</v>
      </c>
      <c r="BK8" s="81">
        <v>1</v>
      </c>
      <c r="BL8" s="5">
        <f t="shared" si="3"/>
        <v>0</v>
      </c>
      <c r="BM8" s="5">
        <f t="shared" si="4"/>
        <v>0</v>
      </c>
    </row>
    <row r="9" spans="1:65" x14ac:dyDescent="0.2">
      <c r="A9" s="4">
        <v>13101050</v>
      </c>
      <c r="B9" s="5" t="s">
        <v>506</v>
      </c>
      <c r="C9" s="5" t="s">
        <v>508</v>
      </c>
      <c r="D9" s="4">
        <v>0</v>
      </c>
      <c r="E9" s="5" t="str">
        <f t="shared" ref="E9" si="10">TEXT(D9/120,"0.00")&amp;" s"</f>
        <v>0.00 s</v>
      </c>
      <c r="F9" s="4" t="b">
        <v>1</v>
      </c>
      <c r="G9" s="26">
        <v>0</v>
      </c>
      <c r="H9" s="4" t="str">
        <f t="shared" si="5"/>
        <v>0</v>
      </c>
      <c r="I9" s="24">
        <v>0</v>
      </c>
      <c r="J9" s="26"/>
      <c r="K9" s="26"/>
      <c r="L9" s="4" t="str">
        <f t="shared" si="6"/>
        <v>1</v>
      </c>
      <c r="M9" s="41">
        <v>1</v>
      </c>
      <c r="N9" s="26"/>
      <c r="O9" s="26"/>
      <c r="P9" s="26"/>
      <c r="Q9" s="26"/>
      <c r="R9" s="43"/>
      <c r="S9" s="4" t="s">
        <v>77</v>
      </c>
      <c r="T9" s="26"/>
      <c r="U9" s="4" t="s">
        <v>74</v>
      </c>
      <c r="V9" s="26"/>
      <c r="W9" s="4">
        <v>2</v>
      </c>
      <c r="X9" s="4" t="str" cm="1">
        <f t="array" ref="X9">_xlfn.TEXTJOIN("~",1,Y9:Z9/AA9)</f>
        <v>0.428571428571429~0.571428571428571</v>
      </c>
      <c r="Y9" s="14">
        <v>15</v>
      </c>
      <c r="Z9" s="14">
        <v>20</v>
      </c>
      <c r="AA9" s="14">
        <v>35</v>
      </c>
      <c r="AB9" s="26"/>
      <c r="AC9" s="28"/>
      <c r="AD9" s="28"/>
      <c r="AE9" s="28"/>
      <c r="AF9" s="4">
        <v>0</v>
      </c>
      <c r="AG9" s="4">
        <v>8</v>
      </c>
      <c r="AL9" s="4" t="str" cm="1">
        <f t="array" ref="AL9">_xlfn.TEXTJOIN(";",1,IFERROR(1/AM9:AN9,""))</f>
        <v>0.00416666666666667</v>
      </c>
      <c r="AM9" s="34">
        <v>240</v>
      </c>
      <c r="AO9" s="4" t="str" cm="1">
        <f t="array" aca="1" ref="AO9" ca="1">_xlfn.TEXTJOIN(";",1,_xlfn.LAMBDA(_xlpm.x,IF(_xlpm.x&lt;&gt;"",OFFSET(_xlpm.x,3-ROW(),0)&amp;"="&amp;_xlpm.x,""))(AP9:AT9))</f>
        <v>blunt=0</v>
      </c>
      <c r="AP9" s="22"/>
      <c r="AQ9" s="18">
        <v>0</v>
      </c>
      <c r="AR9" s="22"/>
      <c r="AS9" s="22"/>
      <c r="AT9" s="22"/>
      <c r="AU9" s="5" t="str" cm="1">
        <f t="array" ref="AU9">TEXT(VLOOKUP($A9,battle_data!$A:$G,MATCH(INDEX(_xlfn.TEXTSPLIT(AU$3,"|"),1),battle_data!$A$1:$G$1),0)*0.001,"0%")</f>
        <v>0%</v>
      </c>
      <c r="AV9" s="5" t="str" cm="1">
        <f t="array" ref="AV9">TEXT(VLOOKUP($A9,battle_data!$A:$G,MATCH(INDEX(_xlfn.TEXTSPLIT(AV$3,"|"),1),battle_data!$A$1:$G$1),0)*0.001,"0%")</f>
        <v>60%</v>
      </c>
      <c r="AW9" s="5" t="str" cm="1">
        <f t="array" ref="AW9">TEXT(VLOOKUP($A9,battle_data!$A:$G,MATCH(INDEX(_xlfn.TEXTSPLIT(AW$3,"|"),1),battle_data!$A$1:$G$1),0)*0.001,"0%")</f>
        <v>100%</v>
      </c>
      <c r="AX9" s="5">
        <f t="shared" si="8"/>
        <v>1</v>
      </c>
      <c r="AY9" s="5">
        <f t="shared" si="9"/>
        <v>0</v>
      </c>
      <c r="AZ9" s="65">
        <f>AA9/30</f>
        <v>1.1666666666666667</v>
      </c>
      <c r="BA9" s="65">
        <f>AY9/AZ9</f>
        <v>0</v>
      </c>
      <c r="BB9" s="65" cm="1">
        <f t="array" ref="BB9">_xlfn.LAMBDA(_xlpm._dps,_xlpm._info_cell,ROUND(IF(_xlpm._dps&lt;=0,-10,LOG(_xlpm._dps/INDEX(_xlfn.TEXTSPLIT(_xlpm._info_cell,"="),2),1.5)),2))($BA9,BB$3)</f>
        <v>-10</v>
      </c>
      <c r="BC9" s="66">
        <v>0</v>
      </c>
      <c r="BD9" s="66">
        <v>1</v>
      </c>
      <c r="BE9" s="98" cm="1">
        <f t="array" ref="BE9">_xlfn.LAMBDA(_xlpm._lv,_xlpm._rank,_xlpm._base,_xlpm._lv+INDEX(_xlfn.TEXTSPLIT(_xlpm._base,"="),2)^(_xlpm._rank-2)-1)(BC9,BD9,BE$3)</f>
        <v>-0.5</v>
      </c>
      <c r="BF9" s="66">
        <v>10.5</v>
      </c>
      <c r="BG9" s="100">
        <f>BE9*2-BB9-BF9</f>
        <v>-1.5</v>
      </c>
      <c r="BH9" s="5">
        <f t="shared" si="1"/>
        <v>0</v>
      </c>
      <c r="BI9" s="5">
        <f t="shared" si="2"/>
        <v>0</v>
      </c>
      <c r="BJ9" s="4">
        <v>20</v>
      </c>
      <c r="BK9" s="81">
        <v>2</v>
      </c>
      <c r="BL9" s="5">
        <f t="shared" ref="BL9" si="11">_xlfn.LET(_xlpm._level_power,2,IF($BK9&lt;&gt;"",BH9/_xlpm._level_power^$BK9,""))</f>
        <v>0</v>
      </c>
      <c r="BM9" s="5">
        <f t="shared" ref="BM9" si="12">_xlfn.LET(_xlpm._level_power,2,IF($BK9&lt;&gt;"",BH9/_xlpm._level_power^$BK9,""))</f>
        <v>0</v>
      </c>
    </row>
    <row r="10" spans="1:65" x14ac:dyDescent="0.2">
      <c r="A10" s="4">
        <v>13101051</v>
      </c>
      <c r="B10" s="5" t="s">
        <v>507</v>
      </c>
      <c r="C10" s="5" t="s">
        <v>508</v>
      </c>
      <c r="D10" s="4">
        <v>0</v>
      </c>
      <c r="E10" s="5" t="str">
        <f t="shared" si="0"/>
        <v>0.00 s</v>
      </c>
      <c r="F10" s="4" t="b">
        <v>1</v>
      </c>
      <c r="G10" s="26">
        <v>0</v>
      </c>
      <c r="H10" s="4" t="str">
        <f t="shared" si="5"/>
        <v>0</v>
      </c>
      <c r="I10" s="24">
        <v>0</v>
      </c>
      <c r="J10" s="26"/>
      <c r="K10" s="26"/>
      <c r="L10" s="4" t="str">
        <f t="shared" si="6"/>
        <v>1</v>
      </c>
      <c r="M10" s="41">
        <v>1</v>
      </c>
      <c r="N10" s="26"/>
      <c r="O10" s="26"/>
      <c r="P10" s="26"/>
      <c r="Q10" s="26"/>
      <c r="R10" s="43"/>
      <c r="S10" s="4" t="s">
        <v>77</v>
      </c>
      <c r="T10" s="26"/>
      <c r="U10" s="4" t="s">
        <v>74</v>
      </c>
      <c r="V10" s="26"/>
      <c r="W10" s="4">
        <v>2</v>
      </c>
      <c r="X10" s="4" t="str" cm="1">
        <f t="array" ref="X10">_xlfn.TEXTJOIN("~",1,Y10:Z10/AA10)</f>
        <v>0.428571428571429~0.571428571428571</v>
      </c>
      <c r="Y10" s="14">
        <v>15</v>
      </c>
      <c r="Z10" s="14">
        <v>20</v>
      </c>
      <c r="AA10" s="14">
        <v>35</v>
      </c>
      <c r="AB10" s="26"/>
      <c r="AC10" s="28"/>
      <c r="AD10" s="28"/>
      <c r="AE10" s="28"/>
      <c r="AF10" s="4">
        <v>0</v>
      </c>
      <c r="AG10" s="4">
        <v>8</v>
      </c>
      <c r="AL10" s="4" t="str" cm="1">
        <f t="array" ref="AL10">_xlfn.TEXTJOIN(";",1,IFERROR(1/AM10:AN10,""))</f>
        <v>0.00416666666666667</v>
      </c>
      <c r="AM10" s="34">
        <v>240</v>
      </c>
      <c r="AO10" s="4" t="str" cm="1">
        <f t="array" aca="1" ref="AO10" ca="1">_xlfn.TEXTJOIN(";",1,_xlfn.LAMBDA(_xlpm.x,IF(_xlpm.x&lt;&gt;"",OFFSET(_xlpm.x,3-ROW(),0)&amp;"="&amp;_xlpm.x,""))(AP10:AT10))</f>
        <v>blunt=2</v>
      </c>
      <c r="AP10" s="22"/>
      <c r="AQ10" s="18">
        <v>2</v>
      </c>
      <c r="AR10" s="22"/>
      <c r="AS10" s="22"/>
      <c r="AT10" s="22"/>
      <c r="AU10" s="5" t="str" cm="1">
        <f t="array" ref="AU10">TEXT(VLOOKUP($A10,battle_data!$A:$G,MATCH(INDEX(_xlfn.TEXTSPLIT(AU$3,"|"),1),battle_data!$A$1:$G$1),0)*0.001,"0%")</f>
        <v>0%</v>
      </c>
      <c r="AV10" s="5" t="str" cm="1">
        <f t="array" ref="AV10">TEXT(VLOOKUP($A10,battle_data!$A:$G,MATCH(INDEX(_xlfn.TEXTSPLIT(AV$3,"|"),1),battle_data!$A$1:$G$1),0)*0.001,"0%")</f>
        <v>60%</v>
      </c>
      <c r="AW10" s="5" t="str" cm="1">
        <f t="array" ref="AW10">TEXT(VLOOKUP($A10,battle_data!$A:$G,MATCH(INDEX(_xlfn.TEXTSPLIT(AW$3,"|"),1),battle_data!$A$1:$G$1),0)*0.001,"0%")</f>
        <v>100%</v>
      </c>
      <c r="AX10" s="5">
        <f t="shared" si="8"/>
        <v>1</v>
      </c>
      <c r="AY10" s="5">
        <f t="shared" si="9"/>
        <v>2</v>
      </c>
      <c r="AZ10" s="65">
        <f>AA10/30</f>
        <v>1.1666666666666667</v>
      </c>
      <c r="BA10" s="65">
        <f>AY10/AZ10</f>
        <v>1.7142857142857142</v>
      </c>
      <c r="BB10" s="65" cm="1">
        <f t="array" ref="BB10">_xlfn.LAMBDA(_xlpm._dps,_xlpm._info_cell,ROUND(IF(_xlpm._dps&lt;=0,-10,LOG(_xlpm._dps/INDEX(_xlfn.TEXTSPLIT(_xlpm._info_cell,"="),2),1.5)),2))($BA10,BB$3)</f>
        <v>-8.5500000000000007</v>
      </c>
      <c r="BC10" s="66">
        <v>1</v>
      </c>
      <c r="BD10" s="66">
        <v>1</v>
      </c>
      <c r="BE10" s="98" cm="1">
        <f t="array" ref="BE10">_xlfn.LAMBDA(_xlpm._lv,_xlpm._rank,_xlpm._base,_xlpm._lv+INDEX(_xlfn.TEXTSPLIT(_xlpm._base,"="),2)^(_xlpm._rank-2)-1)(BC10,BD10,BE$3)</f>
        <v>0.5</v>
      </c>
      <c r="BF10" s="66">
        <v>8.65</v>
      </c>
      <c r="BG10" s="100">
        <f>BE10*2-BB10-BF10</f>
        <v>0.90000000000000036</v>
      </c>
      <c r="BH10" s="5">
        <f t="shared" si="1"/>
        <v>1.7142857142857142</v>
      </c>
      <c r="BI10" s="5">
        <f t="shared" si="2"/>
        <v>1.7142857142857142</v>
      </c>
      <c r="BJ10" s="4">
        <v>26</v>
      </c>
      <c r="BK10" s="81">
        <v>1</v>
      </c>
      <c r="BL10" s="5">
        <f t="shared" si="3"/>
        <v>0.8571428571428571</v>
      </c>
      <c r="BM10" s="5">
        <f t="shared" si="4"/>
        <v>0.8571428571428571</v>
      </c>
    </row>
    <row r="11" spans="1:65" x14ac:dyDescent="0.2">
      <c r="A11" s="4">
        <v>1310107</v>
      </c>
      <c r="B11" s="5" t="s">
        <v>520</v>
      </c>
      <c r="C11" s="5" t="s">
        <v>437</v>
      </c>
      <c r="D11" s="4">
        <v>0</v>
      </c>
      <c r="E11" s="5" t="str">
        <f>TEXT(D11/120,"0.00")&amp;" s"</f>
        <v>0.00 s</v>
      </c>
      <c r="F11" s="4" t="b">
        <v>0</v>
      </c>
      <c r="G11" s="4">
        <v>0</v>
      </c>
      <c r="H11" s="4" t="str">
        <f t="shared" si="5"/>
        <v>0</v>
      </c>
      <c r="I11" s="24">
        <v>0</v>
      </c>
      <c r="L11" s="4" t="str">
        <f t="shared" si="6"/>
        <v>1</v>
      </c>
      <c r="M11" s="41">
        <v>1</v>
      </c>
      <c r="N11" s="26"/>
      <c r="O11" s="26"/>
      <c r="P11" s="26"/>
      <c r="Q11" s="26"/>
      <c r="R11" s="43"/>
      <c r="S11" s="4" t="s">
        <v>77</v>
      </c>
      <c r="T11" s="26"/>
      <c r="U11" s="4" t="s">
        <v>74</v>
      </c>
      <c r="V11" s="4" t="s">
        <v>75</v>
      </c>
      <c r="W11" s="4">
        <v>2</v>
      </c>
      <c r="X11" s="4" t="str" cm="1">
        <f t="array" ref="X11">_xlfn.TEXTJOIN("~",1,Y11:Z11/AA11)</f>
        <v>0.307692307692308~0.769230769230769</v>
      </c>
      <c r="Y11" s="14">
        <v>8</v>
      </c>
      <c r="Z11" s="14">
        <v>20</v>
      </c>
      <c r="AA11" s="14">
        <v>26</v>
      </c>
      <c r="AB11" s="26"/>
      <c r="AC11" s="28"/>
      <c r="AD11" s="28"/>
      <c r="AE11" s="28"/>
      <c r="AF11" s="4">
        <v>1.7058</v>
      </c>
      <c r="AG11" s="4">
        <v>5</v>
      </c>
      <c r="AJ11" s="4"/>
      <c r="AK11" s="4"/>
      <c r="AL11" s="4" t="str" cm="1">
        <f t="array" ref="AL11">_xlfn.TEXTJOIN(";",1,IFERROR(1/AM11:AN11,""))</f>
        <v>0.00208333333333333</v>
      </c>
      <c r="AM11" s="34">
        <v>480</v>
      </c>
      <c r="AO11" s="4" t="str" cm="1">
        <f t="array" aca="1" ref="AO11" ca="1">_xlfn.TEXTJOIN(";",1,_xlfn.LAMBDA(_xlpm.x,IF(_xlpm.x&lt;&gt;"",OFFSET(_xlpm.x,3-ROW(),0)&amp;"="&amp;_xlpm.x,""))(AP11:AT11))</f>
        <v>sharp=150</v>
      </c>
      <c r="AP11" s="18">
        <v>150</v>
      </c>
      <c r="AQ11" s="22"/>
      <c r="AR11" s="22"/>
      <c r="AS11" s="22"/>
      <c r="AT11" s="22"/>
      <c r="AU11" s="5" t="str" cm="1">
        <f t="array" ref="AU11">TEXT(VLOOKUP($A11,battle_data!$A:$G,MATCH(INDEX(_xlfn.TEXTSPLIT(AU$3,"|"),1),battle_data!$A$1:$G$1),0)*0.001,"0%")</f>
        <v>0%</v>
      </c>
      <c r="AV11" s="5" t="str" cm="1">
        <f t="array" ref="AV11">TEXT(VLOOKUP($A11,battle_data!$A:$G,MATCH(INDEX(_xlfn.TEXTSPLIT(AV$3,"|"),1),battle_data!$A$1:$G$1),0)*0.001,"0%")</f>
        <v>8%</v>
      </c>
      <c r="AW11" s="5" t="str" cm="1">
        <f t="array" ref="AW11">TEXT(VLOOKUP($A11,battle_data!$A:$G,MATCH(INDEX(_xlfn.TEXTSPLIT(AW$3,"|"),1),battle_data!$A$1:$G$1),0)*0.001,"0%")</f>
        <v>130%</v>
      </c>
      <c r="AX11" s="5">
        <f t="shared" si="8"/>
        <v>1.024</v>
      </c>
      <c r="AY11" s="5">
        <f t="shared" ref="AY11" si="13">SUM($AP11:$AT11)*AX11</f>
        <v>153.6</v>
      </c>
      <c r="AZ11" s="75"/>
      <c r="BA11" s="75"/>
      <c r="BB11" s="75"/>
      <c r="BC11" s="76"/>
      <c r="BD11" s="76"/>
      <c r="BE11" s="97"/>
      <c r="BF11" s="76"/>
      <c r="BG11" s="99"/>
      <c r="BH11" s="5">
        <f>$AY11*30/$AA11</f>
        <v>177.23076923076923</v>
      </c>
      <c r="BI11" s="5">
        <f>$AY11*120/($D11+4*$AA11)</f>
        <v>177.23076923076923</v>
      </c>
      <c r="BJ11" s="4">
        <v>8</v>
      </c>
      <c r="BK11" s="81">
        <v>2</v>
      </c>
      <c r="BL11" s="5">
        <f>_xlfn.LET(_xlpm._level_power,2,IF($BK11&lt;&gt;"",BH11/_xlpm._level_power^$BK11,""))</f>
        <v>44.307692307692307</v>
      </c>
      <c r="BM11" s="5">
        <f>_xlfn.LET(_xlpm._level_power,2,IF($BK11&lt;&gt;"",BH11/_xlpm._level_power^$BK11,""))</f>
        <v>44.307692307692307</v>
      </c>
    </row>
    <row r="12" spans="1:65" x14ac:dyDescent="0.2">
      <c r="A12" s="4">
        <v>13101070</v>
      </c>
      <c r="B12" s="5" t="s">
        <v>521</v>
      </c>
      <c r="C12" s="5" t="s">
        <v>437</v>
      </c>
      <c r="D12" s="4">
        <v>0</v>
      </c>
      <c r="E12" s="5" t="str">
        <f>TEXT(D12/120,"0.00")&amp;" s"</f>
        <v>0.00 s</v>
      </c>
      <c r="F12" s="4" t="b">
        <v>0</v>
      </c>
      <c r="G12" s="4">
        <v>0</v>
      </c>
      <c r="H12" s="4" t="str">
        <f t="shared" si="5"/>
        <v>0</v>
      </c>
      <c r="I12" s="24">
        <v>0</v>
      </c>
      <c r="L12" s="4" t="str">
        <f t="shared" si="6"/>
        <v>1</v>
      </c>
      <c r="M12" s="41">
        <v>1</v>
      </c>
      <c r="N12" s="26"/>
      <c r="O12" s="26"/>
      <c r="P12" s="26"/>
      <c r="Q12" s="26"/>
      <c r="R12" s="43"/>
      <c r="S12" s="4" t="s">
        <v>77</v>
      </c>
      <c r="T12" s="26"/>
      <c r="U12" s="4" t="s">
        <v>74</v>
      </c>
      <c r="V12" s="4" t="s">
        <v>75</v>
      </c>
      <c r="W12" s="4">
        <v>2</v>
      </c>
      <c r="X12" s="4" t="str" cm="1">
        <f t="array" ref="X12">_xlfn.TEXTJOIN("~",1,Y12:Z12/AA12)</f>
        <v>0.307692307692308~0.769230769230769</v>
      </c>
      <c r="Y12" s="14">
        <v>8</v>
      </c>
      <c r="Z12" s="14">
        <v>20</v>
      </c>
      <c r="AA12" s="14">
        <v>26</v>
      </c>
      <c r="AB12" s="26"/>
      <c r="AC12" s="28"/>
      <c r="AD12" s="28"/>
      <c r="AE12" s="28"/>
      <c r="AF12" s="4">
        <v>1.7058</v>
      </c>
      <c r="AG12" s="4">
        <v>5</v>
      </c>
      <c r="AJ12" s="4"/>
      <c r="AK12" s="4"/>
      <c r="AL12" s="4" t="str" cm="1">
        <f t="array" ref="AL12">_xlfn.TEXTJOIN(";",1,IFERROR(1/AM12:AN12,""))</f>
        <v>0.00208333333333333</v>
      </c>
      <c r="AM12" s="34">
        <v>480</v>
      </c>
      <c r="AO12" s="4" t="str" cm="1">
        <f t="array" aca="1" ref="AO12" ca="1">_xlfn.TEXTJOIN(";",1,_xlfn.LAMBDA(_xlpm.x,IF(_xlpm.x&lt;&gt;"",OFFSET(_xlpm.x,3-ROW(),0)&amp;"="&amp;_xlpm.x,""))(AP12:AT12))</f>
        <v>sharp=35</v>
      </c>
      <c r="AP12" s="18">
        <v>35</v>
      </c>
      <c r="AQ12" s="22"/>
      <c r="AR12" s="22"/>
      <c r="AS12" s="22"/>
      <c r="AT12" s="22"/>
      <c r="AU12" s="5" t="str" cm="1">
        <f t="array" ref="AU12">TEXT(VLOOKUP($A12,battle_data!$A:$G,MATCH(INDEX(_xlfn.TEXTSPLIT(AU$3,"|"),1),battle_data!$A$1:$G$1),0)*0.001,"0%")</f>
        <v>0%</v>
      </c>
      <c r="AV12" s="5" t="str" cm="1">
        <f t="array" ref="AV12">TEXT(VLOOKUP($A12,battle_data!$A:$G,MATCH(INDEX(_xlfn.TEXTSPLIT(AV$3,"|"),1),battle_data!$A$1:$G$1),0)*0.001,"0%")</f>
        <v>8%</v>
      </c>
      <c r="AW12" s="5" t="str" cm="1">
        <f t="array" ref="AW12">TEXT(VLOOKUP($A12,battle_data!$A:$G,MATCH(INDEX(_xlfn.TEXTSPLIT(AW$3,"|"),1),battle_data!$A$1:$G$1),0)*0.001,"0%")</f>
        <v>130%</v>
      </c>
      <c r="AX12" s="5">
        <f t="shared" si="8"/>
        <v>1.024</v>
      </c>
      <c r="AY12" s="5">
        <f t="shared" ref="AY12" si="14">SUM($AP12:$AT12)*AX12</f>
        <v>35.840000000000003</v>
      </c>
      <c r="AZ12" s="65">
        <f>AA12/30</f>
        <v>0.8666666666666667</v>
      </c>
      <c r="BA12" s="65">
        <f>AY12/AZ12</f>
        <v>41.353846153846156</v>
      </c>
      <c r="BB12" s="65" cm="1">
        <f t="array" ref="BB12">_xlfn.LAMBDA(_xlpm._dps,_xlpm._info_cell,ROUND(IF(_xlpm._dps&lt;=0,-10,LOG(_xlpm._dps/INDEX(_xlfn.TEXTSPLIT(_xlpm._info_cell,"="),2),1.5)),2))($BA12,BB$3)</f>
        <v>-0.7</v>
      </c>
      <c r="BC12" s="66">
        <v>0</v>
      </c>
      <c r="BD12" s="66">
        <v>1</v>
      </c>
      <c r="BE12" s="98" cm="1">
        <f t="array" ref="BE12">_xlfn.LAMBDA(_xlpm._lv,_xlpm._rank,_xlpm._base,_xlpm._lv+INDEX(_xlfn.TEXTSPLIT(_xlpm._base,"="),2)^(_xlpm._rank-2)-1)(BC12,BD12,BE$3)</f>
        <v>-0.5</v>
      </c>
      <c r="BF12" s="66">
        <v>-0.3</v>
      </c>
      <c r="BG12" s="100">
        <f>BE12*2-BB12-BF12</f>
        <v>0</v>
      </c>
      <c r="BH12" s="5">
        <f>$AY12*30/$AA12</f>
        <v>41.353846153846156</v>
      </c>
      <c r="BI12" s="5">
        <f>$AY12*120/($D12+4*$AA12)</f>
        <v>41.353846153846156</v>
      </c>
      <c r="BJ12" s="4">
        <v>3</v>
      </c>
      <c r="BK12" s="81">
        <v>2</v>
      </c>
      <c r="BL12" s="5">
        <f>_xlfn.LET(_xlpm._level_power,2,IF($BK12&lt;&gt;"",BH12/_xlpm._level_power^$BK12,""))</f>
        <v>10.338461538461539</v>
      </c>
      <c r="BM12" s="5">
        <f>_xlfn.LET(_xlpm._level_power,2,IF($BK12&lt;&gt;"",BH12/_xlpm._level_power^$BK12,""))</f>
        <v>10.338461538461539</v>
      </c>
    </row>
    <row r="13" spans="1:65" x14ac:dyDescent="0.2">
      <c r="A13" s="4">
        <v>13101071</v>
      </c>
      <c r="B13" s="5" t="s">
        <v>522</v>
      </c>
      <c r="C13" s="5" t="s">
        <v>437</v>
      </c>
      <c r="D13" s="4">
        <v>0</v>
      </c>
      <c r="E13" s="5" t="str">
        <f>TEXT(D13/120,"0.00")&amp;" s"</f>
        <v>0.00 s</v>
      </c>
      <c r="F13" s="4" t="b">
        <v>0</v>
      </c>
      <c r="G13" s="4">
        <v>0</v>
      </c>
      <c r="H13" s="4" t="str">
        <f t="shared" si="5"/>
        <v>0</v>
      </c>
      <c r="I13" s="24">
        <v>0</v>
      </c>
      <c r="L13" s="4" t="str">
        <f t="shared" si="6"/>
        <v>1</v>
      </c>
      <c r="M13" s="41">
        <v>1</v>
      </c>
      <c r="N13" s="26"/>
      <c r="O13" s="26"/>
      <c r="P13" s="26"/>
      <c r="Q13" s="26"/>
      <c r="R13" s="43"/>
      <c r="S13" s="4" t="s">
        <v>77</v>
      </c>
      <c r="T13" s="26"/>
      <c r="U13" s="4" t="s">
        <v>74</v>
      </c>
      <c r="V13" s="4" t="s">
        <v>75</v>
      </c>
      <c r="W13" s="4">
        <v>2</v>
      </c>
      <c r="X13" s="4" t="str" cm="1">
        <f t="array" ref="X13">_xlfn.TEXTJOIN("~",1,Y13:Z13/AA13)</f>
        <v>0.307692307692308~0.769230769230769</v>
      </c>
      <c r="Y13" s="14">
        <v>8</v>
      </c>
      <c r="Z13" s="14">
        <v>20</v>
      </c>
      <c r="AA13" s="14">
        <v>26</v>
      </c>
      <c r="AB13" s="26"/>
      <c r="AC13" s="28"/>
      <c r="AD13" s="28"/>
      <c r="AE13" s="28"/>
      <c r="AF13" s="4">
        <v>1.7058</v>
      </c>
      <c r="AG13" s="4">
        <v>5</v>
      </c>
      <c r="AJ13" s="4"/>
      <c r="AK13" s="4"/>
      <c r="AL13" s="4" t="str" cm="1">
        <f t="array" ref="AL13">_xlfn.TEXTJOIN(";",1,IFERROR(1/AM13:AN13,""))</f>
        <v>0.00208333333333333</v>
      </c>
      <c r="AM13" s="34">
        <v>480</v>
      </c>
      <c r="AO13" s="4" t="str" cm="1">
        <f t="array" aca="1" ref="AO13" ca="1">_xlfn.TEXTJOIN(";",1,_xlfn.LAMBDA(_xlpm.x,IF(_xlpm.x&lt;&gt;"",OFFSET(_xlpm.x,3-ROW(),0)&amp;"="&amp;_xlpm.x,""))(AP13:AT13))</f>
        <v>sharp=60</v>
      </c>
      <c r="AP13" s="18">
        <v>60</v>
      </c>
      <c r="AQ13" s="22"/>
      <c r="AR13" s="22"/>
      <c r="AS13" s="22"/>
      <c r="AT13" s="22"/>
      <c r="AU13" s="5" t="str" cm="1">
        <f t="array" ref="AU13">TEXT(VLOOKUP($A13,battle_data!$A:$G,MATCH(INDEX(_xlfn.TEXTSPLIT(AU$3,"|"),1),battle_data!$A$1:$G$1),0)*0.001,"0%")</f>
        <v>0%</v>
      </c>
      <c r="AV13" s="5" t="str" cm="1">
        <f t="array" ref="AV13">TEXT(VLOOKUP($A13,battle_data!$A:$G,MATCH(INDEX(_xlfn.TEXTSPLIT(AV$3,"|"),1),battle_data!$A$1:$G$1),0)*0.001,"0%")</f>
        <v>8%</v>
      </c>
      <c r="AW13" s="5" t="str" cm="1">
        <f t="array" ref="AW13">TEXT(VLOOKUP($A13,battle_data!$A:$G,MATCH(INDEX(_xlfn.TEXTSPLIT(AW$3,"|"),1),battle_data!$A$1:$G$1),0)*0.001,"0%")</f>
        <v>130%</v>
      </c>
      <c r="AX13" s="5">
        <f t="shared" si="8"/>
        <v>1.024</v>
      </c>
      <c r="AY13" s="5">
        <f t="shared" ref="AY13:AY14" si="15">SUM($AP13:$AT13)*AX13</f>
        <v>61.44</v>
      </c>
      <c r="AZ13" s="65">
        <f>AA13/30</f>
        <v>0.8666666666666667</v>
      </c>
      <c r="BA13" s="65">
        <f>AY13/AZ13</f>
        <v>70.892307692307682</v>
      </c>
      <c r="BB13" s="65" cm="1">
        <f t="array" ref="BB13">_xlfn.LAMBDA(_xlpm._dps,_xlpm._info_cell,ROUND(IF(_xlpm._dps&lt;=0,-10,LOG(_xlpm._dps/INDEX(_xlfn.TEXTSPLIT(_xlpm._info_cell,"="),2),1.5)),2))($BA13,BB$3)</f>
        <v>0.63</v>
      </c>
      <c r="BC13" s="66">
        <v>1</v>
      </c>
      <c r="BD13" s="66">
        <v>1</v>
      </c>
      <c r="BE13" s="98" cm="1">
        <f t="array" ref="BE13">_xlfn.LAMBDA(_xlpm._lv,_xlpm._rank,_xlpm._base,_xlpm._lv+INDEX(_xlfn.TEXTSPLIT(_xlpm._base,"="),2)^(_xlpm._rank-2)-1)(BC13,BD13,BE$3)</f>
        <v>0.5</v>
      </c>
      <c r="BF13" s="66">
        <v>-0.3</v>
      </c>
      <c r="BG13" s="100">
        <f>BE13*2-BB13-BF13</f>
        <v>0.66999999999999993</v>
      </c>
      <c r="BH13" s="5">
        <f>$AY13*30/$AA13</f>
        <v>70.892307692307682</v>
      </c>
      <c r="BI13" s="5">
        <f>$AY13*120/($D13+4*$AA13)</f>
        <v>70.892307692307682</v>
      </c>
      <c r="BJ13" s="4">
        <v>4</v>
      </c>
      <c r="BK13" s="81">
        <v>2</v>
      </c>
      <c r="BL13" s="5">
        <f>_xlfn.LET(_xlpm._level_power,2,IF($BK13&lt;&gt;"",BH13/_xlpm._level_power^$BK13,""))</f>
        <v>17.723076923076921</v>
      </c>
      <c r="BM13" s="5">
        <f>_xlfn.LET(_xlpm._level_power,2,IF($BK13&lt;&gt;"",BH13/_xlpm._level_power^$BK13,""))</f>
        <v>17.723076923076921</v>
      </c>
    </row>
    <row r="14" spans="1:65" x14ac:dyDescent="0.2">
      <c r="A14" s="4">
        <v>13101072</v>
      </c>
      <c r="B14" s="5" t="s">
        <v>523</v>
      </c>
      <c r="C14" s="5" t="s">
        <v>437</v>
      </c>
      <c r="D14" s="4">
        <v>0</v>
      </c>
      <c r="E14" s="5" t="str">
        <f>TEXT(D14/120,"0.00")&amp;" s"</f>
        <v>0.00 s</v>
      </c>
      <c r="F14" s="4" t="b">
        <v>0</v>
      </c>
      <c r="G14" s="4">
        <v>0</v>
      </c>
      <c r="H14" s="4" t="str">
        <f t="shared" si="5"/>
        <v>0</v>
      </c>
      <c r="I14" s="24">
        <v>0</v>
      </c>
      <c r="L14" s="4" t="str">
        <f t="shared" si="6"/>
        <v>1</v>
      </c>
      <c r="M14" s="41">
        <v>1</v>
      </c>
      <c r="N14" s="26"/>
      <c r="O14" s="26"/>
      <c r="P14" s="26"/>
      <c r="Q14" s="26"/>
      <c r="R14" s="43"/>
      <c r="S14" s="4" t="s">
        <v>77</v>
      </c>
      <c r="T14" s="26"/>
      <c r="U14" s="4" t="s">
        <v>74</v>
      </c>
      <c r="V14" s="4" t="s">
        <v>75</v>
      </c>
      <c r="W14" s="4">
        <v>2</v>
      </c>
      <c r="X14" s="4" t="str" cm="1">
        <f t="array" ref="X14">_xlfn.TEXTJOIN("~",1,Y14:Z14/AA14)</f>
        <v>0.307692307692308~0.769230769230769</v>
      </c>
      <c r="Y14" s="14">
        <v>8</v>
      </c>
      <c r="Z14" s="14">
        <v>20</v>
      </c>
      <c r="AA14" s="14">
        <v>26</v>
      </c>
      <c r="AB14" s="26"/>
      <c r="AC14" s="28"/>
      <c r="AD14" s="28"/>
      <c r="AE14" s="28"/>
      <c r="AF14" s="4">
        <v>1.7058</v>
      </c>
      <c r="AG14" s="4">
        <v>5</v>
      </c>
      <c r="AJ14" s="4"/>
      <c r="AK14" s="4"/>
      <c r="AL14" s="4" t="str" cm="1">
        <f t="array" ref="AL14">_xlfn.TEXTJOIN(";",1,IFERROR(1/AM14:AN14,""))</f>
        <v>0.00208333333333333</v>
      </c>
      <c r="AM14" s="34">
        <v>480</v>
      </c>
      <c r="AO14" s="4" t="str" cm="1">
        <f t="array" aca="1" ref="AO14" ca="1">_xlfn.TEXTJOIN(";",1,_xlfn.LAMBDA(_xlpm.x,IF(_xlpm.x&lt;&gt;"",OFFSET(_xlpm.x,3-ROW(),0)&amp;"="&amp;_xlpm.x,""))(AP14:AT14))</f>
        <v>sharp=95</v>
      </c>
      <c r="AP14" s="18">
        <v>95</v>
      </c>
      <c r="AQ14" s="22"/>
      <c r="AR14" s="22"/>
      <c r="AS14" s="22"/>
      <c r="AT14" s="22"/>
      <c r="AU14" s="5" t="str" cm="1">
        <f t="array" ref="AU14">TEXT(VLOOKUP($A14,battle_data!$A:$G,MATCH(INDEX(_xlfn.TEXTSPLIT(AU$3,"|"),1),battle_data!$A$1:$G$1),0)*0.001,"0%")</f>
        <v>0%</v>
      </c>
      <c r="AV14" s="5" t="str" cm="1">
        <f t="array" ref="AV14">TEXT(VLOOKUP($A14,battle_data!$A:$G,MATCH(INDEX(_xlfn.TEXTSPLIT(AV$3,"|"),1),battle_data!$A$1:$G$1),0)*0.001,"0%")</f>
        <v>8%</v>
      </c>
      <c r="AW14" s="5" t="str" cm="1">
        <f t="array" ref="AW14">TEXT(VLOOKUP($A14,battle_data!$A:$G,MATCH(INDEX(_xlfn.TEXTSPLIT(AW$3,"|"),1),battle_data!$A$1:$G$1),0)*0.001,"0%")</f>
        <v>130%</v>
      </c>
      <c r="AX14" s="5">
        <f t="shared" si="8"/>
        <v>1.024</v>
      </c>
      <c r="AY14" s="5">
        <f t="shared" si="15"/>
        <v>97.28</v>
      </c>
      <c r="AZ14" s="65">
        <f>AA14/30</f>
        <v>0.8666666666666667</v>
      </c>
      <c r="BA14" s="65">
        <f>AY14/AZ14</f>
        <v>112.24615384615385</v>
      </c>
      <c r="BB14" s="65" cm="1">
        <f t="array" ref="BB14">_xlfn.LAMBDA(_xlpm._dps,_xlpm._info_cell,ROUND(IF(_xlpm._dps&lt;=0,-10,LOG(_xlpm._dps/INDEX(_xlfn.TEXTSPLIT(_xlpm._info_cell,"="),2),1.5)),2))($BA14,BB$3)</f>
        <v>1.76</v>
      </c>
      <c r="BC14" s="66">
        <v>2</v>
      </c>
      <c r="BD14" s="66">
        <v>1</v>
      </c>
      <c r="BE14" s="98" cm="1">
        <f t="array" ref="BE14">_xlfn.LAMBDA(_xlpm._lv,_xlpm._rank,_xlpm._base,_xlpm._lv+INDEX(_xlfn.TEXTSPLIT(_xlpm._base,"="),2)^(_xlpm._rank-2)-1)(BC14,BD14,BE$3)</f>
        <v>1.5</v>
      </c>
      <c r="BF14" s="66">
        <v>-0.3</v>
      </c>
      <c r="BG14" s="100">
        <f>BE14*2-BB14-BF14</f>
        <v>1.54</v>
      </c>
      <c r="BH14" s="5">
        <f>$AY14*30/$AA14</f>
        <v>112.24615384615385</v>
      </c>
      <c r="BI14" s="5">
        <f>$AY14*120/($D14+4*$AA14)</f>
        <v>112.24615384615385</v>
      </c>
      <c r="BJ14" s="4">
        <v>5.33</v>
      </c>
      <c r="BK14" s="81">
        <v>2</v>
      </c>
      <c r="BL14" s="5">
        <f>_xlfn.LET(_xlpm._level_power,2,IF($BK14&lt;&gt;"",BH14/_xlpm._level_power^$BK14,""))</f>
        <v>28.061538461538461</v>
      </c>
      <c r="BM14" s="5">
        <f>_xlfn.LET(_xlpm._level_power,2,IF($BK14&lt;&gt;"",BH14/_xlpm._level_power^$BK14,""))</f>
        <v>28.061538461538461</v>
      </c>
    </row>
    <row r="15" spans="1:65" x14ac:dyDescent="0.2">
      <c r="A15" s="4">
        <v>13101073</v>
      </c>
      <c r="B15" s="5" t="s">
        <v>524</v>
      </c>
      <c r="C15" s="5" t="s">
        <v>437</v>
      </c>
      <c r="D15" s="4">
        <v>0</v>
      </c>
      <c r="E15" s="5" t="str">
        <f>TEXT(D15/120,"0.00")&amp;" s"</f>
        <v>0.00 s</v>
      </c>
      <c r="F15" s="4" t="b">
        <v>0</v>
      </c>
      <c r="G15" s="4">
        <v>0</v>
      </c>
      <c r="H15" s="4" t="str">
        <f t="shared" si="5"/>
        <v>0</v>
      </c>
      <c r="I15" s="24">
        <v>0</v>
      </c>
      <c r="L15" s="4" t="str">
        <f t="shared" si="6"/>
        <v>1</v>
      </c>
      <c r="M15" s="41">
        <v>1</v>
      </c>
      <c r="N15" s="26"/>
      <c r="O15" s="26"/>
      <c r="P15" s="26"/>
      <c r="Q15" s="26"/>
      <c r="R15" s="43"/>
      <c r="S15" s="4" t="s">
        <v>77</v>
      </c>
      <c r="T15" s="26"/>
      <c r="U15" s="4" t="s">
        <v>74</v>
      </c>
      <c r="V15" s="4" t="s">
        <v>75</v>
      </c>
      <c r="W15" s="4">
        <v>2</v>
      </c>
      <c r="X15" s="4" t="str" cm="1">
        <f t="array" ref="X15">_xlfn.TEXTJOIN("~",1,Y15:Z15/AA15)</f>
        <v>0.307692307692308~0.769230769230769</v>
      </c>
      <c r="Y15" s="14">
        <v>8</v>
      </c>
      <c r="Z15" s="14">
        <v>20</v>
      </c>
      <c r="AA15" s="14">
        <v>26</v>
      </c>
      <c r="AB15" s="26"/>
      <c r="AC15" s="28"/>
      <c r="AD15" s="28"/>
      <c r="AE15" s="28"/>
      <c r="AF15" s="4">
        <v>1.7058</v>
      </c>
      <c r="AG15" s="4">
        <v>5</v>
      </c>
      <c r="AJ15" s="4"/>
      <c r="AK15" s="4"/>
      <c r="AL15" s="4" t="str" cm="1">
        <f t="array" ref="AL15">_xlfn.TEXTJOIN(";",1,IFERROR(1/AM15:AN15,""))</f>
        <v>0.00208333333333333</v>
      </c>
      <c r="AM15" s="34">
        <v>480</v>
      </c>
      <c r="AO15" s="4" t="str" cm="1">
        <f t="array" aca="1" ref="AO15" ca="1">_xlfn.TEXTJOIN(";",1,_xlfn.LAMBDA(_xlpm.x,IF(_xlpm.x&lt;&gt;"",OFFSET(_xlpm.x,3-ROW(),0)&amp;"="&amp;_xlpm.x,""))(AP15:AT15))</f>
        <v>sharp=140</v>
      </c>
      <c r="AP15" s="18">
        <v>140</v>
      </c>
      <c r="AQ15" s="22"/>
      <c r="AR15" s="22"/>
      <c r="AS15" s="22"/>
      <c r="AT15" s="22"/>
      <c r="AU15" s="5" t="str" cm="1">
        <f t="array" ref="AU15">TEXT(VLOOKUP($A15,battle_data!$A:$G,MATCH(INDEX(_xlfn.TEXTSPLIT(AU$3,"|"),1),battle_data!$A$1:$G$1),0)*0.001,"0%")</f>
        <v>0%</v>
      </c>
      <c r="AV15" s="5" t="str" cm="1">
        <f t="array" ref="AV15">TEXT(VLOOKUP($A15,battle_data!$A:$G,MATCH(INDEX(_xlfn.TEXTSPLIT(AV$3,"|"),1),battle_data!$A$1:$G$1),0)*0.001,"0%")</f>
        <v>8%</v>
      </c>
      <c r="AW15" s="5" t="str" cm="1">
        <f t="array" ref="AW15">TEXT(VLOOKUP($A15,battle_data!$A:$G,MATCH(INDEX(_xlfn.TEXTSPLIT(AW$3,"|"),1),battle_data!$A$1:$G$1),0)*0.001,"0%")</f>
        <v>130%</v>
      </c>
      <c r="AX15" s="5">
        <f t="shared" si="8"/>
        <v>1.024</v>
      </c>
      <c r="AY15" s="5">
        <f t="shared" ref="AY15" si="16">SUM($AP15:$AT15)*AX15</f>
        <v>143.36000000000001</v>
      </c>
      <c r="AZ15" s="65">
        <f>AA15/30</f>
        <v>0.8666666666666667</v>
      </c>
      <c r="BA15" s="65">
        <f>AY15/AZ15</f>
        <v>165.41538461538462</v>
      </c>
      <c r="BB15" s="65" cm="1">
        <f t="array" ref="BB15">_xlfn.LAMBDA(_xlpm._dps,_xlpm._info_cell,ROUND(IF(_xlpm._dps&lt;=0,-10,LOG(_xlpm._dps/INDEX(_xlfn.TEXTSPLIT(_xlpm._info_cell,"="),2),1.5)),2))($BA15,BB$3)</f>
        <v>2.72</v>
      </c>
      <c r="BC15" s="66">
        <v>3</v>
      </c>
      <c r="BD15" s="66">
        <v>1</v>
      </c>
      <c r="BE15" s="98" cm="1">
        <f t="array" ref="BE15">_xlfn.LAMBDA(_xlpm._lv,_xlpm._rank,_xlpm._base,_xlpm._lv+INDEX(_xlfn.TEXTSPLIT(_xlpm._base,"="),2)^(_xlpm._rank-2)-1)(BC15,BD15,BE$3)</f>
        <v>2.5</v>
      </c>
      <c r="BF15" s="66">
        <v>-0.3</v>
      </c>
      <c r="BG15" s="100">
        <f>BE15*2-BB15-BF15</f>
        <v>2.5799999999999996</v>
      </c>
      <c r="BH15" s="5">
        <f>$AY15*30/$AA15</f>
        <v>165.41538461538462</v>
      </c>
      <c r="BI15" s="5">
        <f>$AY15*120/($D15+4*$AA15)</f>
        <v>165.41538461538462</v>
      </c>
      <c r="BJ15" s="4">
        <v>7.1</v>
      </c>
      <c r="BK15" s="81">
        <v>2</v>
      </c>
      <c r="BL15" s="5">
        <f>_xlfn.LET(_xlpm._level_power,2,IF($BK15&lt;&gt;"",BH15/_xlpm._level_power^$BK15,""))</f>
        <v>41.353846153846156</v>
      </c>
      <c r="BM15" s="5">
        <f>_xlfn.LET(_xlpm._level_power,2,IF($BK15&lt;&gt;"",BH15/_xlpm._level_power^$BK15,""))</f>
        <v>41.353846153846156</v>
      </c>
    </row>
    <row r="16" spans="1:65" x14ac:dyDescent="0.2">
      <c r="A16" s="4">
        <v>1311101</v>
      </c>
      <c r="B16" s="5" t="s">
        <v>80</v>
      </c>
      <c r="C16" s="5" t="s">
        <v>71</v>
      </c>
      <c r="D16" s="4">
        <v>360</v>
      </c>
      <c r="E16" s="5" t="str">
        <f t="shared" si="0"/>
        <v>3.00 s</v>
      </c>
      <c r="F16" s="4" t="b">
        <v>1</v>
      </c>
      <c r="G16" s="26">
        <v>0</v>
      </c>
      <c r="H16" s="4" t="str">
        <f t="shared" si="5"/>
        <v>0</v>
      </c>
      <c r="I16" s="24">
        <v>0</v>
      </c>
      <c r="J16" s="26"/>
      <c r="K16" s="26"/>
      <c r="L16" s="4" t="str">
        <f t="shared" si="6"/>
        <v>1</v>
      </c>
      <c r="M16" s="41">
        <v>1</v>
      </c>
      <c r="N16" s="26"/>
      <c r="O16" s="26"/>
      <c r="P16" s="26"/>
      <c r="Q16" s="26"/>
      <c r="R16" s="43"/>
      <c r="S16" s="4" t="s">
        <v>77</v>
      </c>
      <c r="T16" s="26"/>
      <c r="U16" s="4" t="s">
        <v>74</v>
      </c>
      <c r="V16" s="26"/>
      <c r="W16" s="4">
        <v>2</v>
      </c>
      <c r="X16" s="4" t="str" cm="1">
        <f t="array" ref="X16">_xlfn.TEXTJOIN("~",1,Y16:Z16/AA16)</f>
        <v>0.25~0.4</v>
      </c>
      <c r="Y16" s="14">
        <v>5</v>
      </c>
      <c r="Z16" s="14">
        <v>8</v>
      </c>
      <c r="AA16" s="14">
        <v>20</v>
      </c>
      <c r="AB16" s="26"/>
      <c r="AC16" s="28"/>
      <c r="AD16" s="28"/>
      <c r="AE16" s="28"/>
      <c r="AF16" s="4">
        <v>1.67</v>
      </c>
      <c r="AG16" s="4">
        <v>8</v>
      </c>
      <c r="AL16" s="4" t="str" cm="1">
        <f t="array" ref="AL16">_xlfn.TEXTJOIN(";",1,IFERROR(1/AM16:AN16,""))</f>
        <v/>
      </c>
      <c r="AO16" s="4" t="str" cm="1">
        <f t="array" aca="1" ref="AO16" ca="1">_xlfn.TEXTJOIN(";",1,_xlfn.LAMBDA(_xlpm.x,IF(_xlpm.x&lt;&gt;"",OFFSET(_xlpm.x,3-ROW(),0)&amp;"="&amp;_xlpm.x,""))(AP16:AT16))</f>
        <v>sharp=10;blunt=30</v>
      </c>
      <c r="AP16" s="18">
        <v>10</v>
      </c>
      <c r="AQ16" s="18">
        <v>30</v>
      </c>
      <c r="AR16" s="22"/>
      <c r="AS16" s="22"/>
      <c r="AT16" s="22"/>
      <c r="AU16" s="5" t="str" cm="1">
        <f t="array" ref="AU16">TEXT(VLOOKUP($A16,battle_data!$A:$G,MATCH(INDEX(_xlfn.TEXTSPLIT(AU$3,"|"),1),battle_data!$A$1:$G$1),0)*0.001,"0%")</f>
        <v>60%</v>
      </c>
      <c r="AV16" s="5" t="str" cm="1">
        <f t="array" ref="AV16">TEXT(VLOOKUP($A16,battle_data!$A:$G,MATCH(INDEX(_xlfn.TEXTSPLIT(AV$3,"|"),1),battle_data!$A$1:$G$1),0)*0.001,"0%")</f>
        <v>10%</v>
      </c>
      <c r="AW16" s="5" t="str" cm="1">
        <f t="array" ref="AW16">TEXT(VLOOKUP($A16,battle_data!$A:$G,MATCH(INDEX(_xlfn.TEXTSPLIT(AW$3,"|"),1),battle_data!$A$1:$G$1),0)*0.001,"0%")</f>
        <v>200%</v>
      </c>
      <c r="AX16" s="5">
        <f t="shared" si="8"/>
        <v>1.1000000000000001</v>
      </c>
      <c r="AY16" s="5">
        <f t="shared" si="9"/>
        <v>44</v>
      </c>
      <c r="BH16" s="5">
        <f t="shared" si="1"/>
        <v>66</v>
      </c>
      <c r="BI16" s="5">
        <f t="shared" si="2"/>
        <v>12</v>
      </c>
      <c r="BJ16" s="4">
        <v>12</v>
      </c>
      <c r="BK16" s="81">
        <v>1</v>
      </c>
      <c r="BL16" s="5">
        <f t="shared" si="3"/>
        <v>33</v>
      </c>
      <c r="BM16" s="5">
        <f t="shared" si="4"/>
        <v>33</v>
      </c>
    </row>
    <row r="17" spans="1:65" x14ac:dyDescent="0.2">
      <c r="A17" s="4">
        <v>1311102</v>
      </c>
      <c r="B17" s="5" t="s">
        <v>81</v>
      </c>
      <c r="C17" s="5" t="s">
        <v>71</v>
      </c>
      <c r="D17" s="4">
        <v>750</v>
      </c>
      <c r="E17" s="5" t="str">
        <f t="shared" ref="E17:E18" si="17">TEXT(D17/120,"0.00")&amp;" s"</f>
        <v>6.25 s</v>
      </c>
      <c r="F17" s="4" t="b">
        <v>0</v>
      </c>
      <c r="G17" s="4">
        <v>0</v>
      </c>
      <c r="H17" s="4" t="str">
        <f t="shared" si="5"/>
        <v>7;24;60</v>
      </c>
      <c r="I17" s="24">
        <v>7</v>
      </c>
      <c r="J17" s="24">
        <v>24</v>
      </c>
      <c r="K17" s="24">
        <v>60</v>
      </c>
      <c r="L17" s="4" t="str">
        <f t="shared" si="6"/>
        <v>0.25;0.6;0.85</v>
      </c>
      <c r="M17" s="41">
        <v>0.25</v>
      </c>
      <c r="N17" s="41">
        <v>0.6</v>
      </c>
      <c r="O17" s="41">
        <v>0.85</v>
      </c>
      <c r="P17" s="4">
        <v>0.05</v>
      </c>
      <c r="Q17" s="4">
        <f t="shared" si="7"/>
        <v>1.6666666666666666E-2</v>
      </c>
      <c r="R17" s="24">
        <v>2</v>
      </c>
      <c r="S17" s="4" t="s">
        <v>77</v>
      </c>
      <c r="T17" s="26"/>
      <c r="U17" s="4" t="s">
        <v>74</v>
      </c>
      <c r="V17" s="4" t="s">
        <v>75</v>
      </c>
      <c r="W17" s="4">
        <v>2</v>
      </c>
      <c r="X17" s="4" t="str" cm="1">
        <f t="array" ref="X17">_xlfn.TEXTJOIN("~",1,Y17:Z17/AA17)</f>
        <v>0.485714285714286~0.571428571428571</v>
      </c>
      <c r="Y17" s="14">
        <v>17</v>
      </c>
      <c r="Z17" s="14">
        <v>20</v>
      </c>
      <c r="AA17" s="14">
        <v>35</v>
      </c>
      <c r="AB17" s="26"/>
      <c r="AC17" s="28"/>
      <c r="AD17" s="28"/>
      <c r="AE17" s="28"/>
      <c r="AF17" s="4">
        <v>1.75</v>
      </c>
      <c r="AG17" s="4">
        <v>2.5</v>
      </c>
      <c r="AL17" s="4" t="str" cm="1">
        <f t="array" ref="AL17">_xlfn.TEXTJOIN(";",1,IFERROR(1/AM17:AN17,""))</f>
        <v/>
      </c>
      <c r="AO17" s="4" t="str" cm="1">
        <f t="array" aca="1" ref="AO17" ca="1">_xlfn.TEXTJOIN(";",1,_xlfn.LAMBDA(_xlpm.x,IF(_xlpm.x&lt;&gt;"",OFFSET(_xlpm.x,3-ROW(),0)&amp;"="&amp;_xlpm.x,""))(AP17:AT17))</f>
        <v>sharp=144;blunt=28</v>
      </c>
      <c r="AP17" s="18">
        <v>144</v>
      </c>
      <c r="AQ17" s="18">
        <v>28</v>
      </c>
      <c r="AR17" s="22"/>
      <c r="AS17" s="22"/>
      <c r="AT17" s="22"/>
      <c r="AU17" s="5" t="str" cm="1">
        <f t="array" ref="AU17">TEXT(VLOOKUP($A17,battle_data!$A:$G,MATCH(INDEX(_xlfn.TEXTSPLIT(AU$3,"|"),1),battle_data!$A$1:$G$1),0)*0.001,"0%")</f>
        <v>55%</v>
      </c>
      <c r="AV17" s="5" t="str" cm="1">
        <f t="array" ref="AV17">TEXT(VLOOKUP($A17,battle_data!$A:$G,MATCH(INDEX(_xlfn.TEXTSPLIT(AV$3,"|"),1),battle_data!$A$1:$G$1),0)*0.001,"0%")</f>
        <v>10%</v>
      </c>
      <c r="AW17" s="5" t="str" cm="1">
        <f t="array" ref="AW17">TEXT(VLOOKUP($A17,battle_data!$A:$G,MATCH(INDEX(_xlfn.TEXTSPLIT(AW$3,"|"),1),battle_data!$A$1:$G$1),0)*0.001,"0%")</f>
        <v>200%</v>
      </c>
      <c r="AX17" s="5">
        <f t="shared" si="8"/>
        <v>1.1000000000000001</v>
      </c>
      <c r="AY17" s="5">
        <f t="shared" si="9"/>
        <v>189.20000000000002</v>
      </c>
      <c r="BH17" s="5">
        <f t="shared" si="1"/>
        <v>162.17142857142861</v>
      </c>
      <c r="BI17" s="5">
        <f t="shared" si="2"/>
        <v>25.510112359550565</v>
      </c>
      <c r="BJ17" s="4">
        <v>15</v>
      </c>
      <c r="BK17" s="81">
        <v>2</v>
      </c>
      <c r="BL17" s="5">
        <f t="shared" si="3"/>
        <v>40.542857142857152</v>
      </c>
      <c r="BM17" s="5">
        <f t="shared" si="4"/>
        <v>40.542857142857152</v>
      </c>
    </row>
    <row r="18" spans="1:65" x14ac:dyDescent="0.2">
      <c r="A18" s="4">
        <v>1311801</v>
      </c>
      <c r="B18" s="5" t="s">
        <v>82</v>
      </c>
      <c r="C18" s="5" t="s">
        <v>71</v>
      </c>
      <c r="D18" s="4">
        <v>240</v>
      </c>
      <c r="E18" s="5" t="str">
        <f t="shared" si="17"/>
        <v>2.00 s</v>
      </c>
      <c r="F18" s="4" t="b">
        <v>0</v>
      </c>
      <c r="G18" s="4">
        <v>0</v>
      </c>
      <c r="H18" s="4" t="str">
        <f t="shared" si="5"/>
        <v>7;24;60</v>
      </c>
      <c r="I18" s="24">
        <v>7</v>
      </c>
      <c r="J18" s="24">
        <v>24</v>
      </c>
      <c r="K18" s="24">
        <v>60</v>
      </c>
      <c r="L18" s="4" t="str">
        <f t="shared" si="6"/>
        <v>0.25;0.6;0.85</v>
      </c>
      <c r="M18" s="41">
        <v>0.25</v>
      </c>
      <c r="N18" s="41">
        <v>0.6</v>
      </c>
      <c r="O18" s="41">
        <v>0.85</v>
      </c>
      <c r="P18" s="4">
        <v>0.03</v>
      </c>
      <c r="Q18" s="4">
        <f t="shared" ref="Q18" si="18">R18/120</f>
        <v>2.777777777777778E-2</v>
      </c>
      <c r="R18" s="24">
        <f>10/3</f>
        <v>3.3333333333333335</v>
      </c>
      <c r="S18" s="26"/>
      <c r="T18" s="4" t="s">
        <v>72</v>
      </c>
      <c r="U18" s="4" t="s">
        <v>74</v>
      </c>
      <c r="V18" s="4" t="s">
        <v>75</v>
      </c>
      <c r="W18" s="4">
        <v>1</v>
      </c>
      <c r="X18" s="4" t="str" cm="1">
        <f t="array" ref="X18">_xlfn.TEXTJOIN("~",1,Y18:Z18/AA18)</f>
        <v>0.4~0.6</v>
      </c>
      <c r="Y18" s="14">
        <v>10</v>
      </c>
      <c r="Z18" s="14">
        <v>15</v>
      </c>
      <c r="AA18" s="14">
        <v>25</v>
      </c>
      <c r="AB18" s="26"/>
      <c r="AC18" s="28"/>
      <c r="AD18" s="28"/>
      <c r="AE18" s="28"/>
      <c r="AF18" s="4">
        <v>1.0187999999999999</v>
      </c>
      <c r="AG18" s="4">
        <v>9</v>
      </c>
      <c r="AL18" s="4" t="str" cm="1">
        <f t="array" ref="AL18">_xlfn.TEXTJOIN(";",1,IFERROR(1/AM18:AN18,""))</f>
        <v/>
      </c>
      <c r="AO18" s="4" t="str" cm="1">
        <f t="array" aca="1" ref="AO18" ca="1">_xlfn.TEXTJOIN(";",1,_xlfn.LAMBDA(_xlpm.x,IF(_xlpm.x&lt;&gt;"",OFFSET(_xlpm.x,3-ROW(),0)&amp;"="&amp;_xlpm.x,""))(AP18:AT18))</f>
        <v>sharp=72</v>
      </c>
      <c r="AP18" s="18">
        <v>72</v>
      </c>
      <c r="AQ18" s="22"/>
      <c r="AR18" s="22"/>
      <c r="AS18" s="22"/>
      <c r="AT18" s="22"/>
      <c r="AU18" s="5" t="str" cm="1">
        <f t="array" ref="AU18">TEXT(VLOOKUP($A18,battle_data!$A:$G,MATCH(INDEX(_xlfn.TEXTSPLIT(AU$3,"|"),1),battle_data!$A$1:$G$1),0)*0.001,"0%")</f>
        <v>50%</v>
      </c>
      <c r="AV18" s="5" t="str" cm="1">
        <f t="array" ref="AV18">TEXT(VLOOKUP($A18,battle_data!$A:$G,MATCH(INDEX(_xlfn.TEXTSPLIT(AV$3,"|"),1),battle_data!$A$1:$G$1),0)*0.001,"0%")</f>
        <v>15%</v>
      </c>
      <c r="AW18" s="5" t="str" cm="1">
        <f t="array" ref="AW18">TEXT(VLOOKUP($A18,battle_data!$A:$G,MATCH(INDEX(_xlfn.TEXTSPLIT(AW$3,"|"),1),battle_data!$A$1:$G$1),0)*0.001,"0%")</f>
        <v>300%</v>
      </c>
      <c r="AX18" s="5">
        <f t="shared" si="8"/>
        <v>1.2999999999999998</v>
      </c>
      <c r="AY18" s="5">
        <f t="shared" si="9"/>
        <v>93.6</v>
      </c>
      <c r="BH18" s="5">
        <f t="shared" si="1"/>
        <v>112.32</v>
      </c>
      <c r="BI18" s="5">
        <f t="shared" si="2"/>
        <v>33.035294117647062</v>
      </c>
      <c r="BJ18" s="4">
        <v>3</v>
      </c>
      <c r="BK18" s="81">
        <v>1</v>
      </c>
      <c r="BL18" s="5">
        <f t="shared" si="3"/>
        <v>56.16</v>
      </c>
      <c r="BM18" s="5">
        <f t="shared" si="4"/>
        <v>56.16</v>
      </c>
    </row>
    <row r="19" spans="1:65" x14ac:dyDescent="0.2">
      <c r="A19" s="4">
        <v>1311802</v>
      </c>
      <c r="B19" s="5" t="s">
        <v>326</v>
      </c>
      <c r="C19" s="5" t="s">
        <v>71</v>
      </c>
      <c r="D19" s="4">
        <v>300</v>
      </c>
      <c r="E19" s="5" t="str">
        <f t="shared" ref="E19" si="19">TEXT(D19/120,"0.00")&amp;" s"</f>
        <v>2.50 s</v>
      </c>
      <c r="F19" s="4" t="b">
        <v>0</v>
      </c>
      <c r="G19" s="4">
        <v>0</v>
      </c>
      <c r="H19" s="4" t="str">
        <f t="shared" si="5"/>
        <v>0</v>
      </c>
      <c r="I19" s="24">
        <v>0</v>
      </c>
      <c r="J19" s="26"/>
      <c r="K19" s="26"/>
      <c r="L19" s="4" t="str">
        <f t="shared" si="6"/>
        <v>1</v>
      </c>
      <c r="M19" s="41">
        <v>1</v>
      </c>
      <c r="N19" s="26"/>
      <c r="O19" s="26"/>
      <c r="P19" s="26"/>
      <c r="Q19" s="26"/>
      <c r="R19" s="43"/>
      <c r="S19" s="4" t="s">
        <v>72</v>
      </c>
      <c r="T19" s="26"/>
      <c r="U19" s="4" t="s">
        <v>74</v>
      </c>
      <c r="V19" s="26"/>
      <c r="W19" s="4">
        <v>1</v>
      </c>
      <c r="X19" s="4" t="str" cm="1">
        <f t="array" ref="X19">_xlfn.TEXTJOIN("~",1,Y19:Z19/AA19)</f>
        <v>0.4~0.72</v>
      </c>
      <c r="Y19" s="14">
        <v>10</v>
      </c>
      <c r="Z19" s="14">
        <v>18</v>
      </c>
      <c r="AA19" s="14">
        <v>25</v>
      </c>
      <c r="AB19" s="26"/>
      <c r="AC19" s="28"/>
      <c r="AD19" s="28"/>
      <c r="AE19" s="28"/>
      <c r="AF19" s="4">
        <v>1.0187999999999999</v>
      </c>
      <c r="AG19" s="4">
        <v>9</v>
      </c>
      <c r="AL19" s="4" t="str" cm="1">
        <f t="array" ref="AL19">_xlfn.TEXTJOIN(";",1,IFERROR(1/AM19:AN19,""))</f>
        <v/>
      </c>
      <c r="AO19" s="4" t="str" cm="1">
        <f t="array" aca="1" ref="AO19" ca="1">_xlfn.TEXTJOIN(";",1,_xlfn.LAMBDA(_xlpm.x,IF(_xlpm.x&lt;&gt;"",OFFSET(_xlpm.x,3-ROW(),0)&amp;"="&amp;_xlpm.x,""))(AP19:AT19))</f>
        <v>blunt=44;acid=22;wrap=11</v>
      </c>
      <c r="AP19" s="22"/>
      <c r="AQ19" s="18">
        <v>44</v>
      </c>
      <c r="AR19" s="22"/>
      <c r="AS19" s="18">
        <v>22</v>
      </c>
      <c r="AT19" s="18">
        <v>11</v>
      </c>
      <c r="AU19" s="5" t="str" cm="1">
        <f t="array" ref="AU19">TEXT(VLOOKUP($A19,battle_data!$A:$G,MATCH(INDEX(_xlfn.TEXTSPLIT(AU$3,"|"),1),battle_data!$A$1:$G$1),0)*0.001,"0%")</f>
        <v>35%</v>
      </c>
      <c r="AV19" s="5" t="str" cm="1">
        <f t="array" ref="AV19">TEXT(VLOOKUP($A19,battle_data!$A:$G,MATCH(INDEX(_xlfn.TEXTSPLIT(AV$3,"|"),1),battle_data!$A$1:$G$1),0)*0.001,"0%")</f>
        <v>0%</v>
      </c>
      <c r="AW19" s="5" t="str" cm="1">
        <f t="array" ref="AW19">TEXT(VLOOKUP($A19,battle_data!$A:$G,MATCH(INDEX(_xlfn.TEXTSPLIT(AW$3,"|"),1),battle_data!$A$1:$G$1),0)*0.001,"0%")</f>
        <v>150%</v>
      </c>
      <c r="AX19" s="5">
        <f t="shared" si="8"/>
        <v>1</v>
      </c>
      <c r="AY19" s="5">
        <f t="shared" si="9"/>
        <v>77</v>
      </c>
      <c r="BH19" s="5">
        <f t="shared" si="1"/>
        <v>92.4</v>
      </c>
      <c r="BI19" s="5">
        <f t="shared" si="2"/>
        <v>23.1</v>
      </c>
      <c r="BJ19" s="4">
        <v>6.5</v>
      </c>
      <c r="BK19" s="81">
        <v>2</v>
      </c>
      <c r="BL19" s="5">
        <f t="shared" si="3"/>
        <v>23.1</v>
      </c>
      <c r="BM19" s="5">
        <f t="shared" si="4"/>
        <v>23.1</v>
      </c>
    </row>
    <row r="20" spans="1:65" x14ac:dyDescent="0.2">
      <c r="BK20" s="81"/>
    </row>
    <row r="21" spans="1:65" x14ac:dyDescent="0.2">
      <c r="A21" s="4">
        <v>1319001</v>
      </c>
      <c r="B21" s="5" t="s">
        <v>408</v>
      </c>
      <c r="C21" s="5" t="s">
        <v>414</v>
      </c>
      <c r="D21" s="4">
        <v>0</v>
      </c>
      <c r="E21" s="5" t="str">
        <f>TEXT(D21/120,"0.00")&amp;" s"</f>
        <v>0.00 s</v>
      </c>
      <c r="F21" s="4" t="b">
        <v>1</v>
      </c>
      <c r="G21" s="26">
        <v>0</v>
      </c>
      <c r="H21" s="4" t="str">
        <f t="shared" si="5"/>
        <v>0</v>
      </c>
      <c r="I21" s="24">
        <v>0</v>
      </c>
      <c r="J21" s="26"/>
      <c r="K21" s="26"/>
      <c r="L21" s="4" t="str">
        <f t="shared" si="6"/>
        <v>1</v>
      </c>
      <c r="M21" s="41">
        <v>1</v>
      </c>
      <c r="N21" s="26"/>
      <c r="O21" s="26"/>
      <c r="P21" s="26"/>
      <c r="Q21" s="26"/>
      <c r="R21" s="43"/>
      <c r="S21" s="4" t="s">
        <v>77</v>
      </c>
      <c r="T21" s="26"/>
      <c r="U21" s="4" t="s">
        <v>74</v>
      </c>
      <c r="V21" s="26"/>
      <c r="W21" s="4">
        <v>2</v>
      </c>
      <c r="X21" s="4" t="str" cm="1">
        <f t="array" ref="X21">_xlfn.TEXTJOIN("~",1,Y21:Z21/AA21)</f>
        <v>0.25~0.4</v>
      </c>
      <c r="Y21" s="14">
        <v>5</v>
      </c>
      <c r="Z21" s="14">
        <v>8</v>
      </c>
      <c r="AA21" s="14">
        <v>20</v>
      </c>
      <c r="AB21" s="26"/>
      <c r="AC21" s="28"/>
      <c r="AD21" s="28"/>
      <c r="AE21" s="28"/>
      <c r="AF21" s="4">
        <v>1.67</v>
      </c>
      <c r="AG21" s="4">
        <v>8</v>
      </c>
      <c r="AH21" s="47">
        <v>0</v>
      </c>
      <c r="AL21" s="4" t="str" cm="1">
        <f t="array" ref="AL21">_xlfn.TEXTJOIN(";",1,IFERROR(1/AM21:AN21,""))</f>
        <v>0.00416666666666667</v>
      </c>
      <c r="AM21" s="34">
        <v>240</v>
      </c>
      <c r="AO21" s="4" t="str" cm="1">
        <f t="array" aca="1" ref="AO21" ca="1">_xlfn.TEXTJOIN(";",1,_xlfn.LAMBDA(_xlpm.x,IF(_xlpm.x&lt;&gt;"",OFFSET(_xlpm.x,3-ROW(),0)&amp;"="&amp;_xlpm.x,""))(AP21:AT21))</f>
        <v>sharp=10;blunt=30</v>
      </c>
      <c r="AP21" s="18">
        <v>10</v>
      </c>
      <c r="AQ21" s="18">
        <v>30</v>
      </c>
      <c r="AR21" s="22"/>
      <c r="AS21" s="22"/>
      <c r="AT21" s="22"/>
      <c r="AU21" s="5" t="str" cm="1">
        <f t="array" ref="AU21">TEXT(VLOOKUP($A21,battle_data!$A:$G,MATCH(INDEX(_xlfn.TEXTSPLIT(AU$3,"|"),1),battle_data!$A$1:$G$1),0)*0.001,"0%")</f>
        <v>60%</v>
      </c>
      <c r="AV21" s="5" t="str" cm="1">
        <f t="array" ref="AV21">TEXT(VLOOKUP($A21,battle_data!$A:$G,MATCH(INDEX(_xlfn.TEXTSPLIT(AV$3,"|"),1),battle_data!$A$1:$G$1),0)*0.001,"0%")</f>
        <v>10%</v>
      </c>
      <c r="AW21" s="5" t="str" cm="1">
        <f t="array" ref="AW21">TEXT(VLOOKUP($A21,battle_data!$A:$G,MATCH(INDEX(_xlfn.TEXTSPLIT(AW$3,"|"),1),battle_data!$A$1:$G$1),0)*0.001,"0%")</f>
        <v>200%</v>
      </c>
      <c r="AX21" s="5">
        <f t="shared" si="8"/>
        <v>1.1000000000000001</v>
      </c>
      <c r="AY21" s="5">
        <f t="shared" si="9"/>
        <v>44</v>
      </c>
      <c r="AZ21" s="65">
        <f>AA21/30</f>
        <v>0.66666666666666663</v>
      </c>
      <c r="BA21" s="65">
        <f>AY21/AZ21</f>
        <v>66</v>
      </c>
      <c r="BB21" s="65" cm="1">
        <f t="array" ref="BB21">_xlfn.LAMBDA(_xlpm._dps,_xlpm._info_cell,ROUND(IF(_xlpm._dps&lt;=0,-10,LOG(_xlpm._dps/INDEX(_xlfn.TEXTSPLIT(_xlpm._info_cell,"="),2),1.5)),2))($BA21,BB$3)</f>
        <v>0.45</v>
      </c>
      <c r="BC21" s="66">
        <v>1</v>
      </c>
      <c r="BF21" s="66"/>
      <c r="BG21" s="100">
        <f>BC21*2-BB21-BF21</f>
        <v>1.55</v>
      </c>
      <c r="BH21" s="5">
        <f>$AY21*30/$AA21</f>
        <v>66</v>
      </c>
      <c r="BI21" s="5">
        <f>$AY21*120/($D21+4*$AA21)</f>
        <v>66</v>
      </c>
      <c r="BJ21" s="4">
        <v>12</v>
      </c>
      <c r="BK21" s="81">
        <v>1</v>
      </c>
      <c r="BL21" s="5">
        <f>_xlfn.LET(_xlpm._level_power,2,IF($BK21&lt;&gt;"",BH21/_xlpm._level_power^$BK21,""))</f>
        <v>33</v>
      </c>
      <c r="BM21" s="5">
        <f>_xlfn.LET(_xlpm._level_power,2,IF($BK21&lt;&gt;"",BH21/_xlpm._level_power^$BK21,""))</f>
        <v>33</v>
      </c>
    </row>
    <row r="22" spans="1:65" x14ac:dyDescent="0.2">
      <c r="A22" s="4">
        <v>1319002</v>
      </c>
      <c r="B22" s="5" t="s">
        <v>409</v>
      </c>
      <c r="C22" s="5" t="s">
        <v>415</v>
      </c>
      <c r="D22" s="4">
        <v>0</v>
      </c>
      <c r="E22" s="5" t="str">
        <f>TEXT(D22/120,"0.00")&amp;" s"</f>
        <v>0.00 s</v>
      </c>
      <c r="F22" s="4" t="b">
        <v>0</v>
      </c>
      <c r="G22" s="4">
        <v>0</v>
      </c>
      <c r="H22" s="4" t="str">
        <f t="shared" si="5"/>
        <v>7;24;60</v>
      </c>
      <c r="I22" s="24">
        <v>7</v>
      </c>
      <c r="J22" s="24">
        <v>24</v>
      </c>
      <c r="K22" s="24">
        <v>60</v>
      </c>
      <c r="L22" s="4" t="str">
        <f t="shared" si="6"/>
        <v>0.4;0.6;0.85</v>
      </c>
      <c r="M22" s="41">
        <v>0.4</v>
      </c>
      <c r="N22" s="41">
        <v>0.6</v>
      </c>
      <c r="O22" s="41">
        <v>0.85</v>
      </c>
      <c r="P22" s="4">
        <v>0.1</v>
      </c>
      <c r="Q22" s="47">
        <v>20</v>
      </c>
      <c r="S22" s="4" t="s">
        <v>77</v>
      </c>
      <c r="T22" s="26"/>
      <c r="U22" s="4" t="s">
        <v>74</v>
      </c>
      <c r="V22" s="4" t="s">
        <v>75</v>
      </c>
      <c r="W22" s="4">
        <v>2</v>
      </c>
      <c r="X22" s="4" t="str" cm="1">
        <f t="array" ref="X22">_xlfn.TEXTJOIN("~",1,Y22:Z22/AA22)</f>
        <v>0.466666666666667~0.6</v>
      </c>
      <c r="Y22" s="14">
        <v>14</v>
      </c>
      <c r="Z22" s="14">
        <v>18</v>
      </c>
      <c r="AA22" s="14">
        <v>30</v>
      </c>
      <c r="AB22" s="26"/>
      <c r="AC22" s="28"/>
      <c r="AD22" s="28"/>
      <c r="AE22" s="28"/>
      <c r="AF22" s="4">
        <v>1.7058</v>
      </c>
      <c r="AG22" s="4">
        <v>5</v>
      </c>
      <c r="AH22" s="47">
        <v>1</v>
      </c>
      <c r="AI22" s="4">
        <f t="shared" ref="AI22" si="20">1/AJ22</f>
        <v>8.3333333333333332E-3</v>
      </c>
      <c r="AJ22" s="34">
        <v>120</v>
      </c>
      <c r="AK22" s="5" t="str">
        <f t="shared" ref="AK22" si="21">TEXT(AJ22/120,"0.00")&amp;" s"</f>
        <v>1.00 s</v>
      </c>
      <c r="AL22" s="4" t="str" cm="1">
        <f t="array" ref="AL22">_xlfn.TEXTJOIN(";",1,IFERROR(1/AM22:AN22,""))</f>
        <v>0.00208333333333333;0.00833333333333333</v>
      </c>
      <c r="AM22" s="34">
        <v>480</v>
      </c>
      <c r="AN22" s="34">
        <v>120</v>
      </c>
      <c r="AO22" s="4" t="str" cm="1">
        <f t="array" aca="1" ref="AO22" ca="1">_xlfn.TEXTJOIN(";",1,_xlfn.LAMBDA(_xlpm.x,IF(_xlpm.x&lt;&gt;"",OFFSET(_xlpm.x,3-ROW(),0)&amp;"="&amp;_xlpm.x,""))(AP22:AT22))</f>
        <v>sharp=150</v>
      </c>
      <c r="AP22" s="18">
        <v>150</v>
      </c>
      <c r="AQ22" s="22"/>
      <c r="AR22" s="22"/>
      <c r="AS22" s="22"/>
      <c r="AT22" s="22"/>
      <c r="AU22" s="5" t="str" cm="1">
        <f t="array" ref="AU22">TEXT(VLOOKUP($A22,battle_data!$A:$G,MATCH(INDEX(_xlfn.TEXTSPLIT(AU$3,"|"),1),battle_data!$A$1:$G$1),0)*0.001,"0%")</f>
        <v>0%</v>
      </c>
      <c r="AV22" s="5" t="str" cm="1">
        <f t="array" ref="AV22">TEXT(VLOOKUP($A22,battle_data!$A:$G,MATCH(INDEX(_xlfn.TEXTSPLIT(AV$3,"|"),1),battle_data!$A$1:$G$1),0)*0.001,"0%")</f>
        <v>10%</v>
      </c>
      <c r="AW22" s="5" t="str" cm="1">
        <f t="array" ref="AW22">TEXT(VLOOKUP($A22,battle_data!$A:$G,MATCH(INDEX(_xlfn.TEXTSPLIT(AW$3,"|"),1),battle_data!$A$1:$G$1),0)*0.001,"0%")</f>
        <v>200%</v>
      </c>
      <c r="AX22" s="5">
        <f t="shared" si="8"/>
        <v>1.1000000000000001</v>
      </c>
      <c r="AY22" s="5">
        <f t="shared" si="9"/>
        <v>165</v>
      </c>
      <c r="AZ22" s="65">
        <f>AA22/30</f>
        <v>1</v>
      </c>
      <c r="BA22" s="65">
        <f>AY22/AZ22</f>
        <v>165</v>
      </c>
      <c r="BB22" s="65" cm="1">
        <f t="array" ref="BB22">_xlfn.LAMBDA(_xlpm._dps,_xlpm._info_cell,ROUND(IF(_xlpm._dps&lt;=0,-10,LOG(_xlpm._dps/INDEX(_xlfn.TEXTSPLIT(_xlpm._info_cell,"="),2),1.5)),2))($BA22,BB$3)</f>
        <v>2.71</v>
      </c>
      <c r="BC22" s="66">
        <v>2</v>
      </c>
      <c r="BF22" s="66"/>
      <c r="BG22" s="100">
        <f>BC22*2-BB22-BF22</f>
        <v>1.29</v>
      </c>
      <c r="BH22" s="5">
        <f>$AY22*30/$AA22</f>
        <v>165</v>
      </c>
      <c r="BI22" s="5">
        <f>$AY22*120/($D22+4*$AA22)</f>
        <v>165</v>
      </c>
      <c r="BJ22" s="4">
        <v>8</v>
      </c>
      <c r="BK22" s="81">
        <v>2</v>
      </c>
      <c r="BL22" s="5">
        <f>_xlfn.LET(_xlpm._level_power,2,IF($BK22&lt;&gt;"",BH22/_xlpm._level_power^$BK22,""))</f>
        <v>41.25</v>
      </c>
      <c r="BM22" s="5">
        <f>_xlfn.LET(_xlpm._level_power,2,IF($BK22&lt;&gt;"",BH22/_xlpm._level_power^$BK22,""))</f>
        <v>41.25</v>
      </c>
    </row>
    <row r="30" spans="1:65" x14ac:dyDescent="0.2">
      <c r="AP30" s="77"/>
    </row>
  </sheetData>
  <phoneticPr fontId="21" type="noConversion"/>
  <conditionalFormatting sqref="AW3 AW20 AW23:AW10007">
    <cfRule type="expression" dxfId="3" priority="5">
      <formula>AND(A3&lt;&gt;"",AW3&lt;1000)</formula>
    </cfRule>
  </conditionalFormatting>
  <conditionalFormatting sqref="BH1:BH1048576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{363BF002-8365-45BF-B043-98234325062D}</x14:id>
        </ext>
      </extLst>
    </cfRule>
  </conditionalFormatting>
  <conditionalFormatting sqref="BI1:BI104857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{7EECFE99-F63D-4DA5-B90B-F36324222621}</x14:id>
        </ext>
      </extLst>
    </cfRule>
  </conditionalFormatting>
  <conditionalFormatting sqref="BK3 BK20 BK23:BK10007">
    <cfRule type="expression" dxfId="2" priority="10">
      <formula>AND(B3&lt;&gt;"",BK3&lt;1000)</formula>
    </cfRule>
  </conditionalFormatting>
  <conditionalFormatting sqref="BL1:BL1048576">
    <cfRule type="dataBar" priority="1">
      <dataBar>
        <cfvo type="min"/>
        <cfvo type="formula" val="VALUE(RIGHT($BL$3,3))"/>
        <color rgb="FF92D050"/>
      </dataBar>
      <extLst>
        <ext xmlns:x14="http://schemas.microsoft.com/office/spreadsheetml/2009/9/main" uri="{B025F937-C7B1-47D3-B67F-A62EFF666E3E}">
          <x14:id>{303F4D6B-058A-470D-AC24-D5563FADFFED}</x14:id>
        </ext>
      </extLst>
    </cfRule>
  </conditionalFormatting>
  <conditionalFormatting sqref="BM1:BM1048576">
    <cfRule type="dataBar" priority="2">
      <dataBar>
        <cfvo type="min"/>
        <cfvo type="formula" val="VALUE(RIGHT($BM$3,3))"/>
        <color rgb="FFFF555A"/>
      </dataBar>
      <extLst>
        <ext xmlns:x14="http://schemas.microsoft.com/office/spreadsheetml/2009/9/main" uri="{B025F937-C7B1-47D3-B67F-A62EFF666E3E}">
          <x14:id>{DDBF77FC-7A27-4AFC-986D-94C2228786B4}</x14:id>
        </ext>
      </extLst>
    </cfRule>
  </conditionalFormatting>
  <pageMargins left="0.75" right="0.75" top="1" bottom="1" header="0.5" footer="0.5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3BF002-8365-45BF-B043-9823432506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BH1:BH1048576</xm:sqref>
        </x14:conditionalFormatting>
        <x14:conditionalFormatting xmlns:xm="http://schemas.microsoft.com/office/excel/2006/main">
          <x14:cfRule type="dataBar" id="{7EECFE99-F63D-4DA5-B90B-F363242226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BI1:BI1048576</xm:sqref>
        </x14:conditionalFormatting>
        <x14:conditionalFormatting xmlns:xm="http://schemas.microsoft.com/office/excel/2006/main">
          <x14:cfRule type="dataBar" id="{303F4D6B-058A-470D-AC24-D5563FADFFED}">
            <x14:dataBar minLength="0" maxLength="100" gradient="0">
              <x14:cfvo type="autoMin"/>
              <x14:cfvo type="formula">
                <xm:f>VALUE(RIGHT($BL$3,3))</xm:f>
              </x14:cfvo>
              <x14:negativeFillColor rgb="FFFF0000"/>
              <x14:axisColor rgb="FF000000"/>
            </x14:dataBar>
          </x14:cfRule>
          <xm:sqref>BL1:BL1048576</xm:sqref>
        </x14:conditionalFormatting>
        <x14:conditionalFormatting xmlns:xm="http://schemas.microsoft.com/office/excel/2006/main">
          <x14:cfRule type="dataBar" id="{DDBF77FC-7A27-4AFC-986D-94C2228786B4}">
            <x14:dataBar minLength="0" maxLength="100" gradient="0">
              <x14:cfvo type="autoMin"/>
              <x14:cfvo type="formula">
                <xm:f>VALUE(RIGHT($BM$3,3))</xm:f>
              </x14:cfvo>
              <x14:negativeFillColor rgb="FFFF0000"/>
              <x14:axisColor rgb="FF000000"/>
            </x14:dataBar>
          </x14:cfRule>
          <xm:sqref>BM1:BM1048576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56"/>
  <sheetViews>
    <sheetView workbookViewId="0">
      <pane xSplit="4" ySplit="3" topLeftCell="E4" activePane="bottomRight" state="frozen"/>
      <selection pane="topRight"/>
      <selection pane="bottomLeft"/>
      <selection pane="bottomRight" activeCell="J9" sqref="J9"/>
    </sheetView>
  </sheetViews>
  <sheetFormatPr defaultColWidth="9.125" defaultRowHeight="14.25" x14ac:dyDescent="0.2"/>
  <cols>
    <col min="1" max="1" width="12.5" style="4" customWidth="1"/>
    <col min="2" max="2" width="13.625" style="5" customWidth="1"/>
    <col min="3" max="3" width="6.75" style="5" customWidth="1"/>
    <col min="4" max="4" width="27.75" style="5" customWidth="1"/>
    <col min="5" max="5" width="23.625" style="4" customWidth="1"/>
    <col min="6" max="6" width="19" style="4" customWidth="1"/>
    <col min="7" max="7" width="11.375" style="4" customWidth="1"/>
    <col min="8" max="8" width="11.375" style="14" customWidth="1"/>
    <col min="9" max="9" width="9.75" style="4" customWidth="1"/>
    <col min="10" max="11" width="7.25" style="14" customWidth="1"/>
    <col min="12" max="12" width="16.75" style="4" customWidth="1"/>
    <col min="13" max="14" width="8.125" style="14" customWidth="1"/>
    <col min="15" max="15" width="3.5" style="4" customWidth="1"/>
    <col min="16" max="16" width="8.625" style="4" customWidth="1"/>
    <col min="17" max="17" width="9" style="4" customWidth="1"/>
    <col min="18" max="18" width="9" style="95" customWidth="1"/>
    <col min="19" max="19" width="11.375" style="4" customWidth="1"/>
    <col min="20" max="20" width="9.25" style="4" customWidth="1"/>
    <col min="21" max="22" width="13" style="4" customWidth="1"/>
    <col min="23" max="23" width="17.625" style="4" customWidth="1"/>
    <col min="24" max="24" width="19.75" style="4" bestFit="1" customWidth="1"/>
    <col min="25" max="25" width="22.25" style="24" customWidth="1"/>
    <col min="26" max="26" width="9.25" style="5" customWidth="1"/>
    <col min="27" max="27" width="11.875" style="4" customWidth="1"/>
    <col min="28" max="28" width="16.375" style="24" customWidth="1"/>
    <col min="29" max="30" width="9.25" style="5" customWidth="1"/>
    <col min="31" max="31" width="17.875" style="4" customWidth="1"/>
    <col min="32" max="34" width="10.375" style="24" customWidth="1"/>
    <col min="35" max="35" width="13.875" style="4" customWidth="1"/>
    <col min="36" max="36" width="16.125" style="4" customWidth="1"/>
    <col min="37" max="39" width="8" style="14" customWidth="1"/>
    <col min="40" max="40" width="4.25" style="25" customWidth="1"/>
    <col min="41" max="41" width="9" style="4" customWidth="1"/>
    <col min="42" max="42" width="9.25" style="5" customWidth="1"/>
    <col min="43" max="43" width="22.25" style="4" customWidth="1"/>
    <col min="44" max="49" width="9.125" style="18"/>
    <col min="50" max="50" width="14.375" style="4" customWidth="1"/>
    <col min="51" max="51" width="12.75" style="4" customWidth="1"/>
    <col min="52" max="52" width="10.875" style="4" customWidth="1"/>
    <col min="53" max="53" width="9.125" style="5"/>
    <col min="54" max="54" width="9.125" style="50"/>
    <col min="55" max="55" width="9.125" style="5"/>
    <col min="56" max="57" width="9.125" style="50"/>
    <col min="58" max="58" width="10.625" style="5" customWidth="1"/>
    <col min="59" max="60" width="9.125" style="5"/>
    <col min="61" max="62" width="5.75" style="50" bestFit="1" customWidth="1"/>
    <col min="63" max="63" width="5.75" style="60" bestFit="1" customWidth="1"/>
    <col min="64" max="64" width="9.125" style="50"/>
    <col min="65" max="65" width="9.125" style="56"/>
    <col min="66" max="68" width="12.625" style="5"/>
    <col min="69" max="69" width="9.125" style="5"/>
    <col min="70" max="71" width="13.5" style="5" customWidth="1"/>
    <col min="72" max="72" width="9.125" style="5"/>
    <col min="73" max="74" width="13.5" style="5" customWidth="1"/>
    <col min="75" max="16384" width="9.125" style="4"/>
  </cols>
  <sheetData>
    <row r="1" spans="1:74" s="1" customFormat="1" x14ac:dyDescent="0.2">
      <c r="A1" s="1" t="s">
        <v>0</v>
      </c>
      <c r="B1" s="6"/>
      <c r="C1" s="6"/>
      <c r="D1" s="6"/>
      <c r="E1" s="1" t="s">
        <v>83</v>
      </c>
      <c r="F1" s="1" t="s">
        <v>84</v>
      </c>
      <c r="G1" s="1" t="s">
        <v>85</v>
      </c>
      <c r="H1" s="15"/>
      <c r="I1" s="1" t="s">
        <v>86</v>
      </c>
      <c r="J1" s="15"/>
      <c r="K1" s="15"/>
      <c r="L1" s="1" t="s">
        <v>87</v>
      </c>
      <c r="M1" s="15"/>
      <c r="N1" s="15"/>
      <c r="P1" s="1" t="s">
        <v>88</v>
      </c>
      <c r="Q1" s="1" t="s">
        <v>89</v>
      </c>
      <c r="R1" s="93"/>
      <c r="S1" s="1" t="s">
        <v>90</v>
      </c>
      <c r="T1" s="1" t="s">
        <v>91</v>
      </c>
      <c r="U1" s="1" t="s">
        <v>388</v>
      </c>
      <c r="V1" s="1" t="s">
        <v>92</v>
      </c>
      <c r="W1" s="1" t="s">
        <v>389</v>
      </c>
      <c r="X1" s="1" t="s">
        <v>390</v>
      </c>
      <c r="Y1" s="31" t="s">
        <v>393</v>
      </c>
      <c r="Z1" s="6"/>
      <c r="AA1" s="1" t="s">
        <v>93</v>
      </c>
      <c r="AB1" s="31" t="s">
        <v>94</v>
      </c>
      <c r="AC1" s="6"/>
      <c r="AD1" s="6"/>
      <c r="AE1" s="1" t="s">
        <v>396</v>
      </c>
      <c r="AF1" s="31"/>
      <c r="AG1" s="31"/>
      <c r="AH1" s="31"/>
      <c r="AI1" s="1" t="s">
        <v>95</v>
      </c>
      <c r="AJ1" s="1" t="s">
        <v>96</v>
      </c>
      <c r="AK1" s="15"/>
      <c r="AL1" s="15"/>
      <c r="AM1" s="15"/>
      <c r="AN1" s="35"/>
      <c r="AO1" s="1" t="s">
        <v>1</v>
      </c>
      <c r="AP1" s="6"/>
      <c r="AQ1" s="1" t="s">
        <v>17</v>
      </c>
      <c r="AR1" s="19"/>
      <c r="AS1" s="19"/>
      <c r="AT1" s="19"/>
      <c r="AU1" s="19"/>
      <c r="AV1" s="19"/>
      <c r="AW1" s="19"/>
      <c r="BA1" s="6"/>
      <c r="BB1" s="48"/>
      <c r="BC1" s="6"/>
      <c r="BD1" s="48"/>
      <c r="BE1" s="48"/>
      <c r="BF1" s="6"/>
      <c r="BG1" s="6"/>
      <c r="BH1" s="6"/>
      <c r="BI1" s="48"/>
      <c r="BJ1" s="48"/>
      <c r="BK1" s="59"/>
      <c r="BL1" s="48"/>
      <c r="BM1" s="55"/>
      <c r="BN1" s="6"/>
      <c r="BO1" s="6"/>
      <c r="BP1" s="6"/>
      <c r="BQ1" s="6"/>
      <c r="BR1" s="6"/>
      <c r="BS1" s="6"/>
      <c r="BT1" s="6"/>
      <c r="BU1" s="6"/>
      <c r="BV1" s="6"/>
    </row>
    <row r="2" spans="1:74" s="2" customFormat="1" x14ac:dyDescent="0.2">
      <c r="A2" s="2" t="s">
        <v>20</v>
      </c>
      <c r="B2" s="6"/>
      <c r="C2" s="6"/>
      <c r="D2" s="6"/>
      <c r="E2" s="2" t="s">
        <v>26</v>
      </c>
      <c r="F2" s="2" t="s">
        <v>26</v>
      </c>
      <c r="G2" s="2" t="s">
        <v>97</v>
      </c>
      <c r="H2" s="16"/>
      <c r="I2" s="2" t="s">
        <v>27</v>
      </c>
      <c r="J2" s="16"/>
      <c r="K2" s="16"/>
      <c r="L2" s="2" t="s">
        <v>98</v>
      </c>
      <c r="M2" s="16"/>
      <c r="N2" s="16"/>
      <c r="P2" s="2" t="s">
        <v>97</v>
      </c>
      <c r="Q2" s="2" t="s">
        <v>23</v>
      </c>
      <c r="R2" s="94"/>
      <c r="S2" s="2" t="s">
        <v>26</v>
      </c>
      <c r="T2" s="2" t="s">
        <v>97</v>
      </c>
      <c r="U2" s="2" t="s">
        <v>22</v>
      </c>
      <c r="V2" s="2" t="s">
        <v>22</v>
      </c>
      <c r="W2" s="2" t="s">
        <v>21</v>
      </c>
      <c r="X2" s="2" t="s">
        <v>23</v>
      </c>
      <c r="Y2" s="31" t="s">
        <v>21</v>
      </c>
      <c r="Z2" s="6"/>
      <c r="AA2" s="2" t="s">
        <v>23</v>
      </c>
      <c r="AB2" s="31" t="s">
        <v>21</v>
      </c>
      <c r="AC2" s="6"/>
      <c r="AD2" s="6"/>
      <c r="AE2" s="2" t="s">
        <v>400</v>
      </c>
      <c r="AF2" s="31"/>
      <c r="AG2" s="31"/>
      <c r="AH2" s="31"/>
      <c r="AI2" s="2" t="s">
        <v>23</v>
      </c>
      <c r="AJ2" s="2" t="s">
        <v>23</v>
      </c>
      <c r="AK2" s="16"/>
      <c r="AL2" s="16"/>
      <c r="AM2" s="16"/>
      <c r="AN2" s="36"/>
      <c r="AO2" s="2" t="s">
        <v>21</v>
      </c>
      <c r="AP2" s="6"/>
      <c r="AQ2" s="2" t="s">
        <v>29</v>
      </c>
      <c r="AR2" s="19"/>
      <c r="AS2" s="19"/>
      <c r="AT2" s="19"/>
      <c r="AU2" s="19"/>
      <c r="AV2" s="19"/>
      <c r="AW2" s="19"/>
      <c r="BA2" s="6"/>
      <c r="BB2" s="48"/>
      <c r="BC2" s="6"/>
      <c r="BD2" s="48"/>
      <c r="BE2" s="48"/>
      <c r="BF2" s="6"/>
      <c r="BG2" s="6"/>
      <c r="BH2" s="6"/>
      <c r="BI2" s="48"/>
      <c r="BJ2" s="48"/>
      <c r="BK2" s="59"/>
      <c r="BL2" s="48"/>
      <c r="BM2" s="55"/>
      <c r="BN2" s="6"/>
      <c r="BO2" s="6"/>
      <c r="BP2" s="6"/>
      <c r="BQ2" s="6"/>
      <c r="BR2" s="6"/>
      <c r="BS2" s="6"/>
      <c r="BT2" s="6"/>
      <c r="BU2" s="6"/>
      <c r="BV2" s="6"/>
    </row>
    <row r="3" spans="1:74" s="3" customFormat="1" ht="86.25" x14ac:dyDescent="0.2">
      <c r="A3" s="7" t="s">
        <v>99</v>
      </c>
      <c r="B3" s="8" t="s">
        <v>100</v>
      </c>
      <c r="C3" s="8" t="s">
        <v>101</v>
      </c>
      <c r="D3" s="8" t="s">
        <v>102</v>
      </c>
      <c r="E3" s="20" t="s">
        <v>103</v>
      </c>
      <c r="F3" s="20" t="s">
        <v>104</v>
      </c>
      <c r="G3" s="7" t="s">
        <v>105</v>
      </c>
      <c r="H3" s="42" t="s">
        <v>303</v>
      </c>
      <c r="I3" s="9" t="s">
        <v>106</v>
      </c>
      <c r="J3" s="17" t="s">
        <v>107</v>
      </c>
      <c r="K3" s="17" t="s">
        <v>108</v>
      </c>
      <c r="L3" s="7" t="s">
        <v>109</v>
      </c>
      <c r="M3" s="17" t="s">
        <v>110</v>
      </c>
      <c r="N3" s="17" t="s">
        <v>111</v>
      </c>
      <c r="P3" s="9" t="s">
        <v>112</v>
      </c>
      <c r="Q3" s="7" t="s">
        <v>113</v>
      </c>
      <c r="R3" s="96" t="s">
        <v>596</v>
      </c>
      <c r="S3" s="9" t="s">
        <v>114</v>
      </c>
      <c r="T3" s="9" t="s">
        <v>115</v>
      </c>
      <c r="U3" s="9" t="s">
        <v>116</v>
      </c>
      <c r="V3" s="9" t="s">
        <v>117</v>
      </c>
      <c r="W3" s="9" t="s">
        <v>118</v>
      </c>
      <c r="X3" s="46" t="s">
        <v>391</v>
      </c>
      <c r="Y3" s="32" t="s">
        <v>392</v>
      </c>
      <c r="Z3" s="8" t="s">
        <v>395</v>
      </c>
      <c r="AA3" s="45" t="s">
        <v>394</v>
      </c>
      <c r="AB3" s="32" t="s">
        <v>119</v>
      </c>
      <c r="AC3" s="8" t="s">
        <v>120</v>
      </c>
      <c r="AD3" s="8" t="s">
        <v>121</v>
      </c>
      <c r="AE3" s="46" t="s">
        <v>407</v>
      </c>
      <c r="AF3" s="32" t="s">
        <v>397</v>
      </c>
      <c r="AG3" s="32" t="s">
        <v>398</v>
      </c>
      <c r="AH3" s="32" t="s">
        <v>399</v>
      </c>
      <c r="AI3" s="9" t="s">
        <v>122</v>
      </c>
      <c r="AJ3" s="9" t="s">
        <v>123</v>
      </c>
      <c r="AK3" s="33" t="s">
        <v>124</v>
      </c>
      <c r="AL3" s="33" t="s">
        <v>125</v>
      </c>
      <c r="AM3" s="33" t="s">
        <v>126</v>
      </c>
      <c r="AN3" s="37" t="s">
        <v>127</v>
      </c>
      <c r="AO3" s="9" t="s">
        <v>441</v>
      </c>
      <c r="AP3" s="8" t="s">
        <v>34</v>
      </c>
      <c r="AQ3" s="7" t="s">
        <v>62</v>
      </c>
      <c r="AR3" s="21" t="s">
        <v>63</v>
      </c>
      <c r="AS3" s="21" t="s">
        <v>64</v>
      </c>
      <c r="AT3" s="21" t="s">
        <v>65</v>
      </c>
      <c r="AU3" s="21" t="s">
        <v>66</v>
      </c>
      <c r="AV3" s="21" t="s">
        <v>128</v>
      </c>
      <c r="AW3" s="21" t="s">
        <v>129</v>
      </c>
      <c r="AX3" s="8" t="s">
        <v>410</v>
      </c>
      <c r="AY3" s="8" t="s">
        <v>411</v>
      </c>
      <c r="AZ3" s="8" t="s">
        <v>412</v>
      </c>
      <c r="BA3" s="8" t="s">
        <v>131</v>
      </c>
      <c r="BB3" s="49" t="s">
        <v>449</v>
      </c>
      <c r="BC3" s="8" t="s">
        <v>130</v>
      </c>
      <c r="BD3" s="49" t="s">
        <v>426</v>
      </c>
      <c r="BE3" s="49" t="s">
        <v>599</v>
      </c>
      <c r="BF3" s="51" t="s">
        <v>427</v>
      </c>
      <c r="BG3" s="52" t="s">
        <v>425</v>
      </c>
      <c r="BH3" s="52" t="s">
        <v>431</v>
      </c>
      <c r="BI3" s="53" t="s">
        <v>601</v>
      </c>
      <c r="BJ3" s="53" t="s">
        <v>602</v>
      </c>
      <c r="BK3" s="53" t="s">
        <v>603</v>
      </c>
      <c r="BL3" s="53" t="s">
        <v>430</v>
      </c>
      <c r="BM3" s="54" t="s">
        <v>428</v>
      </c>
      <c r="BN3" s="8" t="s">
        <v>132</v>
      </c>
      <c r="BO3" s="8" t="s">
        <v>133</v>
      </c>
      <c r="BP3" s="8" t="s">
        <v>67</v>
      </c>
      <c r="BQ3" s="8" t="s">
        <v>134</v>
      </c>
      <c r="BR3" s="8" t="s">
        <v>135</v>
      </c>
      <c r="BS3" s="8" t="s">
        <v>136</v>
      </c>
      <c r="BT3" s="8" t="s">
        <v>137</v>
      </c>
      <c r="BU3" s="8" t="s">
        <v>386</v>
      </c>
      <c r="BV3" s="8" t="s">
        <v>387</v>
      </c>
    </row>
    <row r="4" spans="1:74" x14ac:dyDescent="0.2">
      <c r="A4" s="4">
        <v>1320101</v>
      </c>
      <c r="B4" s="5" t="s">
        <v>138</v>
      </c>
      <c r="C4" s="5" t="s">
        <v>139</v>
      </c>
      <c r="D4" s="5" t="s">
        <v>140</v>
      </c>
      <c r="E4" s="4" t="s">
        <v>141</v>
      </c>
      <c r="F4" s="4" t="s">
        <v>142</v>
      </c>
      <c r="G4" s="4">
        <v>10001</v>
      </c>
      <c r="H4" s="14" t="str">
        <f>IF(G4&lt;&gt;"",IFERROR(VLOOKUP(G4,t_proj[#All],2,0),"--"),"")</f>
        <v>箭矢</v>
      </c>
      <c r="I4" s="4" t="str">
        <f t="shared" ref="I4:I9" si="0">_xlfn.TEXTJOIN("~",1,J4:K4)</f>
        <v>25~0</v>
      </c>
      <c r="J4" s="14">
        <v>25</v>
      </c>
      <c r="K4" s="14">
        <v>0</v>
      </c>
      <c r="L4" s="4" t="str">
        <f>_xlfn.TEXTJOIN("~",1,M4:N4)</f>
        <v>2400~0</v>
      </c>
      <c r="M4" s="14">
        <v>2400</v>
      </c>
      <c r="N4" s="14">
        <v>0</v>
      </c>
      <c r="P4" s="4">
        <v>1</v>
      </c>
      <c r="Q4" s="4">
        <v>3</v>
      </c>
      <c r="R4" s="95">
        <f>IF(Q4="","",1-Q4/20)</f>
        <v>0.85</v>
      </c>
      <c r="S4" s="4" t="s">
        <v>143</v>
      </c>
      <c r="T4" s="4">
        <v>22</v>
      </c>
      <c r="U4" s="4" t="b">
        <v>1</v>
      </c>
      <c r="V4" s="4" t="b">
        <v>0</v>
      </c>
      <c r="W4" s="29">
        <v>1</v>
      </c>
      <c r="X4" s="4">
        <f t="shared" ref="X4:X30" si="1">1/Y4</f>
        <v>8.3333333333333332E-3</v>
      </c>
      <c r="Y4" s="24">
        <v>120</v>
      </c>
      <c r="Z4" s="5" t="str">
        <f t="shared" ref="Z4:Z33" si="2">TEXT(Y4/120,"0.00")&amp;" s"</f>
        <v>1.00 s</v>
      </c>
      <c r="AA4" s="4">
        <f t="shared" ref="AA4:AA33" si="3">1/AB4</f>
        <v>8.3333333333333332E-3</v>
      </c>
      <c r="AB4" s="24">
        <v>120</v>
      </c>
      <c r="AC4" s="5" t="str">
        <f t="shared" ref="AC4:AC33" si="4">TEXT(AB4/120,"0.00")&amp;" s"</f>
        <v>1.00 s</v>
      </c>
      <c r="AD4" s="5">
        <v>1</v>
      </c>
      <c r="AE4" s="4" t="str" cm="1">
        <f t="array" ref="AE4">_xlfn.TEXTJOIN(";",1,IFERROR(1/AF4:AH4,""))</f>
        <v>0.00833333333333333;0.00833333333333333</v>
      </c>
      <c r="AF4" s="24">
        <v>120</v>
      </c>
      <c r="AG4" s="24">
        <v>120</v>
      </c>
      <c r="AI4" s="4">
        <f t="shared" ref="AI4:AI18" si="5">AK4/AM4</f>
        <v>0.88</v>
      </c>
      <c r="AJ4" s="4">
        <f>AL4/AM4</f>
        <v>0.98</v>
      </c>
      <c r="AK4" s="14">
        <v>22</v>
      </c>
      <c r="AL4" s="14">
        <v>24.5</v>
      </c>
      <c r="AM4" s="14">
        <v>25</v>
      </c>
      <c r="AN4" s="25">
        <f>($AL4-$AK4)*120/30</f>
        <v>10</v>
      </c>
      <c r="AO4" s="38">
        <v>360</v>
      </c>
      <c r="AP4" s="5" t="str">
        <f>TEXT(AO4/120,"0.00")&amp;" s"</f>
        <v>3.00 s</v>
      </c>
      <c r="AQ4" s="39" t="str" cm="1">
        <f t="array" aca="1" ref="AQ4" ca="1">_xlfn.TEXTJOIN(";",1,_xlfn.LAMBDA(_xlpm.x,IF(_xlpm.x&lt;&gt;"",OFFSET(_xlpm.x,3-ROW(),0)&amp;"="&amp;_xlpm.x,""))(AR4:AW4))</f>
        <v>sharp=52</v>
      </c>
      <c r="AR4" s="18">
        <v>52</v>
      </c>
      <c r="AS4" s="22"/>
      <c r="AT4" s="22"/>
      <c r="AU4" s="22"/>
      <c r="AV4" s="22"/>
      <c r="AW4" s="22"/>
      <c r="AX4" s="5" t="str" cm="1">
        <f t="array" ref="AX4">TEXT(VLOOKUP($A4,battle_data!$A:$G,MATCH(INDEX(_xlfn.TEXTSPLIT(AX$3,"|"),1),battle_data!$A$1:$G$1),0)*0.001,"0%")</f>
        <v>20%</v>
      </c>
      <c r="AY4" s="5" t="str" cm="1">
        <f t="array" ref="AY4">TEXT(VLOOKUP($A4,battle_data!$A:$G,MATCH(INDEX(_xlfn.TEXTSPLIT(AY$3,"|"),1),battle_data!$A$1:$G$1),0)*0.001,"0%")</f>
        <v>20%</v>
      </c>
      <c r="AZ4" s="5" t="str" cm="1">
        <f t="array" ref="AZ4">TEXT(VLOOKUP($A4,battle_data!$A:$G,MATCH(INDEX(_xlfn.TEXTSPLIT(AZ$3,"|"),1),battle_data!$A$1:$G$1),0)*0.001,"0%")</f>
        <v>300%</v>
      </c>
      <c r="BA4" s="5">
        <f t="shared" ref="BA4:BA15" si="6">_xlfn.LET(_xlpm.p,($AY4),_xlpm.p*$AZ4+(1-_xlpm.p))</f>
        <v>1.4000000000000001</v>
      </c>
      <c r="BC4" s="5">
        <f>_xlfn.LET(_xlpm._custom_all_ammo,$BB4,
_xlpm._all_ammo,IF(_xlpm._custom_all_ammo&lt;&gt;"",_xlpm._custom_all_ammo,$P4*$T4),
IF(A4&lt;&gt;"",SUM($AR4:$AW4)*$BA4*_xlpm._all_ammo,""))</f>
        <v>1601.6000000000004</v>
      </c>
      <c r="BN4" s="5">
        <f t="shared" ref="BN4:BN30" si="7">(($T4-1)*$AL4+$AM4)/30</f>
        <v>17.983333333333334</v>
      </c>
      <c r="BO4" s="5">
        <f t="shared" ref="BO4:BO30" si="8">(($T4-1)*($AL4+$AO4/4)+$AM4)/30</f>
        <v>80.983333333333334</v>
      </c>
      <c r="BP4" s="5">
        <f t="shared" ref="BP4:BP30" si="9">$BC4/$BO4</f>
        <v>19.77690882897716</v>
      </c>
      <c r="BQ4" s="5">
        <f t="shared" ref="BQ4:BQ30" si="10">$AB4*$AD4*IF($W4&lt;=0,1,$T4)/120</f>
        <v>22</v>
      </c>
      <c r="BR4" s="5">
        <f t="shared" ref="BR4:BR30" si="11">$BC4/($BQ4+$BN4)</f>
        <v>40.056690287619851</v>
      </c>
      <c r="BS4" s="5">
        <f t="shared" ref="BS4:BS30" si="12">$BC4/($BQ4+$BO4)</f>
        <v>15.552031072989161</v>
      </c>
      <c r="BT4" s="5">
        <v>0</v>
      </c>
      <c r="BU4" s="5">
        <f>_xlfn.LET(_xlpm._level_power,2,IF($BT4&lt;&gt;"",BR4/_xlpm._level_power^$BT4,""))</f>
        <v>40.056690287619851</v>
      </c>
      <c r="BV4" s="5">
        <f>_xlfn.LET(_xlpm._level_power,2,IF($BT4&lt;&gt;"",BR4/_xlpm._level_power^$BT4,""))</f>
        <v>40.056690287619851</v>
      </c>
    </row>
    <row r="5" spans="1:74" x14ac:dyDescent="0.2">
      <c r="A5" s="74">
        <v>1320102</v>
      </c>
      <c r="B5" s="5" t="s">
        <v>144</v>
      </c>
      <c r="C5" s="5" t="s">
        <v>139</v>
      </c>
      <c r="D5" s="5" t="s">
        <v>405</v>
      </c>
      <c r="E5" s="4" t="s">
        <v>145</v>
      </c>
      <c r="F5" s="4" t="s">
        <v>146</v>
      </c>
      <c r="G5" s="4">
        <v>10002</v>
      </c>
      <c r="H5" s="14" t="str">
        <f>IF(G5&lt;&gt;"",IFERROR(VLOOKUP(G5,t_proj[#All],2,0),"--"),"")</f>
        <v>手枪子弹</v>
      </c>
      <c r="I5" s="4" t="str">
        <f t="shared" si="0"/>
        <v>85~0</v>
      </c>
      <c r="J5" s="14">
        <v>85</v>
      </c>
      <c r="K5" s="14">
        <v>0</v>
      </c>
      <c r="L5" s="4" t="str">
        <f t="shared" ref="L5:L10" si="13">_xlfn.TEXTJOIN("~",1,M5:N5)</f>
        <v>360~0</v>
      </c>
      <c r="M5" s="14">
        <v>360</v>
      </c>
      <c r="N5" s="14">
        <v>0</v>
      </c>
      <c r="P5" s="4">
        <v>1</v>
      </c>
      <c r="Q5" s="4">
        <v>4</v>
      </c>
      <c r="R5" s="95">
        <f t="shared" ref="R5:R56" si="14">IF(Q5="","",1-Q5/20)</f>
        <v>0.8</v>
      </c>
      <c r="S5" s="4" t="s">
        <v>143</v>
      </c>
      <c r="T5" s="4">
        <v>17</v>
      </c>
      <c r="U5" s="4" t="b">
        <v>0</v>
      </c>
      <c r="V5" s="26"/>
      <c r="W5" s="29">
        <v>1</v>
      </c>
      <c r="X5" s="4">
        <f t="shared" si="1"/>
        <v>2.5000000000000001E-2</v>
      </c>
      <c r="Y5" s="34">
        <v>40</v>
      </c>
      <c r="Z5" s="5" t="str">
        <f t="shared" si="2"/>
        <v>0.33 s</v>
      </c>
      <c r="AA5" s="4">
        <f t="shared" si="3"/>
        <v>2.5000000000000001E-2</v>
      </c>
      <c r="AB5" s="34">
        <v>40</v>
      </c>
      <c r="AC5" s="5" t="str">
        <f t="shared" si="4"/>
        <v>0.33 s</v>
      </c>
      <c r="AD5" s="5">
        <v>1</v>
      </c>
      <c r="AE5" s="4" t="str" cm="1">
        <f t="array" ref="AE5">_xlfn.TEXTJOIN(";",1,IFERROR(1/AF5:AH5,""))</f>
        <v>0.025;0.025</v>
      </c>
      <c r="AF5" s="34">
        <v>40</v>
      </c>
      <c r="AG5" s="34">
        <v>40</v>
      </c>
      <c r="AH5" s="34"/>
      <c r="AI5" s="4">
        <f t="shared" si="5"/>
        <v>0.3</v>
      </c>
      <c r="AJ5" s="4">
        <f t="shared" ref="AJ5:AJ10" si="15">AL5/AM5</f>
        <v>0.6</v>
      </c>
      <c r="AK5" s="14">
        <v>3</v>
      </c>
      <c r="AL5" s="14">
        <v>6</v>
      </c>
      <c r="AM5" s="14">
        <v>10</v>
      </c>
      <c r="AN5" s="25">
        <f t="shared" ref="AN5:AN35" si="16">($AL5-$AK5)*120/30</f>
        <v>12</v>
      </c>
      <c r="AO5" s="38">
        <v>18</v>
      </c>
      <c r="AP5" s="5" t="str">
        <f t="shared" ref="AP5:AP10" si="17">TEXT(AO5/120,"0.00")&amp;" s"</f>
        <v>0.15 s</v>
      </c>
      <c r="AQ5" s="39" t="str" cm="1">
        <f t="array" aca="1" ref="AQ5" ca="1">_xlfn.TEXTJOIN(";",1,_xlfn.LAMBDA(_xlpm.x,IF(_xlpm.x&lt;&gt;"",OFFSET(_xlpm.x,3-ROW(),0)&amp;"="&amp;_xlpm.x,""))(AR5:AW5))</f>
        <v>sharp=21</v>
      </c>
      <c r="AR5" s="18">
        <v>21</v>
      </c>
      <c r="AS5" s="22"/>
      <c r="AT5" s="22"/>
      <c r="AU5" s="22"/>
      <c r="AV5" s="22"/>
      <c r="AW5" s="22"/>
      <c r="AX5" s="5" t="str" cm="1">
        <f t="array" ref="AX5">TEXT(VLOOKUP($A5,battle_data!$A:$G,MATCH(INDEX(_xlfn.TEXTSPLIT(AX$3,"|"),1),battle_data!$A$1:$G$1),0)*0.001,"0%")</f>
        <v>0%</v>
      </c>
      <c r="AY5" s="5" t="str" cm="1">
        <f t="array" ref="AY5">TEXT(VLOOKUP($A5,battle_data!$A:$G,MATCH(INDEX(_xlfn.TEXTSPLIT(AY$3,"|"),1),battle_data!$A$1:$G$1),0)*0.001,"0%")</f>
        <v>3%</v>
      </c>
      <c r="AZ5" s="5" t="str" cm="1">
        <f t="array" ref="AZ5">TEXT(VLOOKUP($A5,battle_data!$A:$G,MATCH(INDEX(_xlfn.TEXTSPLIT(AZ$3,"|"),1),battle_data!$A$1:$G$1),0)*0.001,"0%")</f>
        <v>150%</v>
      </c>
      <c r="BA5" s="5">
        <f t="shared" si="6"/>
        <v>1.0149999999999999</v>
      </c>
      <c r="BC5" s="5">
        <f t="shared" ref="BC5:BC39" si="18">_xlfn.LET(_xlpm._custom_all_ammo,$BB5,
_xlpm._all_ammo,IF(_xlpm._custom_all_ammo&lt;&gt;"",_xlpm._custom_all_ammo,$P5*$T5),
IF(A5&lt;&gt;"",SUM($AR5:$AW5)*$BA5*_xlpm._all_ammo,""))</f>
        <v>362.35499999999996</v>
      </c>
      <c r="BF5" s="75"/>
      <c r="BG5" s="75"/>
      <c r="BH5" s="75"/>
      <c r="BI5" s="76"/>
      <c r="BJ5" s="76"/>
      <c r="BK5" s="97"/>
      <c r="BL5" s="76"/>
      <c r="BM5" s="99"/>
      <c r="BN5" s="5">
        <f t="shared" si="7"/>
        <v>3.5333333333333332</v>
      </c>
      <c r="BO5" s="5">
        <f t="shared" si="8"/>
        <v>5.9333333333333336</v>
      </c>
      <c r="BP5" s="5">
        <f t="shared" si="9"/>
        <v>61.071067415730326</v>
      </c>
      <c r="BQ5" s="5">
        <f t="shared" si="10"/>
        <v>5.666666666666667</v>
      </c>
      <c r="BR5" s="5">
        <f t="shared" si="11"/>
        <v>39.386413043478257</v>
      </c>
      <c r="BS5" s="5">
        <f t="shared" si="12"/>
        <v>31.237499999999994</v>
      </c>
      <c r="BT5" s="5">
        <v>0</v>
      </c>
      <c r="BU5" s="5">
        <f t="shared" ref="BU5:BU40" si="19">_xlfn.LET(_xlpm._level_power,2,IF(BT5&lt;&gt;"",BR5/_xlpm._level_power^BT5,""))</f>
        <v>39.386413043478257</v>
      </c>
      <c r="BV5" s="5">
        <f t="shared" ref="BV5:BV40" si="20">_xlfn.LET(_xlpm._level_power,2,IF($BT5&lt;&gt;"",BR5/_xlpm._level_power^$BT5,""))</f>
        <v>39.386413043478257</v>
      </c>
    </row>
    <row r="6" spans="1:74" x14ac:dyDescent="0.2">
      <c r="A6" s="47">
        <v>13201021</v>
      </c>
      <c r="B6" s="5" t="s">
        <v>144</v>
      </c>
      <c r="C6" s="5" t="s">
        <v>139</v>
      </c>
      <c r="D6" s="5" t="s">
        <v>405</v>
      </c>
      <c r="E6" s="4" t="s">
        <v>145</v>
      </c>
      <c r="F6" s="4" t="s">
        <v>146</v>
      </c>
      <c r="G6" s="4">
        <v>10002</v>
      </c>
      <c r="H6" s="14" t="str">
        <f>IF(G6&lt;&gt;"",IFERROR(VLOOKUP(G6,t_proj[#All],2,0),"--"),"")</f>
        <v>手枪子弹</v>
      </c>
      <c r="I6" s="4" t="str">
        <f t="shared" si="0"/>
        <v>85~0</v>
      </c>
      <c r="J6" s="70">
        <v>85</v>
      </c>
      <c r="K6" s="70">
        <v>0</v>
      </c>
      <c r="L6" s="4" t="str">
        <f t="shared" ref="L6" si="21">_xlfn.TEXTJOIN("~",1,M6:N6)</f>
        <v>360~0</v>
      </c>
      <c r="M6" s="14">
        <v>360</v>
      </c>
      <c r="N6" s="14">
        <v>0</v>
      </c>
      <c r="P6" s="4">
        <v>1</v>
      </c>
      <c r="Q6" s="67">
        <v>4</v>
      </c>
      <c r="R6" s="95">
        <f t="shared" si="14"/>
        <v>0.8</v>
      </c>
      <c r="S6" s="4" t="s">
        <v>143</v>
      </c>
      <c r="T6" s="4">
        <v>17</v>
      </c>
      <c r="U6" s="4" t="b">
        <v>0</v>
      </c>
      <c r="V6" s="26"/>
      <c r="W6" s="29">
        <v>1</v>
      </c>
      <c r="X6" s="4">
        <f t="shared" ref="X6" si="22">1/Y6</f>
        <v>6.6666666666666671E-3</v>
      </c>
      <c r="Y6" s="69">
        <v>150</v>
      </c>
      <c r="Z6" s="5" t="str">
        <f t="shared" ref="Z6" si="23">TEXT(Y6/120,"0.00")&amp;" s"</f>
        <v>1.25 s</v>
      </c>
      <c r="AA6" s="4">
        <f t="shared" ref="AA6" si="24">1/AB6</f>
        <v>3.3333333333333333E-2</v>
      </c>
      <c r="AB6" s="69">
        <v>30</v>
      </c>
      <c r="AC6" s="5" t="str">
        <f t="shared" ref="AC6" si="25">TEXT(AB6/120,"0.00")&amp;" s"</f>
        <v>0.25 s</v>
      </c>
      <c r="AD6" s="5">
        <v>1</v>
      </c>
      <c r="AE6" s="4" t="str" cm="1">
        <f t="array" ref="AE6">_xlfn.TEXTJOIN(";",1,IFERROR(1/AF6:AH6,""))</f>
        <v>0.00555555555555556;0.025</v>
      </c>
      <c r="AF6" s="69">
        <v>180</v>
      </c>
      <c r="AG6" s="69">
        <v>40</v>
      </c>
      <c r="AH6" s="64"/>
      <c r="AI6" s="4">
        <f t="shared" ref="AI6" si="26">AK6/AM6</f>
        <v>0.3</v>
      </c>
      <c r="AJ6" s="4">
        <f t="shared" ref="AJ6" si="27">AL6/AM6</f>
        <v>0.6</v>
      </c>
      <c r="AK6" s="14">
        <v>3</v>
      </c>
      <c r="AL6" s="14">
        <v>6</v>
      </c>
      <c r="AM6" s="14">
        <v>10</v>
      </c>
      <c r="AN6" s="25">
        <f>($AL6-$AK6)*120/30</f>
        <v>12</v>
      </c>
      <c r="AO6" s="38">
        <v>18</v>
      </c>
      <c r="AP6" s="5" t="str">
        <f t="shared" ref="AP6" si="28">TEXT(AO6/120,"0.00")&amp;" s"</f>
        <v>0.15 s</v>
      </c>
      <c r="AQ6" s="39" t="str" cm="1">
        <f t="array" aca="1" ref="AQ6" ca="1">_xlfn.TEXTJOIN(";",1,_xlfn.LAMBDA(_xlpm.x,IF(_xlpm.x&lt;&gt;"",OFFSET(_xlpm.x,3-ROW(),0)&amp;"="&amp;_xlpm.x,""))(AR6:AW6))</f>
        <v>sharp=25</v>
      </c>
      <c r="AR6" s="68">
        <v>25</v>
      </c>
      <c r="AS6" s="22"/>
      <c r="AT6" s="22"/>
      <c r="AU6" s="22"/>
      <c r="AV6" s="22"/>
      <c r="AW6" s="22"/>
      <c r="AX6" s="5" t="str" cm="1">
        <f t="array" ref="AX6">TEXT(VLOOKUP($A6,battle_data!$A:$G,MATCH(INDEX(_xlfn.TEXTSPLIT(AX$3,"|"),1),battle_data!$A$1:$G$1),0)*0.001,"0%")</f>
        <v>0%</v>
      </c>
      <c r="AY6" s="5" t="str" cm="1">
        <f t="array" ref="AY6">TEXT(VLOOKUP($A6,battle_data!$A:$G,MATCH(INDEX(_xlfn.TEXTSPLIT(AY$3,"|"),1),battle_data!$A$1:$G$1),0)*0.001,"0%")</f>
        <v>3%</v>
      </c>
      <c r="AZ6" s="5" t="str" cm="1">
        <f t="array" ref="AZ6">TEXT(VLOOKUP($A6,battle_data!$A:$G,MATCH(INDEX(_xlfn.TEXTSPLIT(AZ$3,"|"),1),battle_data!$A$1:$G$1),0)*0.001,"0%")</f>
        <v>150%</v>
      </c>
      <c r="BA6" s="5">
        <f>_xlfn.LET(_xlpm.p,($AY6),_xlpm.p*$AZ6+(1-_xlpm.p))</f>
        <v>1.0149999999999999</v>
      </c>
      <c r="BC6" s="5">
        <f>_xlfn.LET(_xlpm._custom_all_ammo,$BB6,
_xlpm._all_ammo,IF(_xlpm._custom_all_ammo&lt;&gt;"",_xlpm._custom_all_ammo,$P6*$T6),
IF(A6&lt;&gt;"",SUM($AR6:$AW6)*$BA6*_xlpm._all_ammo,""))</f>
        <v>431.37499999999994</v>
      </c>
      <c r="BF6" s="65">
        <f>_xlfn.LET(_xlpm._ammo,$T6,
_xlpm._count_reload,IF($W6&gt;0,_xlfn.CEILING.MATH(_xlpm._ammo/$W6),1),
_xlpm._shoot_ticks,IF($BD6&lt;&gt;"",$BD6,($AL6*(_xlpm._ammo-1)+$AM6)*120/30),
_xlpm._reload_ticks,IF($BE6&lt;&gt;"",$BE6,$Y6+$AB6*_xlpm._count_reload),
(_xlpm._shoot_ticks+_xlpm._reload_ticks)/120
)</f>
        <v>9.0333333333333332</v>
      </c>
      <c r="BG6" s="65">
        <f>BC6/BF6</f>
        <v>47.753690036900366</v>
      </c>
      <c r="BH6" s="65" cm="1">
        <f t="array" ref="BH6">_xlfn.LAMBDA(_xlpm._dps,_xlpm._info_cell,ROUND(IF(_xlpm._dps&lt;=0,-10,LOG(_xlpm._dps/INDEX(_xlfn.TEXTSPLIT(_xlpm._info_cell,"="),2),1.5)),2))($BG6,BH$3)</f>
        <v>0.99</v>
      </c>
      <c r="BI6" s="66">
        <v>1</v>
      </c>
      <c r="BJ6" s="66">
        <v>2</v>
      </c>
      <c r="BK6" s="98" cm="1">
        <f t="array" ref="BK6">_xlfn.LAMBDA(_xlpm._lv,_xlpm._rank,_xlpm._base,_xlpm._lv+INDEX(_xlfn.TEXTSPLIT(_xlpm._base,"="),2)^(_xlpm._rank-2)-1)(BI6,BJ6,BK$3)</f>
        <v>1</v>
      </c>
      <c r="BL6" s="66"/>
      <c r="BM6" s="100">
        <f>BK6*2-BH6-BL6</f>
        <v>1.01</v>
      </c>
      <c r="BN6" s="5">
        <f>(($T6-1)*$AL6+$AM6)/30</f>
        <v>3.5333333333333332</v>
      </c>
      <c r="BO6" s="5">
        <f>(($T6-1)*($AL6+$AO6/4)+$AM6)/30</f>
        <v>5.9333333333333336</v>
      </c>
      <c r="BP6" s="5">
        <f>$BC6/$BO6</f>
        <v>72.70365168539324</v>
      </c>
      <c r="BQ6" s="5">
        <f>$AB6*$AD6*IF($W6&lt;=0,1,$T6)/120</f>
        <v>4.25</v>
      </c>
      <c r="BR6" s="5">
        <f t="shared" ref="BR6" si="29">BP6</f>
        <v>72.70365168539324</v>
      </c>
      <c r="BS6" s="5">
        <f>$BC6/($BQ6+$BO6)</f>
        <v>42.360883797054001</v>
      </c>
      <c r="BT6" s="5">
        <v>1</v>
      </c>
      <c r="BU6" s="5">
        <f t="shared" ref="BU6" si="30">_xlfn.LET(_xlpm._level_power,2,IF(BT6&lt;&gt;"",BR6/_xlpm._level_power^BT6,""))</f>
        <v>36.35182584269662</v>
      </c>
      <c r="BV6" s="5">
        <f>_xlfn.LET(_xlpm._level_power,2,IF($BT6&lt;&gt;"",BR6/_xlpm._level_power^$BT6,""))</f>
        <v>36.35182584269662</v>
      </c>
    </row>
    <row r="7" spans="1:74" x14ac:dyDescent="0.2">
      <c r="A7" s="47">
        <v>13201022</v>
      </c>
      <c r="B7" s="5" t="s">
        <v>461</v>
      </c>
      <c r="C7" s="5" t="s">
        <v>139</v>
      </c>
      <c r="D7" s="5" t="s">
        <v>405</v>
      </c>
      <c r="E7" s="4" t="s">
        <v>145</v>
      </c>
      <c r="F7" s="4" t="s">
        <v>146</v>
      </c>
      <c r="G7" s="4">
        <v>10002</v>
      </c>
      <c r="H7" s="14" t="str">
        <f>IF(G7&lt;&gt;"",IFERROR(VLOOKUP(G7,t_proj[#All],2,0),"--"),"")</f>
        <v>手枪子弹</v>
      </c>
      <c r="I7" s="4" t="str">
        <f t="shared" si="0"/>
        <v>85~0</v>
      </c>
      <c r="J7" s="70">
        <v>85</v>
      </c>
      <c r="K7" s="70">
        <v>0</v>
      </c>
      <c r="L7" s="4" t="str">
        <f t="shared" ref="L7" si="31">_xlfn.TEXTJOIN("~",1,M7:N7)</f>
        <v>360~0</v>
      </c>
      <c r="M7" s="14">
        <v>360</v>
      </c>
      <c r="N7" s="14">
        <v>0</v>
      </c>
      <c r="P7" s="4">
        <v>1</v>
      </c>
      <c r="Q7" s="67">
        <v>4</v>
      </c>
      <c r="R7" s="95">
        <f t="shared" si="14"/>
        <v>0.8</v>
      </c>
      <c r="S7" s="4" t="s">
        <v>143</v>
      </c>
      <c r="T7" s="4">
        <v>17</v>
      </c>
      <c r="U7" s="4" t="b">
        <v>0</v>
      </c>
      <c r="V7" s="26"/>
      <c r="W7" s="29">
        <v>1</v>
      </c>
      <c r="X7" s="4">
        <f t="shared" ref="X7" si="32">1/Y7</f>
        <v>6.6666666666666671E-3</v>
      </c>
      <c r="Y7" s="69">
        <v>150</v>
      </c>
      <c r="Z7" s="5" t="str">
        <f t="shared" ref="Z7" si="33">TEXT(Y7/120,"0.00")&amp;" s"</f>
        <v>1.25 s</v>
      </c>
      <c r="AA7" s="4">
        <f t="shared" ref="AA7" si="34">1/AB7</f>
        <v>4.1666666666666664E-2</v>
      </c>
      <c r="AB7" s="69">
        <v>24</v>
      </c>
      <c r="AC7" s="5" t="str">
        <f t="shared" ref="AC7" si="35">TEXT(AB7/120,"0.00")&amp;" s"</f>
        <v>0.20 s</v>
      </c>
      <c r="AD7" s="5">
        <v>1</v>
      </c>
      <c r="AE7" s="4" t="str" cm="1">
        <f t="array" ref="AE7">_xlfn.TEXTJOIN(";",1,IFERROR(1/AF7:AH7,""))</f>
        <v>0.00555555555555556;0.03125</v>
      </c>
      <c r="AF7" s="69">
        <v>180</v>
      </c>
      <c r="AG7" s="69">
        <v>32</v>
      </c>
      <c r="AH7" s="64"/>
      <c r="AI7" s="4">
        <f t="shared" ref="AI7" si="36">AK7/AM7</f>
        <v>0.3</v>
      </c>
      <c r="AJ7" s="4">
        <f t="shared" ref="AJ7" si="37">AL7/AM7</f>
        <v>0.6</v>
      </c>
      <c r="AK7" s="14">
        <v>3</v>
      </c>
      <c r="AL7" s="14">
        <v>6</v>
      </c>
      <c r="AM7" s="14">
        <v>10</v>
      </c>
      <c r="AN7" s="25">
        <f>($AL7-$AK7)*120/30</f>
        <v>12</v>
      </c>
      <c r="AO7" s="38">
        <v>18</v>
      </c>
      <c r="AP7" s="5" t="str">
        <f t="shared" ref="AP7" si="38">TEXT(AO7/120,"0.00")&amp;" s"</f>
        <v>0.15 s</v>
      </c>
      <c r="AQ7" s="39" t="str" cm="1">
        <f t="array" aca="1" ref="AQ7" ca="1">_xlfn.TEXTJOIN(";",1,_xlfn.LAMBDA(_xlpm.x,IF(_xlpm.x&lt;&gt;"",OFFSET(_xlpm.x,3-ROW(),0)&amp;"="&amp;_xlpm.x,""))(AR7:AW7))</f>
        <v>sharp=34</v>
      </c>
      <c r="AR7" s="68">
        <v>34</v>
      </c>
      <c r="AS7" s="22"/>
      <c r="AT7" s="22"/>
      <c r="AU7" s="22"/>
      <c r="AV7" s="22"/>
      <c r="AW7" s="22"/>
      <c r="AX7" s="5" t="str" cm="1">
        <f t="array" ref="AX7">TEXT(VLOOKUP($A7,battle_data!$A:$G,MATCH(INDEX(_xlfn.TEXTSPLIT(AX$3,"|"),1),battle_data!$A$1:$G$1),0)*0.001,"0%")</f>
        <v>0%</v>
      </c>
      <c r="AY7" s="5" t="str" cm="1">
        <f t="array" ref="AY7">TEXT(VLOOKUP($A7,battle_data!$A:$G,MATCH(INDEX(_xlfn.TEXTSPLIT(AY$3,"|"),1),battle_data!$A$1:$G$1),0)*0.001,"0%")</f>
        <v>3%</v>
      </c>
      <c r="AZ7" s="5" t="str" cm="1">
        <f t="array" ref="AZ7">TEXT(VLOOKUP($A7,battle_data!$A:$G,MATCH(INDEX(_xlfn.TEXTSPLIT(AZ$3,"|"),1),battle_data!$A$1:$G$1),0)*0.001,"0%")</f>
        <v>150%</v>
      </c>
      <c r="BA7" s="5">
        <f>_xlfn.LET(_xlpm.p,($AY7),_xlpm.p*$AZ7+(1-_xlpm.p))</f>
        <v>1.0149999999999999</v>
      </c>
      <c r="BC7" s="5">
        <f>_xlfn.LET(_xlpm._custom_all_ammo,$BB7,
_xlpm._all_ammo,IF(_xlpm._custom_all_ammo&lt;&gt;"",_xlpm._custom_all_ammo,$P7*$T7),
IF(A7&lt;&gt;"",SUM($AR7:$AW7)*$BA7*_xlpm._all_ammo,""))</f>
        <v>586.66999999999996</v>
      </c>
      <c r="BF7" s="65">
        <f>_xlfn.LET(_xlpm._ammo,$T7,
_xlpm._count_reload,IF($W7&gt;0,_xlfn.CEILING.MATH(_xlpm._ammo/$W7),1),
_xlpm._shoot_ticks,IF($BD7&lt;&gt;"",$BD7,($AL7*(_xlpm._ammo-1)+$AM7)*120/30),
_xlpm._reload_ticks,IF($BE7&lt;&gt;"",$BE7,$Y7+$AB7*_xlpm._count_reload),
(_xlpm._shoot_ticks+_xlpm._reload_ticks)/120
)</f>
        <v>8.1833333333333336</v>
      </c>
      <c r="BG7" s="65">
        <f>BC7/BF7</f>
        <v>71.690835030549891</v>
      </c>
      <c r="BH7" s="65" cm="1">
        <f t="array" ref="BH7">_xlfn.LAMBDA(_xlpm._dps,_xlpm._info_cell,ROUND(IF(_xlpm._dps&lt;=0,-10,LOG(_xlpm._dps/INDEX(_xlfn.TEXTSPLIT(_xlpm._info_cell,"="),2),1.5)),2))($BG7,BH$3)</f>
        <v>1.99</v>
      </c>
      <c r="BI7" s="66">
        <v>2</v>
      </c>
      <c r="BJ7" s="66">
        <v>2</v>
      </c>
      <c r="BK7" s="98" cm="1">
        <f t="array" ref="BK7">_xlfn.LAMBDA(_xlpm._lv,_xlpm._rank,_xlpm._base,_xlpm._lv+INDEX(_xlfn.TEXTSPLIT(_xlpm._base,"="),2)^(_xlpm._rank-2)-1)(BI7,BJ7,BK$3)</f>
        <v>2</v>
      </c>
      <c r="BL7" s="66"/>
      <c r="BM7" s="100">
        <f>BK7*2-BH7-BL7</f>
        <v>2.0099999999999998</v>
      </c>
      <c r="BN7" s="5">
        <f>(($T7-1)*$AL7+$AM7)/30</f>
        <v>3.5333333333333332</v>
      </c>
      <c r="BO7" s="5">
        <f>(($T7-1)*($AL7+$AO7/4)+$AM7)/30</f>
        <v>5.9333333333333336</v>
      </c>
      <c r="BP7" s="5">
        <f>$BC7/$BO7</f>
        <v>98.876966292134824</v>
      </c>
      <c r="BQ7" s="5">
        <f>$AB7*$AD7*IF($W7&lt;=0,1,$T7)/120</f>
        <v>3.4</v>
      </c>
      <c r="BR7" s="5">
        <f t="shared" ref="BR7" si="39">BP7</f>
        <v>98.876966292134824</v>
      </c>
      <c r="BS7" s="5">
        <f>$BC7/($BQ7+$BO7)</f>
        <v>62.857499999999995</v>
      </c>
      <c r="BT7" s="5">
        <v>1</v>
      </c>
      <c r="BU7" s="5">
        <f t="shared" ref="BU7" si="40">_xlfn.LET(_xlpm._level_power,2,IF(BT7&lt;&gt;"",BR7/_xlpm._level_power^BT7,""))</f>
        <v>49.438483146067412</v>
      </c>
      <c r="BV7" s="5">
        <f>_xlfn.LET(_xlpm._level_power,2,IF($BT7&lt;&gt;"",BR7/_xlpm._level_power^$BT7,""))</f>
        <v>49.438483146067412</v>
      </c>
    </row>
    <row r="8" spans="1:74" x14ac:dyDescent="0.2">
      <c r="A8" s="47">
        <v>13201023</v>
      </c>
      <c r="B8" s="5" t="s">
        <v>462</v>
      </c>
      <c r="C8" s="5" t="s">
        <v>139</v>
      </c>
      <c r="D8" s="5" t="s">
        <v>405</v>
      </c>
      <c r="E8" s="4" t="s">
        <v>145</v>
      </c>
      <c r="F8" s="4" t="s">
        <v>146</v>
      </c>
      <c r="G8" s="4">
        <v>10002</v>
      </c>
      <c r="H8" s="14" t="str">
        <f>IF(G8&lt;&gt;"",IFERROR(VLOOKUP(G8,t_proj[#All],2,0),"--"),"")</f>
        <v>手枪子弹</v>
      </c>
      <c r="I8" s="4" t="str">
        <f t="shared" si="0"/>
        <v>85~0</v>
      </c>
      <c r="J8" s="70">
        <v>85</v>
      </c>
      <c r="K8" s="70">
        <v>0</v>
      </c>
      <c r="L8" s="4" t="str">
        <f t="shared" ref="L8" si="41">_xlfn.TEXTJOIN("~",1,M8:N8)</f>
        <v>360~0</v>
      </c>
      <c r="M8" s="14">
        <v>360</v>
      </c>
      <c r="N8" s="14">
        <v>0</v>
      </c>
      <c r="P8" s="4">
        <v>1</v>
      </c>
      <c r="Q8" s="67">
        <v>4</v>
      </c>
      <c r="R8" s="95">
        <f t="shared" si="14"/>
        <v>0.8</v>
      </c>
      <c r="S8" s="4" t="s">
        <v>143</v>
      </c>
      <c r="T8" s="4">
        <v>17</v>
      </c>
      <c r="U8" s="4" t="b">
        <v>0</v>
      </c>
      <c r="V8" s="26"/>
      <c r="W8" s="29">
        <v>1</v>
      </c>
      <c r="X8" s="4">
        <f t="shared" ref="X8" si="42">1/Y8</f>
        <v>6.6666666666666671E-3</v>
      </c>
      <c r="Y8" s="69">
        <v>150</v>
      </c>
      <c r="Z8" s="5" t="str">
        <f t="shared" ref="Z8" si="43">TEXT(Y8/120,"0.00")&amp;" s"</f>
        <v>1.25 s</v>
      </c>
      <c r="AA8" s="4">
        <f t="shared" ref="AA8" si="44">1/AB8</f>
        <v>5.5555555555555552E-2</v>
      </c>
      <c r="AB8" s="69">
        <v>18</v>
      </c>
      <c r="AC8" s="5" t="str">
        <f t="shared" ref="AC8" si="45">TEXT(AB8/120,"0.00")&amp;" s"</f>
        <v>0.15 s</v>
      </c>
      <c r="AD8" s="5">
        <v>1</v>
      </c>
      <c r="AE8" s="4" t="str" cm="1">
        <f t="array" ref="AE8">_xlfn.TEXTJOIN(";",1,IFERROR(1/AF8:AH8,""))</f>
        <v>0.00555555555555556;0.0416666666666667</v>
      </c>
      <c r="AF8" s="69">
        <v>180</v>
      </c>
      <c r="AG8" s="69">
        <v>24</v>
      </c>
      <c r="AH8" s="64"/>
      <c r="AI8" s="4">
        <f t="shared" ref="AI8" si="46">AK8/AM8</f>
        <v>0.3</v>
      </c>
      <c r="AJ8" s="4">
        <f t="shared" ref="AJ8" si="47">AL8/AM8</f>
        <v>0.6</v>
      </c>
      <c r="AK8" s="14">
        <v>3</v>
      </c>
      <c r="AL8" s="14">
        <v>6</v>
      </c>
      <c r="AM8" s="14">
        <v>10</v>
      </c>
      <c r="AN8" s="25">
        <f>($AL8-$AK8)*120/30</f>
        <v>12</v>
      </c>
      <c r="AO8" s="38">
        <v>18</v>
      </c>
      <c r="AP8" s="5" t="str">
        <f t="shared" ref="AP8" si="48">TEXT(AO8/120,"0.00")&amp;" s"</f>
        <v>0.15 s</v>
      </c>
      <c r="AQ8" s="39" t="str" cm="1">
        <f t="array" aca="1" ref="AQ8" ca="1">_xlfn.TEXTJOIN(";",1,_xlfn.LAMBDA(_xlpm.x,IF(_xlpm.x&lt;&gt;"",OFFSET(_xlpm.x,3-ROW(),0)&amp;"="&amp;_xlpm.x,""))(AR8:AW8))</f>
        <v>sharp=45</v>
      </c>
      <c r="AR8" s="68">
        <v>45</v>
      </c>
      <c r="AS8" s="22"/>
      <c r="AT8" s="22"/>
      <c r="AU8" s="22"/>
      <c r="AV8" s="22"/>
      <c r="AW8" s="22"/>
      <c r="AX8" s="5" t="str" cm="1">
        <f t="array" ref="AX8">TEXT(VLOOKUP($A8,battle_data!$A:$G,MATCH(INDEX(_xlfn.TEXTSPLIT(AX$3,"|"),1),battle_data!$A$1:$G$1),0)*0.001,"0%")</f>
        <v>0%</v>
      </c>
      <c r="AY8" s="5" t="str" cm="1">
        <f t="array" ref="AY8">TEXT(VLOOKUP($A8,battle_data!$A:$G,MATCH(INDEX(_xlfn.TEXTSPLIT(AY$3,"|"),1),battle_data!$A$1:$G$1),0)*0.001,"0%")</f>
        <v>3%</v>
      </c>
      <c r="AZ8" s="5" t="str" cm="1">
        <f t="array" ref="AZ8">TEXT(VLOOKUP($A8,battle_data!$A:$G,MATCH(INDEX(_xlfn.TEXTSPLIT(AZ$3,"|"),1),battle_data!$A$1:$G$1),0)*0.001,"0%")</f>
        <v>150%</v>
      </c>
      <c r="BA8" s="5">
        <f>_xlfn.LET(_xlpm.p,($AY8),_xlpm.p*$AZ8+(1-_xlpm.p))</f>
        <v>1.0149999999999999</v>
      </c>
      <c r="BC8" s="5">
        <f>_xlfn.LET(_xlpm._custom_all_ammo,$BB8,
_xlpm._all_ammo,IF(_xlpm._custom_all_ammo&lt;&gt;"",_xlpm._custom_all_ammo,$P8*$T8),
IF(A8&lt;&gt;"",SUM($AR8:$AW8)*$BA8*_xlpm._all_ammo,""))</f>
        <v>776.47499999999991</v>
      </c>
      <c r="BF8" s="65">
        <f>_xlfn.LET(_xlpm._ammo,$T8,
_xlpm._count_reload,IF($W8&gt;0,_xlfn.CEILING.MATH(_xlpm._ammo/$W8),1),
_xlpm._shoot_ticks,IF($BD8&lt;&gt;"",$BD8,($AL8*(_xlpm._ammo-1)+$AM8)*120/30),
_xlpm._reload_ticks,IF($BE8&lt;&gt;"",$BE8,$Y8+$AB8*_xlpm._count_reload),
(_xlpm._shoot_ticks+_xlpm._reload_ticks)/120
)</f>
        <v>7.333333333333333</v>
      </c>
      <c r="BG8" s="65">
        <f>BC8/BF8</f>
        <v>105.88295454545454</v>
      </c>
      <c r="BH8" s="65" cm="1">
        <f t="array" ref="BH8">_xlfn.LAMBDA(_xlpm._dps,_xlpm._info_cell,ROUND(IF(_xlpm._dps&lt;=0,-10,LOG(_xlpm._dps/INDEX(_xlfn.TEXTSPLIT(_xlpm._info_cell,"="),2),1.5)),2))($BG8,BH$3)</f>
        <v>2.95</v>
      </c>
      <c r="BI8" s="66">
        <v>3</v>
      </c>
      <c r="BJ8" s="66">
        <v>2</v>
      </c>
      <c r="BK8" s="98" cm="1">
        <f t="array" ref="BK8">_xlfn.LAMBDA(_xlpm._lv,_xlpm._rank,_xlpm._base,_xlpm._lv+INDEX(_xlfn.TEXTSPLIT(_xlpm._base,"="),2)^(_xlpm._rank-2)-1)(BI8,BJ8,BK$3)</f>
        <v>3</v>
      </c>
      <c r="BL8" s="66"/>
      <c r="BM8" s="100">
        <f>BK8*2-BH8-BL8</f>
        <v>3.05</v>
      </c>
      <c r="BN8" s="5">
        <f>(($T8-1)*$AL8+$AM8)/30</f>
        <v>3.5333333333333332</v>
      </c>
      <c r="BO8" s="5">
        <f>(($T8-1)*($AL8+$AO8/4)+$AM8)/30</f>
        <v>5.9333333333333336</v>
      </c>
      <c r="BP8" s="5">
        <f>$BC8/$BO8</f>
        <v>130.86657303370785</v>
      </c>
      <c r="BQ8" s="5">
        <f>$AB8*$AD8*IF($W8&lt;=0,1,$T8)/120</f>
        <v>2.5499999999999998</v>
      </c>
      <c r="BR8" s="5">
        <f t="shared" ref="BR8" si="49">BP8</f>
        <v>130.86657303370785</v>
      </c>
      <c r="BS8" s="5">
        <f>$BC8/($BQ8+$BO8)</f>
        <v>91.529469548133576</v>
      </c>
      <c r="BT8" s="5">
        <v>1</v>
      </c>
      <c r="BU8" s="5">
        <f t="shared" ref="BU8" si="50">_xlfn.LET(_xlpm._level_power,2,IF(BT8&lt;&gt;"",BR8/_xlpm._level_power^BT8,""))</f>
        <v>65.433286516853926</v>
      </c>
      <c r="BV8" s="5">
        <f>_xlfn.LET(_xlpm._level_power,2,IF($BT8&lt;&gt;"",BR8/_xlpm._level_power^$BT8,""))</f>
        <v>65.433286516853926</v>
      </c>
    </row>
    <row r="9" spans="1:74" x14ac:dyDescent="0.2">
      <c r="A9" s="47">
        <v>13201029</v>
      </c>
      <c r="B9" s="5" t="s">
        <v>605</v>
      </c>
      <c r="C9" s="5" t="s">
        <v>139</v>
      </c>
      <c r="D9" s="5" t="s">
        <v>405</v>
      </c>
      <c r="E9" s="4" t="s">
        <v>145</v>
      </c>
      <c r="F9" s="4" t="s">
        <v>146</v>
      </c>
      <c r="G9" s="4">
        <v>10002</v>
      </c>
      <c r="H9" s="14" t="str">
        <f>IF(G9&lt;&gt;"",IFERROR(VLOOKUP(G9,t_proj[#All],2,0),"--"),"")</f>
        <v>手枪子弹</v>
      </c>
      <c r="I9" s="4" t="str">
        <f t="shared" si="0"/>
        <v>65~85</v>
      </c>
      <c r="J9" s="70">
        <v>65</v>
      </c>
      <c r="K9" s="70">
        <v>85</v>
      </c>
      <c r="L9" s="4" t="str">
        <f t="shared" ref="L9" si="51">_xlfn.TEXTJOIN("~",1,M9:N9)</f>
        <v>360~0</v>
      </c>
      <c r="M9" s="14">
        <v>360</v>
      </c>
      <c r="N9" s="14">
        <v>0</v>
      </c>
      <c r="P9" s="4">
        <v>1</v>
      </c>
      <c r="Q9" s="67">
        <v>8</v>
      </c>
      <c r="R9" s="95">
        <f t="shared" ref="R9" si="52">IF(Q9="","",1-Q9/20)</f>
        <v>0.6</v>
      </c>
      <c r="S9" s="4" t="s">
        <v>143</v>
      </c>
      <c r="T9" s="4">
        <v>7</v>
      </c>
      <c r="U9" s="4" t="b">
        <v>0</v>
      </c>
      <c r="V9" s="26"/>
      <c r="W9" s="29">
        <v>1</v>
      </c>
      <c r="X9" s="4">
        <f t="shared" ref="X9" si="53">1/Y9</f>
        <v>6.6666666666666671E-3</v>
      </c>
      <c r="Y9" s="69">
        <v>150</v>
      </c>
      <c r="Z9" s="5" t="str">
        <f t="shared" ref="Z9" si="54">TEXT(Y9/120,"0.00")&amp;" s"</f>
        <v>1.25 s</v>
      </c>
      <c r="AA9" s="4">
        <f t="shared" ref="AA9" si="55">1/AB9</f>
        <v>3.3333333333333333E-2</v>
      </c>
      <c r="AB9" s="69">
        <v>30</v>
      </c>
      <c r="AC9" s="5" t="str">
        <f t="shared" ref="AC9" si="56">TEXT(AB9/120,"0.00")&amp;" s"</f>
        <v>0.25 s</v>
      </c>
      <c r="AD9" s="5">
        <v>1</v>
      </c>
      <c r="AE9" s="4" t="str" cm="1">
        <f t="array" ref="AE9">_xlfn.TEXTJOIN(";",1,IFERROR(1/AF9:AH9,""))</f>
        <v>0.00555555555555556;0.025</v>
      </c>
      <c r="AF9" s="69">
        <v>180</v>
      </c>
      <c r="AG9" s="69">
        <v>40</v>
      </c>
      <c r="AH9" s="64"/>
      <c r="AI9" s="4">
        <f t="shared" ref="AI9" si="57">AK9/AM9</f>
        <v>0.3</v>
      </c>
      <c r="AJ9" s="4">
        <f t="shared" ref="AJ9" si="58">AL9/AM9</f>
        <v>0.6</v>
      </c>
      <c r="AK9" s="14">
        <v>3</v>
      </c>
      <c r="AL9" s="14">
        <v>6</v>
      </c>
      <c r="AM9" s="14">
        <v>10</v>
      </c>
      <c r="AN9" s="25">
        <f>($AL9-$AK9)*120/30</f>
        <v>12</v>
      </c>
      <c r="AO9" s="38">
        <v>24</v>
      </c>
      <c r="AP9" s="5" t="str">
        <f t="shared" ref="AP9" si="59">TEXT(AO9/120,"0.00")&amp;" s"</f>
        <v>0.20 s</v>
      </c>
      <c r="AQ9" s="39" t="str" cm="1">
        <f t="array" aca="1" ref="AQ9" ca="1">_xlfn.TEXTJOIN(";",1,_xlfn.LAMBDA(_xlpm.x,IF(_xlpm.x&lt;&gt;"",OFFSET(_xlpm.x,3-ROW(),0)&amp;"="&amp;_xlpm.x,""))(AR9:AW9))</f>
        <v>sharp=21</v>
      </c>
      <c r="AR9" s="68">
        <v>21</v>
      </c>
      <c r="AS9" s="22"/>
      <c r="AT9" s="22"/>
      <c r="AU9" s="22"/>
      <c r="AV9" s="22"/>
      <c r="AW9" s="22"/>
      <c r="AX9" s="5" t="str" cm="1">
        <f t="array" ref="AX9">TEXT(VLOOKUP($A9,battle_data!$A:$G,MATCH(INDEX(_xlfn.TEXTSPLIT(AX$3,"|"),1),battle_data!$A$1:$G$1),0)*0.001,"0%")</f>
        <v>0%</v>
      </c>
      <c r="AY9" s="5" t="str" cm="1">
        <f t="array" ref="AY9">TEXT(VLOOKUP($A9,battle_data!$A:$G,MATCH(INDEX(_xlfn.TEXTSPLIT(AY$3,"|"),1),battle_data!$A$1:$G$1),0)*0.001,"0%")</f>
        <v>3%</v>
      </c>
      <c r="AZ9" s="5" t="str" cm="1">
        <f t="array" ref="AZ9">TEXT(VLOOKUP($A9,battle_data!$A:$G,MATCH(INDEX(_xlfn.TEXTSPLIT(AZ$3,"|"),1),battle_data!$A$1:$G$1),0)*0.001,"0%")</f>
        <v>150%</v>
      </c>
      <c r="BA9" s="5">
        <f>_xlfn.LET(_xlpm.p,($AY9),_xlpm.p*$AZ9+(1-_xlpm.p))</f>
        <v>1.0149999999999999</v>
      </c>
      <c r="BC9" s="5">
        <f>_xlfn.LET(_xlpm._custom_all_ammo,$BB9,
_xlpm._all_ammo,IF(_xlpm._custom_all_ammo&lt;&gt;"",_xlpm._custom_all_ammo,$P9*$T9),
IF(A9&lt;&gt;"",SUM($AR9:$AW9)*$BA9*_xlpm._all_ammo,""))</f>
        <v>149.20499999999998</v>
      </c>
      <c r="BF9" s="65">
        <f>_xlfn.LET(_xlpm._ammo,$T9,
_xlpm._count_reload,IF($W9&gt;0,_xlfn.CEILING.MATH(_xlpm._ammo/$W9),1),
_xlpm._shoot_ticks,IF($BD9&lt;&gt;"",$BD9,($AL9*(_xlpm._ammo-1)+$AM9)*120/30),
_xlpm._reload_ticks,IF($BE9&lt;&gt;"",$BE9,$Y9+$AB9*_xlpm._count_reload),
(_xlpm._shoot_ticks+_xlpm._reload_ticks)/120
)</f>
        <v>4.5333333333333332</v>
      </c>
      <c r="BG9" s="65">
        <f>BC9/BF9</f>
        <v>32.912867647058818</v>
      </c>
      <c r="BH9" s="65" cm="1">
        <f t="array" ref="BH9">_xlfn.LAMBDA(_xlpm._dps,_xlpm._info_cell,ROUND(IF(_xlpm._dps&lt;=0,-10,LOG(_xlpm._dps/INDEX(_xlfn.TEXTSPLIT(_xlpm._info_cell,"="),2),1.5)),2))($BG9,BH$3)</f>
        <v>7.0000000000000007E-2</v>
      </c>
      <c r="BI9" s="66">
        <v>0</v>
      </c>
      <c r="BJ9" s="66">
        <v>2</v>
      </c>
      <c r="BK9" s="98" cm="1">
        <f t="array" ref="BK9">_xlfn.LAMBDA(_xlpm._lv,_xlpm._rank,_xlpm._base,_xlpm._lv+INDEX(_xlfn.TEXTSPLIT(_xlpm._base,"="),2)^(_xlpm._rank-2)-1)(BI9,BJ9,BK$3)</f>
        <v>0</v>
      </c>
      <c r="BL9" s="66"/>
      <c r="BM9" s="100">
        <f>BK9*2-BH9-BL9</f>
        <v>-7.0000000000000007E-2</v>
      </c>
      <c r="BN9" s="5">
        <f>(($T9-1)*$AL9+$AM9)/30</f>
        <v>1.5333333333333334</v>
      </c>
      <c r="BO9" s="5">
        <f>(($T9-1)*($AL9+$AO9/4)+$AM9)/30</f>
        <v>2.7333333333333334</v>
      </c>
      <c r="BP9" s="5">
        <f>$BC9/$BO9</f>
        <v>54.587195121951211</v>
      </c>
      <c r="BQ9" s="5">
        <f>$AB9*$AD9*IF($W9&lt;=0,1,$T9)/120</f>
        <v>1.75</v>
      </c>
      <c r="BR9" s="5">
        <f t="shared" ref="BR9" si="60">BP9</f>
        <v>54.587195121951211</v>
      </c>
      <c r="BS9" s="5">
        <f>$BC9/($BQ9+$BO9)</f>
        <v>33.279925650557615</v>
      </c>
      <c r="BT9" s="5">
        <v>1</v>
      </c>
      <c r="BU9" s="5">
        <f t="shared" ref="BU9" si="61">_xlfn.LET(_xlpm._level_power,2,IF(BT9&lt;&gt;"",BR9/_xlpm._level_power^BT9,""))</f>
        <v>27.293597560975606</v>
      </c>
      <c r="BV9" s="5">
        <f>_xlfn.LET(_xlpm._level_power,2,IF($BT9&lt;&gt;"",BR9/_xlpm._level_power^$BT9,""))</f>
        <v>27.293597560975606</v>
      </c>
    </row>
    <row r="10" spans="1:74" x14ac:dyDescent="0.2">
      <c r="A10" s="74">
        <v>1320103</v>
      </c>
      <c r="B10" s="5" t="s">
        <v>147</v>
      </c>
      <c r="C10" s="5" t="s">
        <v>139</v>
      </c>
      <c r="D10" s="5" t="s">
        <v>463</v>
      </c>
      <c r="E10" s="4" t="s">
        <v>145</v>
      </c>
      <c r="F10" s="4" t="s">
        <v>146</v>
      </c>
      <c r="G10" s="4">
        <v>10003</v>
      </c>
      <c r="H10" s="14" t="str">
        <f>IF(G10&lt;&gt;"",IFERROR(VLOOKUP(G10,t_proj[#All],2,0),"--"),"")</f>
        <v>霰弹</v>
      </c>
      <c r="I10" s="4" t="str">
        <f t="shared" ref="I10:I19" si="62">_xlfn.TEXTJOIN("~",1,J10:K10)</f>
        <v>50~110</v>
      </c>
      <c r="J10" s="14">
        <v>50</v>
      </c>
      <c r="K10" s="14">
        <v>110</v>
      </c>
      <c r="L10" s="4" t="str">
        <f t="shared" si="13"/>
        <v>4~22</v>
      </c>
      <c r="M10" s="14">
        <v>4</v>
      </c>
      <c r="N10" s="14">
        <v>22</v>
      </c>
      <c r="P10" s="4">
        <v>20</v>
      </c>
      <c r="Q10" s="4">
        <v>24</v>
      </c>
      <c r="R10" s="95">
        <f t="shared" si="14"/>
        <v>-0.19999999999999996</v>
      </c>
      <c r="S10" s="4" t="s">
        <v>143</v>
      </c>
      <c r="T10" s="4">
        <v>20</v>
      </c>
      <c r="U10" s="4" t="b">
        <v>0</v>
      </c>
      <c r="V10" s="26"/>
      <c r="W10" s="29">
        <v>1</v>
      </c>
      <c r="X10" s="4">
        <f t="shared" si="1"/>
        <v>1</v>
      </c>
      <c r="Y10" s="34">
        <v>1</v>
      </c>
      <c r="Z10" s="5" t="str">
        <f t="shared" si="2"/>
        <v>0.01 s</v>
      </c>
      <c r="AA10" s="4">
        <f t="shared" si="3"/>
        <v>2.0833333333333332E-2</v>
      </c>
      <c r="AB10" s="73">
        <f>960/20</f>
        <v>48</v>
      </c>
      <c r="AC10" s="5" t="str">
        <f t="shared" ref="AC10" si="63">TEXT(AB10/120,"0.00")&amp;" s"</f>
        <v>0.40 s</v>
      </c>
      <c r="AD10" s="5">
        <f>P10</f>
        <v>20</v>
      </c>
      <c r="AE10" s="4" t="str" cm="1">
        <f t="array" ref="AE10">_xlfn.TEXTJOIN(";",1,IFERROR(1/AF10:AH10,""))</f>
        <v>0.0333333333333333;0.0333333333333333</v>
      </c>
      <c r="AF10" s="34">
        <v>30</v>
      </c>
      <c r="AG10" s="34">
        <v>30</v>
      </c>
      <c r="AH10" s="34"/>
      <c r="AI10" s="4">
        <f t="shared" si="5"/>
        <v>0.7</v>
      </c>
      <c r="AJ10" s="4">
        <f t="shared" si="15"/>
        <v>0.95</v>
      </c>
      <c r="AK10" s="14">
        <v>7</v>
      </c>
      <c r="AL10" s="14">
        <v>9.5</v>
      </c>
      <c r="AM10" s="14">
        <v>10</v>
      </c>
      <c r="AN10" s="25">
        <f t="shared" si="16"/>
        <v>10</v>
      </c>
      <c r="AO10" s="38">
        <v>120</v>
      </c>
      <c r="AP10" s="5" t="str">
        <f t="shared" si="17"/>
        <v>1.00 s</v>
      </c>
      <c r="AQ10" s="39" t="str" cm="1">
        <f t="array" aca="1" ref="AQ10" ca="1">_xlfn.TEXTJOIN(";",1,_xlfn.LAMBDA(_xlpm.x,IF(_xlpm.x&lt;&gt;"",OFFSET(_xlpm.x,3-ROW(),0)&amp;"="&amp;_xlpm.x,""))(AR10:AW10))</f>
        <v>sharp=8;blunt=4;fire=2</v>
      </c>
      <c r="AR10" s="18">
        <v>8</v>
      </c>
      <c r="AS10" s="18">
        <v>4</v>
      </c>
      <c r="AT10" s="18">
        <v>2</v>
      </c>
      <c r="AU10" s="22"/>
      <c r="AV10" s="22"/>
      <c r="AW10" s="22"/>
      <c r="AX10" s="5" t="str" cm="1">
        <f t="array" ref="AX10">TEXT(VLOOKUP($A10,battle_data!$A:$G,MATCH(INDEX(_xlfn.TEXTSPLIT(AX$3,"|"),1),battle_data!$A$1:$G$1),0)*0.001,"0%")</f>
        <v>0%</v>
      </c>
      <c r="AY10" s="5" t="str" cm="1">
        <f t="array" ref="AY10">TEXT(VLOOKUP($A10,battle_data!$A:$G,MATCH(INDEX(_xlfn.TEXTSPLIT(AY$3,"|"),1),battle_data!$A$1:$G$1),0)*0.001,"0%")</f>
        <v>2%</v>
      </c>
      <c r="AZ10" s="5" t="str" cm="1">
        <f t="array" ref="AZ10">TEXT(VLOOKUP($A10,battle_data!$A:$G,MATCH(INDEX(_xlfn.TEXTSPLIT(AZ$3,"|"),1),battle_data!$A$1:$G$1),0)*0.001,"0%")</f>
        <v>150%</v>
      </c>
      <c r="BA10" s="5">
        <f t="shared" si="6"/>
        <v>1.01</v>
      </c>
      <c r="BB10" s="50">
        <f>$T10</f>
        <v>20</v>
      </c>
      <c r="BC10" s="5">
        <f t="shared" si="18"/>
        <v>282.8</v>
      </c>
      <c r="BF10" s="75"/>
      <c r="BG10" s="75"/>
      <c r="BH10" s="75"/>
      <c r="BI10" s="76"/>
      <c r="BJ10" s="76"/>
      <c r="BK10" s="97"/>
      <c r="BL10" s="76"/>
      <c r="BM10" s="99"/>
      <c r="BN10" s="5">
        <f t="shared" si="7"/>
        <v>6.35</v>
      </c>
      <c r="BO10" s="5">
        <f t="shared" si="8"/>
        <v>25.35</v>
      </c>
      <c r="BP10" s="5">
        <f t="shared" si="9"/>
        <v>11.155818540433925</v>
      </c>
      <c r="BQ10" s="5">
        <f t="shared" si="10"/>
        <v>160</v>
      </c>
      <c r="BR10" s="5">
        <f t="shared" si="11"/>
        <v>1.7000300571085063</v>
      </c>
      <c r="BS10" s="5">
        <f t="shared" si="12"/>
        <v>1.5257620717561371</v>
      </c>
      <c r="BT10" s="5">
        <v>1</v>
      </c>
      <c r="BU10" s="5">
        <f t="shared" si="19"/>
        <v>0.85001502855425315</v>
      </c>
      <c r="BV10" s="5">
        <f t="shared" si="20"/>
        <v>0.85001502855425315</v>
      </c>
    </row>
    <row r="11" spans="1:74" x14ac:dyDescent="0.2">
      <c r="A11" s="47">
        <v>13201030</v>
      </c>
      <c r="B11" s="5" t="s">
        <v>445</v>
      </c>
      <c r="C11" s="5" t="s">
        <v>139</v>
      </c>
      <c r="D11" s="5" t="s">
        <v>463</v>
      </c>
      <c r="E11" s="4" t="s">
        <v>145</v>
      </c>
      <c r="F11" s="4" t="s">
        <v>146</v>
      </c>
      <c r="G11" s="4">
        <v>10003</v>
      </c>
      <c r="H11" s="14" t="str">
        <f>IF(G11&lt;&gt;"",IFERROR(VLOOKUP(G11,t_proj[#All],2,0),"--"),"")</f>
        <v>霰弹</v>
      </c>
      <c r="I11" s="4" t="str">
        <f t="shared" ref="I11:I12" si="64">_xlfn.TEXTJOIN("~",1,J11:K11)</f>
        <v>50~110</v>
      </c>
      <c r="J11" s="14">
        <v>50</v>
      </c>
      <c r="K11" s="14">
        <v>110</v>
      </c>
      <c r="L11" s="4" t="str">
        <f t="shared" ref="L11:L12" si="65">_xlfn.TEXTJOIN("~",1,M11:N11)</f>
        <v>4~22</v>
      </c>
      <c r="M11" s="14">
        <v>4</v>
      </c>
      <c r="N11" s="14">
        <v>22</v>
      </c>
      <c r="P11" s="4">
        <v>16</v>
      </c>
      <c r="Q11" s="4">
        <v>24</v>
      </c>
      <c r="R11" s="95">
        <f t="shared" si="14"/>
        <v>-0.19999999999999996</v>
      </c>
      <c r="S11" s="4" t="s">
        <v>143</v>
      </c>
      <c r="T11" s="4">
        <v>16</v>
      </c>
      <c r="U11" s="4" t="b">
        <v>0</v>
      </c>
      <c r="V11" s="26"/>
      <c r="W11" s="29">
        <v>1</v>
      </c>
      <c r="X11" s="4">
        <f t="shared" ref="X11:X12" si="66">1/Y11</f>
        <v>1</v>
      </c>
      <c r="Y11" s="34">
        <v>1</v>
      </c>
      <c r="Z11" s="5" t="str">
        <f t="shared" ref="Z11:Z12" si="67">TEXT(Y11/120,"0.00")&amp;" s"</f>
        <v>0.01 s</v>
      </c>
      <c r="AA11" s="4">
        <f t="shared" ref="AA11:AA12" si="68">1/AB11</f>
        <v>1.6666666666666666E-2</v>
      </c>
      <c r="AB11" s="73">
        <f>960/16</f>
        <v>60</v>
      </c>
      <c r="AC11" s="5" t="str">
        <f t="shared" ref="AC11:AC12" si="69">TEXT(AB11/120,"0.00")&amp;" s"</f>
        <v>0.50 s</v>
      </c>
      <c r="AD11" s="5">
        <f>P11</f>
        <v>16</v>
      </c>
      <c r="AE11" s="4" t="str" cm="1">
        <f t="array" ref="AE11">_xlfn.TEXTJOIN(";",1,IFERROR(1/AF11:AH11,""))</f>
        <v>0.0333333333333333;0.0333333333333333</v>
      </c>
      <c r="AF11" s="34">
        <v>30</v>
      </c>
      <c r="AG11" s="34">
        <v>30</v>
      </c>
      <c r="AH11" s="34"/>
      <c r="AI11" s="4">
        <f t="shared" ref="AI11:AI12" si="70">AK11/AM11</f>
        <v>0.7</v>
      </c>
      <c r="AJ11" s="4">
        <f t="shared" ref="AJ11:AJ12" si="71">AL11/AM11</f>
        <v>0.95</v>
      </c>
      <c r="AK11" s="14">
        <v>7</v>
      </c>
      <c r="AL11" s="14">
        <v>9.5</v>
      </c>
      <c r="AM11" s="14">
        <v>10</v>
      </c>
      <c r="AN11" s="25">
        <f t="shared" si="16"/>
        <v>10</v>
      </c>
      <c r="AO11" s="38">
        <v>120</v>
      </c>
      <c r="AP11" s="5" t="str">
        <f t="shared" ref="AP11:AP12" si="72">TEXT(AO11/120,"0.00")&amp;" s"</f>
        <v>1.00 s</v>
      </c>
      <c r="AQ11" s="39" t="str" cm="1">
        <f t="array" aca="1" ref="AQ11" ca="1">_xlfn.TEXTJOIN(";",1,_xlfn.LAMBDA(_xlpm.x,IF(_xlpm.x&lt;&gt;"",OFFSET(_xlpm.x,3-ROW(),0)&amp;"="&amp;_xlpm.x,""))(AR11:AW11))</f>
        <v>sharp=12;blunt=4</v>
      </c>
      <c r="AR11" s="18">
        <v>12</v>
      </c>
      <c r="AS11" s="18">
        <v>4</v>
      </c>
      <c r="AT11" s="22"/>
      <c r="AU11" s="22"/>
      <c r="AV11" s="22"/>
      <c r="AW11" s="22"/>
      <c r="AX11" s="5" t="str" cm="1">
        <f t="array" ref="AX11">TEXT(VLOOKUP($A11,battle_data!$A:$G,MATCH(INDEX(_xlfn.TEXTSPLIT(AX$3,"|"),1),battle_data!$A$1:$G$1),0)*0.001,"0%")</f>
        <v>0%</v>
      </c>
      <c r="AY11" s="5" t="str" cm="1">
        <f t="array" ref="AY11">TEXT(VLOOKUP($A11,battle_data!$A:$G,MATCH(INDEX(_xlfn.TEXTSPLIT(AY$3,"|"),1),battle_data!$A$1:$G$1),0)*0.001,"0%")</f>
        <v>2%</v>
      </c>
      <c r="AZ11" s="5" t="str" cm="1">
        <f t="array" ref="AZ11">TEXT(VLOOKUP($A11,battle_data!$A:$G,MATCH(INDEX(_xlfn.TEXTSPLIT(AZ$3,"|"),1),battle_data!$A$1:$G$1),0)*0.001,"0%")</f>
        <v>150%</v>
      </c>
      <c r="BA11" s="5">
        <f t="shared" si="6"/>
        <v>1.01</v>
      </c>
      <c r="BB11" s="50">
        <f>$T11</f>
        <v>16</v>
      </c>
      <c r="BC11" s="5">
        <f t="shared" si="18"/>
        <v>258.56</v>
      </c>
      <c r="BF11" s="65">
        <f>_xlfn.LET(_xlpm._ammo,$T11,
_xlpm._count_reload,IF($W11&gt;0,_xlfn.CEILING.MATH(_xlpm._ammo/$W11),1),
_xlpm._shoot_ticks,IF($BD11&lt;&gt;"",$BD11,($AL11*(_xlpm._ammo-1)+$AM11)*120/30),
_xlpm._reload_ticks,IF($BE11&lt;&gt;"",$BE11,$Y11+$AB11*_xlpm._count_reload),
(_xlpm._shoot_ticks+_xlpm._reload_ticks)/120
)</f>
        <v>13.091666666666667</v>
      </c>
      <c r="BG11" s="65">
        <f>BC11/BF11</f>
        <v>19.749968173138129</v>
      </c>
      <c r="BH11" s="65" cm="1">
        <f t="array" ref="BH11">_xlfn.LAMBDA(_xlpm._dps,_xlpm._info_cell,ROUND(IF(_xlpm._dps&lt;=0,-10,LOG(_xlpm._dps/INDEX(_xlfn.TEXTSPLIT(_xlpm._info_cell,"="),2),1.5)),2))($BG11,BH$3)</f>
        <v>-1.19</v>
      </c>
      <c r="BI11" s="66">
        <v>0</v>
      </c>
      <c r="BJ11" s="66">
        <v>1</v>
      </c>
      <c r="BK11" s="98" cm="1">
        <f t="array" ref="BK11">_xlfn.LAMBDA(_xlpm._lv,_xlpm._rank,_xlpm._base,_xlpm._lv+INDEX(_xlfn.TEXTSPLIT(_xlpm._base,"="),2)^(_xlpm._rank-2)-1)(BI11,BJ11,BK$3)</f>
        <v>-0.5</v>
      </c>
      <c r="BL11" s="66">
        <v>-7.4999999999999997E-2</v>
      </c>
      <c r="BM11" s="100">
        <f>BK11*2-BH11-BL11</f>
        <v>0.26499999999999996</v>
      </c>
      <c r="BN11" s="5">
        <f t="shared" si="7"/>
        <v>5.083333333333333</v>
      </c>
      <c r="BO11" s="5">
        <f t="shared" si="8"/>
        <v>20.083333333333332</v>
      </c>
      <c r="BP11" s="5">
        <f t="shared" si="9"/>
        <v>12.874356846473029</v>
      </c>
      <c r="BQ11" s="5">
        <f t="shared" si="10"/>
        <v>128</v>
      </c>
      <c r="BR11" s="5">
        <f t="shared" si="11"/>
        <v>1.9428428303068253</v>
      </c>
      <c r="BS11" s="5">
        <f t="shared" si="12"/>
        <v>1.746043894203714</v>
      </c>
      <c r="BT11" s="5">
        <v>1</v>
      </c>
      <c r="BU11" s="5">
        <f t="shared" ref="BU11:BU12" si="73">_xlfn.LET(_xlpm._level_power,2,IF(BT11&lt;&gt;"",BR11/_xlpm._level_power^BT11,""))</f>
        <v>0.97142141515341263</v>
      </c>
      <c r="BV11" s="5">
        <f t="shared" ref="BV11:BV12" si="74">_xlfn.LET(_xlpm._level_power,2,IF($BT11&lt;&gt;"",BR11/_xlpm._level_power^$BT11,""))</f>
        <v>0.97142141515341263</v>
      </c>
    </row>
    <row r="12" spans="1:74" x14ac:dyDescent="0.2">
      <c r="A12" s="47">
        <v>13201031</v>
      </c>
      <c r="B12" s="5" t="s">
        <v>446</v>
      </c>
      <c r="C12" s="5" t="s">
        <v>139</v>
      </c>
      <c r="D12" s="5" t="s">
        <v>463</v>
      </c>
      <c r="E12" s="4" t="s">
        <v>145</v>
      </c>
      <c r="F12" s="4" t="s">
        <v>146</v>
      </c>
      <c r="G12" s="4">
        <v>10003</v>
      </c>
      <c r="H12" s="14" t="str">
        <f>IF(G12&lt;&gt;"",IFERROR(VLOOKUP(G12,t_proj[#All],2,0),"--"),"")</f>
        <v>霰弹</v>
      </c>
      <c r="I12" s="4" t="str">
        <f t="shared" si="64"/>
        <v>50~110</v>
      </c>
      <c r="J12" s="14">
        <v>50</v>
      </c>
      <c r="K12" s="14">
        <v>110</v>
      </c>
      <c r="L12" s="4" t="str">
        <f t="shared" si="65"/>
        <v>4~22</v>
      </c>
      <c r="M12" s="14">
        <v>4</v>
      </c>
      <c r="N12" s="14">
        <v>22</v>
      </c>
      <c r="P12" s="4">
        <v>24</v>
      </c>
      <c r="Q12" s="4">
        <v>26</v>
      </c>
      <c r="R12" s="95">
        <f t="shared" si="14"/>
        <v>-0.30000000000000004</v>
      </c>
      <c r="S12" s="4" t="s">
        <v>143</v>
      </c>
      <c r="T12" s="4">
        <v>24</v>
      </c>
      <c r="U12" s="4" t="b">
        <v>0</v>
      </c>
      <c r="V12" s="26"/>
      <c r="W12" s="29">
        <v>1</v>
      </c>
      <c r="X12" s="4">
        <f t="shared" si="66"/>
        <v>1</v>
      </c>
      <c r="Y12" s="34">
        <v>1</v>
      </c>
      <c r="Z12" s="5" t="str">
        <f t="shared" si="67"/>
        <v>0.01 s</v>
      </c>
      <c r="AA12" s="4">
        <f t="shared" si="68"/>
        <v>2.8571428571428571E-2</v>
      </c>
      <c r="AB12" s="73">
        <f>840/24</f>
        <v>35</v>
      </c>
      <c r="AC12" s="5" t="str">
        <f t="shared" si="69"/>
        <v>0.29 s</v>
      </c>
      <c r="AD12" s="5">
        <f>P12</f>
        <v>24</v>
      </c>
      <c r="AE12" s="4" t="str" cm="1">
        <f t="array" ref="AE12">_xlfn.TEXTJOIN(";",1,IFERROR(1/AF12:AH12,""))</f>
        <v>0.0333333333333333;0.0333333333333333</v>
      </c>
      <c r="AF12" s="34">
        <v>30</v>
      </c>
      <c r="AG12" s="34">
        <v>30</v>
      </c>
      <c r="AH12" s="34"/>
      <c r="AI12" s="4">
        <f t="shared" si="70"/>
        <v>0.7</v>
      </c>
      <c r="AJ12" s="4">
        <f t="shared" si="71"/>
        <v>0.95</v>
      </c>
      <c r="AK12" s="14">
        <v>7</v>
      </c>
      <c r="AL12" s="14">
        <v>9.5</v>
      </c>
      <c r="AM12" s="14">
        <v>10</v>
      </c>
      <c r="AN12" s="25">
        <f t="shared" si="16"/>
        <v>10</v>
      </c>
      <c r="AO12" s="38">
        <v>120</v>
      </c>
      <c r="AP12" s="5" t="str">
        <f t="shared" si="72"/>
        <v>1.00 s</v>
      </c>
      <c r="AQ12" s="39" t="str" cm="1">
        <f t="array" aca="1" ref="AQ12" ca="1">_xlfn.TEXTJOIN(";",1,_xlfn.LAMBDA(_xlpm.x,IF(_xlpm.x&lt;&gt;"",OFFSET(_xlpm.x,3-ROW(),0)&amp;"="&amp;_xlpm.x,""))(AR12:AW12))</f>
        <v>sharp=14;blunt=6;fire=2</v>
      </c>
      <c r="AR12" s="18">
        <v>14</v>
      </c>
      <c r="AS12" s="18">
        <v>6</v>
      </c>
      <c r="AT12" s="18">
        <v>2</v>
      </c>
      <c r="AU12" s="22"/>
      <c r="AV12" s="22"/>
      <c r="AW12" s="22"/>
      <c r="AX12" s="5" t="str" cm="1">
        <f t="array" ref="AX12">TEXT(VLOOKUP($A12,battle_data!$A:$G,MATCH(INDEX(_xlfn.TEXTSPLIT(AX$3,"|"),1),battle_data!$A$1:$G$1),0)*0.001,"0%")</f>
        <v>0%</v>
      </c>
      <c r="AY12" s="5" t="str" cm="1">
        <f t="array" ref="AY12">TEXT(VLOOKUP($A12,battle_data!$A:$G,MATCH(INDEX(_xlfn.TEXTSPLIT(AY$3,"|"),1),battle_data!$A$1:$G$1),0)*0.001,"0%")</f>
        <v>2%</v>
      </c>
      <c r="AZ12" s="5" t="str" cm="1">
        <f t="array" ref="AZ12">TEXT(VLOOKUP($A12,battle_data!$A:$G,MATCH(INDEX(_xlfn.TEXTSPLIT(AZ$3,"|"),1),battle_data!$A$1:$G$1),0)*0.001,"0%")</f>
        <v>150%</v>
      </c>
      <c r="BA12" s="5">
        <f t="shared" si="6"/>
        <v>1.01</v>
      </c>
      <c r="BB12" s="50">
        <f>$T12</f>
        <v>24</v>
      </c>
      <c r="BC12" s="5">
        <f t="shared" si="18"/>
        <v>533.28</v>
      </c>
      <c r="BF12" s="65">
        <f>_xlfn.LET(_xlpm._ammo,$T12,
_xlpm._count_reload,IF($W12&gt;0,_xlfn.CEILING.MATH(_xlpm._ammo/$W12),1),
_xlpm._shoot_ticks,IF($BD12&lt;&gt;"",$BD12,($AL12*(_xlpm._ammo-1)+$AM12)*120/30),
_xlpm._reload_ticks,IF($BE12&lt;&gt;"",$BE12,$Y12+$AB12*_xlpm._count_reload),
(_xlpm._shoot_ticks+_xlpm._reload_ticks)/120
)</f>
        <v>14.625</v>
      </c>
      <c r="BG12" s="65">
        <f>BC12/BF12</f>
        <v>36.463589743589743</v>
      </c>
      <c r="BH12" s="65" cm="1">
        <f t="array" ref="BH12">_xlfn.LAMBDA(_xlpm._dps,_xlpm._info_cell,ROUND(IF(_xlpm._dps&lt;=0,-10,LOG(_xlpm._dps/INDEX(_xlfn.TEXTSPLIT(_xlpm._info_cell,"="),2),1.5)),2))($BG12,BH$3)</f>
        <v>0.32</v>
      </c>
      <c r="BI12" s="66">
        <v>1</v>
      </c>
      <c r="BJ12" s="66">
        <v>1</v>
      </c>
      <c r="BK12" s="98" cm="1">
        <f t="array" ref="BK12">_xlfn.LAMBDA(_xlpm._lv,_xlpm._rank,_xlpm._base,_xlpm._lv+INDEX(_xlfn.TEXTSPLIT(_xlpm._base,"="),2)^(_xlpm._rank-2)-1)(BI12,BJ12,BK$3)</f>
        <v>0.5</v>
      </c>
      <c r="BL12" s="66">
        <v>-7.4999999999999997E-2</v>
      </c>
      <c r="BM12" s="100">
        <f>BK12*2-BH12-BL12</f>
        <v>0.75499999999999989</v>
      </c>
      <c r="BN12" s="5">
        <f t="shared" si="7"/>
        <v>7.6166666666666663</v>
      </c>
      <c r="BO12" s="5">
        <f t="shared" si="8"/>
        <v>30.616666666666667</v>
      </c>
      <c r="BP12" s="5">
        <f t="shared" si="9"/>
        <v>17.417964071856286</v>
      </c>
      <c r="BQ12" s="5">
        <f t="shared" si="10"/>
        <v>168</v>
      </c>
      <c r="BR12" s="5">
        <f t="shared" si="11"/>
        <v>3.0366138369554898</v>
      </c>
      <c r="BS12" s="5">
        <f t="shared" si="12"/>
        <v>2.6849710497608457</v>
      </c>
      <c r="BT12" s="5">
        <v>1</v>
      </c>
      <c r="BU12" s="5">
        <f t="shared" si="73"/>
        <v>1.5183069184777449</v>
      </c>
      <c r="BV12" s="5">
        <f t="shared" si="74"/>
        <v>1.5183069184777449</v>
      </c>
    </row>
    <row r="13" spans="1:74" x14ac:dyDescent="0.2">
      <c r="A13" s="47">
        <v>13201032</v>
      </c>
      <c r="B13" s="5" t="s">
        <v>447</v>
      </c>
      <c r="C13" s="5" t="s">
        <v>139</v>
      </c>
      <c r="D13" s="5" t="s">
        <v>463</v>
      </c>
      <c r="E13" s="4" t="s">
        <v>145</v>
      </c>
      <c r="F13" s="4" t="s">
        <v>146</v>
      </c>
      <c r="G13" s="4">
        <v>10003</v>
      </c>
      <c r="H13" s="14" t="str">
        <f>IF(G13&lt;&gt;"",IFERROR(VLOOKUP(G13,t_proj[#All],2,0),"--"),"")</f>
        <v>霰弹</v>
      </c>
      <c r="I13" s="4" t="str">
        <f t="shared" ref="I13" si="75">_xlfn.TEXTJOIN("~",1,J13:K13)</f>
        <v>50~110</v>
      </c>
      <c r="J13" s="14">
        <v>50</v>
      </c>
      <c r="K13" s="14">
        <v>110</v>
      </c>
      <c r="L13" s="4" t="str">
        <f t="shared" ref="L13" si="76">_xlfn.TEXTJOIN("~",1,M13:N13)</f>
        <v>4~22</v>
      </c>
      <c r="M13" s="14">
        <v>4</v>
      </c>
      <c r="N13" s="14">
        <v>22</v>
      </c>
      <c r="P13" s="4">
        <v>36</v>
      </c>
      <c r="Q13" s="4">
        <v>30</v>
      </c>
      <c r="R13" s="95">
        <f t="shared" si="14"/>
        <v>-0.5</v>
      </c>
      <c r="S13" s="4" t="s">
        <v>143</v>
      </c>
      <c r="T13" s="4">
        <v>36</v>
      </c>
      <c r="U13" s="4" t="b">
        <v>0</v>
      </c>
      <c r="V13" s="26"/>
      <c r="W13" s="29">
        <v>1</v>
      </c>
      <c r="X13" s="4">
        <f t="shared" ref="X13" si="77">1/Y13</f>
        <v>1</v>
      </c>
      <c r="Y13" s="34">
        <v>1</v>
      </c>
      <c r="Z13" s="5" t="str">
        <f t="shared" ref="Z13" si="78">TEXT(Y13/120,"0.00")&amp;" s"</f>
        <v>0.01 s</v>
      </c>
      <c r="AA13" s="4">
        <f t="shared" ref="AA13" si="79">1/AB13</f>
        <v>0.05</v>
      </c>
      <c r="AB13" s="73">
        <v>20</v>
      </c>
      <c r="AC13" s="5" t="str">
        <f t="shared" ref="AC13" si="80">TEXT(AB13/120,"0.00")&amp;" s"</f>
        <v>0.17 s</v>
      </c>
      <c r="AD13" s="5">
        <f>P13</f>
        <v>36</v>
      </c>
      <c r="AE13" s="4" t="str" cm="1">
        <f t="array" ref="AE13">_xlfn.TEXTJOIN(";",1,IFERROR(1/AF13:AH13,""))</f>
        <v>0.0333333333333333;0.0333333333333333</v>
      </c>
      <c r="AF13" s="34">
        <v>30</v>
      </c>
      <c r="AG13" s="34">
        <v>30</v>
      </c>
      <c r="AH13" s="34"/>
      <c r="AI13" s="4">
        <f t="shared" ref="AI13" si="81">AK13/AM13</f>
        <v>0.7</v>
      </c>
      <c r="AJ13" s="4">
        <f t="shared" ref="AJ13" si="82">AL13/AM13</f>
        <v>0.95</v>
      </c>
      <c r="AK13" s="14">
        <v>7</v>
      </c>
      <c r="AL13" s="14">
        <v>9.5</v>
      </c>
      <c r="AM13" s="14">
        <v>10</v>
      </c>
      <c r="AN13" s="25">
        <f t="shared" si="16"/>
        <v>10</v>
      </c>
      <c r="AO13" s="38">
        <v>120</v>
      </c>
      <c r="AP13" s="5" t="str">
        <f t="shared" ref="AP13" si="83">TEXT(AO13/120,"0.00")&amp;" s"</f>
        <v>1.00 s</v>
      </c>
      <c r="AQ13" s="39" t="str" cm="1">
        <f t="array" aca="1" ref="AQ13" ca="1">_xlfn.TEXTJOIN(";",1,_xlfn.LAMBDA(_xlpm.x,IF(_xlpm.x&lt;&gt;"",OFFSET(_xlpm.x,3-ROW(),0)&amp;"="&amp;_xlpm.x,""))(AR13:AW13))</f>
        <v>sharp=18;blunt=9;fire=4</v>
      </c>
      <c r="AR13" s="18">
        <v>18</v>
      </c>
      <c r="AS13" s="18">
        <v>9</v>
      </c>
      <c r="AT13" s="18">
        <v>4</v>
      </c>
      <c r="AU13" s="22"/>
      <c r="AV13" s="22"/>
      <c r="AW13" s="22"/>
      <c r="AX13" s="5" t="str" cm="1">
        <f t="array" ref="AX13">TEXT(VLOOKUP($A13,battle_data!$A:$G,MATCH(INDEX(_xlfn.TEXTSPLIT(AX$3,"|"),1),battle_data!$A$1:$G$1),0)*0.001,"0%")</f>
        <v>0%</v>
      </c>
      <c r="AY13" s="5" t="str" cm="1">
        <f t="array" ref="AY13">TEXT(VLOOKUP($A13,battle_data!$A:$G,MATCH(INDEX(_xlfn.TEXTSPLIT(AY$3,"|"),1),battle_data!$A$1:$G$1),0)*0.001,"0%")</f>
        <v>2%</v>
      </c>
      <c r="AZ13" s="5" t="str" cm="1">
        <f t="array" ref="AZ13">TEXT(VLOOKUP($A13,battle_data!$A:$G,MATCH(INDEX(_xlfn.TEXTSPLIT(AZ$3,"|"),1),battle_data!$A$1:$G$1),0)*0.001,"0%")</f>
        <v>150%</v>
      </c>
      <c r="BA13" s="5">
        <f t="shared" si="6"/>
        <v>1.01</v>
      </c>
      <c r="BB13" s="50">
        <f>$T13</f>
        <v>36</v>
      </c>
      <c r="BC13" s="5">
        <f t="shared" si="18"/>
        <v>1127.1599999999999</v>
      </c>
      <c r="BF13" s="65">
        <f>_xlfn.LET(_xlpm._ammo,$T13,
_xlpm._count_reload,IF($W13&gt;0,_xlfn.CEILING.MATH(_xlpm._ammo/$W13),1),
_xlpm._shoot_ticks,IF($BD13&lt;&gt;"",$BD13,($AL13*(_xlpm._ammo-1)+$AM13)*120/30),
_xlpm._reload_ticks,IF($BE13&lt;&gt;"",$BE13,$Y13+$AB13*_xlpm._count_reload),
(_xlpm._shoot_ticks+_xlpm._reload_ticks)/120
)</f>
        <v>17.425000000000001</v>
      </c>
      <c r="BG13" s="65">
        <f>BC13/BF13</f>
        <v>64.686370157819212</v>
      </c>
      <c r="BH13" s="65" cm="1">
        <f t="array" ref="BH13">_xlfn.LAMBDA(_xlpm._dps,_xlpm._info_cell,ROUND(IF(_xlpm._dps&lt;=0,-10,LOG(_xlpm._dps/INDEX(_xlfn.TEXTSPLIT(_xlpm._info_cell,"="),2),1.5)),2))($BG13,BH$3)</f>
        <v>1.74</v>
      </c>
      <c r="BI13" s="66">
        <v>2</v>
      </c>
      <c r="BJ13" s="66">
        <v>1</v>
      </c>
      <c r="BK13" s="98" cm="1">
        <f t="array" ref="BK13">_xlfn.LAMBDA(_xlpm._lv,_xlpm._rank,_xlpm._base,_xlpm._lv+INDEX(_xlfn.TEXTSPLIT(_xlpm._base,"="),2)^(_xlpm._rank-2)-1)(BI13,BJ13,BK$3)</f>
        <v>1.5</v>
      </c>
      <c r="BL13" s="66">
        <v>-7.4999999999999997E-2</v>
      </c>
      <c r="BM13" s="100">
        <f>BK13*2-BH13-BL13</f>
        <v>1.335</v>
      </c>
      <c r="BN13" s="5">
        <f t="shared" si="7"/>
        <v>11.416666666666666</v>
      </c>
      <c r="BO13" s="5">
        <f t="shared" si="8"/>
        <v>46.416666666666664</v>
      </c>
      <c r="BP13" s="5">
        <f t="shared" si="9"/>
        <v>24.283518850987431</v>
      </c>
      <c r="BQ13" s="5">
        <f t="shared" si="10"/>
        <v>216</v>
      </c>
      <c r="BR13" s="5">
        <f t="shared" si="11"/>
        <v>4.9563649688530589</v>
      </c>
      <c r="BS13" s="5">
        <f t="shared" si="12"/>
        <v>4.2953064464909483</v>
      </c>
      <c r="BT13" s="5">
        <v>1</v>
      </c>
      <c r="BU13" s="5">
        <f t="shared" ref="BU13" si="84">_xlfn.LET(_xlpm._level_power,2,IF(BT13&lt;&gt;"",BR13/_xlpm._level_power^BT13,""))</f>
        <v>2.4781824844265294</v>
      </c>
      <c r="BV13" s="5">
        <f t="shared" ref="BV13" si="85">_xlfn.LET(_xlpm._level_power,2,IF($BT13&lt;&gt;"",BR13/_xlpm._level_power^$BT13,""))</f>
        <v>2.4781824844265294</v>
      </c>
    </row>
    <row r="14" spans="1:74" x14ac:dyDescent="0.2">
      <c r="A14" s="47">
        <v>13201033</v>
      </c>
      <c r="B14" s="5" t="s">
        <v>448</v>
      </c>
      <c r="C14" s="5" t="s">
        <v>139</v>
      </c>
      <c r="D14" s="5" t="s">
        <v>463</v>
      </c>
      <c r="E14" s="4" t="s">
        <v>145</v>
      </c>
      <c r="F14" s="4" t="s">
        <v>146</v>
      </c>
      <c r="G14" s="4">
        <v>10003</v>
      </c>
      <c r="H14" s="14" t="str">
        <f>IF(G14&lt;&gt;"",IFERROR(VLOOKUP(G14,t_proj[#All],2,0),"--"),"")</f>
        <v>霰弹</v>
      </c>
      <c r="I14" s="4" t="str">
        <f t="shared" ref="I14" si="86">_xlfn.TEXTJOIN("~",1,J14:K14)</f>
        <v>50~110</v>
      </c>
      <c r="J14" s="14">
        <v>50</v>
      </c>
      <c r="K14" s="14">
        <v>110</v>
      </c>
      <c r="L14" s="4" t="str">
        <f t="shared" ref="L14" si="87">_xlfn.TEXTJOIN("~",1,M14:N14)</f>
        <v>4~22</v>
      </c>
      <c r="M14" s="14">
        <v>4</v>
      </c>
      <c r="N14" s="14">
        <v>22</v>
      </c>
      <c r="P14" s="4">
        <v>52</v>
      </c>
      <c r="Q14" s="4">
        <v>36</v>
      </c>
      <c r="R14" s="95">
        <f t="shared" si="14"/>
        <v>-0.8</v>
      </c>
      <c r="S14" s="4" t="s">
        <v>143</v>
      </c>
      <c r="T14" s="4">
        <v>52</v>
      </c>
      <c r="U14" s="4" t="b">
        <v>0</v>
      </c>
      <c r="V14" s="26"/>
      <c r="W14" s="29">
        <v>1</v>
      </c>
      <c r="X14" s="4">
        <f t="shared" ref="X14" si="88">1/Y14</f>
        <v>1</v>
      </c>
      <c r="Y14" s="34">
        <v>1</v>
      </c>
      <c r="Z14" s="5" t="str">
        <f t="shared" ref="Z14:Z15" si="89">TEXT(Y14/120,"0.00")&amp;" s"</f>
        <v>0.01 s</v>
      </c>
      <c r="AA14" s="4">
        <f t="shared" ref="AA14:AA15" si="90">1/AB14</f>
        <v>8.3333333333333329E-2</v>
      </c>
      <c r="AB14" s="73">
        <v>12</v>
      </c>
      <c r="AC14" s="5" t="str">
        <f t="shared" ref="AC14" si="91">TEXT(AB14/120,"0.00")&amp;" s"</f>
        <v>0.10 s</v>
      </c>
      <c r="AD14" s="5">
        <f>P14</f>
        <v>52</v>
      </c>
      <c r="AE14" s="4" t="str" cm="1">
        <f t="array" ref="AE14">_xlfn.TEXTJOIN(";",1,IFERROR(1/AF14:AH14,""))</f>
        <v>0.0333333333333333;0.0333333333333333</v>
      </c>
      <c r="AF14" s="34">
        <v>30</v>
      </c>
      <c r="AG14" s="34">
        <v>30</v>
      </c>
      <c r="AH14" s="34"/>
      <c r="AI14" s="4">
        <f t="shared" ref="AI14:AI15" si="92">AK14/AM14</f>
        <v>0.7</v>
      </c>
      <c r="AJ14" s="4">
        <f t="shared" ref="AJ14:AJ15" si="93">AL14/AM14</f>
        <v>0.95</v>
      </c>
      <c r="AK14" s="14">
        <v>7</v>
      </c>
      <c r="AL14" s="14">
        <v>9.5</v>
      </c>
      <c r="AM14" s="14">
        <v>10</v>
      </c>
      <c r="AN14" s="25">
        <f t="shared" si="16"/>
        <v>10</v>
      </c>
      <c r="AO14" s="38">
        <v>120</v>
      </c>
      <c r="AP14" s="5" t="str">
        <f t="shared" ref="AP14" si="94">TEXT(AO14/120,"0.00")&amp;" s"</f>
        <v>1.00 s</v>
      </c>
      <c r="AQ14" s="39" t="str" cm="1">
        <f t="array" aca="1" ref="AQ14" ca="1">_xlfn.TEXTJOIN(";",1,_xlfn.LAMBDA(_xlpm.x,IF(_xlpm.x&lt;&gt;"",OFFSET(_xlpm.x,3-ROW(),0)&amp;"="&amp;_xlpm.x,""))(AR14:AW14))</f>
        <v>sharp=24;blunt=13;fire=6</v>
      </c>
      <c r="AR14" s="18">
        <v>24</v>
      </c>
      <c r="AS14" s="18">
        <v>13</v>
      </c>
      <c r="AT14" s="18">
        <v>6</v>
      </c>
      <c r="AU14" s="22"/>
      <c r="AV14" s="22"/>
      <c r="AW14" s="22"/>
      <c r="AX14" s="5" t="str" cm="1">
        <f t="array" ref="AX14">TEXT(VLOOKUP($A14,battle_data!$A:$G,MATCH(INDEX(_xlfn.TEXTSPLIT(AX$3,"|"),1),battle_data!$A$1:$G$1),0)*0.001,"0%")</f>
        <v>0%</v>
      </c>
      <c r="AY14" s="5" t="str" cm="1">
        <f t="array" ref="AY14">TEXT(VLOOKUP($A14,battle_data!$A:$G,MATCH(INDEX(_xlfn.TEXTSPLIT(AY$3,"|"),1),battle_data!$A$1:$G$1),0)*0.001,"0%")</f>
        <v>2%</v>
      </c>
      <c r="AZ14" s="5" t="str" cm="1">
        <f t="array" ref="AZ14">TEXT(VLOOKUP($A14,battle_data!$A:$G,MATCH(INDEX(_xlfn.TEXTSPLIT(AZ$3,"|"),1),battle_data!$A$1:$G$1),0)*0.001,"0%")</f>
        <v>150%</v>
      </c>
      <c r="BA14" s="5">
        <f t="shared" si="6"/>
        <v>1.01</v>
      </c>
      <c r="BB14" s="50">
        <f>$T14</f>
        <v>52</v>
      </c>
      <c r="BC14" s="5">
        <f t="shared" si="18"/>
        <v>2258.36</v>
      </c>
      <c r="BF14" s="65">
        <f>_xlfn.LET(_xlpm._ammo,$T14,
_xlpm._count_reload,IF($W14&gt;0,_xlfn.CEILING.MATH(_xlpm._ammo/$W14),1),
_xlpm._shoot_ticks,IF($BD14&lt;&gt;"",$BD14,($AL14*(_xlpm._ammo-1)+$AM14)*120/30),
_xlpm._reload_ticks,IF($BE14&lt;&gt;"",$BE14,$Y14+$AB14*_xlpm._count_reload),
(_xlpm._shoot_ticks+_xlpm._reload_ticks)/120
)</f>
        <v>21.691666666666666</v>
      </c>
      <c r="BG14" s="65">
        <f>BC14/BF14</f>
        <v>104.11187091817135</v>
      </c>
      <c r="BH14" s="65" cm="1">
        <f t="array" ref="BH14">_xlfn.LAMBDA(_xlpm._dps,_xlpm._info_cell,ROUND(IF(_xlpm._dps&lt;=0,-10,LOG(_xlpm._dps/INDEX(_xlfn.TEXTSPLIT(_xlpm._info_cell,"="),2),1.5)),2))($BG14,BH$3)</f>
        <v>2.91</v>
      </c>
      <c r="BI14" s="66">
        <v>3</v>
      </c>
      <c r="BJ14" s="66">
        <v>1</v>
      </c>
      <c r="BK14" s="98" cm="1">
        <f t="array" ref="BK14">_xlfn.LAMBDA(_xlpm._lv,_xlpm._rank,_xlpm._base,_xlpm._lv+INDEX(_xlfn.TEXTSPLIT(_xlpm._base,"="),2)^(_xlpm._rank-2)-1)(BI14,BJ14,BK$3)</f>
        <v>2.5</v>
      </c>
      <c r="BL14" s="66">
        <v>-7.4999999999999997E-2</v>
      </c>
      <c r="BM14" s="100">
        <f>BK14*2-BH14-BL14</f>
        <v>2.165</v>
      </c>
      <c r="BN14" s="5">
        <f t="shared" si="7"/>
        <v>16.483333333333334</v>
      </c>
      <c r="BO14" s="5">
        <f t="shared" si="8"/>
        <v>67.483333333333334</v>
      </c>
      <c r="BP14" s="5">
        <f t="shared" si="9"/>
        <v>33.46544825882934</v>
      </c>
      <c r="BQ14" s="5">
        <f t="shared" si="10"/>
        <v>270.39999999999998</v>
      </c>
      <c r="BR14" s="5">
        <f t="shared" si="11"/>
        <v>7.8720501946203454</v>
      </c>
      <c r="BS14" s="5">
        <f t="shared" si="12"/>
        <v>6.683845508804815</v>
      </c>
      <c r="BT14" s="5">
        <v>1</v>
      </c>
      <c r="BU14" s="5">
        <f t="shared" ref="BU14" si="95">_xlfn.LET(_xlpm._level_power,2,IF(BT14&lt;&gt;"",BR14/_xlpm._level_power^BT14,""))</f>
        <v>3.9360250973101727</v>
      </c>
      <c r="BV14" s="5">
        <f t="shared" ref="BV14" si="96">_xlfn.LET(_xlpm._level_power,2,IF($BT14&lt;&gt;"",BR14/_xlpm._level_power^$BT14,""))</f>
        <v>3.9360250973101727</v>
      </c>
    </row>
    <row r="15" spans="1:74" x14ac:dyDescent="0.2">
      <c r="A15" s="74">
        <v>1320104</v>
      </c>
      <c r="B15" s="5" t="s">
        <v>472</v>
      </c>
      <c r="C15" s="5" t="s">
        <v>139</v>
      </c>
      <c r="D15" s="5" t="s">
        <v>406</v>
      </c>
      <c r="E15" s="4" t="s">
        <v>149</v>
      </c>
      <c r="F15" s="4" t="s">
        <v>146</v>
      </c>
      <c r="G15" s="4">
        <v>10011</v>
      </c>
      <c r="H15" s="14" t="str">
        <f>IF(G15&lt;&gt;"",IFERROR(VLOOKUP(G15,t_proj[#All],2,0),"--"),"")</f>
        <v>机枪子弹</v>
      </c>
      <c r="I15" s="4" t="str">
        <f t="shared" si="62"/>
        <v>120~0</v>
      </c>
      <c r="J15" s="14">
        <v>120</v>
      </c>
      <c r="K15" s="14">
        <v>0</v>
      </c>
      <c r="L15" s="4" t="str">
        <f t="shared" ref="L15:L18" si="97">_xlfn.TEXTJOIN("~",1,M15:N15)</f>
        <v>360~0</v>
      </c>
      <c r="M15" s="14">
        <v>360</v>
      </c>
      <c r="N15" s="14">
        <v>0</v>
      </c>
      <c r="P15" s="4">
        <v>1</v>
      </c>
      <c r="Q15" s="4">
        <v>7.5</v>
      </c>
      <c r="R15" s="95">
        <f t="shared" si="14"/>
        <v>0.625</v>
      </c>
      <c r="S15" s="4" t="s">
        <v>143</v>
      </c>
      <c r="T15" s="4">
        <v>150</v>
      </c>
      <c r="U15" s="4" t="b">
        <v>0</v>
      </c>
      <c r="V15" s="26"/>
      <c r="W15" s="29">
        <v>0</v>
      </c>
      <c r="X15" s="4">
        <f t="shared" si="1"/>
        <v>3.3333333333333335E-3</v>
      </c>
      <c r="Y15" s="64">
        <v>300</v>
      </c>
      <c r="Z15" s="5" t="str">
        <f t="shared" si="89"/>
        <v>2.50 s</v>
      </c>
      <c r="AA15" s="4">
        <f t="shared" si="90"/>
        <v>1</v>
      </c>
      <c r="AB15" s="64">
        <v>1</v>
      </c>
      <c r="AC15" s="5" t="str">
        <f t="shared" si="4"/>
        <v>0.01 s</v>
      </c>
      <c r="AD15" s="5">
        <v>1</v>
      </c>
      <c r="AE15" s="4" t="str" cm="1">
        <f t="array" ref="AE15">_xlfn.TEXTJOIN(";",1,IFERROR(1/AF15:AH15,""))</f>
        <v>0.00333333333333333;1;0.00833333333333333</v>
      </c>
      <c r="AF15" s="64">
        <v>300</v>
      </c>
      <c r="AG15" s="64">
        <v>1</v>
      </c>
      <c r="AH15" s="64">
        <v>120</v>
      </c>
      <c r="AI15" s="4">
        <f t="shared" si="92"/>
        <v>0</v>
      </c>
      <c r="AJ15" s="4">
        <f t="shared" si="93"/>
        <v>0</v>
      </c>
      <c r="AK15" s="14">
        <v>0</v>
      </c>
      <c r="AL15" s="14">
        <v>0</v>
      </c>
      <c r="AM15" s="14">
        <v>6</v>
      </c>
      <c r="AN15" s="25">
        <f t="shared" si="16"/>
        <v>0</v>
      </c>
      <c r="AO15" s="38">
        <v>0</v>
      </c>
      <c r="AP15" s="5" t="str">
        <f t="shared" ref="AP15:AP18" si="98">TEXT(AO15/120,"0.00")&amp;" s"</f>
        <v>0.00 s</v>
      </c>
      <c r="AQ15" s="39" t="str" cm="1">
        <f t="array" aca="1" ref="AQ15" ca="1">_xlfn.TEXTJOIN(";",1,_xlfn.LAMBDA(_xlpm.x,IF(_xlpm.x&lt;&gt;"",OFFSET(_xlpm.x,3-ROW(),0)&amp;"="&amp;_xlpm.x,""))(AR15:AW15))</f>
        <v>sharp=78</v>
      </c>
      <c r="AR15" s="18">
        <v>78</v>
      </c>
      <c r="AS15" s="22"/>
      <c r="AT15" s="22"/>
      <c r="AU15" s="22"/>
      <c r="AV15" s="22"/>
      <c r="AW15" s="22"/>
      <c r="AX15" s="5" t="str" cm="1">
        <f t="array" ref="AX15">TEXT(VLOOKUP($A15,battle_data!$A:$G,MATCH(INDEX(_xlfn.TEXTSPLIT(AX$3,"|"),1),battle_data!$A$1:$G$1),0)*0.001,"0%")</f>
        <v>0%</v>
      </c>
      <c r="AY15" s="5" t="str" cm="1">
        <f t="array" ref="AY15">TEXT(VLOOKUP($A15,battle_data!$A:$G,MATCH(INDEX(_xlfn.TEXTSPLIT(AY$3,"|"),1),battle_data!$A$1:$G$1),0)*0.001,"0%")</f>
        <v>1%</v>
      </c>
      <c r="AZ15" s="5" t="str" cm="1">
        <f t="array" ref="AZ15">TEXT(VLOOKUP($A15,battle_data!$A:$G,MATCH(INDEX(_xlfn.TEXTSPLIT(AZ$3,"|"),1),battle_data!$A$1:$G$1),0)*0.001,"0%")</f>
        <v>110%</v>
      </c>
      <c r="BA15" s="5">
        <f t="shared" si="6"/>
        <v>1.0009999999999999</v>
      </c>
      <c r="BC15" s="5">
        <f t="shared" si="18"/>
        <v>11711.699999999999</v>
      </c>
      <c r="BF15" s="75"/>
      <c r="BG15" s="75"/>
      <c r="BH15" s="75"/>
      <c r="BI15" s="76"/>
      <c r="BJ15" s="76"/>
      <c r="BK15" s="97"/>
      <c r="BL15" s="76"/>
      <c r="BM15" s="99"/>
      <c r="BN15" s="5">
        <f t="shared" si="7"/>
        <v>0.2</v>
      </c>
      <c r="BO15" s="5">
        <f t="shared" si="8"/>
        <v>0.2</v>
      </c>
      <c r="BP15" s="5">
        <f t="shared" si="9"/>
        <v>58558.499999999993</v>
      </c>
      <c r="BQ15" s="5">
        <f t="shared" si="10"/>
        <v>8.3333333333333332E-3</v>
      </c>
      <c r="BR15" s="5">
        <f t="shared" si="11"/>
        <v>56216.159999999989</v>
      </c>
      <c r="BS15" s="5">
        <f t="shared" si="12"/>
        <v>56216.159999999989</v>
      </c>
      <c r="BT15" s="5">
        <v>4</v>
      </c>
      <c r="BU15" s="5">
        <f t="shared" si="19"/>
        <v>3513.5099999999993</v>
      </c>
      <c r="BV15" s="5">
        <f t="shared" si="20"/>
        <v>3513.5099999999993</v>
      </c>
    </row>
    <row r="16" spans="1:74" x14ac:dyDescent="0.2">
      <c r="A16" s="47">
        <v>13201043</v>
      </c>
      <c r="B16" s="5" t="s">
        <v>474</v>
      </c>
      <c r="C16" s="5" t="s">
        <v>139</v>
      </c>
      <c r="D16" s="5" t="s">
        <v>406</v>
      </c>
      <c r="E16" s="4" t="s">
        <v>149</v>
      </c>
      <c r="F16" s="4" t="s">
        <v>146</v>
      </c>
      <c r="G16" s="4">
        <v>10011</v>
      </c>
      <c r="H16" s="14" t="str">
        <f>IF(G16&lt;&gt;"",IFERROR(VLOOKUP(G16,t_proj[#All],2,0),"--"),"")</f>
        <v>机枪子弹</v>
      </c>
      <c r="I16" s="4" t="str">
        <f t="shared" si="62"/>
        <v>120~0</v>
      </c>
      <c r="J16" s="70">
        <v>120</v>
      </c>
      <c r="K16" s="70">
        <v>0</v>
      </c>
      <c r="L16" s="4" t="str">
        <f t="shared" si="97"/>
        <v>360~0</v>
      </c>
      <c r="M16" s="14">
        <v>360</v>
      </c>
      <c r="N16" s="14">
        <v>0</v>
      </c>
      <c r="P16" s="4">
        <v>1</v>
      </c>
      <c r="Q16" s="67">
        <v>7.5</v>
      </c>
      <c r="R16" s="95">
        <f t="shared" si="14"/>
        <v>0.625</v>
      </c>
      <c r="S16" s="4" t="s">
        <v>143</v>
      </c>
      <c r="T16" s="4">
        <v>50</v>
      </c>
      <c r="U16" s="4" t="b">
        <v>0</v>
      </c>
      <c r="V16" s="26"/>
      <c r="W16" s="29">
        <v>0</v>
      </c>
      <c r="X16" s="4">
        <f t="shared" si="1"/>
        <v>3.3333333333333335E-3</v>
      </c>
      <c r="Y16" s="64">
        <v>300</v>
      </c>
      <c r="Z16" s="5" t="str">
        <f t="shared" si="2"/>
        <v>2.50 s</v>
      </c>
      <c r="AA16" s="4">
        <f t="shared" si="3"/>
        <v>1</v>
      </c>
      <c r="AB16" s="64">
        <v>1</v>
      </c>
      <c r="AC16" s="5" t="str">
        <f t="shared" si="4"/>
        <v>0.01 s</v>
      </c>
      <c r="AD16" s="5">
        <v>1</v>
      </c>
      <c r="AE16" s="4" t="str" cm="1">
        <f t="array" ref="AE16">_xlfn.TEXTJOIN(";",1,IFERROR(1/AF16:AH16,""))</f>
        <v>0.00333333333333333;1;0.00833333333333333</v>
      </c>
      <c r="AF16" s="64">
        <v>300</v>
      </c>
      <c r="AG16" s="64">
        <v>1</v>
      </c>
      <c r="AH16" s="64">
        <v>120</v>
      </c>
      <c r="AI16" s="4">
        <f t="shared" si="5"/>
        <v>0</v>
      </c>
      <c r="AJ16" s="4">
        <f t="shared" ref="AJ16:AJ18" si="99">AL16/AM16</f>
        <v>0</v>
      </c>
      <c r="AK16" s="14">
        <v>0</v>
      </c>
      <c r="AL16" s="14">
        <v>0</v>
      </c>
      <c r="AM16" s="14">
        <v>6</v>
      </c>
      <c r="AN16" s="25">
        <f t="shared" si="16"/>
        <v>0</v>
      </c>
      <c r="AO16" s="38">
        <v>0</v>
      </c>
      <c r="AP16" s="5" t="str">
        <f t="shared" si="98"/>
        <v>0.00 s</v>
      </c>
      <c r="AQ16" s="39" t="str" cm="1">
        <f t="array" aca="1" ref="AQ16" ca="1">_xlfn.TEXTJOIN(";",1,_xlfn.LAMBDA(_xlpm.x,IF(_xlpm.x&lt;&gt;"",OFFSET(_xlpm.x,3-ROW(),0)&amp;"="&amp;_xlpm.x,""))(AR16:AW16))</f>
        <v>sharp=58</v>
      </c>
      <c r="AR16" s="68">
        <v>58</v>
      </c>
      <c r="AS16" s="22"/>
      <c r="AT16" s="22"/>
      <c r="AU16" s="22"/>
      <c r="AV16" s="22"/>
      <c r="AW16" s="22"/>
      <c r="AX16" s="5" t="str" cm="1">
        <f t="array" ref="AX16">TEXT(VLOOKUP($A16,battle_data!$A:$G,MATCH(INDEX(_xlfn.TEXTSPLIT(AX$3,"|"),1),battle_data!$A$1:$G$1),0)*0.001,"0%")</f>
        <v>0%</v>
      </c>
      <c r="AY16" s="5" t="str" cm="1">
        <f t="array" ref="AY16">TEXT(VLOOKUP($A16,battle_data!$A:$G,MATCH(INDEX(_xlfn.TEXTSPLIT(AY$3,"|"),1),battle_data!$A$1:$G$1),0)*0.001,"0%")</f>
        <v>1%</v>
      </c>
      <c r="AZ16" s="5" t="str" cm="1">
        <f t="array" ref="AZ16">TEXT(VLOOKUP($A16,battle_data!$A:$G,MATCH(INDEX(_xlfn.TEXTSPLIT(AZ$3,"|"),1),battle_data!$A$1:$G$1),0)*0.001,"0%")</f>
        <v>110%</v>
      </c>
      <c r="BA16" s="5">
        <f t="shared" ref="BA16:BA39" si="100">_xlfn.LET(_xlpm.p,($AY16),_xlpm.p*$AZ16+(1-_xlpm.p))</f>
        <v>1.0009999999999999</v>
      </c>
      <c r="BC16" s="5">
        <f t="shared" ref="BC16" si="101">_xlfn.LET(_xlpm._custom_all_ammo,$BB16,
_xlpm._all_ammo,IF(_xlpm._custom_all_ammo&lt;&gt;"",_xlpm._custom_all_ammo,$P16*$T16),
IF(A16&lt;&gt;"",SUM($AR16:$AW16)*$BA16*_xlpm._all_ammo,""))</f>
        <v>2902.8999999999996</v>
      </c>
      <c r="BD16" s="50">
        <v>1442</v>
      </c>
      <c r="BF16" s="65">
        <f>_xlfn.LET(_xlpm._ammo,$T16,
_xlpm._count_reload,IF($W16&gt;0,_xlfn.CEILING.MATH(_xlpm._ammo/$W16),1),
_xlpm._shoot_ticks,IF($BD16&lt;&gt;"",$BD16,($AL16*(_xlpm._ammo-1)+$AM16)*120/30),
_xlpm._reload_ticks,IF($BE16&lt;&gt;"",$BE16,$Y16+$AB16*_xlpm._count_reload),
(_xlpm._shoot_ticks+_xlpm._reload_ticks)/120
)</f>
        <v>14.525</v>
      </c>
      <c r="BG16" s="65">
        <f t="shared" ref="BG16" si="102">BC16/BF16</f>
        <v>199.85542168674695</v>
      </c>
      <c r="BH16" s="65" cm="1">
        <f t="array" ref="BH16">_xlfn.LAMBDA(_xlpm._dps,_xlpm._info_cell,ROUND(IF(_xlpm._dps&lt;=0,-10,LOG(_xlpm._dps/INDEX(_xlfn.TEXTSPLIT(_xlpm._info_cell,"="),2),1.5)),2))($BG16,BH$3)</f>
        <v>4.5199999999999996</v>
      </c>
      <c r="BI16" s="66">
        <v>3</v>
      </c>
      <c r="BJ16" s="66">
        <v>3</v>
      </c>
      <c r="BK16" s="98" cm="1">
        <f t="array" ref="BK16">_xlfn.LAMBDA(_xlpm._lv,_xlpm._rank,_xlpm._base,_xlpm._lv+INDEX(_xlfn.TEXTSPLIT(_xlpm._base,"="),2)^(_xlpm._rank-2)-1)(BI16,BJ16,BK$3)</f>
        <v>4</v>
      </c>
      <c r="BL16" s="66">
        <v>-0.02</v>
      </c>
      <c r="BM16" s="100">
        <f>BK16*2-BH16-BL16</f>
        <v>3.5000000000000004</v>
      </c>
      <c r="BN16" s="5">
        <f t="shared" si="7"/>
        <v>0.2</v>
      </c>
      <c r="BO16" s="5">
        <f t="shared" si="8"/>
        <v>0.2</v>
      </c>
      <c r="BP16" s="5">
        <f t="shared" si="9"/>
        <v>14514.499999999998</v>
      </c>
      <c r="BQ16" s="5">
        <f t="shared" si="10"/>
        <v>8.3333333333333332E-3</v>
      </c>
      <c r="BR16" s="5">
        <f t="shared" ref="BR16" si="103">BP16</f>
        <v>14514.499999999998</v>
      </c>
      <c r="BS16" s="5">
        <f t="shared" si="12"/>
        <v>13933.919999999998</v>
      </c>
      <c r="BT16" s="5">
        <v>4</v>
      </c>
      <c r="BU16" s="5">
        <f t="shared" si="19"/>
        <v>907.15624999999989</v>
      </c>
      <c r="BV16" s="5">
        <f t="shared" si="20"/>
        <v>907.15624999999989</v>
      </c>
    </row>
    <row r="17" spans="1:74" x14ac:dyDescent="0.2">
      <c r="A17" s="47">
        <v>13201044</v>
      </c>
      <c r="B17" s="5" t="s">
        <v>476</v>
      </c>
      <c r="C17" s="5" t="s">
        <v>139</v>
      </c>
      <c r="D17" s="5" t="s">
        <v>406</v>
      </c>
      <c r="E17" s="4" t="s">
        <v>149</v>
      </c>
      <c r="F17" s="4" t="s">
        <v>146</v>
      </c>
      <c r="G17" s="4">
        <v>10011</v>
      </c>
      <c r="H17" s="14" t="str">
        <f>IF(G17&lt;&gt;"",IFERROR(VLOOKUP(G17,t_proj[#All],2,0),"--"),"")</f>
        <v>机枪子弹</v>
      </c>
      <c r="I17" s="4" t="str">
        <f t="shared" ref="I17" si="104">_xlfn.TEXTJOIN("~",1,J17:K17)</f>
        <v>120~0</v>
      </c>
      <c r="J17" s="70">
        <v>120</v>
      </c>
      <c r="K17" s="70">
        <v>0</v>
      </c>
      <c r="L17" s="4" t="str">
        <f t="shared" ref="L17" si="105">_xlfn.TEXTJOIN("~",1,M17:N17)</f>
        <v>360~0</v>
      </c>
      <c r="M17" s="14">
        <v>360</v>
      </c>
      <c r="N17" s="14">
        <v>0</v>
      </c>
      <c r="P17" s="4">
        <v>1</v>
      </c>
      <c r="Q17" s="67">
        <v>7.5</v>
      </c>
      <c r="R17" s="95">
        <f t="shared" si="14"/>
        <v>0.625</v>
      </c>
      <c r="S17" s="4" t="s">
        <v>143</v>
      </c>
      <c r="T17" s="4">
        <v>100</v>
      </c>
      <c r="U17" s="4" t="b">
        <v>0</v>
      </c>
      <c r="V17" s="26"/>
      <c r="W17" s="29">
        <v>0</v>
      </c>
      <c r="X17" s="4">
        <f t="shared" ref="X17" si="106">1/Y17</f>
        <v>3.3333333333333335E-3</v>
      </c>
      <c r="Y17" s="64">
        <v>300</v>
      </c>
      <c r="Z17" s="5" t="str">
        <f t="shared" ref="Z17" si="107">TEXT(Y17/120,"0.00")&amp;" s"</f>
        <v>2.50 s</v>
      </c>
      <c r="AA17" s="4">
        <f t="shared" ref="AA17" si="108">1/AB17</f>
        <v>1</v>
      </c>
      <c r="AB17" s="64">
        <v>1</v>
      </c>
      <c r="AC17" s="5" t="str">
        <f t="shared" ref="AC17" si="109">TEXT(AB17/120,"0.00")&amp;" s"</f>
        <v>0.01 s</v>
      </c>
      <c r="AD17" s="5">
        <v>1</v>
      </c>
      <c r="AE17" s="4" t="str" cm="1">
        <f t="array" ref="AE17">_xlfn.TEXTJOIN(";",1,IFERROR(1/AF17:AH17,""))</f>
        <v>0.00333333333333333;1;0.00833333333333333</v>
      </c>
      <c r="AF17" s="64">
        <v>300</v>
      </c>
      <c r="AG17" s="64">
        <v>1</v>
      </c>
      <c r="AH17" s="64">
        <v>120</v>
      </c>
      <c r="AI17" s="4">
        <f t="shared" ref="AI17" si="110">AK17/AM17</f>
        <v>0</v>
      </c>
      <c r="AJ17" s="4">
        <f t="shared" ref="AJ17" si="111">AL17/AM17</f>
        <v>0</v>
      </c>
      <c r="AK17" s="14">
        <v>0</v>
      </c>
      <c r="AL17" s="14">
        <v>0</v>
      </c>
      <c r="AM17" s="14">
        <v>6</v>
      </c>
      <c r="AN17" s="25">
        <f t="shared" si="16"/>
        <v>0</v>
      </c>
      <c r="AO17" s="38">
        <v>0</v>
      </c>
      <c r="AP17" s="5" t="str">
        <f t="shared" ref="AP17" si="112">TEXT(AO17/120,"0.00")&amp;" s"</f>
        <v>0.00 s</v>
      </c>
      <c r="AQ17" s="39" t="str" cm="1">
        <f t="array" aca="1" ref="AQ17" ca="1">_xlfn.TEXTJOIN(";",1,_xlfn.LAMBDA(_xlpm.x,IF(_xlpm.x&lt;&gt;"",OFFSET(_xlpm.x,3-ROW(),0)&amp;"="&amp;_xlpm.x,""))(AR17:AW17))</f>
        <v>sharp=68</v>
      </c>
      <c r="AR17" s="68">
        <v>68</v>
      </c>
      <c r="AS17" s="22"/>
      <c r="AT17" s="22"/>
      <c r="AU17" s="22"/>
      <c r="AV17" s="22"/>
      <c r="AW17" s="22"/>
      <c r="AX17" s="5" t="str" cm="1">
        <f t="array" ref="AX17">TEXT(VLOOKUP($A17,battle_data!$A:$G,MATCH(INDEX(_xlfn.TEXTSPLIT(AX$3,"|"),1),battle_data!$A$1:$G$1),0)*0.001,"0%")</f>
        <v>0%</v>
      </c>
      <c r="AY17" s="5" t="str" cm="1">
        <f t="array" ref="AY17">TEXT(VLOOKUP($A17,battle_data!$A:$G,MATCH(INDEX(_xlfn.TEXTSPLIT(AY$3,"|"),1),battle_data!$A$1:$G$1),0)*0.001,"0%")</f>
        <v>1%</v>
      </c>
      <c r="AZ17" s="5" t="str" cm="1">
        <f t="array" ref="AZ17">TEXT(VLOOKUP($A17,battle_data!$A:$G,MATCH(INDEX(_xlfn.TEXTSPLIT(AZ$3,"|"),1),battle_data!$A$1:$G$1),0)*0.001,"0%")</f>
        <v>110%</v>
      </c>
      <c r="BA17" s="5">
        <f t="shared" si="100"/>
        <v>1.0009999999999999</v>
      </c>
      <c r="BC17" s="5">
        <f t="shared" ref="BC17" si="113">_xlfn.LET(_xlpm._custom_all_ammo,$BB17,
_xlpm._all_ammo,IF(_xlpm._custom_all_ammo&lt;&gt;"",_xlpm._custom_all_ammo,$P17*$T17),
IF(A17&lt;&gt;"",SUM($AR17:$AW17)*$BA17*_xlpm._all_ammo,""))</f>
        <v>6806.8</v>
      </c>
      <c r="BD17" s="50">
        <v>2560</v>
      </c>
      <c r="BF17" s="65">
        <f>_xlfn.LET(_xlpm._ammo,$T17,
_xlpm._count_reload,IF($W17&gt;0,_xlfn.CEILING.MATH(_xlpm._ammo/$W17),1),
_xlpm._shoot_ticks,IF($BD17&lt;&gt;"",$BD17,($AL17*(_xlpm._ammo-1)+$AM17)*120/30),
_xlpm._reload_ticks,IF($BE17&lt;&gt;"",$BE17,$Y17+$AB17*_xlpm._count_reload),
(_xlpm._shoot_ticks+_xlpm._reload_ticks)/120
)</f>
        <v>23.841666666666665</v>
      </c>
      <c r="BG17" s="65">
        <f t="shared" ref="BG17" si="114">BC17/BF17</f>
        <v>285.50017476406856</v>
      </c>
      <c r="BH17" s="65" cm="1">
        <f t="array" ref="BH17">_xlfn.LAMBDA(_xlpm._dps,_xlpm._info_cell,ROUND(IF(_xlpm._dps&lt;=0,-10,LOG(_xlpm._dps/INDEX(_xlfn.TEXTSPLIT(_xlpm._info_cell,"="),2),1.5)),2))($BG17,BH$3)</f>
        <v>5.4</v>
      </c>
      <c r="BI17" s="66">
        <v>4</v>
      </c>
      <c r="BJ17" s="66">
        <v>3</v>
      </c>
      <c r="BK17" s="98" cm="1">
        <f t="array" ref="BK17">_xlfn.LAMBDA(_xlpm._lv,_xlpm._rank,_xlpm._base,_xlpm._lv+INDEX(_xlfn.TEXTSPLIT(_xlpm._base,"="),2)^(_xlpm._rank-2)-1)(BI17,BJ17,BK$3)</f>
        <v>5</v>
      </c>
      <c r="BL17" s="66">
        <v>-0.02</v>
      </c>
      <c r="BM17" s="100">
        <f>BK17*2-BH17-BL17</f>
        <v>4.6199999999999992</v>
      </c>
      <c r="BN17" s="5">
        <f t="shared" si="7"/>
        <v>0.2</v>
      </c>
      <c r="BO17" s="5">
        <f t="shared" si="8"/>
        <v>0.2</v>
      </c>
      <c r="BP17" s="5">
        <f t="shared" si="9"/>
        <v>34034</v>
      </c>
      <c r="BQ17" s="5">
        <f t="shared" si="10"/>
        <v>8.3333333333333332E-3</v>
      </c>
      <c r="BR17" s="5">
        <f t="shared" ref="BR17" si="115">BP17</f>
        <v>34034</v>
      </c>
      <c r="BS17" s="5">
        <f t="shared" si="12"/>
        <v>32672.639999999999</v>
      </c>
      <c r="BT17" s="5">
        <v>4</v>
      </c>
      <c r="BU17" s="5">
        <f t="shared" ref="BU17" si="116">_xlfn.LET(_xlpm._level_power,2,IF(BT17&lt;&gt;"",BR17/_xlpm._level_power^BT17,""))</f>
        <v>2127.125</v>
      </c>
      <c r="BV17" s="5">
        <f t="shared" ref="BV17" si="117">_xlfn.LET(_xlpm._level_power,2,IF($BT17&lt;&gt;"",BR17/_xlpm._level_power^$BT17,""))</f>
        <v>2127.125</v>
      </c>
    </row>
    <row r="18" spans="1:74" x14ac:dyDescent="0.2">
      <c r="A18" s="4">
        <v>1320105</v>
      </c>
      <c r="B18" s="5" t="s">
        <v>150</v>
      </c>
      <c r="C18" s="5" t="s">
        <v>139</v>
      </c>
      <c r="D18" s="5" t="s">
        <v>140</v>
      </c>
      <c r="E18" s="4" t="s">
        <v>141</v>
      </c>
      <c r="F18" s="4" t="s">
        <v>146</v>
      </c>
      <c r="G18" s="4">
        <v>10001</v>
      </c>
      <c r="H18" s="14" t="str">
        <f>IF(G18&lt;&gt;"",IFERROR(VLOOKUP(G18,t_proj[#All],2,0),"--"),"")</f>
        <v>箭矢</v>
      </c>
      <c r="I18" s="4" t="str">
        <f t="shared" si="62"/>
        <v>20~25</v>
      </c>
      <c r="J18" s="14">
        <v>20</v>
      </c>
      <c r="K18" s="14">
        <v>25</v>
      </c>
      <c r="L18" s="4" t="str">
        <f t="shared" si="97"/>
        <v>2400~0</v>
      </c>
      <c r="M18" s="14">
        <v>2400</v>
      </c>
      <c r="N18" s="14">
        <v>0</v>
      </c>
      <c r="P18" s="4">
        <v>1</v>
      </c>
      <c r="Q18" s="4">
        <v>6</v>
      </c>
      <c r="R18" s="95">
        <f t="shared" si="14"/>
        <v>0.7</v>
      </c>
      <c r="S18" s="4" t="s">
        <v>143</v>
      </c>
      <c r="T18" s="4">
        <v>25</v>
      </c>
      <c r="U18" s="4" t="b">
        <v>0</v>
      </c>
      <c r="V18" s="26"/>
      <c r="X18" s="4">
        <f t="shared" si="1"/>
        <v>4.3859649122807015E-3</v>
      </c>
      <c r="Y18" s="24">
        <v>228</v>
      </c>
      <c r="Z18" s="5" t="str">
        <f t="shared" si="2"/>
        <v>1.90 s</v>
      </c>
      <c r="AA18" s="4">
        <f t="shared" si="3"/>
        <v>4.3859649122807015E-3</v>
      </c>
      <c r="AB18" s="24">
        <v>228</v>
      </c>
      <c r="AC18" s="5" t="str">
        <f t="shared" si="4"/>
        <v>1.90 s</v>
      </c>
      <c r="AD18" s="5">
        <v>1</v>
      </c>
      <c r="AE18" s="4" t="str" cm="1">
        <f t="array" ref="AE18">_xlfn.TEXTJOIN(";",1,IFERROR(1/AF18:AH18,""))</f>
        <v>0.0043859649122807;0.0043859649122807</v>
      </c>
      <c r="AF18" s="24">
        <v>228</v>
      </c>
      <c r="AG18" s="24">
        <v>228</v>
      </c>
      <c r="AI18" s="4">
        <f t="shared" si="5"/>
        <v>0.41666666666666669</v>
      </c>
      <c r="AJ18" s="4">
        <f t="shared" si="99"/>
        <v>0.75</v>
      </c>
      <c r="AK18" s="14">
        <v>5</v>
      </c>
      <c r="AL18" s="14">
        <v>9</v>
      </c>
      <c r="AM18" s="14">
        <v>12</v>
      </c>
      <c r="AN18" s="25">
        <f t="shared" si="16"/>
        <v>16</v>
      </c>
      <c r="AO18" s="38">
        <v>120</v>
      </c>
      <c r="AP18" s="5" t="str">
        <f t="shared" si="98"/>
        <v>1.00 s</v>
      </c>
      <c r="AQ18" s="39" t="str" cm="1">
        <f t="array" aca="1" ref="AQ18" ca="1">_xlfn.TEXTJOIN(";",1,_xlfn.LAMBDA(_xlpm.x,IF(_xlpm.x&lt;&gt;"",OFFSET(_xlpm.x,3-ROW(),0)&amp;"="&amp;_xlpm.x,""))(AR18:AW18))</f>
        <v>sharp=42</v>
      </c>
      <c r="AR18" s="18">
        <v>42</v>
      </c>
      <c r="AS18" s="22"/>
      <c r="AT18" s="22"/>
      <c r="AU18" s="22"/>
      <c r="AV18" s="22"/>
      <c r="AW18" s="22"/>
      <c r="AX18" s="5" t="str" cm="1">
        <f t="array" ref="AX18">TEXT(VLOOKUP($A18,battle_data!$A:$G,MATCH(INDEX(_xlfn.TEXTSPLIT(AX$3,"|"),1),battle_data!$A$1:$G$1),0)*0.001,"0%")</f>
        <v>20%</v>
      </c>
      <c r="AY18" s="5" t="str" cm="1">
        <f t="array" ref="AY18">TEXT(VLOOKUP($A18,battle_data!$A:$G,MATCH(INDEX(_xlfn.TEXTSPLIT(AY$3,"|"),1),battle_data!$A$1:$G$1),0)*0.001,"0%")</f>
        <v>20%</v>
      </c>
      <c r="AZ18" s="5" t="str" cm="1">
        <f t="array" ref="AZ18">TEXT(VLOOKUP($A18,battle_data!$A:$G,MATCH(INDEX(_xlfn.TEXTSPLIT(AZ$3,"|"),1),battle_data!$A$1:$G$1),0)*0.001,"0%")</f>
        <v>300%</v>
      </c>
      <c r="BA18" s="5">
        <f t="shared" si="100"/>
        <v>1.4000000000000001</v>
      </c>
      <c r="BC18" s="5">
        <f t="shared" si="18"/>
        <v>1470</v>
      </c>
      <c r="BI18" s="50">
        <v>2</v>
      </c>
      <c r="BN18" s="5">
        <f t="shared" si="7"/>
        <v>7.6</v>
      </c>
      <c r="BO18" s="5">
        <f t="shared" si="8"/>
        <v>31.6</v>
      </c>
      <c r="BP18" s="5">
        <f t="shared" si="9"/>
        <v>46.518987341772153</v>
      </c>
      <c r="BQ18" s="5">
        <f t="shared" si="10"/>
        <v>1.9</v>
      </c>
      <c r="BR18" s="5">
        <f t="shared" si="11"/>
        <v>154.73684210526315</v>
      </c>
      <c r="BS18" s="5">
        <f t="shared" si="12"/>
        <v>43.880597014925371</v>
      </c>
      <c r="BT18" s="5">
        <v>2</v>
      </c>
      <c r="BU18" s="5">
        <f t="shared" ref="BU18" si="118">_xlfn.LET(_xlpm._level_power,2,IF(BT18&lt;&gt;"",BR18/_xlpm._level_power^BT18,""))</f>
        <v>38.684210526315788</v>
      </c>
      <c r="BV18" s="5">
        <f t="shared" ref="BV18" si="119">_xlfn.LET(_xlpm._level_power,2,IF($BT18&lt;&gt;"",BR18/_xlpm._level_power^$BT18,""))</f>
        <v>38.684210526315788</v>
      </c>
    </row>
    <row r="19" spans="1:74" x14ac:dyDescent="0.2">
      <c r="A19" s="4">
        <v>1320106</v>
      </c>
      <c r="B19" s="5" t="s">
        <v>151</v>
      </c>
      <c r="C19" s="5" t="s">
        <v>139</v>
      </c>
      <c r="D19" s="5" t="s">
        <v>148</v>
      </c>
      <c r="E19" s="4" t="s">
        <v>152</v>
      </c>
      <c r="F19" s="4" t="s">
        <v>146</v>
      </c>
      <c r="G19" s="4">
        <v>10006</v>
      </c>
      <c r="H19" s="14" t="str">
        <f>IF(G19&lt;&gt;"",IFERROR(VLOOKUP(G19,t_proj[#All],2,0),"--"),"")</f>
        <v>火箭弹</v>
      </c>
      <c r="I19" s="26" t="str">
        <f t="shared" si="62"/>
        <v/>
      </c>
      <c r="J19" s="28"/>
      <c r="K19" s="28"/>
      <c r="L19" s="4" t="str">
        <f t="shared" ref="L19" si="120">_xlfn.TEXTJOIN("~",1,M19:N19)</f>
        <v>105~0</v>
      </c>
      <c r="M19" s="14">
        <v>105</v>
      </c>
      <c r="N19" s="14">
        <v>0</v>
      </c>
      <c r="P19" s="4">
        <v>1</v>
      </c>
      <c r="Q19" s="4">
        <v>3</v>
      </c>
      <c r="R19" s="95">
        <f t="shared" si="14"/>
        <v>0.85</v>
      </c>
      <c r="S19" s="4" t="s">
        <v>143</v>
      </c>
      <c r="T19" s="4">
        <v>3</v>
      </c>
      <c r="U19" s="4" t="b">
        <v>0</v>
      </c>
      <c r="V19" s="26"/>
      <c r="W19" s="29">
        <v>1</v>
      </c>
      <c r="X19" s="4">
        <f t="shared" si="1"/>
        <v>6.6666666666666671E-3</v>
      </c>
      <c r="Y19" s="24">
        <v>150</v>
      </c>
      <c r="Z19" s="5" t="str">
        <f t="shared" si="2"/>
        <v>1.25 s</v>
      </c>
      <c r="AA19" s="4">
        <f t="shared" si="3"/>
        <v>6.6666666666666671E-3</v>
      </c>
      <c r="AB19" s="24">
        <v>150</v>
      </c>
      <c r="AC19" s="5" t="str">
        <f t="shared" si="4"/>
        <v>1.25 s</v>
      </c>
      <c r="AD19" s="5">
        <v>1</v>
      </c>
      <c r="AE19" s="4" t="str" cm="1">
        <f t="array" ref="AE19">_xlfn.TEXTJOIN(";",1,IFERROR(1/AF19:AH19,""))</f>
        <v>0.00666666666666667;0.00666666666666667</v>
      </c>
      <c r="AF19" s="24">
        <v>150</v>
      </c>
      <c r="AG19" s="24">
        <v>150</v>
      </c>
      <c r="AI19" s="4">
        <f t="shared" ref="AI19" si="121">AK19/AM19</f>
        <v>0.19230769230769232</v>
      </c>
      <c r="AJ19" s="4">
        <f t="shared" ref="AJ19" si="122">AL19/AM19</f>
        <v>0.96153846153846156</v>
      </c>
      <c r="AK19" s="14">
        <v>5</v>
      </c>
      <c r="AL19" s="14">
        <v>25</v>
      </c>
      <c r="AM19" s="14">
        <v>26</v>
      </c>
      <c r="AN19" s="25">
        <f t="shared" si="16"/>
        <v>80</v>
      </c>
      <c r="AO19" s="4">
        <v>120</v>
      </c>
      <c r="AP19" s="5" t="str">
        <f t="shared" ref="AP19" si="123">TEXT(AO19/120,"0.00")&amp;" s"</f>
        <v>1.00 s</v>
      </c>
      <c r="AQ19" s="39" t="str" cm="1">
        <f t="array" aca="1" ref="AQ19" ca="1">_xlfn.TEXTJOIN(";",1,_xlfn.LAMBDA(_xlpm.x,IF(_xlpm.x&lt;&gt;"",OFFSET(_xlpm.x,3-ROW(),0)&amp;"="&amp;_xlpm.x,""))(AR19:AW19))</f>
        <v>blunt=1</v>
      </c>
      <c r="AR19" s="22"/>
      <c r="AS19" s="18">
        <v>1</v>
      </c>
      <c r="AT19" s="22"/>
      <c r="AU19" s="22"/>
      <c r="AV19" s="22"/>
      <c r="AW19" s="22"/>
      <c r="AX19" s="5" t="str" cm="1">
        <f t="array" ref="AX19">TEXT(VLOOKUP($A19,battle_data!$A:$G,MATCH(INDEX(_xlfn.TEXTSPLIT(AX$3,"|"),1),battle_data!$A$1:$G$1),0)*0.001,"0%")</f>
        <v>0%</v>
      </c>
      <c r="AY19" s="5" t="str" cm="1">
        <f t="array" ref="AY19">TEXT(VLOOKUP($A19,battle_data!$A:$G,MATCH(INDEX(_xlfn.TEXTSPLIT(AY$3,"|"),1),battle_data!$A$1:$G$1),0)*0.001,"0%")</f>
        <v>0%</v>
      </c>
      <c r="AZ19" s="5" t="str" cm="1">
        <f t="array" ref="AZ19">TEXT(VLOOKUP($A19,battle_data!$A:$G,MATCH(INDEX(_xlfn.TEXTSPLIT(AZ$3,"|"),1),battle_data!$A$1:$G$1),0)*0.001,"0%")</f>
        <v>150%</v>
      </c>
      <c r="BA19" s="5">
        <f t="shared" si="100"/>
        <v>1</v>
      </c>
      <c r="BC19" s="5">
        <f t="shared" si="18"/>
        <v>3</v>
      </c>
      <c r="BN19" s="5">
        <f t="shared" si="7"/>
        <v>2.5333333333333332</v>
      </c>
      <c r="BO19" s="5">
        <f t="shared" si="8"/>
        <v>4.5333333333333332</v>
      </c>
      <c r="BP19" s="5">
        <f t="shared" si="9"/>
        <v>0.66176470588235292</v>
      </c>
      <c r="BQ19" s="5">
        <f t="shared" si="10"/>
        <v>3.75</v>
      </c>
      <c r="BR19" s="5">
        <f t="shared" si="11"/>
        <v>0.4774535809018568</v>
      </c>
      <c r="BS19" s="5">
        <f t="shared" si="12"/>
        <v>0.36217303822937624</v>
      </c>
      <c r="BU19" s="5" t="str">
        <f t="shared" si="19"/>
        <v/>
      </c>
      <c r="BV19" s="5" t="str">
        <f t="shared" si="20"/>
        <v/>
      </c>
    </row>
    <row r="20" spans="1:74" x14ac:dyDescent="0.2">
      <c r="A20" s="4">
        <v>1320107</v>
      </c>
      <c r="B20" s="5" t="s">
        <v>153</v>
      </c>
      <c r="C20" s="5" t="s">
        <v>139</v>
      </c>
      <c r="D20" s="5" t="s">
        <v>140</v>
      </c>
      <c r="E20" s="4" t="s">
        <v>152</v>
      </c>
      <c r="F20" s="4" t="s">
        <v>146</v>
      </c>
      <c r="G20" s="4">
        <v>10007</v>
      </c>
      <c r="H20" s="14" t="str">
        <f>IF(G20&lt;&gt;"",IFERROR(VLOOKUP(G20,t_proj[#All],2,0),"--"),"")</f>
        <v>土制火箭弹</v>
      </c>
      <c r="I20" s="26" t="str">
        <f t="shared" ref="I20:I32" si="124">_xlfn.TEXTJOIN("~",1,J20:K20)</f>
        <v/>
      </c>
      <c r="J20" s="28"/>
      <c r="K20" s="28"/>
      <c r="L20" s="4" t="str">
        <f t="shared" ref="L20:L35" si="125">_xlfn.TEXTJOIN("~",1,M20:N20)</f>
        <v>95~480</v>
      </c>
      <c r="M20" s="14">
        <v>95</v>
      </c>
      <c r="N20" s="14">
        <v>480</v>
      </c>
      <c r="P20" s="4">
        <v>1</v>
      </c>
      <c r="Q20" s="4">
        <v>5</v>
      </c>
      <c r="R20" s="95">
        <f t="shared" si="14"/>
        <v>0.75</v>
      </c>
      <c r="S20" s="4" t="s">
        <v>143</v>
      </c>
      <c r="T20" s="4">
        <v>3</v>
      </c>
      <c r="U20" s="4" t="b">
        <v>0</v>
      </c>
      <c r="V20" s="26"/>
      <c r="W20" s="29">
        <v>1</v>
      </c>
      <c r="X20" s="4">
        <f t="shared" si="1"/>
        <v>5.5555555555555558E-3</v>
      </c>
      <c r="Y20" s="24">
        <v>180</v>
      </c>
      <c r="Z20" s="5" t="str">
        <f t="shared" si="2"/>
        <v>1.50 s</v>
      </c>
      <c r="AA20" s="4">
        <f t="shared" si="3"/>
        <v>5.5555555555555558E-3</v>
      </c>
      <c r="AB20" s="24">
        <v>180</v>
      </c>
      <c r="AC20" s="5" t="str">
        <f t="shared" si="4"/>
        <v>1.50 s</v>
      </c>
      <c r="AD20" s="5">
        <v>1</v>
      </c>
      <c r="AE20" s="4" t="str" cm="1">
        <f t="array" ref="AE20">_xlfn.TEXTJOIN(";",1,IFERROR(1/AF20:AH20,""))</f>
        <v>0.00555555555555556;0.00555555555555556</v>
      </c>
      <c r="AF20" s="24">
        <v>180</v>
      </c>
      <c r="AG20" s="24">
        <v>180</v>
      </c>
      <c r="AI20" s="4">
        <f t="shared" ref="AI20:AI35" si="126">AK20/AM20</f>
        <v>0.19230769230769232</v>
      </c>
      <c r="AJ20" s="4">
        <f t="shared" ref="AJ20:AJ35" si="127">AL20/AM20</f>
        <v>0.96153846153846156</v>
      </c>
      <c r="AK20" s="14">
        <v>5</v>
      </c>
      <c r="AL20" s="14">
        <v>25</v>
      </c>
      <c r="AM20" s="14">
        <v>26</v>
      </c>
      <c r="AN20" s="25">
        <f t="shared" si="16"/>
        <v>80</v>
      </c>
      <c r="AO20" s="4">
        <v>120</v>
      </c>
      <c r="AP20" s="5" t="str">
        <f t="shared" ref="AP20:AP35" si="128">TEXT(AO20/120,"0.00")&amp;" s"</f>
        <v>1.00 s</v>
      </c>
      <c r="AQ20" s="39" t="str" cm="1">
        <f t="array" aca="1" ref="AQ20" ca="1">_xlfn.TEXTJOIN(";",1,_xlfn.LAMBDA(_xlpm.x,IF(_xlpm.x&lt;&gt;"",OFFSET(_xlpm.x,3-ROW(),0)&amp;"="&amp;_xlpm.x,""))(AR20:AW20))</f>
        <v>blunt=1</v>
      </c>
      <c r="AR20" s="22"/>
      <c r="AS20" s="18">
        <v>1</v>
      </c>
      <c r="AT20" s="22"/>
      <c r="AU20" s="22"/>
      <c r="AV20" s="22"/>
      <c r="AW20" s="22"/>
      <c r="AX20" s="5" t="str" cm="1">
        <f t="array" ref="AX20">TEXT(VLOOKUP($A20,battle_data!$A:$G,MATCH(INDEX(_xlfn.TEXTSPLIT(AX$3,"|"),1),battle_data!$A$1:$G$1),0)*0.001,"0%")</f>
        <v>0%</v>
      </c>
      <c r="AY20" s="5" t="str" cm="1">
        <f t="array" ref="AY20">TEXT(VLOOKUP($A20,battle_data!$A:$G,MATCH(INDEX(_xlfn.TEXTSPLIT(AY$3,"|"),1),battle_data!$A$1:$G$1),0)*0.001,"0%")</f>
        <v>0%</v>
      </c>
      <c r="AZ20" s="5" t="str" cm="1">
        <f t="array" ref="AZ20">TEXT(VLOOKUP($A20,battle_data!$A:$G,MATCH(INDEX(_xlfn.TEXTSPLIT(AZ$3,"|"),1),battle_data!$A$1:$G$1),0)*0.001,"0%")</f>
        <v>0%</v>
      </c>
      <c r="BA20" s="5">
        <f t="shared" si="100"/>
        <v>1</v>
      </c>
      <c r="BC20" s="5">
        <f t="shared" si="18"/>
        <v>3</v>
      </c>
      <c r="BN20" s="5">
        <f t="shared" si="7"/>
        <v>2.5333333333333332</v>
      </c>
      <c r="BO20" s="5">
        <f t="shared" si="8"/>
        <v>4.5333333333333332</v>
      </c>
      <c r="BP20" s="5">
        <f t="shared" si="9"/>
        <v>0.66176470588235292</v>
      </c>
      <c r="BQ20" s="5">
        <f t="shared" si="10"/>
        <v>4.5</v>
      </c>
      <c r="BR20" s="5">
        <f t="shared" si="11"/>
        <v>0.42654028436018959</v>
      </c>
      <c r="BS20" s="5">
        <f t="shared" si="12"/>
        <v>0.33210332103321033</v>
      </c>
      <c r="BU20" s="5" t="str">
        <f t="shared" si="19"/>
        <v/>
      </c>
      <c r="BV20" s="5" t="str">
        <f t="shared" si="20"/>
        <v/>
      </c>
    </row>
    <row r="21" spans="1:74" x14ac:dyDescent="0.2">
      <c r="A21" s="4">
        <v>1320108</v>
      </c>
      <c r="B21" s="5" t="s">
        <v>154</v>
      </c>
      <c r="C21" s="5" t="s">
        <v>139</v>
      </c>
      <c r="D21" s="5" t="s">
        <v>140</v>
      </c>
      <c r="E21" s="4" t="s">
        <v>155</v>
      </c>
      <c r="F21" s="4" t="s">
        <v>146</v>
      </c>
      <c r="G21" s="4">
        <v>10005</v>
      </c>
      <c r="H21" s="14" t="str">
        <f>IF(G21&lt;&gt;"",IFERROR(VLOOKUP(G21,t_proj[#All],2,0),"--"),"")</f>
        <v>步枪子弹</v>
      </c>
      <c r="I21" s="4" t="str">
        <f t="shared" si="124"/>
        <v>160~0</v>
      </c>
      <c r="J21" s="14">
        <v>160</v>
      </c>
      <c r="K21" s="14">
        <v>0</v>
      </c>
      <c r="L21" s="4" t="str">
        <f t="shared" si="125"/>
        <v>360~0</v>
      </c>
      <c r="M21" s="14">
        <v>360</v>
      </c>
      <c r="N21" s="14">
        <v>0</v>
      </c>
      <c r="P21" s="4">
        <v>1</v>
      </c>
      <c r="Q21" s="4">
        <v>2</v>
      </c>
      <c r="R21" s="95">
        <f t="shared" si="14"/>
        <v>0.9</v>
      </c>
      <c r="S21" s="4" t="s">
        <v>143</v>
      </c>
      <c r="T21" s="4">
        <v>5</v>
      </c>
      <c r="U21" s="4" t="b">
        <v>1</v>
      </c>
      <c r="V21" s="4" t="b">
        <v>0</v>
      </c>
      <c r="W21" s="29">
        <v>1</v>
      </c>
      <c r="X21" s="4">
        <f t="shared" si="1"/>
        <v>1.1111111111111112E-2</v>
      </c>
      <c r="Y21" s="34">
        <v>90</v>
      </c>
      <c r="Z21" s="5" t="str">
        <f t="shared" si="2"/>
        <v>0.75 s</v>
      </c>
      <c r="AA21" s="4">
        <f t="shared" ref="AA21:AA22" si="129">1/AB21</f>
        <v>1.1111111111111112E-2</v>
      </c>
      <c r="AB21" s="34">
        <v>90</v>
      </c>
      <c r="AC21" s="5" t="str">
        <f t="shared" ref="AC21:AC22" si="130">TEXT(AB21/120,"0.00")&amp;" s"</f>
        <v>0.75 s</v>
      </c>
      <c r="AD21" s="5">
        <v>1</v>
      </c>
      <c r="AE21" s="4" t="str" cm="1">
        <f t="array" ref="AE21">_xlfn.TEXTJOIN(";",1,IFERROR(1/AF21:AH21,""))</f>
        <v>0.0111111111111111;0.0111111111111111</v>
      </c>
      <c r="AF21" s="34">
        <v>90</v>
      </c>
      <c r="AG21" s="34">
        <v>90</v>
      </c>
      <c r="AH21" s="34"/>
      <c r="AI21" s="4">
        <f t="shared" si="126"/>
        <v>0.6</v>
      </c>
      <c r="AJ21" s="4">
        <f t="shared" si="127"/>
        <v>0.8</v>
      </c>
      <c r="AK21" s="14">
        <v>6</v>
      </c>
      <c r="AL21" s="14">
        <v>8</v>
      </c>
      <c r="AM21" s="14">
        <v>10</v>
      </c>
      <c r="AN21" s="25">
        <f t="shared" si="16"/>
        <v>8</v>
      </c>
      <c r="AO21" s="38">
        <v>400</v>
      </c>
      <c r="AP21" s="5" t="str">
        <f t="shared" si="128"/>
        <v>3.33 s</v>
      </c>
      <c r="AQ21" s="39" t="str" cm="1">
        <f t="array" aca="1" ref="AQ21" ca="1">_xlfn.TEXTJOIN(";",1,_xlfn.LAMBDA(_xlpm.x,IF(_xlpm.x&lt;&gt;"",OFFSET(_xlpm.x,3-ROW(),0)&amp;"="&amp;_xlpm.x,""))(AR21:AW21))</f>
        <v>sharp=72</v>
      </c>
      <c r="AR21" s="18">
        <v>72</v>
      </c>
      <c r="AS21" s="22"/>
      <c r="AT21" s="22"/>
      <c r="AU21" s="22"/>
      <c r="AV21" s="22"/>
      <c r="AW21" s="22"/>
      <c r="AX21" s="5" t="str" cm="1">
        <f t="array" ref="AX21">TEXT(VLOOKUP($A21,battle_data!$A:$G,MATCH(INDEX(_xlfn.TEXTSPLIT(AX$3,"|"),1),battle_data!$A$1:$G$1),0)*0.001,"0%")</f>
        <v>0%</v>
      </c>
      <c r="AY21" s="5" t="str" cm="1">
        <f t="array" ref="AY21">TEXT(VLOOKUP($A21,battle_data!$A:$G,MATCH(INDEX(_xlfn.TEXTSPLIT(AY$3,"|"),1),battle_data!$A$1:$G$1),0)*0.001,"0%")</f>
        <v>2%</v>
      </c>
      <c r="AZ21" s="5" t="str" cm="1">
        <f t="array" ref="AZ21">TEXT(VLOOKUP($A21,battle_data!$A:$G,MATCH(INDEX(_xlfn.TEXTSPLIT(AZ$3,"|"),1),battle_data!$A$1:$G$1),0)*0.001,"0%")</f>
        <v>150%</v>
      </c>
      <c r="BA21" s="5">
        <f t="shared" si="100"/>
        <v>1.01</v>
      </c>
      <c r="BC21" s="5">
        <f t="shared" si="18"/>
        <v>363.6</v>
      </c>
      <c r="BI21" s="50">
        <v>1</v>
      </c>
      <c r="BN21" s="5">
        <f t="shared" si="7"/>
        <v>1.4</v>
      </c>
      <c r="BO21" s="5">
        <f t="shared" si="8"/>
        <v>14.733333333333333</v>
      </c>
      <c r="BP21" s="5">
        <f t="shared" si="9"/>
        <v>24.678733031674213</v>
      </c>
      <c r="BQ21" s="5">
        <f t="shared" si="10"/>
        <v>3.75</v>
      </c>
      <c r="BR21" s="5">
        <f t="shared" si="11"/>
        <v>70.601941747572809</v>
      </c>
      <c r="BS21" s="5">
        <f t="shared" si="12"/>
        <v>19.671776375112714</v>
      </c>
      <c r="BT21" s="5">
        <v>1</v>
      </c>
      <c r="BU21" s="5">
        <f t="shared" si="19"/>
        <v>35.300970873786405</v>
      </c>
      <c r="BV21" s="5">
        <f t="shared" si="20"/>
        <v>35.300970873786405</v>
      </c>
    </row>
    <row r="22" spans="1:74" x14ac:dyDescent="0.2">
      <c r="A22" s="4">
        <v>1320109</v>
      </c>
      <c r="B22" s="5" t="s">
        <v>156</v>
      </c>
      <c r="C22" s="5" t="s">
        <v>139</v>
      </c>
      <c r="D22" s="5" t="s">
        <v>140</v>
      </c>
      <c r="E22" s="4" t="s">
        <v>145</v>
      </c>
      <c r="F22" s="4" t="s">
        <v>146</v>
      </c>
      <c r="G22" s="4">
        <v>10002</v>
      </c>
      <c r="H22" s="14" t="str">
        <f>IF(G22&lt;&gt;"",IFERROR(VLOOKUP(G22,t_proj[#All],2,0),"--"),"")</f>
        <v>手枪子弹</v>
      </c>
      <c r="I22" s="4" t="str">
        <f t="shared" si="124"/>
        <v>85~0</v>
      </c>
      <c r="J22" s="14">
        <v>85</v>
      </c>
      <c r="K22" s="14">
        <v>0</v>
      </c>
      <c r="L22" s="4" t="str">
        <f t="shared" si="125"/>
        <v>360~0</v>
      </c>
      <c r="M22" s="14">
        <v>360</v>
      </c>
      <c r="N22" s="14">
        <v>0</v>
      </c>
      <c r="P22" s="4">
        <v>1</v>
      </c>
      <c r="Q22" s="4">
        <v>4</v>
      </c>
      <c r="R22" s="95">
        <f t="shared" si="14"/>
        <v>0.8</v>
      </c>
      <c r="S22" s="4" t="s">
        <v>143</v>
      </c>
      <c r="T22" s="4">
        <v>7</v>
      </c>
      <c r="U22" s="4" t="b">
        <v>0</v>
      </c>
      <c r="V22" s="26"/>
      <c r="X22" s="4">
        <f t="shared" si="1"/>
        <v>7.4074074074074077E-3</v>
      </c>
      <c r="Y22" s="24">
        <v>135</v>
      </c>
      <c r="Z22" s="5" t="str">
        <f t="shared" si="2"/>
        <v>1.13 s</v>
      </c>
      <c r="AA22" s="4">
        <f t="shared" si="129"/>
        <v>7.4074074074074077E-3</v>
      </c>
      <c r="AB22" s="24">
        <v>135</v>
      </c>
      <c r="AC22" s="5" t="str">
        <f t="shared" si="130"/>
        <v>1.13 s</v>
      </c>
      <c r="AD22" s="5">
        <v>1</v>
      </c>
      <c r="AE22" s="4" t="str" cm="1">
        <f t="array" ref="AE22">_xlfn.TEXTJOIN(";",1,IFERROR(1/AF22:AH22,""))</f>
        <v>0.00740740740740741;0.00740740740740741</v>
      </c>
      <c r="AF22" s="24">
        <v>135</v>
      </c>
      <c r="AG22" s="24">
        <v>135</v>
      </c>
      <c r="AI22" s="4">
        <f t="shared" si="126"/>
        <v>0.5</v>
      </c>
      <c r="AJ22" s="4">
        <f t="shared" si="127"/>
        <v>0.9</v>
      </c>
      <c r="AK22" s="14">
        <v>5</v>
      </c>
      <c r="AL22" s="14">
        <v>9</v>
      </c>
      <c r="AM22" s="14">
        <v>10</v>
      </c>
      <c r="AN22" s="25">
        <f t="shared" si="16"/>
        <v>16</v>
      </c>
      <c r="AO22" s="4">
        <v>40</v>
      </c>
      <c r="AP22" s="5" t="str">
        <f t="shared" si="128"/>
        <v>0.33 s</v>
      </c>
      <c r="AQ22" s="39" t="str" cm="1">
        <f t="array" aca="1" ref="AQ22" ca="1">_xlfn.TEXTJOIN(";",1,_xlfn.LAMBDA(_xlpm.x,IF(_xlpm.x&lt;&gt;"",OFFSET(_xlpm.x,3-ROW(),0)&amp;"="&amp;_xlpm.x,""))(AR22:AW22))</f>
        <v>sharp=8</v>
      </c>
      <c r="AR22" s="18">
        <v>8</v>
      </c>
      <c r="AS22" s="22"/>
      <c r="AT22" s="22"/>
      <c r="AU22" s="22"/>
      <c r="AV22" s="22"/>
      <c r="AW22" s="22"/>
      <c r="AX22" s="5" t="str" cm="1">
        <f t="array" ref="AX22">TEXT(VLOOKUP($A22,battle_data!$A:$G,MATCH(INDEX(_xlfn.TEXTSPLIT(AX$3,"|"),1),battle_data!$A$1:$G$1),0)*0.001,"0%")</f>
        <v>0%</v>
      </c>
      <c r="AY22" s="5" t="str" cm="1">
        <f t="array" ref="AY22">TEXT(VLOOKUP($A22,battle_data!$A:$G,MATCH(INDEX(_xlfn.TEXTSPLIT(AY$3,"|"),1),battle_data!$A$1:$G$1),0)*0.001,"0%")</f>
        <v>50%</v>
      </c>
      <c r="AZ22" s="5" t="str" cm="1">
        <f t="array" ref="AZ22">TEXT(VLOOKUP($A22,battle_data!$A:$G,MATCH(INDEX(_xlfn.TEXTSPLIT(AZ$3,"|"),1),battle_data!$A$1:$G$1),0)*0.001,"0%")</f>
        <v>500%</v>
      </c>
      <c r="BA22" s="5">
        <f t="shared" si="100"/>
        <v>3</v>
      </c>
      <c r="BC22" s="5">
        <f t="shared" si="18"/>
        <v>168</v>
      </c>
      <c r="BN22" s="5">
        <f t="shared" si="7"/>
        <v>2.1333333333333333</v>
      </c>
      <c r="BO22" s="5">
        <f t="shared" si="8"/>
        <v>4.1333333333333337</v>
      </c>
      <c r="BP22" s="5">
        <f t="shared" si="9"/>
        <v>40.645161290322577</v>
      </c>
      <c r="BQ22" s="5">
        <f t="shared" si="10"/>
        <v>1.125</v>
      </c>
      <c r="BR22" s="5">
        <f t="shared" si="11"/>
        <v>51.56010230179028</v>
      </c>
      <c r="BS22" s="5">
        <f t="shared" si="12"/>
        <v>31.949286846275751</v>
      </c>
      <c r="BU22" s="5" t="str">
        <f t="shared" si="19"/>
        <v/>
      </c>
      <c r="BV22" s="5" t="str">
        <f t="shared" si="20"/>
        <v/>
      </c>
    </row>
    <row r="23" spans="1:74" x14ac:dyDescent="0.2">
      <c r="A23" s="4">
        <v>1320111</v>
      </c>
      <c r="B23" s="5" t="s">
        <v>157</v>
      </c>
      <c r="C23" s="5" t="s">
        <v>139</v>
      </c>
      <c r="D23" s="5" t="s">
        <v>148</v>
      </c>
      <c r="E23" s="4" t="s">
        <v>149</v>
      </c>
      <c r="F23" s="4" t="s">
        <v>146</v>
      </c>
      <c r="G23" s="4">
        <v>10005</v>
      </c>
      <c r="H23" s="14" t="str">
        <f>IF(G23&lt;&gt;"",IFERROR(VLOOKUP(G23,t_proj[#All],2,0),"--"),"")</f>
        <v>步枪子弹</v>
      </c>
      <c r="I23" s="4" t="str">
        <f t="shared" si="124"/>
        <v>110~0</v>
      </c>
      <c r="J23" s="14">
        <v>110</v>
      </c>
      <c r="K23" s="14">
        <v>0</v>
      </c>
      <c r="L23" s="4" t="str">
        <f t="shared" si="125"/>
        <v>240~0</v>
      </c>
      <c r="M23" s="14">
        <v>240</v>
      </c>
      <c r="N23" s="14">
        <v>0</v>
      </c>
      <c r="P23" s="4">
        <v>1</v>
      </c>
      <c r="Q23" s="4">
        <v>6.5</v>
      </c>
      <c r="R23" s="95">
        <f t="shared" si="14"/>
        <v>0.67500000000000004</v>
      </c>
      <c r="S23" s="4" t="s">
        <v>143</v>
      </c>
      <c r="T23" s="4">
        <v>20</v>
      </c>
      <c r="U23" s="4" t="b">
        <v>1</v>
      </c>
      <c r="V23" s="4" t="b">
        <v>1</v>
      </c>
      <c r="W23" s="29">
        <v>1</v>
      </c>
      <c r="X23" s="4">
        <f t="shared" si="1"/>
        <v>1.6666666666666666E-2</v>
      </c>
      <c r="Y23" s="34">
        <v>60</v>
      </c>
      <c r="Z23" s="5" t="str">
        <f t="shared" si="2"/>
        <v>0.50 s</v>
      </c>
      <c r="AA23" s="4">
        <f t="shared" ref="AA23:AA30" si="131">1/AB23</f>
        <v>1.6666666666666666E-2</v>
      </c>
      <c r="AB23" s="34">
        <v>60</v>
      </c>
      <c r="AC23" s="5" t="str">
        <f t="shared" ref="AC23:AC30" si="132">TEXT(AB23/120,"0.00")&amp;" s"</f>
        <v>0.50 s</v>
      </c>
      <c r="AD23" s="5">
        <v>1</v>
      </c>
      <c r="AE23" s="4" t="str" cm="1">
        <f t="array" ref="AE23">_xlfn.TEXTJOIN(";",1,IFERROR(1/AF23:AH23,""))</f>
        <v>0.0166666666666667;0.0166666666666667</v>
      </c>
      <c r="AF23" s="34">
        <v>60</v>
      </c>
      <c r="AG23" s="34">
        <v>60</v>
      </c>
      <c r="AH23" s="34"/>
      <c r="AI23" s="4">
        <f t="shared" si="126"/>
        <v>0.33333333333333331</v>
      </c>
      <c r="AJ23" s="4">
        <f t="shared" si="127"/>
        <v>0.66666666666666663</v>
      </c>
      <c r="AK23" s="14">
        <v>2</v>
      </c>
      <c r="AL23" s="14">
        <v>4</v>
      </c>
      <c r="AM23" s="14">
        <v>6</v>
      </c>
      <c r="AN23" s="25">
        <f t="shared" si="16"/>
        <v>8</v>
      </c>
      <c r="AO23" s="38">
        <v>300</v>
      </c>
      <c r="AP23" s="5" t="str">
        <f t="shared" si="128"/>
        <v>2.50 s</v>
      </c>
      <c r="AQ23" s="39" t="str" cm="1">
        <f t="array" aca="1" ref="AQ23" ca="1">_xlfn.TEXTJOIN(";",1,_xlfn.LAMBDA(_xlpm.x,IF(_xlpm.x&lt;&gt;"",OFFSET(_xlpm.x,3-ROW(),0)&amp;"="&amp;_xlpm.x,""))(AR23:AW23))</f>
        <v>sharp=66</v>
      </c>
      <c r="AR23" s="18">
        <v>66</v>
      </c>
      <c r="AS23" s="22"/>
      <c r="AT23" s="22"/>
      <c r="AU23" s="22"/>
      <c r="AV23" s="22"/>
      <c r="AW23" s="22"/>
      <c r="AX23" s="5" t="str" cm="1">
        <f t="array" ref="AX23">TEXT(VLOOKUP($A23,battle_data!$A:$G,MATCH(INDEX(_xlfn.TEXTSPLIT(AX$3,"|"),1),battle_data!$A$1:$G$1),0)*0.001,"0%")</f>
        <v>0%</v>
      </c>
      <c r="AY23" s="5" t="str" cm="1">
        <f t="array" ref="AY23">TEXT(VLOOKUP($A23,battle_data!$A:$G,MATCH(INDEX(_xlfn.TEXTSPLIT(AY$3,"|"),1),battle_data!$A$1:$G$1),0)*0.001,"0%")</f>
        <v>2%</v>
      </c>
      <c r="AZ23" s="5" t="str" cm="1">
        <f t="array" ref="AZ23">TEXT(VLOOKUP($A23,battle_data!$A:$G,MATCH(INDEX(_xlfn.TEXTSPLIT(AZ$3,"|"),1),battle_data!$A$1:$G$1),0)*0.001,"0%")</f>
        <v>150%</v>
      </c>
      <c r="BA23" s="5">
        <f t="shared" si="100"/>
        <v>1.01</v>
      </c>
      <c r="BC23" s="5">
        <f t="shared" si="18"/>
        <v>1333.1999999999998</v>
      </c>
      <c r="BI23" s="50">
        <v>2</v>
      </c>
      <c r="BN23" s="5">
        <f t="shared" si="7"/>
        <v>2.7333333333333334</v>
      </c>
      <c r="BO23" s="5">
        <f t="shared" si="8"/>
        <v>50.233333333333334</v>
      </c>
      <c r="BP23" s="5">
        <f t="shared" si="9"/>
        <v>26.540145985401455</v>
      </c>
      <c r="BQ23" s="5">
        <f t="shared" si="10"/>
        <v>10</v>
      </c>
      <c r="BR23" s="5">
        <f t="shared" si="11"/>
        <v>104.70157068062825</v>
      </c>
      <c r="BS23" s="5">
        <f t="shared" si="12"/>
        <v>22.133923630326503</v>
      </c>
      <c r="BT23" s="5">
        <v>2</v>
      </c>
      <c r="BU23" s="5">
        <f t="shared" si="19"/>
        <v>26.175392670157063</v>
      </c>
      <c r="BV23" s="5">
        <f t="shared" si="20"/>
        <v>26.175392670157063</v>
      </c>
    </row>
    <row r="24" spans="1:74" x14ac:dyDescent="0.2">
      <c r="A24" s="74">
        <v>1320112</v>
      </c>
      <c r="B24" s="5" t="s">
        <v>450</v>
      </c>
      <c r="C24" s="5" t="s">
        <v>139</v>
      </c>
      <c r="D24" s="5" t="s">
        <v>404</v>
      </c>
      <c r="E24" s="4" t="s">
        <v>145</v>
      </c>
      <c r="F24" s="4" t="s">
        <v>146</v>
      </c>
      <c r="G24" s="4">
        <v>10002</v>
      </c>
      <c r="H24" s="14" t="str">
        <f>IF(G24&lt;&gt;"",IFERROR(VLOOKUP(G24,t_proj[#All],2,0),"--"),"")</f>
        <v>手枪子弹</v>
      </c>
      <c r="I24" s="4" t="str">
        <f t="shared" ref="I24:I30" si="133">_xlfn.TEXTJOIN("~",1,J24:K24)</f>
        <v>60~75</v>
      </c>
      <c r="J24" s="14">
        <v>60</v>
      </c>
      <c r="K24" s="14">
        <v>75</v>
      </c>
      <c r="L24" s="4" t="str">
        <f t="shared" ref="L24:L30" si="134">_xlfn.TEXTJOIN("~",1,M24:N24)</f>
        <v>180~0</v>
      </c>
      <c r="M24" s="14">
        <v>180</v>
      </c>
      <c r="N24" s="14">
        <v>0</v>
      </c>
      <c r="P24" s="4">
        <v>1</v>
      </c>
      <c r="Q24" s="4">
        <v>8</v>
      </c>
      <c r="R24" s="95">
        <f t="shared" si="14"/>
        <v>0.6</v>
      </c>
      <c r="S24" s="4" t="s">
        <v>143</v>
      </c>
      <c r="T24" s="4">
        <v>6</v>
      </c>
      <c r="U24" s="4" t="b">
        <v>0</v>
      </c>
      <c r="V24" s="26"/>
      <c r="W24" s="29">
        <v>1</v>
      </c>
      <c r="X24" s="4">
        <f t="shared" si="1"/>
        <v>5.5555555555555558E-3</v>
      </c>
      <c r="Y24" s="34">
        <v>180</v>
      </c>
      <c r="Z24" s="5" t="str">
        <f t="shared" si="2"/>
        <v>1.50 s</v>
      </c>
      <c r="AA24" s="4">
        <f t="shared" si="131"/>
        <v>5.5555555555555558E-3</v>
      </c>
      <c r="AB24" s="34">
        <v>180</v>
      </c>
      <c r="AC24" s="5" t="str">
        <f t="shared" si="132"/>
        <v>1.50 s</v>
      </c>
      <c r="AD24" s="5">
        <v>0.5</v>
      </c>
      <c r="AE24" s="4" t="str" cm="1">
        <f t="array" ref="AE24">_xlfn.TEXTJOIN(";",1,IFERROR(1/AF24:AH24,""))</f>
        <v>0.00555555555555556;0.00555555555555556</v>
      </c>
      <c r="AF24" s="34">
        <v>180</v>
      </c>
      <c r="AG24" s="34">
        <v>180</v>
      </c>
      <c r="AH24" s="34"/>
      <c r="AI24" s="4">
        <f t="shared" ref="AI24:AI30" si="135">AK24/AM24</f>
        <v>0.25</v>
      </c>
      <c r="AJ24" s="4">
        <f t="shared" ref="AJ24:AJ30" si="136">AL24/AM24</f>
        <v>0.375</v>
      </c>
      <c r="AK24" s="14">
        <v>3</v>
      </c>
      <c r="AL24" s="14">
        <v>4.5</v>
      </c>
      <c r="AM24" s="14">
        <v>12</v>
      </c>
      <c r="AN24" s="25">
        <f t="shared" si="16"/>
        <v>6</v>
      </c>
      <c r="AO24" s="38">
        <v>10</v>
      </c>
      <c r="AP24" s="5" t="str">
        <f t="shared" ref="AP24:AP30" si="137">TEXT(AO24/120,"0.00")&amp;" s"</f>
        <v>0.08 s</v>
      </c>
      <c r="AQ24" s="39" t="str" cm="1">
        <f t="array" aca="1" ref="AQ24" ca="1">_xlfn.TEXTJOIN(";",1,_xlfn.LAMBDA(_xlpm.x,IF(_xlpm.x&lt;&gt;"",OFFSET(_xlpm.x,3-ROW(),0)&amp;"="&amp;_xlpm.x,""))(AR24:AW24))</f>
        <v>sharp=38</v>
      </c>
      <c r="AR24" s="18">
        <v>38</v>
      </c>
      <c r="AS24" s="22"/>
      <c r="AT24" s="22"/>
      <c r="AU24" s="22"/>
      <c r="AV24" s="22"/>
      <c r="AW24" s="22"/>
      <c r="AX24" s="5" t="str" cm="1">
        <f t="array" ref="AX24">TEXT(VLOOKUP($A24,battle_data!$A:$G,MATCH(INDEX(_xlfn.TEXTSPLIT(AX$3,"|"),1),battle_data!$A$1:$G$1),0)*0.001,"0%")</f>
        <v>0%</v>
      </c>
      <c r="AY24" s="5" t="str" cm="1">
        <f t="array" ref="AY24">TEXT(VLOOKUP($A24,battle_data!$A:$G,MATCH(INDEX(_xlfn.TEXTSPLIT(AY$3,"|"),1),battle_data!$A$1:$G$1),0)*0.001,"0%")</f>
        <v>10%</v>
      </c>
      <c r="AZ24" s="5" t="str" cm="1">
        <f t="array" ref="AZ24">TEXT(VLOOKUP($A24,battle_data!$A:$G,MATCH(INDEX(_xlfn.TEXTSPLIT(AZ$3,"|"),1),battle_data!$A$1:$G$1),0)*0.001,"0%")</f>
        <v>200%</v>
      </c>
      <c r="BA24" s="5">
        <f t="shared" si="100"/>
        <v>1.1000000000000001</v>
      </c>
      <c r="BC24" s="5">
        <f t="shared" si="18"/>
        <v>250.8</v>
      </c>
      <c r="BF24" s="75"/>
      <c r="BG24" s="75"/>
      <c r="BH24" s="75"/>
      <c r="BI24" s="76"/>
      <c r="BJ24" s="76"/>
      <c r="BK24" s="97"/>
      <c r="BL24" s="76"/>
      <c r="BM24" s="99"/>
      <c r="BN24" s="5">
        <f t="shared" si="7"/>
        <v>1.1499999999999999</v>
      </c>
      <c r="BO24" s="5">
        <f t="shared" si="8"/>
        <v>1.5666666666666667</v>
      </c>
      <c r="BP24" s="5">
        <f t="shared" si="9"/>
        <v>160.08510638297872</v>
      </c>
      <c r="BQ24" s="5">
        <f t="shared" si="10"/>
        <v>4.5</v>
      </c>
      <c r="BR24" s="5">
        <f t="shared" si="11"/>
        <v>44.389380530973447</v>
      </c>
      <c r="BS24" s="5">
        <f t="shared" si="12"/>
        <v>41.340659340659343</v>
      </c>
      <c r="BT24" s="5">
        <v>0</v>
      </c>
      <c r="BU24" s="5">
        <f t="shared" si="19"/>
        <v>44.389380530973447</v>
      </c>
      <c r="BV24" s="5">
        <f t="shared" si="20"/>
        <v>44.389380530973447</v>
      </c>
    </row>
    <row r="25" spans="1:74" x14ac:dyDescent="0.2">
      <c r="A25" s="47">
        <v>13201120</v>
      </c>
      <c r="B25" s="5" t="s">
        <v>452</v>
      </c>
      <c r="C25" s="5" t="s">
        <v>139</v>
      </c>
      <c r="D25" s="5" t="s">
        <v>404</v>
      </c>
      <c r="E25" s="4" t="s">
        <v>145</v>
      </c>
      <c r="F25" s="4" t="s">
        <v>146</v>
      </c>
      <c r="G25" s="4">
        <v>10002</v>
      </c>
      <c r="H25" s="14" t="str">
        <f>IF(G25&lt;&gt;"",IFERROR(VLOOKUP(G25,t_proj[#All],2,0),"--"),"")</f>
        <v>手枪子弹</v>
      </c>
      <c r="I25" s="4" t="str">
        <f t="shared" si="133"/>
        <v>60~75</v>
      </c>
      <c r="J25" s="70">
        <v>60</v>
      </c>
      <c r="K25" s="70">
        <v>75</v>
      </c>
      <c r="L25" s="4" t="str">
        <f t="shared" si="134"/>
        <v>180~0</v>
      </c>
      <c r="M25" s="14">
        <v>180</v>
      </c>
      <c r="N25" s="14">
        <v>0</v>
      </c>
      <c r="P25" s="4">
        <v>1</v>
      </c>
      <c r="Q25" s="67">
        <v>7</v>
      </c>
      <c r="R25" s="95">
        <f t="shared" si="14"/>
        <v>0.65</v>
      </c>
      <c r="S25" s="4" t="s">
        <v>143</v>
      </c>
      <c r="T25" s="4">
        <v>6</v>
      </c>
      <c r="U25" s="4" t="b">
        <v>0</v>
      </c>
      <c r="V25" s="26"/>
      <c r="W25" s="29">
        <v>1</v>
      </c>
      <c r="X25" s="4">
        <f t="shared" si="1"/>
        <v>1</v>
      </c>
      <c r="Y25" s="64">
        <v>1</v>
      </c>
      <c r="Z25" s="5" t="str">
        <f t="shared" si="2"/>
        <v>0.01 s</v>
      </c>
      <c r="AA25" s="4">
        <f t="shared" si="131"/>
        <v>5.5555555555555558E-3</v>
      </c>
      <c r="AB25" s="69">
        <v>180</v>
      </c>
      <c r="AC25" s="5" t="str">
        <f t="shared" si="132"/>
        <v>1.50 s</v>
      </c>
      <c r="AD25" s="5">
        <v>0.5</v>
      </c>
      <c r="AE25" s="4" t="str" cm="1">
        <f t="array" ref="AE25">_xlfn.TEXTJOIN(";",1,IFERROR(1/AF25:AH25,""))</f>
        <v>0.00555555555555556;0.0166666666666667</v>
      </c>
      <c r="AF25" s="69">
        <v>180</v>
      </c>
      <c r="AG25" s="64">
        <v>60</v>
      </c>
      <c r="AH25" s="64"/>
      <c r="AI25" s="4">
        <f t="shared" si="135"/>
        <v>0.16666666666666666</v>
      </c>
      <c r="AJ25" s="4">
        <f t="shared" si="136"/>
        <v>0.16666666666666666</v>
      </c>
      <c r="AK25" s="14">
        <v>2</v>
      </c>
      <c r="AL25" s="14">
        <v>2</v>
      </c>
      <c r="AM25" s="14">
        <v>12</v>
      </c>
      <c r="AN25" s="25">
        <f>($AL25-$AK25)*120/30</f>
        <v>0</v>
      </c>
      <c r="AO25" s="38">
        <v>6</v>
      </c>
      <c r="AP25" s="5" t="str">
        <f t="shared" si="137"/>
        <v>0.05 s</v>
      </c>
      <c r="AQ25" s="39" t="str" cm="1">
        <f t="array" aca="1" ref="AQ25" ca="1">_xlfn.TEXTJOIN(";",1,_xlfn.LAMBDA(_xlpm.x,IF(_xlpm.x&lt;&gt;"",OFFSET(_xlpm.x,3-ROW(),0)&amp;"="&amp;_xlpm.x,""))(AR25:AW25))</f>
        <v>sharp=30</v>
      </c>
      <c r="AR25" s="68">
        <v>30</v>
      </c>
      <c r="AS25" s="22"/>
      <c r="AT25" s="22"/>
      <c r="AU25" s="22"/>
      <c r="AV25" s="22"/>
      <c r="AW25" s="22"/>
      <c r="AX25" s="5" t="str" cm="1">
        <f t="array" ref="AX25">TEXT(VLOOKUP($A25,battle_data!$A:$G,MATCH(INDEX(_xlfn.TEXTSPLIT(AX$3,"|"),1),battle_data!$A$1:$G$1),0)*0.001,"0%")</f>
        <v>0%</v>
      </c>
      <c r="AY25" s="5" t="str" cm="1">
        <f t="array" ref="AY25">TEXT(VLOOKUP($A25,battle_data!$A:$G,MATCH(INDEX(_xlfn.TEXTSPLIT(AY$3,"|"),1),battle_data!$A$1:$G$1),0)*0.001,"0%")</f>
        <v>10%</v>
      </c>
      <c r="AZ25" s="5" t="str" cm="1">
        <f t="array" ref="AZ25">TEXT(VLOOKUP($A25,battle_data!$A:$G,MATCH(INDEX(_xlfn.TEXTSPLIT(AZ$3,"|"),1),battle_data!$A$1:$G$1),0)*0.001,"0%")</f>
        <v>200%</v>
      </c>
      <c r="BA25" s="5">
        <f t="shared" si="100"/>
        <v>1.1000000000000001</v>
      </c>
      <c r="BC25" s="5">
        <f t="shared" ref="BC25:BC27" si="138">_xlfn.LET(_xlpm._custom_all_ammo,$BB25,
_xlpm._all_ammo,IF(_xlpm._custom_all_ammo&lt;&gt;"",_xlpm._custom_all_ammo,$P25*$T25),
IF(A25&lt;&gt;"",SUM($AR25:$AW25)*$BA25*_xlpm._all_ammo,""))</f>
        <v>198</v>
      </c>
      <c r="BE25" s="50">
        <f>AB25+60</f>
        <v>240</v>
      </c>
      <c r="BF25" s="65">
        <f>_xlfn.LET(_xlpm._ammo,$T25,
_xlpm._count_reload,IF($W25&gt;0,_xlfn.CEILING.MATH(_xlpm._ammo/$W25),1),
_xlpm._shoot_ticks,IF($BD25&lt;&gt;"",$BD25,($AL25*(_xlpm._ammo-1)+$AM25)*120/30),
_xlpm._reload_ticks,IF($BE25&lt;&gt;"",$BE25,$Y25+$AB25*_xlpm._count_reload),
(_xlpm._shoot_ticks+_xlpm._reload_ticks)/120
)</f>
        <v>2.7333333333333334</v>
      </c>
      <c r="BG25" s="65">
        <f t="shared" ref="BG25:BG27" si="139">BC25/BF25</f>
        <v>72.439024390243901</v>
      </c>
      <c r="BH25" s="65" cm="1">
        <f t="array" ref="BH25">_xlfn.LAMBDA(_xlpm._dps,_xlpm._info_cell,ROUND(IF(_xlpm._dps&lt;=0,-10,LOG(_xlpm._dps/INDEX(_xlfn.TEXTSPLIT(_xlpm._info_cell,"="),2),1.5)),2))($BG25,BH$3)</f>
        <v>2.0099999999999998</v>
      </c>
      <c r="BI25" s="66">
        <v>0</v>
      </c>
      <c r="BJ25" s="66">
        <v>2</v>
      </c>
      <c r="BK25" s="98" cm="1">
        <f t="array" ref="BK25">_xlfn.LAMBDA(_xlpm._lv,_xlpm._rank,_xlpm._base,_xlpm._lv+INDEX(_xlfn.TEXTSPLIT(_xlpm._base,"="),2)^(_xlpm._rank-2)-1)(BI25,BJ25,BK$3)</f>
        <v>0</v>
      </c>
      <c r="BL25" s="66">
        <v>-1</v>
      </c>
      <c r="BM25" s="100">
        <f>BK25*2-BH25-BL25</f>
        <v>-1.0099999999999998</v>
      </c>
      <c r="BN25" s="5">
        <f>(($T25-1)*$AL25+$AM25)/30</f>
        <v>0.73333333333333328</v>
      </c>
      <c r="BO25" s="5">
        <f>(($T25-1)*($AL25+$AO25/4)+$AM25)/30</f>
        <v>0.98333333333333328</v>
      </c>
      <c r="BP25" s="5">
        <f t="shared" si="9"/>
        <v>201.35593220338984</v>
      </c>
      <c r="BQ25" s="5">
        <f>$AB25*$AD25*IF($W25&lt;=0,1,$T25)/120</f>
        <v>4.5</v>
      </c>
      <c r="BR25" s="5">
        <f>BP25</f>
        <v>201.35593220338984</v>
      </c>
      <c r="BS25" s="5">
        <f t="shared" si="12"/>
        <v>36.109422492401215</v>
      </c>
      <c r="BT25" s="5">
        <v>0</v>
      </c>
      <c r="BU25" s="5">
        <f t="shared" si="19"/>
        <v>201.35593220338984</v>
      </c>
      <c r="BV25" s="5">
        <f t="shared" si="20"/>
        <v>201.35593220338984</v>
      </c>
    </row>
    <row r="26" spans="1:74" x14ac:dyDescent="0.2">
      <c r="A26" s="47">
        <v>13201121</v>
      </c>
      <c r="B26" s="5" t="s">
        <v>453</v>
      </c>
      <c r="C26" s="5" t="s">
        <v>139</v>
      </c>
      <c r="D26" s="5" t="s">
        <v>404</v>
      </c>
      <c r="E26" s="4" t="s">
        <v>145</v>
      </c>
      <c r="F26" s="4" t="s">
        <v>146</v>
      </c>
      <c r="G26" s="4">
        <v>10002</v>
      </c>
      <c r="H26" s="14" t="str">
        <f>IF(G26&lt;&gt;"",IFERROR(VLOOKUP(G26,t_proj[#All],2,0),"--"),"")</f>
        <v>手枪子弹</v>
      </c>
      <c r="I26" s="4" t="str">
        <f t="shared" si="133"/>
        <v>70~80</v>
      </c>
      <c r="J26" s="70">
        <v>70</v>
      </c>
      <c r="K26" s="70">
        <v>80</v>
      </c>
      <c r="L26" s="4" t="str">
        <f t="shared" si="134"/>
        <v>180~0</v>
      </c>
      <c r="M26" s="14">
        <v>180</v>
      </c>
      <c r="N26" s="14">
        <v>0</v>
      </c>
      <c r="P26" s="4">
        <v>1</v>
      </c>
      <c r="Q26" s="67">
        <v>6.5</v>
      </c>
      <c r="R26" s="95">
        <f t="shared" si="14"/>
        <v>0.67500000000000004</v>
      </c>
      <c r="S26" s="4" t="s">
        <v>143</v>
      </c>
      <c r="T26" s="4">
        <v>6</v>
      </c>
      <c r="U26" s="4" t="b">
        <v>0</v>
      </c>
      <c r="V26" s="26"/>
      <c r="W26" s="29">
        <v>1</v>
      </c>
      <c r="X26" s="4">
        <f t="shared" si="1"/>
        <v>1</v>
      </c>
      <c r="Y26" s="64">
        <v>1</v>
      </c>
      <c r="Z26" s="5" t="str">
        <f t="shared" si="2"/>
        <v>0.01 s</v>
      </c>
      <c r="AA26" s="4">
        <f t="shared" si="131"/>
        <v>5.9523809523809521E-3</v>
      </c>
      <c r="AB26" s="69">
        <v>168</v>
      </c>
      <c r="AC26" s="5" t="str">
        <f t="shared" si="132"/>
        <v>1.40 s</v>
      </c>
      <c r="AD26" s="5">
        <v>0.5</v>
      </c>
      <c r="AE26" s="4" t="str" cm="1">
        <f t="array" ref="AE26">_xlfn.TEXTJOIN(";",1,IFERROR(1/AF26:AH26,""))</f>
        <v>0.00595238095238095;0.0166666666666667</v>
      </c>
      <c r="AF26" s="69">
        <v>168</v>
      </c>
      <c r="AG26" s="64">
        <v>60</v>
      </c>
      <c r="AH26" s="64"/>
      <c r="AI26" s="4">
        <f t="shared" si="135"/>
        <v>0.16666666666666666</v>
      </c>
      <c r="AJ26" s="4">
        <f t="shared" si="136"/>
        <v>0.16666666666666666</v>
      </c>
      <c r="AK26" s="14">
        <v>2</v>
      </c>
      <c r="AL26" s="14">
        <v>2</v>
      </c>
      <c r="AM26" s="14">
        <v>12</v>
      </c>
      <c r="AN26" s="25">
        <f>($AL26-$AK26)*120/30</f>
        <v>0</v>
      </c>
      <c r="AO26" s="38">
        <v>6</v>
      </c>
      <c r="AP26" s="5" t="str">
        <f t="shared" si="137"/>
        <v>0.05 s</v>
      </c>
      <c r="AQ26" s="39" t="str" cm="1">
        <f t="array" aca="1" ref="AQ26" ca="1">_xlfn.TEXTJOIN(";",1,_xlfn.LAMBDA(_xlpm.x,IF(_xlpm.x&lt;&gt;"",OFFSET(_xlpm.x,3-ROW(),0)&amp;"="&amp;_xlpm.x,""))(AR26:AW26))</f>
        <v>sharp=38</v>
      </c>
      <c r="AR26" s="68">
        <v>38</v>
      </c>
      <c r="AS26" s="22"/>
      <c r="AT26" s="22"/>
      <c r="AU26" s="22"/>
      <c r="AV26" s="22"/>
      <c r="AW26" s="22"/>
      <c r="AX26" s="5" t="str" cm="1">
        <f t="array" ref="AX26">TEXT(VLOOKUP($A26,battle_data!$A:$G,MATCH(INDEX(_xlfn.TEXTSPLIT(AX$3,"|"),1),battle_data!$A$1:$G$1),0)*0.001,"0%")</f>
        <v>0%</v>
      </c>
      <c r="AY26" s="5" t="str" cm="1">
        <f t="array" ref="AY26">TEXT(VLOOKUP($A26,battle_data!$A:$G,MATCH(INDEX(_xlfn.TEXTSPLIT(AY$3,"|"),1),battle_data!$A$1:$G$1),0)*0.001,"0%")</f>
        <v>15%</v>
      </c>
      <c r="AZ26" s="5" t="str" cm="1">
        <f t="array" ref="AZ26">TEXT(VLOOKUP($A26,battle_data!$A:$G,MATCH(INDEX(_xlfn.TEXTSPLIT(AZ$3,"|"),1),battle_data!$A$1:$G$1),0)*0.001,"0%")</f>
        <v>220%</v>
      </c>
      <c r="BA26" s="5">
        <f t="shared" si="100"/>
        <v>1.18</v>
      </c>
      <c r="BC26" s="5">
        <f t="shared" si="138"/>
        <v>269.03999999999996</v>
      </c>
      <c r="BE26" s="50">
        <f>AB26+60</f>
        <v>228</v>
      </c>
      <c r="BF26" s="65">
        <f>_xlfn.LET(_xlpm._ammo,$T26,
_xlpm._count_reload,IF($W26&gt;0,_xlfn.CEILING.MATH(_xlpm._ammo/$W26),1),
_xlpm._shoot_ticks,IF($BD26&lt;&gt;"",$BD26,($AL26*(_xlpm._ammo-1)+$AM26)*120/30),
_xlpm._reload_ticks,IF($BE26&lt;&gt;"",$BE26,$Y26+$AB26*_xlpm._count_reload),
(_xlpm._shoot_ticks+_xlpm._reload_ticks)/120
)</f>
        <v>2.6333333333333333</v>
      </c>
      <c r="BG26" s="65">
        <f t="shared" si="139"/>
        <v>102.16708860759492</v>
      </c>
      <c r="BH26" s="65" cm="1">
        <f t="array" ref="BH26">_xlfn.LAMBDA(_xlpm._dps,_xlpm._info_cell,ROUND(IF(_xlpm._dps&lt;=0,-10,LOG(_xlpm._dps/INDEX(_xlfn.TEXTSPLIT(_xlpm._info_cell,"="),2),1.5)),2))($BG26,BH$3)</f>
        <v>2.86</v>
      </c>
      <c r="BI26" s="66">
        <v>1</v>
      </c>
      <c r="BJ26" s="66">
        <v>2</v>
      </c>
      <c r="BK26" s="98" cm="1">
        <f t="array" ref="BK26">_xlfn.LAMBDA(_xlpm._lv,_xlpm._rank,_xlpm._base,_xlpm._lv+INDEX(_xlfn.TEXTSPLIT(_xlpm._base,"="),2)^(_xlpm._rank-2)-1)(BI26,BJ26,BK$3)</f>
        <v>1</v>
      </c>
      <c r="BL26" s="66">
        <v>-0.8</v>
      </c>
      <c r="BM26" s="100">
        <f>BK26*2-BH26-BL26</f>
        <v>-5.9999999999999831E-2</v>
      </c>
      <c r="BN26" s="5">
        <f>(($T26-1)*$AL26+$AM26)/30</f>
        <v>0.73333333333333328</v>
      </c>
      <c r="BO26" s="5">
        <f>(($T26-1)*($AL26+$AO26/4)+$AM26)/30</f>
        <v>0.98333333333333328</v>
      </c>
      <c r="BP26" s="5">
        <f t="shared" si="9"/>
        <v>273.59999999999997</v>
      </c>
      <c r="BQ26" s="5">
        <f>$AB26*$AD26*IF($W26&lt;=0,1,$T26)/120</f>
        <v>4.2</v>
      </c>
      <c r="BR26" s="5">
        <f>BP26</f>
        <v>273.59999999999997</v>
      </c>
      <c r="BS26" s="5">
        <f t="shared" si="12"/>
        <v>51.904823151125392</v>
      </c>
      <c r="BT26" s="5">
        <v>0</v>
      </c>
      <c r="BU26" s="5">
        <f t="shared" si="19"/>
        <v>273.59999999999997</v>
      </c>
      <c r="BV26" s="5">
        <f t="shared" si="20"/>
        <v>273.59999999999997</v>
      </c>
    </row>
    <row r="27" spans="1:74" x14ac:dyDescent="0.2">
      <c r="A27" s="47">
        <v>13201122</v>
      </c>
      <c r="B27" s="5" t="s">
        <v>454</v>
      </c>
      <c r="C27" s="5" t="s">
        <v>139</v>
      </c>
      <c r="D27" s="5" t="s">
        <v>404</v>
      </c>
      <c r="E27" s="4" t="s">
        <v>145</v>
      </c>
      <c r="F27" s="4" t="s">
        <v>146</v>
      </c>
      <c r="G27" s="4">
        <v>10002</v>
      </c>
      <c r="H27" s="14" t="str">
        <f>IF(G27&lt;&gt;"",IFERROR(VLOOKUP(G27,t_proj[#All],2,0),"--"),"")</f>
        <v>手枪子弹</v>
      </c>
      <c r="I27" s="4" t="str">
        <f t="shared" si="133"/>
        <v>80~85</v>
      </c>
      <c r="J27" s="70">
        <v>80</v>
      </c>
      <c r="K27" s="70">
        <v>85</v>
      </c>
      <c r="L27" s="4" t="str">
        <f t="shared" si="134"/>
        <v>180~0</v>
      </c>
      <c r="M27" s="14">
        <v>180</v>
      </c>
      <c r="N27" s="14">
        <v>0</v>
      </c>
      <c r="P27" s="4">
        <v>1</v>
      </c>
      <c r="Q27" s="67">
        <v>6</v>
      </c>
      <c r="R27" s="95">
        <f t="shared" si="14"/>
        <v>0.7</v>
      </c>
      <c r="S27" s="4" t="s">
        <v>143</v>
      </c>
      <c r="T27" s="4">
        <v>6</v>
      </c>
      <c r="U27" s="4" t="b">
        <v>0</v>
      </c>
      <c r="V27" s="26"/>
      <c r="W27" s="29">
        <v>1</v>
      </c>
      <c r="X27" s="4">
        <f t="shared" si="1"/>
        <v>1</v>
      </c>
      <c r="Y27" s="64">
        <v>1</v>
      </c>
      <c r="Z27" s="5" t="str">
        <f t="shared" si="2"/>
        <v>0.01 s</v>
      </c>
      <c r="AA27" s="4">
        <f t="shared" si="131"/>
        <v>6.41025641025641E-3</v>
      </c>
      <c r="AB27" s="69">
        <v>156</v>
      </c>
      <c r="AC27" s="5" t="str">
        <f t="shared" si="132"/>
        <v>1.30 s</v>
      </c>
      <c r="AD27" s="5">
        <v>0.5</v>
      </c>
      <c r="AE27" s="4" t="str" cm="1">
        <f t="array" ref="AE27">_xlfn.TEXTJOIN(";",1,IFERROR(1/AF27:AH27,""))</f>
        <v>0.00641025641025641;0.0166666666666667</v>
      </c>
      <c r="AF27" s="69">
        <v>156</v>
      </c>
      <c r="AG27" s="64">
        <v>60</v>
      </c>
      <c r="AH27" s="64"/>
      <c r="AI27" s="4">
        <f t="shared" si="135"/>
        <v>0.16666666666666666</v>
      </c>
      <c r="AJ27" s="4">
        <f t="shared" si="136"/>
        <v>0.16666666666666666</v>
      </c>
      <c r="AK27" s="14">
        <v>2</v>
      </c>
      <c r="AL27" s="14">
        <v>2</v>
      </c>
      <c r="AM27" s="14">
        <v>12</v>
      </c>
      <c r="AN27" s="25">
        <f>($AL27-$AK27)*120/30</f>
        <v>0</v>
      </c>
      <c r="AO27" s="38">
        <v>6</v>
      </c>
      <c r="AP27" s="5" t="str">
        <f t="shared" si="137"/>
        <v>0.05 s</v>
      </c>
      <c r="AQ27" s="39" t="str" cm="1">
        <f t="array" aca="1" ref="AQ27" ca="1">_xlfn.TEXTJOIN(";",1,_xlfn.LAMBDA(_xlpm.x,IF(_xlpm.x&lt;&gt;"",OFFSET(_xlpm.x,3-ROW(),0)&amp;"="&amp;_xlpm.x,""))(AR27:AW27))</f>
        <v>sharp=48;fire=4</v>
      </c>
      <c r="AR27" s="68">
        <v>48</v>
      </c>
      <c r="AS27" s="22"/>
      <c r="AT27" s="68">
        <v>4</v>
      </c>
      <c r="AU27" s="22"/>
      <c r="AV27" s="22"/>
      <c r="AW27" s="22"/>
      <c r="AX27" s="5" t="str" cm="1">
        <f t="array" ref="AX27">TEXT(VLOOKUP($A27,battle_data!$A:$G,MATCH(INDEX(_xlfn.TEXTSPLIT(AX$3,"|"),1),battle_data!$A$1:$G$1),0)*0.001,"0%")</f>
        <v>0%</v>
      </c>
      <c r="AY27" s="5" t="str" cm="1">
        <f t="array" ref="AY27">TEXT(VLOOKUP($A27,battle_data!$A:$G,MATCH(INDEX(_xlfn.TEXTSPLIT(AY$3,"|"),1),battle_data!$A$1:$G$1),0)*0.001,"0%")</f>
        <v>20%</v>
      </c>
      <c r="AZ27" s="5" t="str" cm="1">
        <f t="array" ref="AZ27">TEXT(VLOOKUP($A27,battle_data!$A:$G,MATCH(INDEX(_xlfn.TEXTSPLIT(AZ$3,"|"),1),battle_data!$A$1:$G$1),0)*0.001,"0%")</f>
        <v>240%</v>
      </c>
      <c r="BA27" s="5">
        <f t="shared" si="100"/>
        <v>1.28</v>
      </c>
      <c r="BC27" s="5">
        <f t="shared" si="138"/>
        <v>399.36</v>
      </c>
      <c r="BE27" s="50">
        <f>AB27+60</f>
        <v>216</v>
      </c>
      <c r="BF27" s="65">
        <f>_xlfn.LET(_xlpm._ammo,$T27,
_xlpm._count_reload,IF($W27&gt;0,_xlfn.CEILING.MATH(_xlpm._ammo/$W27),1),
_xlpm._shoot_ticks,IF($BD27&lt;&gt;"",$BD27,($AL27*(_xlpm._ammo-1)+$AM27)*120/30),
_xlpm._reload_ticks,IF($BE27&lt;&gt;"",$BE27,$Y27+$AB27*_xlpm._count_reload),
(_xlpm._shoot_ticks+_xlpm._reload_ticks)/120
)</f>
        <v>2.5333333333333332</v>
      </c>
      <c r="BG27" s="65">
        <f t="shared" si="139"/>
        <v>157.6421052631579</v>
      </c>
      <c r="BH27" s="65" cm="1">
        <f t="array" ref="BH27">_xlfn.LAMBDA(_xlpm._dps,_xlpm._info_cell,ROUND(IF(_xlpm._dps&lt;=0,-10,LOG(_xlpm._dps/INDEX(_xlfn.TEXTSPLIT(_xlpm._info_cell,"="),2),1.5)),2))($BG27,BH$3)</f>
        <v>3.93</v>
      </c>
      <c r="BI27" s="66">
        <v>2</v>
      </c>
      <c r="BJ27" s="66">
        <v>2</v>
      </c>
      <c r="BK27" s="98" cm="1">
        <f t="array" ref="BK27">_xlfn.LAMBDA(_xlpm._lv,_xlpm._rank,_xlpm._base,_xlpm._lv+INDEX(_xlfn.TEXTSPLIT(_xlpm._base,"="),2)^(_xlpm._rank-2)-1)(BI27,BJ27,BK$3)</f>
        <v>2</v>
      </c>
      <c r="BL27" s="66">
        <v>-0.6</v>
      </c>
      <c r="BM27" s="100">
        <f>BK27*2-BH27-BL27</f>
        <v>0.66999999999999982</v>
      </c>
      <c r="BN27" s="5">
        <f>(($T27-1)*$AL27+$AM27)/30</f>
        <v>0.73333333333333328</v>
      </c>
      <c r="BO27" s="5">
        <f>(($T27-1)*($AL27+$AO27/4)+$AM27)/30</f>
        <v>0.98333333333333328</v>
      </c>
      <c r="BP27" s="5">
        <f t="shared" si="9"/>
        <v>406.12881355932205</v>
      </c>
      <c r="BQ27" s="5">
        <f>$AB27*$AD27*IF($W27&lt;=0,1,$T27)/120</f>
        <v>3.9</v>
      </c>
      <c r="BR27" s="5">
        <f>BP27</f>
        <v>406.12881355932205</v>
      </c>
      <c r="BS27" s="5">
        <f t="shared" si="12"/>
        <v>81.780204778157014</v>
      </c>
      <c r="BT27" s="5">
        <v>0</v>
      </c>
      <c r="BU27" s="5">
        <f t="shared" si="19"/>
        <v>406.12881355932205</v>
      </c>
      <c r="BV27" s="5">
        <f t="shared" si="20"/>
        <v>406.12881355932205</v>
      </c>
    </row>
    <row r="28" spans="1:74" x14ac:dyDescent="0.2">
      <c r="A28" s="4">
        <v>1320113</v>
      </c>
      <c r="B28" s="5" t="s">
        <v>158</v>
      </c>
      <c r="C28" s="5" t="s">
        <v>139</v>
      </c>
      <c r="D28" s="5" t="s">
        <v>159</v>
      </c>
      <c r="E28" s="4" t="s">
        <v>160</v>
      </c>
      <c r="F28" s="4" t="s">
        <v>146</v>
      </c>
      <c r="G28" s="4">
        <v>10009</v>
      </c>
      <c r="H28" s="14" t="str">
        <f>IF(G28&lt;&gt;"",IFERROR(VLOOKUP(G28,t_proj[#All],2,0),"--"),"")</f>
        <v>巨大弩箭</v>
      </c>
      <c r="I28" s="4" t="str">
        <f t="shared" si="133"/>
        <v>38~42</v>
      </c>
      <c r="J28" s="14">
        <v>38</v>
      </c>
      <c r="K28" s="14">
        <v>42</v>
      </c>
      <c r="L28" s="4" t="str">
        <f t="shared" si="134"/>
        <v>2000~0</v>
      </c>
      <c r="M28" s="14">
        <v>2000</v>
      </c>
      <c r="N28" s="14">
        <v>0</v>
      </c>
      <c r="P28" s="4">
        <v>1</v>
      </c>
      <c r="Q28" s="4">
        <v>4</v>
      </c>
      <c r="R28" s="95">
        <f t="shared" si="14"/>
        <v>0.8</v>
      </c>
      <c r="S28" s="4" t="s">
        <v>143</v>
      </c>
      <c r="T28" s="4">
        <v>1</v>
      </c>
      <c r="U28" s="4" t="b">
        <v>0</v>
      </c>
      <c r="V28" s="26"/>
      <c r="W28" s="29">
        <v>0</v>
      </c>
      <c r="X28" s="4">
        <f t="shared" si="1"/>
        <v>2.2222222222222222E-3</v>
      </c>
      <c r="Y28" s="34">
        <v>450</v>
      </c>
      <c r="Z28" s="5" t="str">
        <f t="shared" si="2"/>
        <v>3.75 s</v>
      </c>
      <c r="AA28" s="4">
        <f t="shared" si="131"/>
        <v>2.2222222222222222E-3</v>
      </c>
      <c r="AB28" s="34">
        <v>450</v>
      </c>
      <c r="AC28" s="5" t="str">
        <f t="shared" si="132"/>
        <v>3.75 s</v>
      </c>
      <c r="AD28" s="5">
        <v>1</v>
      </c>
      <c r="AE28" s="4" t="str" cm="1">
        <f t="array" ref="AE28">_xlfn.TEXTJOIN(";",1,IFERROR(1/AF28:AH28,""))</f>
        <v>0.00222222222222222;0.00222222222222222</v>
      </c>
      <c r="AF28" s="34">
        <v>450</v>
      </c>
      <c r="AG28" s="34">
        <v>450</v>
      </c>
      <c r="AH28" s="34"/>
      <c r="AI28" s="4">
        <f t="shared" si="135"/>
        <v>0.88</v>
      </c>
      <c r="AJ28" s="4">
        <f t="shared" si="136"/>
        <v>0.98</v>
      </c>
      <c r="AK28" s="14">
        <v>22</v>
      </c>
      <c r="AL28" s="14">
        <v>24.5</v>
      </c>
      <c r="AM28" s="14">
        <v>25</v>
      </c>
      <c r="AN28" s="25">
        <v>10</v>
      </c>
      <c r="AO28" s="38">
        <v>240</v>
      </c>
      <c r="AP28" s="5" t="str">
        <f t="shared" si="137"/>
        <v>2.00 s</v>
      </c>
      <c r="AQ28" s="39" t="str" cm="1">
        <f t="array" aca="1" ref="AQ28" ca="1">_xlfn.TEXTJOIN(";",1,_xlfn.LAMBDA(_xlpm.x,IF(_xlpm.x&lt;&gt;"",OFFSET(_xlpm.x,3-ROW(),0)&amp;"="&amp;_xlpm.x,""))(AR28:AW28))</f>
        <v>sharp=825;blunt=45</v>
      </c>
      <c r="AR28" s="18">
        <v>825</v>
      </c>
      <c r="AS28" s="18">
        <v>45</v>
      </c>
      <c r="AT28" s="22"/>
      <c r="AU28" s="22"/>
      <c r="AV28" s="22"/>
      <c r="AW28" s="22"/>
      <c r="AX28" s="5" t="str" cm="1">
        <f t="array" ref="AX28">TEXT(VLOOKUP($A28,battle_data!$A:$G,MATCH(INDEX(_xlfn.TEXTSPLIT(AX$3,"|"),1),battle_data!$A$1:$G$1),0)*0.001,"0%")</f>
        <v>30%</v>
      </c>
      <c r="AY28" s="5" t="str" cm="1">
        <f t="array" ref="AY28">TEXT(VLOOKUP($A28,battle_data!$A:$G,MATCH(INDEX(_xlfn.TEXTSPLIT(AY$3,"|"),1),battle_data!$A$1:$G$1),0)*0.001,"0%")</f>
        <v>20%</v>
      </c>
      <c r="AZ28" s="5" t="str" cm="1">
        <f t="array" ref="AZ28">TEXT(VLOOKUP($A28,battle_data!$A:$G,MATCH(INDEX(_xlfn.TEXTSPLIT(AZ$3,"|"),1),battle_data!$A$1:$G$1),0)*0.001,"0%")</f>
        <v>300%</v>
      </c>
      <c r="BA28" s="5">
        <f t="shared" si="100"/>
        <v>1.4000000000000001</v>
      </c>
      <c r="BC28" s="5">
        <f t="shared" si="18"/>
        <v>1218.0000000000002</v>
      </c>
      <c r="BI28" s="50">
        <v>3</v>
      </c>
      <c r="BN28" s="5">
        <f t="shared" si="7"/>
        <v>0.83333333333333337</v>
      </c>
      <c r="BO28" s="5">
        <f t="shared" si="8"/>
        <v>0.83333333333333337</v>
      </c>
      <c r="BP28" s="5">
        <f t="shared" si="9"/>
        <v>1461.6000000000001</v>
      </c>
      <c r="BQ28" s="5">
        <f t="shared" si="10"/>
        <v>3.75</v>
      </c>
      <c r="BR28" s="5">
        <f t="shared" si="11"/>
        <v>265.74545454545461</v>
      </c>
      <c r="BS28" s="5">
        <f t="shared" si="12"/>
        <v>265.74545454545461</v>
      </c>
      <c r="BT28" s="5">
        <v>3</v>
      </c>
      <c r="BU28" s="5">
        <f t="shared" si="19"/>
        <v>33.218181818181826</v>
      </c>
      <c r="BV28" s="5">
        <f t="shared" si="20"/>
        <v>33.218181818181826</v>
      </c>
    </row>
    <row r="29" spans="1:74" x14ac:dyDescent="0.2">
      <c r="A29" s="4">
        <v>1320114</v>
      </c>
      <c r="B29" s="5" t="s">
        <v>161</v>
      </c>
      <c r="C29" s="5" t="s">
        <v>139</v>
      </c>
      <c r="D29" s="5" t="s">
        <v>162</v>
      </c>
      <c r="E29" s="4" t="s">
        <v>160</v>
      </c>
      <c r="F29" s="4" t="s">
        <v>146</v>
      </c>
      <c r="G29" s="4">
        <v>10004</v>
      </c>
      <c r="H29" s="14" t="str">
        <f>IF(G29&lt;&gt;"",IFERROR(VLOOKUP(G29,t_proj[#All],2,0),"--"),"")</f>
        <v>石块</v>
      </c>
      <c r="I29" s="4" t="str">
        <f t="shared" si="133"/>
        <v>8~10</v>
      </c>
      <c r="J29" s="14">
        <v>8</v>
      </c>
      <c r="K29" s="14">
        <v>10</v>
      </c>
      <c r="L29" s="4" t="str">
        <f t="shared" si="134"/>
        <v>2000~0</v>
      </c>
      <c r="M29" s="14">
        <v>2000</v>
      </c>
      <c r="N29" s="14">
        <v>0</v>
      </c>
      <c r="P29" s="4">
        <v>1</v>
      </c>
      <c r="Q29" s="4">
        <v>8</v>
      </c>
      <c r="R29" s="95">
        <f t="shared" si="14"/>
        <v>0.6</v>
      </c>
      <c r="S29" s="4" t="s">
        <v>143</v>
      </c>
      <c r="T29" s="4">
        <v>1</v>
      </c>
      <c r="U29" s="4" t="b">
        <v>0</v>
      </c>
      <c r="V29" s="26"/>
      <c r="W29" s="29">
        <v>0</v>
      </c>
      <c r="X29" s="4">
        <f t="shared" si="1"/>
        <v>2.7777777777777779E-3</v>
      </c>
      <c r="Y29" s="34">
        <v>360</v>
      </c>
      <c r="Z29" s="5" t="str">
        <f t="shared" si="2"/>
        <v>3.00 s</v>
      </c>
      <c r="AA29" s="4">
        <f t="shared" si="131"/>
        <v>2.7777777777777779E-3</v>
      </c>
      <c r="AB29" s="34">
        <v>360</v>
      </c>
      <c r="AC29" s="5" t="str">
        <f t="shared" si="132"/>
        <v>3.00 s</v>
      </c>
      <c r="AD29" s="5">
        <v>1</v>
      </c>
      <c r="AE29" s="4" t="str" cm="1">
        <f t="array" ref="AE29">_xlfn.TEXTJOIN(";",1,IFERROR(1/AF29:AH29,""))</f>
        <v>0.00277777777777778;0.00277777777777778</v>
      </c>
      <c r="AF29" s="34">
        <v>360</v>
      </c>
      <c r="AG29" s="34">
        <v>360</v>
      </c>
      <c r="AH29" s="34"/>
      <c r="AI29" s="4">
        <f t="shared" si="135"/>
        <v>0.53125</v>
      </c>
      <c r="AJ29" s="4">
        <f t="shared" si="136"/>
        <v>0.875</v>
      </c>
      <c r="AK29" s="14">
        <v>17</v>
      </c>
      <c r="AL29" s="14">
        <v>28</v>
      </c>
      <c r="AM29" s="14">
        <v>32</v>
      </c>
      <c r="AN29" s="25">
        <f>($AL29-$AK29)*120/30</f>
        <v>44</v>
      </c>
      <c r="AO29" s="38">
        <v>360</v>
      </c>
      <c r="AP29" s="5" t="str">
        <f t="shared" si="137"/>
        <v>3.00 s</v>
      </c>
      <c r="AQ29" s="39" t="str" cm="1">
        <f t="array" aca="1" ref="AQ29" ca="1">_xlfn.TEXTJOIN(";",1,_xlfn.LAMBDA(_xlpm.x,IF(_xlpm.x&lt;&gt;"",OFFSET(_xlpm.x,3-ROW(),0)&amp;"="&amp;_xlpm.x,""))(AR29:AW29))</f>
        <v>blunt=999</v>
      </c>
      <c r="AR29" s="22"/>
      <c r="AS29" s="18">
        <v>999</v>
      </c>
      <c r="AT29" s="22"/>
      <c r="AU29" s="22"/>
      <c r="AV29" s="22"/>
      <c r="AW29" s="22"/>
      <c r="AX29" s="5" t="str" cm="1">
        <f t="array" ref="AX29">TEXT(VLOOKUP($A29,battle_data!$A:$G,MATCH(INDEX(_xlfn.TEXTSPLIT(AX$3,"|"),1),battle_data!$A$1:$G$1),0)*0.001,"0%")</f>
        <v>50%</v>
      </c>
      <c r="AY29" s="5" t="str" cm="1">
        <f t="array" ref="AY29">TEXT(VLOOKUP($A29,battle_data!$A:$G,MATCH(INDEX(_xlfn.TEXTSPLIT(AY$3,"|"),1),battle_data!$A$1:$G$1),0)*0.001,"0%")</f>
        <v>1%</v>
      </c>
      <c r="AZ29" s="5" t="str" cm="1">
        <f t="array" ref="AZ29">TEXT(VLOOKUP($A29,battle_data!$A:$G,MATCH(INDEX(_xlfn.TEXTSPLIT(AZ$3,"|"),1),battle_data!$A$1:$G$1),0)*0.001,"0%")</f>
        <v>110%</v>
      </c>
      <c r="BA29" s="5">
        <f t="shared" si="100"/>
        <v>1.0009999999999999</v>
      </c>
      <c r="BC29" s="5">
        <f t="shared" si="18"/>
        <v>999.99899999999991</v>
      </c>
      <c r="BI29" s="50">
        <v>3</v>
      </c>
      <c r="BN29" s="5">
        <f t="shared" si="7"/>
        <v>1.0666666666666667</v>
      </c>
      <c r="BO29" s="5">
        <f t="shared" si="8"/>
        <v>1.0666666666666667</v>
      </c>
      <c r="BP29" s="5">
        <f t="shared" si="9"/>
        <v>937.49906249999992</v>
      </c>
      <c r="BQ29" s="5">
        <f t="shared" si="10"/>
        <v>3</v>
      </c>
      <c r="BR29" s="5">
        <f t="shared" si="11"/>
        <v>245.90139344262295</v>
      </c>
      <c r="BS29" s="5">
        <f t="shared" si="12"/>
        <v>245.90139344262295</v>
      </c>
      <c r="BT29" s="5">
        <v>3</v>
      </c>
      <c r="BU29" s="5">
        <f t="shared" si="19"/>
        <v>30.737674180327868</v>
      </c>
      <c r="BV29" s="5">
        <f t="shared" si="20"/>
        <v>30.737674180327868</v>
      </c>
    </row>
    <row r="30" spans="1:74" x14ac:dyDescent="0.2">
      <c r="A30" s="27">
        <v>1320115</v>
      </c>
      <c r="B30" s="5" t="s">
        <v>163</v>
      </c>
      <c r="C30" s="5" t="s">
        <v>139</v>
      </c>
      <c r="D30" s="5" t="s">
        <v>164</v>
      </c>
      <c r="E30" s="4" t="s">
        <v>160</v>
      </c>
      <c r="F30" s="4" t="s">
        <v>146</v>
      </c>
      <c r="G30" s="4">
        <v>10010</v>
      </c>
      <c r="H30" s="14" t="str">
        <f>IF(G30&lt;&gt;"",IFERROR(VLOOKUP(G30,t_proj[#All],2,0),"--"),"")</f>
        <v>滚木</v>
      </c>
      <c r="I30" s="4" t="str">
        <f t="shared" si="133"/>
        <v>0.1~1.2</v>
      </c>
      <c r="J30" s="14">
        <v>0.1</v>
      </c>
      <c r="K30" s="14">
        <v>1.2</v>
      </c>
      <c r="L30" s="4" t="str">
        <f t="shared" si="134"/>
        <v>2400~0</v>
      </c>
      <c r="M30" s="14">
        <v>2400</v>
      </c>
      <c r="N30" s="14">
        <v>0</v>
      </c>
      <c r="P30" s="4">
        <v>1</v>
      </c>
      <c r="Q30" s="4">
        <v>120</v>
      </c>
      <c r="R30" s="95">
        <f t="shared" si="14"/>
        <v>-5</v>
      </c>
      <c r="S30" s="4" t="s">
        <v>143</v>
      </c>
      <c r="T30" s="4">
        <v>3</v>
      </c>
      <c r="U30" s="4" t="b">
        <v>0</v>
      </c>
      <c r="V30" s="26"/>
      <c r="X30" s="4">
        <f t="shared" si="1"/>
        <v>1.3333333333333334E-2</v>
      </c>
      <c r="Y30" s="24">
        <v>75</v>
      </c>
      <c r="Z30" s="5" t="str">
        <f t="shared" si="2"/>
        <v>0.63 s</v>
      </c>
      <c r="AA30" s="4">
        <f t="shared" si="131"/>
        <v>1.3333333333333334E-2</v>
      </c>
      <c r="AB30" s="24">
        <v>75</v>
      </c>
      <c r="AC30" s="5" t="str">
        <f t="shared" si="132"/>
        <v>0.63 s</v>
      </c>
      <c r="AD30" s="5">
        <v>1</v>
      </c>
      <c r="AE30" s="4" t="str" cm="1">
        <f t="array" ref="AE30">_xlfn.TEXTJOIN(";",1,IFERROR(1/AF30:AH30,""))</f>
        <v>0.0133333333333333;0.0133333333333333</v>
      </c>
      <c r="AF30" s="24">
        <v>75</v>
      </c>
      <c r="AG30" s="24">
        <v>75</v>
      </c>
      <c r="AI30" s="4">
        <f t="shared" si="135"/>
        <v>0.2</v>
      </c>
      <c r="AJ30" s="4">
        <f t="shared" si="136"/>
        <v>0.3</v>
      </c>
      <c r="AK30" s="14">
        <v>4</v>
      </c>
      <c r="AL30" s="14">
        <v>6</v>
      </c>
      <c r="AM30" s="14">
        <v>20</v>
      </c>
      <c r="AN30" s="25">
        <f>($AL30-$AK30)*120/30</f>
        <v>8</v>
      </c>
      <c r="AO30" s="4">
        <v>132</v>
      </c>
      <c r="AP30" s="5" t="str">
        <f t="shared" si="137"/>
        <v>1.10 s</v>
      </c>
      <c r="AQ30" s="39" t="str" cm="1">
        <f t="array" aca="1" ref="AQ30" ca="1">_xlfn.TEXTJOIN(";",1,_xlfn.LAMBDA(_xlpm.x,IF(_xlpm.x&lt;&gt;"",OFFSET(_xlpm.x,3-ROW(),0)&amp;"="&amp;_xlpm.x,""))(AR30:AW30))</f>
        <v>blunt=200</v>
      </c>
      <c r="AR30" s="22"/>
      <c r="AS30" s="18">
        <v>200</v>
      </c>
      <c r="AT30" s="22"/>
      <c r="AU30" s="22"/>
      <c r="AV30" s="22"/>
      <c r="AW30" s="22"/>
      <c r="AX30" s="5" t="str" cm="1">
        <f t="array" ref="AX30">TEXT(VLOOKUP($A30,battle_data!$A:$G,MATCH(INDEX(_xlfn.TEXTSPLIT(AX$3,"|"),1),battle_data!$A$1:$G$1),0)*0.001,"0%")</f>
        <v>50%</v>
      </c>
      <c r="AY30" s="5" t="str" cm="1">
        <f t="array" ref="AY30">TEXT(VLOOKUP($A30,battle_data!$A:$G,MATCH(INDEX(_xlfn.TEXTSPLIT(AY$3,"|"),1),battle_data!$A$1:$G$1),0)*0.001,"0%")</f>
        <v>1%</v>
      </c>
      <c r="AZ30" s="5" t="str" cm="1">
        <f t="array" ref="AZ30">TEXT(VLOOKUP($A30,battle_data!$A:$G,MATCH(INDEX(_xlfn.TEXTSPLIT(AZ$3,"|"),1),battle_data!$A$1:$G$1),0)*0.001,"0%")</f>
        <v>110%</v>
      </c>
      <c r="BA30" s="5">
        <f t="shared" si="100"/>
        <v>1.0009999999999999</v>
      </c>
      <c r="BC30" s="5">
        <f t="shared" si="18"/>
        <v>600.59999999999991</v>
      </c>
      <c r="BI30" s="50">
        <v>3</v>
      </c>
      <c r="BN30" s="5">
        <f t="shared" si="7"/>
        <v>1.0666666666666667</v>
      </c>
      <c r="BO30" s="5">
        <f t="shared" si="8"/>
        <v>3.2666666666666666</v>
      </c>
      <c r="BP30" s="5">
        <f t="shared" si="9"/>
        <v>183.85714285714283</v>
      </c>
      <c r="BQ30" s="5">
        <f t="shared" si="10"/>
        <v>0.625</v>
      </c>
      <c r="BR30" s="5">
        <f t="shared" si="11"/>
        <v>355.03448275862064</v>
      </c>
      <c r="BS30" s="5">
        <f t="shared" si="12"/>
        <v>154.32976445396145</v>
      </c>
      <c r="BT30" s="5">
        <v>3</v>
      </c>
      <c r="BU30" s="5">
        <f>_xlfn.LET(_xlpm._level_power,2,IF(BT30&lt;&gt;"",BR30/_xlpm._level_power^BT30,""))</f>
        <v>44.37931034482758</v>
      </c>
      <c r="BV30" s="5">
        <f>_xlfn.LET(_xlpm._level_power,2,IF($BT30&lt;&gt;"",BR30/_xlpm._level_power^$BT30,""))</f>
        <v>44.37931034482758</v>
      </c>
    </row>
    <row r="31" spans="1:74" x14ac:dyDescent="0.2">
      <c r="H31" s="14" t="str">
        <f>IF(G31&lt;&gt;"",IFERROR(VLOOKUP(G31,t_proj[#All],2,0),"--"),"")</f>
        <v/>
      </c>
      <c r="R31" s="95" t="str">
        <f t="shared" si="14"/>
        <v/>
      </c>
      <c r="AE31" s="4" t="str" cm="1">
        <f t="array" ref="AE31">_xlfn.TEXTJOIN(";",1,IFERROR(1/AF31:AH31,""))</f>
        <v/>
      </c>
      <c r="AQ31" s="39" t="str" cm="1">
        <f t="array" aca="1" ref="AQ31" ca="1">_xlfn.TEXTJOIN(";",1,_xlfn.LAMBDA(_xlpm.x,IF(_xlpm.x&lt;&gt;"",OFFSET(_xlpm.x,3-ROW(),0)&amp;"="&amp;_xlpm.x,""))(AR31:AW31))</f>
        <v/>
      </c>
      <c r="BC31" s="5" t="str">
        <f t="shared" si="18"/>
        <v/>
      </c>
      <c r="BU31" s="5" t="str">
        <f t="shared" si="19"/>
        <v/>
      </c>
      <c r="BV31" s="5" t="str">
        <f>_xlfn.LET(_xlpm._level_power,2,IF($BT31&lt;&gt;"",BR31/_xlpm._level_power^$BT31,""))</f>
        <v/>
      </c>
    </row>
    <row r="32" spans="1:74" x14ac:dyDescent="0.2">
      <c r="A32" s="4">
        <v>1321101</v>
      </c>
      <c r="B32" s="5" t="s">
        <v>166</v>
      </c>
      <c r="C32" s="5" t="s">
        <v>139</v>
      </c>
      <c r="D32" s="5" t="s">
        <v>148</v>
      </c>
      <c r="E32" s="4" t="s">
        <v>145</v>
      </c>
      <c r="F32" s="4" t="s">
        <v>146</v>
      </c>
      <c r="G32" s="4">
        <v>10002</v>
      </c>
      <c r="H32" s="14" t="str">
        <f>IF(G32&lt;&gt;"",IFERROR(VLOOKUP(G32,t_proj[#All],2,0),"--"),"")</f>
        <v>手枪子弹</v>
      </c>
      <c r="I32" s="4" t="str">
        <f t="shared" si="124"/>
        <v>99~0</v>
      </c>
      <c r="J32" s="14">
        <v>99</v>
      </c>
      <c r="K32" s="14">
        <v>0</v>
      </c>
      <c r="L32" s="4" t="str">
        <f t="shared" si="125"/>
        <v>180~0</v>
      </c>
      <c r="M32" s="14">
        <v>180</v>
      </c>
      <c r="N32" s="14">
        <v>0</v>
      </c>
      <c r="P32" s="4">
        <v>1</v>
      </c>
      <c r="Q32" s="4">
        <v>6</v>
      </c>
      <c r="R32" s="95">
        <f t="shared" si="14"/>
        <v>0.7</v>
      </c>
      <c r="S32" s="4" t="s">
        <v>143</v>
      </c>
      <c r="T32" s="4">
        <v>6</v>
      </c>
      <c r="U32" s="4" t="b">
        <v>0</v>
      </c>
      <c r="V32" s="26"/>
      <c r="W32" s="29">
        <v>1</v>
      </c>
      <c r="X32" s="4">
        <f>1/Y32</f>
        <v>6.6666666666666671E-3</v>
      </c>
      <c r="Y32" s="34">
        <v>150</v>
      </c>
      <c r="Z32" s="5" t="str">
        <f>TEXT(Y32/120,"0.00")&amp;" s"</f>
        <v>1.25 s</v>
      </c>
      <c r="AA32" s="4">
        <f>1/AB32</f>
        <v>6.6666666666666671E-3</v>
      </c>
      <c r="AB32" s="34">
        <v>150</v>
      </c>
      <c r="AC32" s="5" t="str">
        <f>TEXT(AB32/120,"0.00")&amp;" s"</f>
        <v>1.25 s</v>
      </c>
      <c r="AD32" s="5">
        <v>0.5</v>
      </c>
      <c r="AE32" s="4" t="str" cm="1">
        <f t="array" ref="AE32">_xlfn.TEXTJOIN(";",1,IFERROR(1/AF32:AH32,""))</f>
        <v>0.00666666666666667;0.00666666666666667</v>
      </c>
      <c r="AF32" s="34">
        <v>150</v>
      </c>
      <c r="AG32" s="34">
        <v>150</v>
      </c>
      <c r="AH32" s="34"/>
      <c r="AI32" s="4">
        <f t="shared" si="126"/>
        <v>0.25</v>
      </c>
      <c r="AJ32" s="4">
        <f t="shared" si="127"/>
        <v>0.375</v>
      </c>
      <c r="AK32" s="14">
        <v>3</v>
      </c>
      <c r="AL32" s="14">
        <v>4.5</v>
      </c>
      <c r="AM32" s="14">
        <v>12</v>
      </c>
      <c r="AN32" s="25">
        <f t="shared" si="16"/>
        <v>6</v>
      </c>
      <c r="AO32" s="40">
        <v>180</v>
      </c>
      <c r="AP32" s="5" t="str">
        <f t="shared" si="128"/>
        <v>1.50 s</v>
      </c>
      <c r="AQ32" s="39" t="str" cm="1">
        <f t="array" aca="1" ref="AQ32" ca="1">_xlfn.TEXTJOIN(";",1,_xlfn.LAMBDA(_xlpm.x,IF(_xlpm.x&lt;&gt;"",OFFSET(_xlpm.x,3-ROW(),0)&amp;"="&amp;_xlpm.x,""))(AR32:AW32))</f>
        <v>sharp=64</v>
      </c>
      <c r="AR32" s="18">
        <v>64</v>
      </c>
      <c r="AS32" s="22"/>
      <c r="AT32" s="22"/>
      <c r="AU32" s="22"/>
      <c r="AV32" s="22"/>
      <c r="AW32" s="22"/>
      <c r="AX32" s="5" t="str" cm="1">
        <f t="array" ref="AX32">TEXT(VLOOKUP($A32,battle_data!$A:$G,MATCH(INDEX(_xlfn.TEXTSPLIT(AX$3,"|"),1),battle_data!$A$1:$G$1),0)*0.001,"0%")</f>
        <v>0%</v>
      </c>
      <c r="AY32" s="5" t="str" cm="1">
        <f t="array" ref="AY32">TEXT(VLOOKUP($A32,battle_data!$A:$G,MATCH(INDEX(_xlfn.TEXTSPLIT(AY$3,"|"),1),battle_data!$A$1:$G$1),0)*0.001,"0%")</f>
        <v>2%</v>
      </c>
      <c r="AZ32" s="5" t="str" cm="1">
        <f t="array" ref="AZ32">TEXT(VLOOKUP($A32,battle_data!$A:$G,MATCH(INDEX(_xlfn.TEXTSPLIT(AZ$3,"|"),1),battle_data!$A$1:$G$1),0)*0.001,"0%")</f>
        <v>150%</v>
      </c>
      <c r="BA32" s="5">
        <f t="shared" si="100"/>
        <v>1.01</v>
      </c>
      <c r="BC32" s="5">
        <f t="shared" si="18"/>
        <v>387.84000000000003</v>
      </c>
      <c r="BI32" s="50">
        <v>1</v>
      </c>
      <c r="BN32" s="5">
        <f>(($T32-1)*$AL32+$AM32)/30</f>
        <v>1.1499999999999999</v>
      </c>
      <c r="BO32" s="5">
        <f>(($T32-1)*($AL32+$AO32/4)+$AM32)/30</f>
        <v>8.65</v>
      </c>
      <c r="BP32" s="5">
        <f>$BC32/$BO32</f>
        <v>44.836994219653178</v>
      </c>
      <c r="BQ32" s="5">
        <f>$AB32*$AD32*IF($W32&lt;=0,1,$T32)/120</f>
        <v>3.75</v>
      </c>
      <c r="BR32" s="5">
        <f>$BC32/($BQ32+$BN32)</f>
        <v>79.151020408163262</v>
      </c>
      <c r="BS32" s="5">
        <f>$BC32/($BQ32+$BO32)</f>
        <v>31.27741935483871</v>
      </c>
      <c r="BT32" s="5">
        <v>1</v>
      </c>
      <c r="BU32" s="5">
        <f t="shared" si="19"/>
        <v>39.575510204081631</v>
      </c>
      <c r="BV32" s="5">
        <f t="shared" si="20"/>
        <v>39.575510204081631</v>
      </c>
    </row>
    <row r="33" spans="1:74" x14ac:dyDescent="0.2">
      <c r="A33" s="4">
        <v>1321102</v>
      </c>
      <c r="B33" s="5" t="s">
        <v>167</v>
      </c>
      <c r="C33" s="5" t="s">
        <v>139</v>
      </c>
      <c r="D33" s="5" t="s">
        <v>140</v>
      </c>
      <c r="E33" s="4" t="s">
        <v>165</v>
      </c>
      <c r="F33" s="4" t="s">
        <v>146</v>
      </c>
      <c r="G33" s="4">
        <v>10003</v>
      </c>
      <c r="H33" s="14" t="str">
        <f>IF(G33&lt;&gt;"",IFERROR(VLOOKUP(G33,t_proj[#All],2,0),"--"),"")</f>
        <v>霰弹</v>
      </c>
      <c r="I33" s="4" t="str">
        <f t="shared" ref="I33:I35" si="140">_xlfn.TEXTJOIN("~",1,J33:K33)</f>
        <v>60~100</v>
      </c>
      <c r="J33" s="14">
        <v>60</v>
      </c>
      <c r="K33" s="14">
        <v>100</v>
      </c>
      <c r="L33" s="4" t="str">
        <f t="shared" si="125"/>
        <v>12~24</v>
      </c>
      <c r="M33" s="14">
        <v>12</v>
      </c>
      <c r="N33" s="14">
        <v>24</v>
      </c>
      <c r="P33" s="4">
        <v>12</v>
      </c>
      <c r="Q33" s="4">
        <v>12.5</v>
      </c>
      <c r="R33" s="95">
        <f t="shared" si="14"/>
        <v>0.375</v>
      </c>
      <c r="S33" s="4" t="s">
        <v>143</v>
      </c>
      <c r="T33" s="4">
        <v>4</v>
      </c>
      <c r="U33" s="4" t="b">
        <v>0</v>
      </c>
      <c r="V33" s="26"/>
      <c r="W33" s="29">
        <v>1</v>
      </c>
      <c r="X33" s="4">
        <f t="shared" ref="X33" si="141">1/Y33</f>
        <v>1.3333333333333334E-2</v>
      </c>
      <c r="Y33" s="24">
        <v>75</v>
      </c>
      <c r="Z33" s="5" t="str">
        <f t="shared" si="2"/>
        <v>0.63 s</v>
      </c>
      <c r="AA33" s="4">
        <f t="shared" si="3"/>
        <v>1.3333333333333334E-2</v>
      </c>
      <c r="AB33" s="24">
        <v>75</v>
      </c>
      <c r="AC33" s="5" t="str">
        <f t="shared" si="4"/>
        <v>0.63 s</v>
      </c>
      <c r="AD33" s="5">
        <v>1</v>
      </c>
      <c r="AE33" s="4" t="str" cm="1">
        <f t="array" ref="AE33">_xlfn.TEXTJOIN(";",1,IFERROR(1/AF33:AH33,""))</f>
        <v>0.0133333333333333;0.0133333333333333</v>
      </c>
      <c r="AF33" s="24">
        <v>75</v>
      </c>
      <c r="AG33" s="24">
        <v>75</v>
      </c>
      <c r="AI33" s="4">
        <f t="shared" si="126"/>
        <v>0.2</v>
      </c>
      <c r="AJ33" s="4">
        <f t="shared" si="127"/>
        <v>0.3</v>
      </c>
      <c r="AK33" s="14">
        <v>4</v>
      </c>
      <c r="AL33" s="14">
        <v>6</v>
      </c>
      <c r="AM33" s="14">
        <v>20</v>
      </c>
      <c r="AN33" s="25">
        <f t="shared" si="16"/>
        <v>8</v>
      </c>
      <c r="AO33" s="4">
        <v>132</v>
      </c>
      <c r="AP33" s="5" t="str">
        <f t="shared" si="128"/>
        <v>1.10 s</v>
      </c>
      <c r="AQ33" s="39" t="str" cm="1">
        <f t="array" aca="1" ref="AQ33" ca="1">_xlfn.TEXTJOIN(";",1,_xlfn.LAMBDA(_xlpm.x,IF(_xlpm.x&lt;&gt;"",OFFSET(_xlpm.x,3-ROW(),0)&amp;"="&amp;_xlpm.x,""))(AR33:AW33))</f>
        <v>sharp=14</v>
      </c>
      <c r="AR33" s="18">
        <v>14</v>
      </c>
      <c r="AS33" s="22"/>
      <c r="AT33" s="22"/>
      <c r="AU33" s="22"/>
      <c r="AV33" s="22"/>
      <c r="AW33" s="22"/>
      <c r="AX33" s="5" t="str" cm="1">
        <f t="array" ref="AX33">TEXT(VLOOKUP($A33,battle_data!$A:$G,MATCH(INDEX(_xlfn.TEXTSPLIT(AX$3,"|"),1),battle_data!$A$1:$G$1),0)*0.001,"0%")</f>
        <v>0%</v>
      </c>
      <c r="AY33" s="5" t="str" cm="1">
        <f t="array" ref="AY33">TEXT(VLOOKUP($A33,battle_data!$A:$G,MATCH(INDEX(_xlfn.TEXTSPLIT(AY$3,"|"),1),battle_data!$A$1:$G$1),0)*0.001,"0%")</f>
        <v>2%</v>
      </c>
      <c r="AZ33" s="5" t="str" cm="1">
        <f t="array" ref="AZ33">TEXT(VLOOKUP($A33,battle_data!$A:$G,MATCH(INDEX(_xlfn.TEXTSPLIT(AZ$3,"|"),1),battle_data!$A$1:$G$1),0)*0.001,"0%")</f>
        <v>150%</v>
      </c>
      <c r="BA33" s="5">
        <f t="shared" si="100"/>
        <v>1.01</v>
      </c>
      <c r="BC33" s="5">
        <f t="shared" si="18"/>
        <v>678.72</v>
      </c>
      <c r="BI33" s="50">
        <v>2</v>
      </c>
      <c r="BN33" s="5">
        <f>(($T33-1)*$AL33+$AM33)/30</f>
        <v>1.2666666666666666</v>
      </c>
      <c r="BO33" s="5">
        <f>(($T33-1)*($AL33+$AO33/4)+$AM33)/30</f>
        <v>4.5666666666666664</v>
      </c>
      <c r="BP33" s="5">
        <f>$BC33/$BO33</f>
        <v>148.62481751824819</v>
      </c>
      <c r="BQ33" s="5">
        <f>$AB33*$AD33*IF($W33&lt;=0,1,$T33)/120</f>
        <v>2.5</v>
      </c>
      <c r="BR33" s="5">
        <f>$BC33/($BQ33+$BN33)</f>
        <v>180.19115044247789</v>
      </c>
      <c r="BS33" s="5">
        <f>$BC33/($BQ33+$BO33)</f>
        <v>96.045283018867934</v>
      </c>
      <c r="BT33" s="5">
        <v>2</v>
      </c>
      <c r="BU33" s="5">
        <f t="shared" si="19"/>
        <v>45.047787610619473</v>
      </c>
      <c r="BV33" s="5">
        <f t="shared" si="20"/>
        <v>45.047787610619473</v>
      </c>
    </row>
    <row r="34" spans="1:74" x14ac:dyDescent="0.2">
      <c r="A34" s="27"/>
      <c r="H34" s="14" t="str">
        <f>IF(G34&lt;&gt;"",IFERROR(VLOOKUP(G34,t_proj[#All],2,0),"--"),"")</f>
        <v/>
      </c>
      <c r="R34" s="95" t="str">
        <f t="shared" si="14"/>
        <v/>
      </c>
      <c r="AE34" s="4" t="str" cm="1">
        <f t="array" ref="AE34">_xlfn.TEXTJOIN(";",1,IFERROR(1/AF34:AH34,""))</f>
        <v/>
      </c>
      <c r="AQ34" s="39" t="str" cm="1">
        <f t="array" aca="1" ref="AQ34" ca="1">_xlfn.TEXTJOIN(";",1,_xlfn.LAMBDA(_xlpm.x,IF(_xlpm.x&lt;&gt;"",OFFSET(_xlpm.x,3-ROW(),0)&amp;"="&amp;_xlpm.x,""))(AR34:AW34))</f>
        <v/>
      </c>
      <c r="BC34" s="5" t="str">
        <f t="shared" si="18"/>
        <v/>
      </c>
    </row>
    <row r="35" spans="1:74" x14ac:dyDescent="0.2">
      <c r="A35" s="4">
        <v>1321104</v>
      </c>
      <c r="B35" s="5" t="s">
        <v>168</v>
      </c>
      <c r="C35" s="5" t="s">
        <v>139</v>
      </c>
      <c r="D35" s="5" t="s">
        <v>169</v>
      </c>
      <c r="E35" s="4" t="s">
        <v>145</v>
      </c>
      <c r="F35" s="4" t="s">
        <v>146</v>
      </c>
      <c r="G35" s="4">
        <v>1301</v>
      </c>
      <c r="H35" s="14" t="str">
        <f>IF(G35&lt;&gt;"",IFERROR(VLOOKUP(G35,t_proj[#All],2,0),"--"),"")</f>
        <v>--</v>
      </c>
      <c r="I35" s="4" t="str">
        <f t="shared" si="140"/>
        <v>85~0</v>
      </c>
      <c r="J35" s="14">
        <v>85</v>
      </c>
      <c r="K35" s="14">
        <v>0</v>
      </c>
      <c r="L35" s="4" t="str">
        <f t="shared" si="125"/>
        <v>360~0</v>
      </c>
      <c r="M35" s="14">
        <v>360</v>
      </c>
      <c r="N35" s="14">
        <v>0</v>
      </c>
      <c r="P35" s="4">
        <v>1</v>
      </c>
      <c r="Q35" s="4">
        <v>4</v>
      </c>
      <c r="R35" s="95">
        <f t="shared" si="14"/>
        <v>0.8</v>
      </c>
      <c r="S35" s="4" t="s">
        <v>143</v>
      </c>
      <c r="T35" s="4">
        <v>12</v>
      </c>
      <c r="U35" s="4" t="b">
        <v>0</v>
      </c>
      <c r="V35" s="26"/>
      <c r="X35" s="4">
        <f t="shared" ref="X35" si="142">1/Y35</f>
        <v>7.4074074074074077E-3</v>
      </c>
      <c r="Y35" s="24">
        <v>135</v>
      </c>
      <c r="Z35" s="5" t="str">
        <f t="shared" ref="Z35" si="143">TEXT(Y35/120,"0.00")&amp;" s"</f>
        <v>1.13 s</v>
      </c>
      <c r="AA35" s="4">
        <f t="shared" ref="AA35" si="144">1/AB35</f>
        <v>7.4074074074074077E-3</v>
      </c>
      <c r="AB35" s="24">
        <v>135</v>
      </c>
      <c r="AC35" s="5" t="str">
        <f t="shared" ref="AC35" si="145">TEXT(AB35/120,"0.00")&amp;" s"</f>
        <v>1.13 s</v>
      </c>
      <c r="AD35" s="5">
        <v>1</v>
      </c>
      <c r="AE35" s="4" t="str" cm="1">
        <f t="array" ref="AE35">_xlfn.TEXTJOIN(";",1,IFERROR(1/AF35:AH35,""))</f>
        <v>0.00740740740740741;0.00740740740740741</v>
      </c>
      <c r="AF35" s="24">
        <v>135</v>
      </c>
      <c r="AG35" s="24">
        <v>135</v>
      </c>
      <c r="AI35" s="4">
        <f t="shared" si="126"/>
        <v>0.6</v>
      </c>
      <c r="AJ35" s="4">
        <f t="shared" si="127"/>
        <v>0.9</v>
      </c>
      <c r="AK35" s="14">
        <v>6</v>
      </c>
      <c r="AL35" s="14">
        <v>9</v>
      </c>
      <c r="AM35" s="14">
        <v>10</v>
      </c>
      <c r="AN35" s="25">
        <f t="shared" si="16"/>
        <v>12</v>
      </c>
      <c r="AO35" s="4">
        <v>20</v>
      </c>
      <c r="AP35" s="5" t="str">
        <f t="shared" si="128"/>
        <v>0.17 s</v>
      </c>
      <c r="AQ35" s="39" t="str" cm="1">
        <f t="array" aca="1" ref="AQ35" ca="1">_xlfn.TEXTJOIN(";",1,_xlfn.LAMBDA(_xlpm.x,IF(_xlpm.x&lt;&gt;"",OFFSET(_xlpm.x,3-ROW(),0)&amp;"="&amp;_xlpm.x,""))(AR35:AW35))</f>
        <v/>
      </c>
      <c r="AR35" s="22"/>
      <c r="AS35" s="22"/>
      <c r="AT35" s="22"/>
      <c r="AU35" s="22"/>
      <c r="AV35" s="22"/>
      <c r="AW35" s="22"/>
      <c r="AX35" s="5"/>
      <c r="AY35" s="5"/>
      <c r="AZ35" s="5"/>
      <c r="BA35" s="5">
        <f t="shared" si="100"/>
        <v>1</v>
      </c>
      <c r="BC35" s="5">
        <f t="shared" si="18"/>
        <v>0</v>
      </c>
      <c r="BN35" s="5">
        <f>(($T35-1)*$AL35+$AM35)/30</f>
        <v>3.6333333333333333</v>
      </c>
      <c r="BO35" s="5">
        <f>(($T35-1)*($AL35+$AO35/4)+$AM35)/30</f>
        <v>5.4666666666666668</v>
      </c>
      <c r="BP35" s="5">
        <f>$BC35/$BO35</f>
        <v>0</v>
      </c>
      <c r="BQ35" s="5">
        <f>$AB35*$AD35*IF($W35&lt;=0,1,$T35)/120</f>
        <v>1.125</v>
      </c>
      <c r="BR35" s="5">
        <f>$BC35/($BQ35+$BN35)</f>
        <v>0</v>
      </c>
      <c r="BS35" s="5">
        <f>$BC35/($BQ35+$BO35)</f>
        <v>0</v>
      </c>
      <c r="BU35" s="5" t="str">
        <f t="shared" si="19"/>
        <v/>
      </c>
      <c r="BV35" s="5" t="str">
        <f t="shared" si="20"/>
        <v/>
      </c>
    </row>
    <row r="36" spans="1:74" x14ac:dyDescent="0.2">
      <c r="A36" s="27"/>
      <c r="H36" s="14" t="str">
        <f>IF(G36&lt;&gt;"",IFERROR(VLOOKUP(G36,t_proj[#All],2,0),"--"),"")</f>
        <v/>
      </c>
      <c r="R36" s="95" t="str">
        <f t="shared" si="14"/>
        <v/>
      </c>
      <c r="AE36" s="4" t="str" cm="1">
        <f t="array" ref="AE36">_xlfn.TEXTJOIN(";",1,IFERROR(1/AF36:AH36,""))</f>
        <v/>
      </c>
      <c r="AQ36" s="39" t="str" cm="1">
        <f t="array" aca="1" ref="AQ36" ca="1">_xlfn.TEXTJOIN(";",1,_xlfn.LAMBDA(_xlpm.x,IF(_xlpm.x&lt;&gt;"",OFFSET(_xlpm.x,3-ROW(),0)&amp;"="&amp;_xlpm.x,""))(AR36:AW36))</f>
        <v/>
      </c>
      <c r="BC36" s="5" t="str">
        <f t="shared" si="18"/>
        <v/>
      </c>
      <c r="BU36" s="5" t="str">
        <f t="shared" ref="BU36" si="146">_xlfn.LET(_xlpm._level_power,2,IF(BT36&lt;&gt;"",BR36/_xlpm._level_power^BT36,""))</f>
        <v/>
      </c>
      <c r="BV36" s="5" t="str">
        <f t="shared" ref="BV36" si="147">_xlfn.LET(_xlpm._level_power,2,IF($BT36&lt;&gt;"",BR36/_xlpm._level_power^$BT36,""))</f>
        <v/>
      </c>
    </row>
    <row r="37" spans="1:74" x14ac:dyDescent="0.2">
      <c r="A37" s="4">
        <v>1329001</v>
      </c>
      <c r="B37" s="5" t="s">
        <v>604</v>
      </c>
      <c r="C37" s="5" t="s">
        <v>139</v>
      </c>
      <c r="D37" s="5" t="s">
        <v>404</v>
      </c>
      <c r="E37" s="4" t="s">
        <v>145</v>
      </c>
      <c r="F37" s="4" t="s">
        <v>146</v>
      </c>
      <c r="G37" s="4">
        <v>10002</v>
      </c>
      <c r="H37" s="14" t="str">
        <f>IF(G37&lt;&gt;"",IFERROR(VLOOKUP(G37,t_proj[#All],2,0),"--"),"")</f>
        <v>手枪子弹</v>
      </c>
      <c r="I37" s="4" t="str">
        <f t="shared" ref="I37" si="148">_xlfn.TEXTJOIN("~",1,J37:K37)</f>
        <v>60~75</v>
      </c>
      <c r="J37" s="14">
        <v>60</v>
      </c>
      <c r="K37" s="14">
        <v>75</v>
      </c>
      <c r="L37" s="4" t="str">
        <f t="shared" ref="L37" si="149">_xlfn.TEXTJOIN("~",1,M37:N37)</f>
        <v>180~0</v>
      </c>
      <c r="M37" s="14">
        <v>180</v>
      </c>
      <c r="N37" s="14">
        <v>0</v>
      </c>
      <c r="P37" s="4">
        <v>1</v>
      </c>
      <c r="Q37" s="4">
        <v>8</v>
      </c>
      <c r="R37" s="95">
        <f t="shared" si="14"/>
        <v>0.6</v>
      </c>
      <c r="S37" s="4" t="s">
        <v>143</v>
      </c>
      <c r="T37" s="4">
        <v>6</v>
      </c>
      <c r="U37" s="4" t="b">
        <v>0</v>
      </c>
      <c r="V37" s="26"/>
      <c r="W37" s="29">
        <v>1</v>
      </c>
      <c r="X37" s="4">
        <f t="shared" ref="X37" si="150">1/Y37</f>
        <v>1</v>
      </c>
      <c r="Y37" s="64">
        <v>1</v>
      </c>
      <c r="Z37" s="5" t="str">
        <f t="shared" ref="Z37" si="151">TEXT(Y37/120,"0.00")&amp;" s"</f>
        <v>0.01 s</v>
      </c>
      <c r="AA37" s="4">
        <f t="shared" ref="AA37" si="152">1/AB37</f>
        <v>8.3333333333333332E-3</v>
      </c>
      <c r="AB37" s="64">
        <v>120</v>
      </c>
      <c r="AC37" s="5" t="str">
        <f t="shared" ref="AC37" si="153">TEXT(AB37/120,"0.00")&amp;" s"</f>
        <v>1.00 s</v>
      </c>
      <c r="AD37" s="5">
        <v>0.5</v>
      </c>
      <c r="AE37" s="4" t="str" cm="1">
        <f t="array" ref="AE37">_xlfn.TEXTJOIN(";",1,IFERROR(1/AF37:AH37,""))</f>
        <v>0.00833333333333333;0.0166666666666667</v>
      </c>
      <c r="AF37" s="64">
        <v>120</v>
      </c>
      <c r="AG37" s="64">
        <v>60</v>
      </c>
      <c r="AH37" s="64"/>
      <c r="AI37" s="4">
        <f t="shared" ref="AI37" si="154">AK37/AM37</f>
        <v>0.25</v>
      </c>
      <c r="AJ37" s="4">
        <f t="shared" ref="AJ37" si="155">AL37/AM37</f>
        <v>0.375</v>
      </c>
      <c r="AK37" s="14">
        <v>3</v>
      </c>
      <c r="AL37" s="14">
        <v>4.5</v>
      </c>
      <c r="AM37" s="14">
        <v>12</v>
      </c>
      <c r="AN37" s="25">
        <f>($AL37-$AK37)*120/30</f>
        <v>6</v>
      </c>
      <c r="AO37" s="38">
        <v>10</v>
      </c>
      <c r="AP37" s="5" t="str">
        <f t="shared" ref="AP37" si="156">TEXT(AO37/120,"0.00")&amp;" s"</f>
        <v>0.08 s</v>
      </c>
      <c r="AQ37" s="39" t="str" cm="1">
        <f t="array" aca="1" ref="AQ37" ca="1">_xlfn.TEXTJOIN(";",1,_xlfn.LAMBDA(_xlpm.x,IF(_xlpm.x&lt;&gt;"",OFFSET(_xlpm.x,3-ROW(),0)&amp;"="&amp;_xlpm.x,""))(AR37:AW37))</f>
        <v>sharp=38</v>
      </c>
      <c r="AR37" s="18">
        <v>38</v>
      </c>
      <c r="AS37" s="22"/>
      <c r="AT37" s="22"/>
      <c r="AU37" s="22"/>
      <c r="AV37" s="22"/>
      <c r="AW37" s="22"/>
      <c r="AX37" s="5" t="str" cm="1">
        <f t="array" ref="AX37">TEXT(VLOOKUP($A37,battle_data!$A:$G,MATCH(INDEX(_xlfn.TEXTSPLIT(AX$3,"|"),1),battle_data!$A$1:$G$1),0)*0.001,"0%")</f>
        <v>0%</v>
      </c>
      <c r="AY37" s="5" t="str" cm="1">
        <f t="array" ref="AY37">TEXT(VLOOKUP($A37,battle_data!$A:$G,MATCH(INDEX(_xlfn.TEXTSPLIT(AY$3,"|"),1),battle_data!$A$1:$G$1),0)*0.001,"0%")</f>
        <v>10%</v>
      </c>
      <c r="AZ37" s="5" t="str" cm="1">
        <f t="array" ref="AZ37">TEXT(VLOOKUP($A37,battle_data!$A:$G,MATCH(INDEX(_xlfn.TEXTSPLIT(AZ$3,"|"),1),battle_data!$A$1:$G$1),0)*0.001,"0%")</f>
        <v>200%</v>
      </c>
      <c r="BA37" s="5">
        <f t="shared" si="100"/>
        <v>1.1000000000000001</v>
      </c>
      <c r="BC37" s="5">
        <f t="shared" si="18"/>
        <v>250.8</v>
      </c>
      <c r="BF37" s="75"/>
      <c r="BG37" s="75"/>
      <c r="BH37" s="75"/>
      <c r="BI37" s="76"/>
      <c r="BJ37" s="76"/>
      <c r="BK37" s="97"/>
      <c r="BL37" s="76"/>
      <c r="BM37" s="99"/>
      <c r="BN37" s="5">
        <f>(($T37-1)*$AL37+$AM37)/30</f>
        <v>1.1499999999999999</v>
      </c>
      <c r="BO37" s="5">
        <f>(($T37-1)*($AL37+$AO37/4)+$AM37)/30</f>
        <v>1.5666666666666667</v>
      </c>
      <c r="BP37" s="5">
        <f t="shared" ref="BP37" si="157">$BC37/$BO37</f>
        <v>160.08510638297872</v>
      </c>
      <c r="BQ37" s="5">
        <f>$AB37*$AD37*IF($W37&lt;=0,1,$T37)/120</f>
        <v>3</v>
      </c>
      <c r="BR37" s="5">
        <f>BP37</f>
        <v>160.08510638297872</v>
      </c>
      <c r="BS37" s="5">
        <f t="shared" ref="BS37" si="158">$BC37/($BQ37+$BO37)</f>
        <v>54.919708029197089</v>
      </c>
      <c r="BT37" s="5">
        <v>0</v>
      </c>
      <c r="BU37" s="5">
        <f t="shared" ref="BU37" si="159">_xlfn.LET(_xlpm._level_power,2,IF(BT37&lt;&gt;"",BR37/_xlpm._level_power^BT37,""))</f>
        <v>160.08510638297872</v>
      </c>
      <c r="BV37" s="5">
        <f t="shared" si="20"/>
        <v>160.08510638297872</v>
      </c>
    </row>
    <row r="38" spans="1:74" x14ac:dyDescent="0.2">
      <c r="A38" s="27"/>
      <c r="H38" s="14" t="str">
        <f>IF(G38&lt;&gt;"",IFERROR(VLOOKUP(G38,t_proj[#All],2,0),"--"),"")</f>
        <v/>
      </c>
      <c r="R38" s="95" t="str">
        <f t="shared" si="14"/>
        <v/>
      </c>
      <c r="AE38" s="4" t="str" cm="1">
        <f t="array" ref="AE38">_xlfn.TEXTJOIN(";",1,IFERROR(1/AF38:AH38,""))</f>
        <v/>
      </c>
      <c r="AQ38" s="39" t="str" cm="1">
        <f t="array" aca="1" ref="AQ38" ca="1">_xlfn.TEXTJOIN(";",1,_xlfn.LAMBDA(_xlpm.x,IF(_xlpm.x&lt;&gt;"",OFFSET(_xlpm.x,3-ROW(),0)&amp;"="&amp;_xlpm.x,""))(AR38:AW38))</f>
        <v/>
      </c>
      <c r="BC38" s="5" t="str">
        <f t="shared" si="18"/>
        <v/>
      </c>
      <c r="BU38" s="5" t="str">
        <f t="shared" si="19"/>
        <v/>
      </c>
      <c r="BV38" s="5" t="str">
        <f t="shared" si="20"/>
        <v/>
      </c>
    </row>
    <row r="39" spans="1:74" x14ac:dyDescent="0.2">
      <c r="A39" s="27">
        <v>1330104</v>
      </c>
      <c r="B39" s="5" t="s">
        <v>170</v>
      </c>
      <c r="C39" s="5" t="s">
        <v>139</v>
      </c>
      <c r="D39" s="5" t="s">
        <v>171</v>
      </c>
      <c r="E39" s="4" t="s">
        <v>172</v>
      </c>
      <c r="F39" s="4" t="s">
        <v>146</v>
      </c>
      <c r="G39" s="4">
        <v>10008</v>
      </c>
      <c r="H39" s="14" t="str">
        <f>IF(G39&lt;&gt;"",IFERROR(VLOOKUP(G39,t_proj[#All],2,0),"--"),"")</f>
        <v>飞针</v>
      </c>
      <c r="I39" s="4" t="str">
        <f>_xlfn.TEXTJOIN("~",1,J39:K39)</f>
        <v>3~5</v>
      </c>
      <c r="J39" s="14">
        <v>3</v>
      </c>
      <c r="K39" s="14">
        <v>5</v>
      </c>
      <c r="L39" s="4" t="str">
        <f>_xlfn.TEXTJOIN("~",1,M39:N39)</f>
        <v>2000~0</v>
      </c>
      <c r="M39" s="14">
        <v>2000</v>
      </c>
      <c r="N39" s="14">
        <v>0</v>
      </c>
      <c r="P39" s="4">
        <v>1</v>
      </c>
      <c r="Q39" s="4">
        <v>30</v>
      </c>
      <c r="R39" s="95">
        <f t="shared" si="14"/>
        <v>-0.5</v>
      </c>
      <c r="S39" s="4" t="s">
        <v>143</v>
      </c>
      <c r="T39" s="4">
        <v>490</v>
      </c>
      <c r="U39" s="4" t="b">
        <v>0</v>
      </c>
      <c r="V39" s="26"/>
      <c r="X39" s="4">
        <f>1/Y39</f>
        <v>5.208333333333333E-3</v>
      </c>
      <c r="Y39" s="24">
        <v>192</v>
      </c>
      <c r="Z39" s="5" t="str">
        <f>TEXT(Y39/120,"0.00")&amp;" s"</f>
        <v>1.60 s</v>
      </c>
      <c r="AA39" s="4">
        <f>1/AB39</f>
        <v>5.208333333333333E-3</v>
      </c>
      <c r="AB39" s="24">
        <v>192</v>
      </c>
      <c r="AC39" s="5" t="str">
        <f>TEXT(AB39/120,"0.00")&amp;" s"</f>
        <v>1.60 s</v>
      </c>
      <c r="AD39" s="5">
        <v>1</v>
      </c>
      <c r="AE39" s="4" t="str" cm="1">
        <f t="array" ref="AE39">_xlfn.TEXTJOIN(";",1,IFERROR(1/AF39:AH39,""))</f>
        <v>0.00520833333333333;0.00520833333333333</v>
      </c>
      <c r="AF39" s="24">
        <v>192</v>
      </c>
      <c r="AG39" s="24">
        <v>192</v>
      </c>
      <c r="AI39" s="4">
        <f>AK39/AM39</f>
        <v>0.5</v>
      </c>
      <c r="AJ39" s="4">
        <f>AL39/AM39</f>
        <v>0.55000000000000004</v>
      </c>
      <c r="AK39" s="14">
        <v>5</v>
      </c>
      <c r="AL39" s="14">
        <v>5.5</v>
      </c>
      <c r="AM39" s="14">
        <v>10</v>
      </c>
      <c r="AN39" s="25">
        <f>($AL39-$AK39)*120/30</f>
        <v>2</v>
      </c>
      <c r="AO39" s="4">
        <v>10</v>
      </c>
      <c r="AP39" s="5" t="str">
        <f>TEXT(AO39/120,"0.00")&amp;" s"</f>
        <v>0.08 s</v>
      </c>
      <c r="AQ39" s="39" t="str" cm="1">
        <f t="array" aca="1" ref="AQ39" ca="1">_xlfn.TEXTJOIN(";",1,_xlfn.LAMBDA(_xlpm.x,IF(_xlpm.x&lt;&gt;"",OFFSET(_xlpm.x,3-ROW(),0)&amp;"="&amp;_xlpm.x,""))(AR39:AW39))</f>
        <v>sharp=12</v>
      </c>
      <c r="AR39" s="18">
        <v>12</v>
      </c>
      <c r="AS39" s="22"/>
      <c r="AT39" s="22"/>
      <c r="AU39" s="22"/>
      <c r="AV39" s="22"/>
      <c r="AW39" s="22"/>
      <c r="AX39" s="5" t="str" cm="1">
        <f t="array" ref="AX39">TEXT(VLOOKUP($A39,battle_data!$A:$G,MATCH(INDEX(_xlfn.TEXTSPLIT(AX$3,"|"),1),battle_data!$A$1:$G$1),0)*0.001,"0%")</f>
        <v>0%</v>
      </c>
      <c r="AY39" s="5" t="str" cm="1">
        <f t="array" ref="AY39">TEXT(VLOOKUP($A39,battle_data!$A:$G,MATCH(INDEX(_xlfn.TEXTSPLIT(AY$3,"|"),1),battle_data!$A$1:$G$1),0)*0.001,"0%")</f>
        <v>0%</v>
      </c>
      <c r="AZ39" s="5" t="str" cm="1">
        <f t="array" ref="AZ39">TEXT(VLOOKUP($A39,battle_data!$A:$G,MATCH(INDEX(_xlfn.TEXTSPLIT(AZ$3,"|"),1),battle_data!$A$1:$G$1),0)*0.001,"0%")</f>
        <v>0%</v>
      </c>
      <c r="BA39" s="5">
        <f t="shared" si="100"/>
        <v>1</v>
      </c>
      <c r="BC39" s="5">
        <f t="shared" si="18"/>
        <v>5880</v>
      </c>
      <c r="BI39" s="50">
        <v>1</v>
      </c>
      <c r="BN39" s="5">
        <f>(($T39-1)*$AL39+$AM39)/30</f>
        <v>89.983333333333334</v>
      </c>
      <c r="BO39" s="5">
        <f>(($T39-1)*($AL39+$AO39/4)+$AM39)/30</f>
        <v>130.73333333333332</v>
      </c>
      <c r="BP39" s="5">
        <f>$BC39/$BO39</f>
        <v>44.977052524222337</v>
      </c>
      <c r="BQ39" s="5">
        <f>$AB39*$AD39*IF($W39&lt;=0,1,$T39)/120</f>
        <v>1.6</v>
      </c>
      <c r="BR39" s="5">
        <f>$BC39/($BQ39+$BN39)</f>
        <v>64.203821656050962</v>
      </c>
      <c r="BS39" s="5">
        <f>$BC39/($BQ39+$BO39)</f>
        <v>44.433249370277082</v>
      </c>
      <c r="BT39" s="5">
        <v>1</v>
      </c>
      <c r="BU39" s="5">
        <f t="shared" si="19"/>
        <v>32.101910828025481</v>
      </c>
      <c r="BV39" s="5">
        <f t="shared" si="20"/>
        <v>32.101910828025481</v>
      </c>
    </row>
    <row r="40" spans="1:74" x14ac:dyDescent="0.2">
      <c r="H40" s="14" t="str">
        <f>IF(G40&lt;&gt;"",IFERROR(VLOOKUP(G40,t_proj[#All],2,0),"--"),"")</f>
        <v/>
      </c>
      <c r="R40" s="95" t="str">
        <f t="shared" si="14"/>
        <v/>
      </c>
      <c r="AQ40" s="39" t="str" cm="1">
        <f t="array" aca="1" ref="AQ40" ca="1">_xlfn.TEXTJOIN(";",1,_xlfn.LAMBDA(_xlpm.x,IF(_xlpm.x&lt;&gt;"",OFFSET(_xlpm.x,3-ROW(),0)&amp;"="&amp;_xlpm.x,""))(AR40:AW40))</f>
        <v/>
      </c>
      <c r="BC40" s="5" t="str">
        <f t="shared" ref="BC40:BC48" si="160">IF(A40&lt;&gt;"",SUM($AR40:$AW40)*$BA40*$P40*$T40,"")</f>
        <v/>
      </c>
      <c r="BU40" s="5" t="str">
        <f t="shared" si="19"/>
        <v/>
      </c>
      <c r="BV40" s="5" t="str">
        <f t="shared" si="20"/>
        <v/>
      </c>
    </row>
    <row r="41" spans="1:74" x14ac:dyDescent="0.2">
      <c r="A41" s="27"/>
      <c r="H41" s="14" t="str">
        <f>IF(G41&lt;&gt;"",IFERROR(VLOOKUP(G41,t_proj[#All],2,0),"--"),"")</f>
        <v/>
      </c>
      <c r="R41" s="95" t="str">
        <f t="shared" si="14"/>
        <v/>
      </c>
      <c r="AQ41" s="39" t="str" cm="1">
        <f t="array" aca="1" ref="AQ41" ca="1">_xlfn.TEXTJOIN(";",1,_xlfn.LAMBDA(_xlpm.x,IF(_xlpm.x&lt;&gt;"",OFFSET(_xlpm.x,3-ROW(),0)&amp;"="&amp;_xlpm.x,""))(AR41:AW41))</f>
        <v/>
      </c>
      <c r="BC41" s="5" t="str">
        <f t="shared" si="160"/>
        <v/>
      </c>
    </row>
    <row r="42" spans="1:74" x14ac:dyDescent="0.2">
      <c r="H42" s="14" t="str">
        <f>IF(G42&lt;&gt;"",IFERROR(VLOOKUP(G42,t_proj[#All],2,0),"--"),"")</f>
        <v/>
      </c>
      <c r="R42" s="95" t="str">
        <f t="shared" si="14"/>
        <v/>
      </c>
      <c r="AQ42" s="39" t="str" cm="1">
        <f t="array" aca="1" ref="AQ42" ca="1">_xlfn.TEXTJOIN(";",1,_xlfn.LAMBDA(_xlpm.x,IF(_xlpm.x&lt;&gt;"",OFFSET(_xlpm.x,3-ROW(),0)&amp;"="&amp;_xlpm.x,""))(AR42:AW42))</f>
        <v/>
      </c>
      <c r="BC42" s="5" t="str">
        <f t="shared" si="160"/>
        <v/>
      </c>
    </row>
    <row r="43" spans="1:74" x14ac:dyDescent="0.2">
      <c r="A43" s="4">
        <v>201104</v>
      </c>
      <c r="B43" s="5" t="s">
        <v>173</v>
      </c>
      <c r="C43" s="5" t="s">
        <v>174</v>
      </c>
      <c r="D43" s="5" t="s">
        <v>175</v>
      </c>
      <c r="E43" s="28"/>
      <c r="F43" s="28"/>
      <c r="G43" s="4">
        <v>20101</v>
      </c>
      <c r="H43" s="14" t="str">
        <f>IF(G43&lt;&gt;"",IFERROR(VLOOKUP(G43,t_proj[#All],2,0),"--"),"")</f>
        <v>洞穴人(标枪)</v>
      </c>
      <c r="I43" s="4" t="str">
        <f t="shared" ref="I43:I48" si="161">_xlfn.TEXTJOIN("~",1,J43:K43)</f>
        <v>5~12</v>
      </c>
      <c r="J43" s="14">
        <v>5</v>
      </c>
      <c r="K43" s="14">
        <v>12</v>
      </c>
      <c r="L43" s="4" t="str">
        <f t="shared" ref="L43" si="162">_xlfn.TEXTJOIN("~",1,M43:N43)</f>
        <v>1500~0</v>
      </c>
      <c r="M43" s="14">
        <v>1500</v>
      </c>
      <c r="N43" s="14">
        <v>0</v>
      </c>
      <c r="P43" s="4">
        <v>1</v>
      </c>
      <c r="Q43" s="4">
        <v>2</v>
      </c>
      <c r="R43" s="95">
        <f t="shared" si="14"/>
        <v>0.9</v>
      </c>
      <c r="S43" s="4" t="s">
        <v>143</v>
      </c>
      <c r="T43" s="30">
        <v>1</v>
      </c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>
        <v>30</v>
      </c>
      <c r="AO43" s="4">
        <v>360</v>
      </c>
      <c r="AP43" s="5" t="str">
        <f t="shared" ref="AP43" si="163">TEXT(AO43/120,"0.00")&amp;" s"</f>
        <v>3.00 s</v>
      </c>
      <c r="AQ43" s="39" t="str" cm="1">
        <f t="array" aca="1" ref="AQ43" ca="1">_xlfn.TEXTJOIN(";",1,_xlfn.LAMBDA(_xlpm.x,IF(_xlpm.x&lt;&gt;"",OFFSET(_xlpm.x,3-ROW(),0)&amp;"="&amp;_xlpm.x,""))(AR43:AW43))</f>
        <v>sharp=5</v>
      </c>
      <c r="AR43" s="18">
        <v>5</v>
      </c>
      <c r="AS43" s="22"/>
      <c r="AT43" s="22"/>
      <c r="AU43" s="22"/>
      <c r="AV43" s="22"/>
      <c r="AW43" s="22"/>
      <c r="AY43" s="28"/>
      <c r="AZ43" s="28"/>
      <c r="BA43" s="5">
        <f t="shared" ref="BA43:BA56" si="164">_xlfn.LET(_xlpm.p,($AY43),_xlpm.p*$AZ43+(1-_xlpm.p))</f>
        <v>1</v>
      </c>
      <c r="BC43" s="5">
        <f t="shared" si="160"/>
        <v>5</v>
      </c>
      <c r="BN43" s="5">
        <f t="shared" ref="BN43:BN48" si="165">(($T43-1)*$AL43+$AM43)/30</f>
        <v>1</v>
      </c>
      <c r="BO43" s="5">
        <f t="shared" ref="BO43:BO48" si="166">(($T43-1)*($AL43+$AO43/4)+$AM43)/30</f>
        <v>1</v>
      </c>
      <c r="BP43" s="5">
        <f t="shared" ref="BP43:BP48" si="167">$BC43/$BO43</f>
        <v>5</v>
      </c>
    </row>
    <row r="44" spans="1:74" x14ac:dyDescent="0.2">
      <c r="A44" s="4">
        <v>201105</v>
      </c>
      <c r="B44" s="5" t="s">
        <v>176</v>
      </c>
      <c r="C44" s="5" t="s">
        <v>174</v>
      </c>
      <c r="D44" s="5" t="s">
        <v>177</v>
      </c>
      <c r="E44" s="28"/>
      <c r="F44" s="28"/>
      <c r="G44" s="4">
        <v>20101</v>
      </c>
      <c r="H44" s="14" t="str">
        <f>IF(G44&lt;&gt;"",IFERROR(VLOOKUP(G44,t_proj[#All],2,0),"--"),"")</f>
        <v>洞穴人(标枪)</v>
      </c>
      <c r="I44" s="4" t="str">
        <f t="shared" si="161"/>
        <v>4.5~11.5</v>
      </c>
      <c r="J44" s="14">
        <v>4.5</v>
      </c>
      <c r="K44" s="14">
        <v>11.5</v>
      </c>
      <c r="L44" s="4" t="str">
        <f t="shared" ref="L44" si="168">_xlfn.TEXTJOIN("~",1,M44:N44)</f>
        <v>1500~0</v>
      </c>
      <c r="M44" s="14">
        <v>1500</v>
      </c>
      <c r="N44" s="14">
        <v>0</v>
      </c>
      <c r="P44" s="4">
        <v>1</v>
      </c>
      <c r="Q44" s="4">
        <v>2.5</v>
      </c>
      <c r="R44" s="95">
        <f t="shared" si="14"/>
        <v>0.875</v>
      </c>
      <c r="S44" s="4" t="s">
        <v>143</v>
      </c>
      <c r="T44" s="30">
        <v>1</v>
      </c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>
        <v>30</v>
      </c>
      <c r="AO44" s="4">
        <v>240</v>
      </c>
      <c r="AP44" s="5" t="str">
        <f t="shared" ref="AP44" si="169">TEXT(AO44/120,"0.00")&amp;" s"</f>
        <v>2.00 s</v>
      </c>
      <c r="AQ44" s="39" t="str" cm="1">
        <f t="array" aca="1" ref="AQ44" ca="1">_xlfn.TEXTJOIN(";",1,_xlfn.LAMBDA(_xlpm.x,IF(_xlpm.x&lt;&gt;"",OFFSET(_xlpm.x,3-ROW(),0)&amp;"="&amp;_xlpm.x,""))(AR44:AW44))</f>
        <v>sharp=6</v>
      </c>
      <c r="AR44" s="18">
        <v>6</v>
      </c>
      <c r="AS44" s="22"/>
      <c r="AT44" s="22"/>
      <c r="AU44" s="22"/>
      <c r="AV44" s="22"/>
      <c r="AW44" s="22"/>
      <c r="AY44" s="28"/>
      <c r="AZ44" s="28"/>
      <c r="BA44" s="5">
        <f t="shared" si="164"/>
        <v>1</v>
      </c>
      <c r="BC44" s="5">
        <f t="shared" si="160"/>
        <v>6</v>
      </c>
      <c r="BN44" s="5">
        <f t="shared" si="165"/>
        <v>1</v>
      </c>
      <c r="BO44" s="5">
        <f t="shared" si="166"/>
        <v>1</v>
      </c>
      <c r="BP44" s="5">
        <f t="shared" si="167"/>
        <v>6</v>
      </c>
    </row>
    <row r="45" spans="1:74" x14ac:dyDescent="0.2">
      <c r="A45" s="4">
        <v>201106</v>
      </c>
      <c r="B45" s="5" t="s">
        <v>178</v>
      </c>
      <c r="C45" s="5" t="s">
        <v>174</v>
      </c>
      <c r="D45" s="5" t="s">
        <v>179</v>
      </c>
      <c r="E45" s="28"/>
      <c r="F45" s="28"/>
      <c r="G45" s="4">
        <v>20101</v>
      </c>
      <c r="H45" s="14" t="str">
        <f>IF(G45&lt;&gt;"",IFERROR(VLOOKUP(G45,t_proj[#All],2,0),"--"),"")</f>
        <v>洞穴人(标枪)</v>
      </c>
      <c r="I45" s="4" t="str">
        <f t="shared" si="161"/>
        <v>4.5~11</v>
      </c>
      <c r="J45" s="14">
        <v>4.5</v>
      </c>
      <c r="K45" s="14">
        <v>11</v>
      </c>
      <c r="L45" s="4" t="str">
        <f t="shared" ref="L45:L46" si="170">_xlfn.TEXTJOIN("~",1,M45:N45)</f>
        <v>1500~0</v>
      </c>
      <c r="M45" s="14">
        <v>1500</v>
      </c>
      <c r="N45" s="14">
        <v>0</v>
      </c>
      <c r="P45" s="4">
        <v>1</v>
      </c>
      <c r="Q45" s="4">
        <v>3</v>
      </c>
      <c r="R45" s="95">
        <f t="shared" si="14"/>
        <v>0.85</v>
      </c>
      <c r="S45" s="4" t="s">
        <v>143</v>
      </c>
      <c r="T45" s="30">
        <v>1</v>
      </c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>
        <v>35</v>
      </c>
      <c r="AO45" s="4">
        <v>960</v>
      </c>
      <c r="AP45" s="5" t="str">
        <f t="shared" ref="AP45:AP46" si="171">TEXT(AO45/120,"0.00")&amp;" s"</f>
        <v>8.00 s</v>
      </c>
      <c r="AQ45" s="39" t="str" cm="1">
        <f t="array" aca="1" ref="AQ45" ca="1">_xlfn.TEXTJOIN(";",1,_xlfn.LAMBDA(_xlpm.x,IF(_xlpm.x&lt;&gt;"",OFFSET(_xlpm.x,3-ROW(),0)&amp;"="&amp;_xlpm.x,""))(AR45:AW45))</f>
        <v>sharp=6</v>
      </c>
      <c r="AR45" s="18">
        <v>6</v>
      </c>
      <c r="AS45" s="22"/>
      <c r="AT45" s="22"/>
      <c r="AU45" s="22"/>
      <c r="AV45" s="22"/>
      <c r="AW45" s="22"/>
      <c r="AY45" s="28"/>
      <c r="AZ45" s="28"/>
      <c r="BA45" s="5">
        <f t="shared" si="164"/>
        <v>1</v>
      </c>
      <c r="BC45" s="5">
        <f t="shared" si="160"/>
        <v>6</v>
      </c>
      <c r="BN45" s="5">
        <f t="shared" si="165"/>
        <v>1.1666666666666667</v>
      </c>
      <c r="BO45" s="5">
        <f t="shared" si="166"/>
        <v>1.1666666666666667</v>
      </c>
      <c r="BP45" s="5">
        <f t="shared" si="167"/>
        <v>5.1428571428571423</v>
      </c>
    </row>
    <row r="46" spans="1:74" x14ac:dyDescent="0.2">
      <c r="A46" s="4">
        <v>201107</v>
      </c>
      <c r="B46" s="5" t="s">
        <v>180</v>
      </c>
      <c r="C46" s="5" t="s">
        <v>174</v>
      </c>
      <c r="D46" s="5" t="s">
        <v>181</v>
      </c>
      <c r="E46" s="28"/>
      <c r="F46" s="28"/>
      <c r="G46" s="4">
        <v>20102</v>
      </c>
      <c r="H46" s="14" t="str">
        <f>IF(G46&lt;&gt;"",IFERROR(VLOOKUP(G46,t_proj[#All],2,0),"--"),"")</f>
        <v>洞穴人流浪者</v>
      </c>
      <c r="I46" s="4" t="str">
        <f t="shared" si="161"/>
        <v>5.5~15</v>
      </c>
      <c r="J46" s="14">
        <v>5.5</v>
      </c>
      <c r="K46" s="14">
        <v>15</v>
      </c>
      <c r="L46" s="4" t="str">
        <f t="shared" si="170"/>
        <v>1500~0</v>
      </c>
      <c r="M46" s="14">
        <v>1500</v>
      </c>
      <c r="N46" s="14">
        <v>0</v>
      </c>
      <c r="P46" s="4">
        <v>1</v>
      </c>
      <c r="Q46" s="4">
        <v>2</v>
      </c>
      <c r="R46" s="95">
        <f t="shared" si="14"/>
        <v>0.9</v>
      </c>
      <c r="S46" s="4" t="s">
        <v>143</v>
      </c>
      <c r="T46" s="30">
        <v>1</v>
      </c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>
        <v>30</v>
      </c>
      <c r="AO46" s="4">
        <v>180</v>
      </c>
      <c r="AP46" s="5" t="str">
        <f t="shared" si="171"/>
        <v>1.50 s</v>
      </c>
      <c r="AQ46" s="39" t="str" cm="1">
        <f t="array" aca="1" ref="AQ46" ca="1">_xlfn.TEXTJOIN(";",1,_xlfn.LAMBDA(_xlpm.x,IF(_xlpm.x&lt;&gt;"",OFFSET(_xlpm.x,3-ROW(),0)&amp;"="&amp;_xlpm.x,""))(AR46:AW46))</f>
        <v>blunt=2</v>
      </c>
      <c r="AR46" s="22"/>
      <c r="AS46" s="18">
        <v>2</v>
      </c>
      <c r="AT46" s="22"/>
      <c r="AU46" s="22"/>
      <c r="AV46" s="22"/>
      <c r="AW46" s="22"/>
      <c r="AY46" s="28"/>
      <c r="AZ46" s="28"/>
      <c r="BA46" s="5">
        <f t="shared" si="164"/>
        <v>1</v>
      </c>
      <c r="BC46" s="5">
        <f t="shared" si="160"/>
        <v>2</v>
      </c>
      <c r="BN46" s="5">
        <f t="shared" si="165"/>
        <v>1</v>
      </c>
      <c r="BO46" s="5">
        <f t="shared" si="166"/>
        <v>1</v>
      </c>
      <c r="BP46" s="5">
        <f t="shared" si="167"/>
        <v>2</v>
      </c>
    </row>
    <row r="47" spans="1:74" x14ac:dyDescent="0.2">
      <c r="A47" s="4">
        <v>201108</v>
      </c>
      <c r="B47" s="5" t="s">
        <v>182</v>
      </c>
      <c r="C47" s="5" t="s">
        <v>174</v>
      </c>
      <c r="D47" s="5" t="s">
        <v>183</v>
      </c>
      <c r="E47" s="28"/>
      <c r="F47" s="28"/>
      <c r="G47" s="4">
        <v>20103</v>
      </c>
      <c r="H47" s="14" t="str">
        <f>IF(G47&lt;&gt;"",IFERROR(VLOOKUP(G47,t_proj[#All],2,0),"--"),"")</f>
        <v>洞穴人纵火者</v>
      </c>
      <c r="I47" s="4" t="str">
        <f t="shared" si="161"/>
        <v>4~9</v>
      </c>
      <c r="J47" s="14">
        <v>4</v>
      </c>
      <c r="K47" s="14">
        <v>9</v>
      </c>
      <c r="L47" s="4" t="str">
        <f t="shared" ref="L47" si="172">_xlfn.TEXTJOIN("~",1,M47:N47)</f>
        <v>1500~0</v>
      </c>
      <c r="M47" s="14">
        <v>1500</v>
      </c>
      <c r="N47" s="14">
        <v>0</v>
      </c>
      <c r="P47" s="4">
        <v>1</v>
      </c>
      <c r="Q47" s="4">
        <v>2.5</v>
      </c>
      <c r="R47" s="95">
        <f t="shared" si="14"/>
        <v>0.875</v>
      </c>
      <c r="S47" s="4" t="s">
        <v>143</v>
      </c>
      <c r="T47" s="30">
        <v>1</v>
      </c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>
        <v>30</v>
      </c>
      <c r="AO47" s="4">
        <v>720</v>
      </c>
      <c r="AP47" s="5" t="str">
        <f t="shared" ref="AP47" si="173">TEXT(AO47/120,"0.00")&amp;" s"</f>
        <v>6.00 s</v>
      </c>
      <c r="AQ47" s="39" t="str" cm="1">
        <f t="array" aca="1" ref="AQ47" ca="1">_xlfn.TEXTJOIN(";",1,_xlfn.LAMBDA(_xlpm.x,IF(_xlpm.x&lt;&gt;"",OFFSET(_xlpm.x,3-ROW(),0)&amp;"="&amp;_xlpm.x,""))(AR47:AW47))</f>
        <v>sharp=4</v>
      </c>
      <c r="AR47" s="18">
        <v>4</v>
      </c>
      <c r="AS47" s="22"/>
      <c r="AT47" s="22"/>
      <c r="AU47" s="22"/>
      <c r="AV47" s="22"/>
      <c r="AW47" s="22"/>
      <c r="AY47" s="28"/>
      <c r="AZ47" s="28"/>
      <c r="BA47" s="5">
        <f t="shared" si="164"/>
        <v>1</v>
      </c>
      <c r="BC47" s="5">
        <f t="shared" si="160"/>
        <v>4</v>
      </c>
      <c r="BN47" s="5">
        <f t="shared" si="165"/>
        <v>1</v>
      </c>
      <c r="BO47" s="5">
        <f t="shared" si="166"/>
        <v>1</v>
      </c>
      <c r="BP47" s="5">
        <f t="shared" si="167"/>
        <v>4</v>
      </c>
    </row>
    <row r="48" spans="1:74" x14ac:dyDescent="0.2">
      <c r="A48" s="4">
        <v>201109</v>
      </c>
      <c r="B48" s="5" t="s">
        <v>184</v>
      </c>
      <c r="C48" s="5" t="s">
        <v>174</v>
      </c>
      <c r="D48" s="5" t="s">
        <v>185</v>
      </c>
      <c r="E48" s="28"/>
      <c r="F48" s="28"/>
      <c r="G48" s="4">
        <v>20104</v>
      </c>
      <c r="H48" s="14" t="str">
        <f>IF(G48&lt;&gt;"",IFERROR(VLOOKUP(G48,t_proj[#All],2,0),"--"),"")</f>
        <v>洞穴人暴徒</v>
      </c>
      <c r="I48" s="4" t="str">
        <f t="shared" si="161"/>
        <v>5~12</v>
      </c>
      <c r="J48" s="14">
        <v>5</v>
      </c>
      <c r="K48" s="14">
        <v>12</v>
      </c>
      <c r="L48" s="4" t="str">
        <f t="shared" ref="L48" si="174">_xlfn.TEXTJOIN("~",1,M48:N48)</f>
        <v>1500~0</v>
      </c>
      <c r="M48" s="14">
        <v>1500</v>
      </c>
      <c r="N48" s="14">
        <v>0</v>
      </c>
      <c r="P48" s="4">
        <v>1</v>
      </c>
      <c r="Q48" s="4">
        <v>2</v>
      </c>
      <c r="R48" s="95">
        <f t="shared" si="14"/>
        <v>0.9</v>
      </c>
      <c r="S48" s="4" t="s">
        <v>143</v>
      </c>
      <c r="T48" s="30">
        <v>1</v>
      </c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>
        <v>30</v>
      </c>
      <c r="AO48" s="4">
        <v>540</v>
      </c>
      <c r="AP48" s="5" t="str">
        <f t="shared" ref="AP48" si="175">TEXT(AO48/120,"0.00")&amp;" s"</f>
        <v>4.50 s</v>
      </c>
      <c r="AQ48" s="39" t="str" cm="1">
        <f t="array" aca="1" ref="AQ48" ca="1">_xlfn.TEXTJOIN(";",1,_xlfn.LAMBDA(_xlpm.x,IF(_xlpm.x&lt;&gt;"",OFFSET(_xlpm.x,3-ROW(),0)&amp;"="&amp;_xlpm.x,""))(AR48:AW48))</f>
        <v>sharp=5;fire=2</v>
      </c>
      <c r="AR48" s="18">
        <v>5</v>
      </c>
      <c r="AS48" s="22"/>
      <c r="AT48" s="18">
        <v>2</v>
      </c>
      <c r="AU48" s="22"/>
      <c r="AV48" s="22"/>
      <c r="AW48" s="22"/>
      <c r="AY48" s="28"/>
      <c r="AZ48" s="28"/>
      <c r="BA48" s="5">
        <f t="shared" si="164"/>
        <v>1</v>
      </c>
      <c r="BC48" s="5">
        <f t="shared" si="160"/>
        <v>7</v>
      </c>
      <c r="BN48" s="5">
        <f t="shared" si="165"/>
        <v>1</v>
      </c>
      <c r="BO48" s="5">
        <f t="shared" si="166"/>
        <v>1</v>
      </c>
      <c r="BP48" s="5">
        <f t="shared" si="167"/>
        <v>7</v>
      </c>
    </row>
    <row r="49" spans="1:68" x14ac:dyDescent="0.2">
      <c r="H49" s="14" t="str">
        <f>IF(G49&lt;&gt;"",IFERROR(VLOOKUP(G49,t_proj[#All],2,0),"--"),"")</f>
        <v/>
      </c>
      <c r="R49" s="95" t="str">
        <f t="shared" si="14"/>
        <v/>
      </c>
    </row>
    <row r="50" spans="1:68" x14ac:dyDescent="0.2">
      <c r="A50" s="4">
        <v>201709</v>
      </c>
      <c r="B50" s="5" t="s">
        <v>385</v>
      </c>
      <c r="C50" s="5" t="s">
        <v>174</v>
      </c>
      <c r="D50" s="5" t="s">
        <v>292</v>
      </c>
      <c r="E50" s="28"/>
      <c r="F50" s="28"/>
      <c r="G50" s="4">
        <v>20701</v>
      </c>
      <c r="H50" s="14" t="s">
        <v>384</v>
      </c>
      <c r="I50" s="4" t="str">
        <f>_xlfn.TEXTJOIN("~",1,J50:K50)</f>
        <v>22~26</v>
      </c>
      <c r="J50" s="14">
        <v>22</v>
      </c>
      <c r="K50" s="14">
        <v>26</v>
      </c>
      <c r="L50" s="4" t="str">
        <f t="shared" ref="L50" si="176">_xlfn.TEXTJOIN("~",1,M50:N50)</f>
        <v>50~60</v>
      </c>
      <c r="M50" s="14">
        <v>50</v>
      </c>
      <c r="N50" s="14">
        <v>60</v>
      </c>
      <c r="P50" s="4">
        <v>1</v>
      </c>
      <c r="Q50" s="4">
        <v>0</v>
      </c>
      <c r="R50" s="95">
        <f t="shared" si="14"/>
        <v>1</v>
      </c>
      <c r="S50" s="4" t="s">
        <v>143</v>
      </c>
      <c r="T50" s="30">
        <v>1</v>
      </c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>
        <v>30</v>
      </c>
      <c r="AO50" s="4">
        <v>2048</v>
      </c>
      <c r="AP50" s="5" t="str">
        <f t="shared" ref="AP50" si="177">TEXT(AO50/120,"0.00")&amp;" s"</f>
        <v>17.07 s</v>
      </c>
      <c r="AQ50" s="39" t="str" cm="1">
        <f t="array" aca="1" ref="AQ50" ca="1">_xlfn.TEXTJOIN(";",1,_xlfn.LAMBDA(_xlpm.x,IF(_xlpm.x&lt;&gt;"",OFFSET(_xlpm.x,3-ROW(),0)&amp;"="&amp;_xlpm.x,""))(AR50:AW50))</f>
        <v>sharp=3</v>
      </c>
      <c r="AR50" s="18">
        <v>3</v>
      </c>
      <c r="AS50" s="22"/>
      <c r="AT50" s="22"/>
      <c r="AU50" s="22"/>
      <c r="AV50" s="22"/>
      <c r="AW50" s="22"/>
      <c r="AY50" s="28"/>
      <c r="AZ50" s="28"/>
      <c r="BA50" s="5">
        <f t="shared" si="164"/>
        <v>1</v>
      </c>
      <c r="BC50" s="5">
        <f>IF(A50&lt;&gt;"",SUM($AR50:$AW50)*$BA50*$P50*$T50,"")</f>
        <v>3</v>
      </c>
      <c r="BN50" s="5">
        <f>(($T50-1)*$AL50+$AM50)/30</f>
        <v>1</v>
      </c>
      <c r="BO50" s="5">
        <f>(($T50-1)*($AL50+$AO50/4)+$AM50)/30</f>
        <v>1</v>
      </c>
      <c r="BP50" s="5">
        <f>$BC50/$BO50</f>
        <v>3</v>
      </c>
    </row>
    <row r="51" spans="1:68" x14ac:dyDescent="0.2">
      <c r="A51" s="4">
        <v>201710</v>
      </c>
      <c r="B51" s="5" t="s">
        <v>383</v>
      </c>
      <c r="C51" s="5" t="s">
        <v>174</v>
      </c>
      <c r="D51" s="5" t="s">
        <v>292</v>
      </c>
      <c r="E51" s="28"/>
      <c r="F51" s="28"/>
      <c r="G51" s="4">
        <v>20701</v>
      </c>
      <c r="H51" s="14" t="s">
        <v>382</v>
      </c>
      <c r="I51" s="4" t="str">
        <f>_xlfn.TEXTJOIN("~",1,J51:K51)</f>
        <v>16~20</v>
      </c>
      <c r="J51" s="14">
        <v>16</v>
      </c>
      <c r="K51" s="14">
        <v>20</v>
      </c>
      <c r="L51" s="4" t="str">
        <f t="shared" ref="L51" si="178">_xlfn.TEXTJOIN("~",1,M51:N51)</f>
        <v>30~40</v>
      </c>
      <c r="M51" s="14">
        <v>30</v>
      </c>
      <c r="N51" s="14">
        <v>40</v>
      </c>
      <c r="P51" s="4">
        <v>1</v>
      </c>
      <c r="Q51" s="4">
        <v>0</v>
      </c>
      <c r="R51" s="95">
        <f t="shared" si="14"/>
        <v>1</v>
      </c>
      <c r="S51" s="4" t="s">
        <v>143</v>
      </c>
      <c r="T51" s="30">
        <v>1</v>
      </c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>
        <v>30</v>
      </c>
      <c r="AO51" s="4">
        <v>2048</v>
      </c>
      <c r="AP51" s="5" t="str">
        <f t="shared" ref="AP51" si="179">TEXT(AO51/120,"0.00")&amp;" s"</f>
        <v>17.07 s</v>
      </c>
      <c r="AQ51" s="39" t="str" cm="1">
        <f t="array" aca="1" ref="AQ51" ca="1">_xlfn.TEXTJOIN(";",1,_xlfn.LAMBDA(_xlpm.x,IF(_xlpm.x&lt;&gt;"",OFFSET(_xlpm.x,3-ROW(),0)&amp;"="&amp;_xlpm.x,""))(AR51:AW51))</f>
        <v>sharp=2</v>
      </c>
      <c r="AR51" s="18">
        <v>2</v>
      </c>
      <c r="AS51" s="22"/>
      <c r="AT51" s="22"/>
      <c r="AU51" s="22"/>
      <c r="AV51" s="22"/>
      <c r="AW51" s="22"/>
      <c r="AY51" s="28"/>
      <c r="AZ51" s="28"/>
      <c r="BA51" s="5">
        <f t="shared" si="164"/>
        <v>1</v>
      </c>
      <c r="BC51" s="5">
        <f>IF(A51&lt;&gt;"",SUM($AR51:$AW51)*$BA51*$P51*$T51,"")</f>
        <v>2</v>
      </c>
      <c r="BN51" s="5">
        <f>(($T51-1)*$AL51+$AM51)/30</f>
        <v>1</v>
      </c>
      <c r="BO51" s="5">
        <f>(($T51-1)*($AL51+$AO51/4)+$AM51)/30</f>
        <v>1</v>
      </c>
      <c r="BP51" s="5">
        <f>$BC51/$BO51</f>
        <v>2</v>
      </c>
    </row>
    <row r="52" spans="1:68" x14ac:dyDescent="0.2">
      <c r="E52" s="28"/>
      <c r="F52" s="28"/>
      <c r="H52" s="14" t="str">
        <f>IF(G52&lt;&gt;"",IFERROR(VLOOKUP(G52,t_proj[#All],2,0),"--"),"")</f>
        <v/>
      </c>
      <c r="R52" s="95" t="str">
        <f t="shared" si="14"/>
        <v/>
      </c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Q52" s="39" t="str" cm="1">
        <f t="array" aca="1" ref="AQ52" ca="1">_xlfn.TEXTJOIN(";",1,_xlfn.LAMBDA(_xlpm.x,IF(_xlpm.x&lt;&gt;"",OFFSET(_xlpm.x,3-ROW(),0)&amp;"="&amp;_xlpm.x,""))(AR52:AW52))</f>
        <v/>
      </c>
      <c r="AY52" s="28"/>
      <c r="AZ52" s="28"/>
    </row>
    <row r="53" spans="1:68" x14ac:dyDescent="0.2">
      <c r="A53" s="4">
        <v>201804</v>
      </c>
      <c r="B53" s="5" t="s">
        <v>186</v>
      </c>
      <c r="C53" s="5" t="s">
        <v>174</v>
      </c>
      <c r="D53" s="5" t="s">
        <v>187</v>
      </c>
      <c r="E53" s="28"/>
      <c r="F53" s="28"/>
      <c r="G53" s="4">
        <v>20801</v>
      </c>
      <c r="H53" s="14" t="str">
        <f>IF(G53&lt;&gt;"",IFERROR(VLOOKUP(G53,t_proj[#All],2,0),"--"),"")</f>
        <v>鲶鱼</v>
      </c>
      <c r="I53" s="4" t="str">
        <f>_xlfn.TEXTJOIN("~",1,J53:K53)</f>
        <v>7~9</v>
      </c>
      <c r="J53" s="14">
        <v>7</v>
      </c>
      <c r="K53" s="14">
        <v>9</v>
      </c>
      <c r="L53" s="4" t="str">
        <f t="shared" ref="L53" si="180">_xlfn.TEXTJOIN("~",1,M53:N53)</f>
        <v>900~0</v>
      </c>
      <c r="M53" s="14">
        <v>900</v>
      </c>
      <c r="N53" s="14">
        <v>0</v>
      </c>
      <c r="P53" s="4">
        <v>1</v>
      </c>
      <c r="Q53" s="4">
        <v>20</v>
      </c>
      <c r="R53" s="95">
        <f t="shared" si="14"/>
        <v>0</v>
      </c>
      <c r="S53" s="4" t="s">
        <v>143</v>
      </c>
      <c r="T53" s="30">
        <v>1</v>
      </c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>
        <v>30</v>
      </c>
      <c r="AO53" s="4">
        <v>180</v>
      </c>
      <c r="AP53" s="5" t="str">
        <f t="shared" ref="AP53" si="181">TEXT(AO53/120,"0.00")&amp;" s"</f>
        <v>1.50 s</v>
      </c>
      <c r="AQ53" s="39" t="str" cm="1">
        <f t="array" aca="1" ref="AQ53" ca="1">_xlfn.TEXTJOIN(";",1,_xlfn.LAMBDA(_xlpm.x,IF(_xlpm.x&lt;&gt;"",OFFSET(_xlpm.x,3-ROW(),0)&amp;"="&amp;_xlpm.x,""))(AR53:AW53))</f>
        <v>acid=5</v>
      </c>
      <c r="AR53" s="22"/>
      <c r="AS53" s="22"/>
      <c r="AT53" s="22"/>
      <c r="AU53" s="18">
        <v>5</v>
      </c>
      <c r="AV53" s="22"/>
      <c r="AW53" s="22"/>
      <c r="AY53" s="28"/>
      <c r="AZ53" s="28"/>
      <c r="BA53" s="5">
        <f t="shared" si="164"/>
        <v>1</v>
      </c>
      <c r="BC53" s="5">
        <f>IF(A53&lt;&gt;"",SUM($AR53:$AW53)*$BA53*$P53*$T53,"")</f>
        <v>5</v>
      </c>
      <c r="BN53" s="5">
        <f>(($T53-1)*$AL53+$AM53)/30</f>
        <v>1</v>
      </c>
      <c r="BO53" s="5">
        <f>(($T53-1)*($AL53+$AO53/4)+$AM53)/30</f>
        <v>1</v>
      </c>
      <c r="BP53" s="5">
        <f>$BC53/$BO53</f>
        <v>5</v>
      </c>
    </row>
    <row r="54" spans="1:68" x14ac:dyDescent="0.2">
      <c r="A54" s="4">
        <v>201810</v>
      </c>
      <c r="B54" s="5" t="s">
        <v>188</v>
      </c>
      <c r="C54" s="5" t="s">
        <v>174</v>
      </c>
      <c r="D54" s="5" t="s">
        <v>189</v>
      </c>
      <c r="E54" s="28"/>
      <c r="F54" s="28"/>
      <c r="G54" s="4">
        <v>20802</v>
      </c>
      <c r="H54" s="14" t="str">
        <f>IF(G54&lt;&gt;"",IFERROR(VLOOKUP(G54,t_proj[#All],2,0),"--"),"")</f>
        <v>沼泽怪</v>
      </c>
      <c r="I54" s="4" t="str">
        <f>_xlfn.TEXTJOIN("~",1,J54:K54)</f>
        <v>7~9</v>
      </c>
      <c r="J54" s="14">
        <v>7</v>
      </c>
      <c r="K54" s="14">
        <v>9</v>
      </c>
      <c r="L54" s="4" t="str">
        <f t="shared" ref="L54" si="182">_xlfn.TEXTJOIN("~",1,M54:N54)</f>
        <v>900~0</v>
      </c>
      <c r="M54" s="14">
        <v>900</v>
      </c>
      <c r="N54" s="14">
        <v>0</v>
      </c>
      <c r="P54" s="4">
        <v>1</v>
      </c>
      <c r="Q54" s="4">
        <v>20</v>
      </c>
      <c r="R54" s="95">
        <f t="shared" si="14"/>
        <v>0</v>
      </c>
      <c r="S54" s="4" t="s">
        <v>143</v>
      </c>
      <c r="T54" s="30">
        <v>1</v>
      </c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>
        <v>30</v>
      </c>
      <c r="AO54" s="4">
        <v>180</v>
      </c>
      <c r="AP54" s="5" t="str">
        <f t="shared" ref="AP54" si="183">TEXT(AO54/120,"0.00")&amp;" s"</f>
        <v>1.50 s</v>
      </c>
      <c r="AQ54" s="39" t="str" cm="1">
        <f t="array" aca="1" ref="AQ54" ca="1">_xlfn.TEXTJOIN(";",1,_xlfn.LAMBDA(_xlpm.x,IF(_xlpm.x&lt;&gt;"",OFFSET(_xlpm.x,3-ROW(),0)&amp;"="&amp;_xlpm.x,""))(AR54:AW54))</f>
        <v>acid=6</v>
      </c>
      <c r="AR54" s="22"/>
      <c r="AS54" s="22"/>
      <c r="AT54" s="22"/>
      <c r="AU54" s="18">
        <v>6</v>
      </c>
      <c r="AV54" s="22"/>
      <c r="AW54" s="22"/>
      <c r="AY54" s="28"/>
      <c r="AZ54" s="28"/>
      <c r="BA54" s="5">
        <f t="shared" si="164"/>
        <v>1</v>
      </c>
      <c r="BC54" s="5">
        <f>IF(A54&lt;&gt;"",SUM($AR54:$AW54)*$BA54*$P54*$T54,"")</f>
        <v>6</v>
      </c>
      <c r="BN54" s="5">
        <f>(($T54-1)*$AL54+$AM54)/30</f>
        <v>1</v>
      </c>
      <c r="BO54" s="5">
        <f>(($T54-1)*($AL54+$AO54/4)+$AM54)/30</f>
        <v>1</v>
      </c>
      <c r="BP54" s="5">
        <f>$BC54/$BO54</f>
        <v>6</v>
      </c>
    </row>
    <row r="55" spans="1:68" x14ac:dyDescent="0.2">
      <c r="A55" s="4">
        <v>201813</v>
      </c>
      <c r="B55" s="5" t="s">
        <v>190</v>
      </c>
      <c r="C55" s="5" t="s">
        <v>174</v>
      </c>
      <c r="D55" s="5" t="s">
        <v>191</v>
      </c>
      <c r="E55" s="28"/>
      <c r="F55" s="28"/>
      <c r="G55" s="4">
        <v>20803</v>
      </c>
      <c r="H55" s="14" t="str">
        <f>IF(G55&lt;&gt;"",IFERROR(VLOOKUP(G55,t_proj[#All],2,0),"--"),"")</f>
        <v>贝壳乌贼</v>
      </c>
      <c r="I55" s="4" t="str">
        <f>_xlfn.TEXTJOIN("~",1,J55:K55)</f>
        <v>16~20</v>
      </c>
      <c r="J55" s="14">
        <v>16</v>
      </c>
      <c r="K55" s="14">
        <v>20</v>
      </c>
      <c r="L55" s="4" t="str">
        <f t="shared" ref="L55" si="184">_xlfn.TEXTJOIN("~",1,M55:N55)</f>
        <v>120~0</v>
      </c>
      <c r="M55" s="14">
        <v>120</v>
      </c>
      <c r="N55" s="14">
        <v>0</v>
      </c>
      <c r="P55" s="4">
        <v>1</v>
      </c>
      <c r="Q55" s="4">
        <v>10</v>
      </c>
      <c r="R55" s="95">
        <f t="shared" si="14"/>
        <v>0.5</v>
      </c>
      <c r="S55" s="4" t="s">
        <v>143</v>
      </c>
      <c r="T55" s="30">
        <v>1</v>
      </c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>
        <v>30</v>
      </c>
      <c r="AO55" s="4">
        <v>180</v>
      </c>
      <c r="AP55" s="5" t="str">
        <f t="shared" ref="AP55" si="185">TEXT(AO55/120,"0.00")&amp;" s"</f>
        <v>1.50 s</v>
      </c>
      <c r="AQ55" s="39" t="str" cm="1">
        <f t="array" aca="1" ref="AQ55" ca="1">_xlfn.TEXTJOIN(";",1,_xlfn.LAMBDA(_xlpm.x,IF(_xlpm.x&lt;&gt;"",OFFSET(_xlpm.x,3-ROW(),0)&amp;"="&amp;_xlpm.x,""))(AR55:AW55))</f>
        <v>acid=4</v>
      </c>
      <c r="AR55" s="22"/>
      <c r="AS55" s="22"/>
      <c r="AT55" s="22"/>
      <c r="AU55" s="18">
        <v>4</v>
      </c>
      <c r="AV55" s="22"/>
      <c r="AW55" s="22"/>
      <c r="AY55" s="28"/>
      <c r="AZ55" s="28"/>
      <c r="BA55" s="5">
        <f t="shared" si="164"/>
        <v>1</v>
      </c>
      <c r="BC55" s="5">
        <f>IF(A55&lt;&gt;"",SUM($AR55:$AW55)*$BA55*$P55*$T55,"")</f>
        <v>4</v>
      </c>
      <c r="BN55" s="5">
        <f>(($T55-1)*$AL55+$AM55)/30</f>
        <v>1</v>
      </c>
      <c r="BO55" s="5">
        <f>(($T55-1)*($AL55+$AO55/4)+$AM55)/30</f>
        <v>1</v>
      </c>
      <c r="BP55" s="5">
        <f>$BC55/$BO55</f>
        <v>4</v>
      </c>
    </row>
    <row r="56" spans="1:68" x14ac:dyDescent="0.2">
      <c r="A56" s="4">
        <v>201870</v>
      </c>
      <c r="B56" s="5" t="s">
        <v>192</v>
      </c>
      <c r="C56" s="5" t="s">
        <v>174</v>
      </c>
      <c r="D56" s="5" t="s">
        <v>193</v>
      </c>
      <c r="E56" s="28"/>
      <c r="F56" s="28"/>
      <c r="G56" s="4">
        <v>20804</v>
      </c>
      <c r="H56" s="14" t="str">
        <f>IF(G56&lt;&gt;"",IFERROR(VLOOKUP(G56,t_proj[#All],2,0),"--"),"")</f>
        <v>缠绕水藻</v>
      </c>
      <c r="I56" s="4" t="str">
        <f>_xlfn.TEXTJOIN("~",1,J56:K56)</f>
        <v>10~20</v>
      </c>
      <c r="J56" s="14">
        <v>10</v>
      </c>
      <c r="K56" s="14">
        <v>20</v>
      </c>
      <c r="L56" s="4" t="str">
        <f t="shared" ref="L56" si="186">_xlfn.TEXTJOIN("~",1,M56:N56)</f>
        <v>600~0</v>
      </c>
      <c r="M56" s="14">
        <v>600</v>
      </c>
      <c r="N56" s="14">
        <v>0</v>
      </c>
      <c r="P56" s="4">
        <v>1</v>
      </c>
      <c r="Q56" s="4">
        <v>10</v>
      </c>
      <c r="R56" s="95">
        <f t="shared" si="14"/>
        <v>0.5</v>
      </c>
      <c r="S56" s="4" t="s">
        <v>143</v>
      </c>
      <c r="T56" s="30">
        <v>1</v>
      </c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>
        <v>30</v>
      </c>
      <c r="AO56" s="4">
        <v>2048</v>
      </c>
      <c r="AP56" s="5" t="str">
        <f t="shared" ref="AP56" si="187">TEXT(AO56/120,"0.00")&amp;" s"</f>
        <v>17.07 s</v>
      </c>
      <c r="AQ56" s="39" t="str" cm="1">
        <f t="array" aca="1" ref="AQ56" ca="1">_xlfn.TEXTJOIN(";",1,_xlfn.LAMBDA(_xlpm.x,IF(_xlpm.x&lt;&gt;"",OFFSET(_xlpm.x,3-ROW(),0)&amp;"="&amp;_xlpm.x,""))(AR56:AW56))</f>
        <v>sharp=4;wrap=4</v>
      </c>
      <c r="AR56" s="18">
        <v>4</v>
      </c>
      <c r="AS56" s="22"/>
      <c r="AT56" s="22"/>
      <c r="AU56" s="22"/>
      <c r="AV56" s="18">
        <v>4</v>
      </c>
      <c r="AW56" s="22"/>
      <c r="AY56" s="28"/>
      <c r="AZ56" s="28"/>
      <c r="BA56" s="5">
        <f t="shared" si="164"/>
        <v>1</v>
      </c>
      <c r="BC56" s="5">
        <f>IF(A56&lt;&gt;"",SUM($AR56:$AW56)*$BA56*$P56*$T56,"")</f>
        <v>8</v>
      </c>
      <c r="BN56" s="5">
        <f>(($T56-1)*$AL56+$AM56)/30</f>
        <v>1</v>
      </c>
      <c r="BO56" s="5">
        <f>(($T56-1)*($AL56+$AO56/4)+$AM56)/30</f>
        <v>1</v>
      </c>
      <c r="BP56" s="5">
        <f>$BC56/$BO56</f>
        <v>8</v>
      </c>
    </row>
  </sheetData>
  <phoneticPr fontId="21" type="noConversion"/>
  <conditionalFormatting sqref="AN1:AN104857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3">
    <cfRule type="expression" dxfId="1" priority="1">
      <formula>AND(K3&lt;&gt;"",AZ3&lt;1000)</formula>
    </cfRule>
  </conditionalFormatting>
  <conditionalFormatting sqref="BC1:BC1048576">
    <cfRule type="dataBar" priority="6">
      <dataBar>
        <cfvo type="num" val="0"/>
        <cfvo type="num" val="2000"/>
        <color rgb="FFD6007B"/>
      </dataBar>
      <extLst>
        <ext xmlns:x14="http://schemas.microsoft.com/office/spreadsheetml/2009/9/main" uri="{B025F937-C7B1-47D3-B67F-A62EFF666E3E}">
          <x14:id>{6EA54B6D-9C69-442B-82C4-BAF3F52332F8}</x14:id>
        </ext>
      </extLst>
    </cfRule>
  </conditionalFormatting>
  <conditionalFormatting sqref="BR1:BR1048576">
    <cfRule type="dataBar" priority="7">
      <dataBar>
        <cfvo type="min"/>
        <cfvo type="formula" val="VALUE(RIGHT($BR$3,3))"/>
        <color rgb="FF92D050"/>
      </dataBar>
      <extLst>
        <ext xmlns:x14="http://schemas.microsoft.com/office/spreadsheetml/2009/9/main" uri="{B025F937-C7B1-47D3-B67F-A62EFF666E3E}">
          <x14:id>{90910F2D-B67F-4230-8F30-D45C5153291D}</x14:id>
        </ext>
      </extLst>
    </cfRule>
  </conditionalFormatting>
  <conditionalFormatting sqref="BS1:BS1048576">
    <cfRule type="dataBar" priority="8">
      <dataBar>
        <cfvo type="min"/>
        <cfvo type="formula" val="VALUE(RIGHT($BS$3,3))"/>
        <color rgb="FFFF555A"/>
      </dataBar>
      <extLst>
        <ext xmlns:x14="http://schemas.microsoft.com/office/spreadsheetml/2009/9/main" uri="{B025F937-C7B1-47D3-B67F-A62EFF666E3E}">
          <x14:id>{7BC6FDA2-C643-46D0-9ACB-95D88048FE7E}</x14:id>
        </ext>
      </extLst>
    </cfRule>
  </conditionalFormatting>
  <conditionalFormatting sqref="BU1:BU1048576">
    <cfRule type="dataBar" priority="2">
      <dataBar>
        <cfvo type="min"/>
        <cfvo type="formula" val="VALUE(RIGHT($BU$3,3))"/>
        <color rgb="FF92D050"/>
      </dataBar>
      <extLst>
        <ext xmlns:x14="http://schemas.microsoft.com/office/spreadsheetml/2009/9/main" uri="{B025F937-C7B1-47D3-B67F-A62EFF666E3E}">
          <x14:id>{CD81524F-79A1-4E3A-960F-B7BF9B61325A}</x14:id>
        </ext>
      </extLst>
    </cfRule>
  </conditionalFormatting>
  <conditionalFormatting sqref="BV1:BV1048576">
    <cfRule type="dataBar" priority="3">
      <dataBar>
        <cfvo type="min"/>
        <cfvo type="formula" val="VALUE(RIGHT($BV$3,3))"/>
        <color rgb="FFFF555A"/>
      </dataBar>
      <extLst>
        <ext xmlns:x14="http://schemas.microsoft.com/office/spreadsheetml/2009/9/main" uri="{B025F937-C7B1-47D3-B67F-A62EFF666E3E}">
          <x14:id>{4BA73880-647C-42E0-8DC7-E5B090D88252}</x14:id>
        </ext>
      </extLst>
    </cfRule>
  </conditionalFormatting>
  <pageMargins left="0.75" right="0.75" top="1" bottom="1" header="0.5" footer="0.5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A54B6D-9C69-442B-82C4-BAF3F52332F8}">
            <x14:dataBar minLength="0" maxLength="100" gradient="0">
              <x14:cfvo type="num">
                <xm:f>0</xm:f>
              </x14:cfvo>
              <x14:cfvo type="num">
                <xm:f>2000</xm:f>
              </x14:cfvo>
              <x14:negativeFillColor rgb="FFFF0000"/>
              <x14:axisColor rgb="FF000000"/>
            </x14:dataBar>
          </x14:cfRule>
          <xm:sqref>BC1:BC1048576</xm:sqref>
        </x14:conditionalFormatting>
        <x14:conditionalFormatting xmlns:xm="http://schemas.microsoft.com/office/excel/2006/main">
          <x14:cfRule type="dataBar" id="{90910F2D-B67F-4230-8F30-D45C5153291D}">
            <x14:dataBar minLength="0" maxLength="100" gradient="0">
              <x14:cfvo type="autoMin"/>
              <x14:cfvo type="formula">
                <xm:f>VALUE(RIGHT($BR$3,3))</xm:f>
              </x14:cfvo>
              <x14:negativeFillColor rgb="FFFF0000"/>
              <x14:axisColor rgb="FF000000"/>
            </x14:dataBar>
          </x14:cfRule>
          <xm:sqref>BR1:BR1048576</xm:sqref>
        </x14:conditionalFormatting>
        <x14:conditionalFormatting xmlns:xm="http://schemas.microsoft.com/office/excel/2006/main">
          <x14:cfRule type="dataBar" id="{7BC6FDA2-C643-46D0-9ACB-95D88048FE7E}">
            <x14:dataBar minLength="0" maxLength="100" gradient="0">
              <x14:cfvo type="autoMin"/>
              <x14:cfvo type="formula">
                <xm:f>VALUE(RIGHT($BS$3,3))</xm:f>
              </x14:cfvo>
              <x14:negativeFillColor rgb="FFFF0000"/>
              <x14:axisColor rgb="FF000000"/>
            </x14:dataBar>
          </x14:cfRule>
          <xm:sqref>BS1:BS1048576</xm:sqref>
        </x14:conditionalFormatting>
        <x14:conditionalFormatting xmlns:xm="http://schemas.microsoft.com/office/excel/2006/main">
          <x14:cfRule type="dataBar" id="{CD81524F-79A1-4E3A-960F-B7BF9B61325A}">
            <x14:dataBar minLength="0" maxLength="100" gradient="0">
              <x14:cfvo type="autoMin"/>
              <x14:cfvo type="formula">
                <xm:f>VALUE(RIGHT($BU$3,3))</xm:f>
              </x14:cfvo>
              <x14:negativeFillColor rgb="FFFF0000"/>
              <x14:axisColor rgb="FF000000"/>
            </x14:dataBar>
          </x14:cfRule>
          <xm:sqref>BU1:BU1048576</xm:sqref>
        </x14:conditionalFormatting>
        <x14:conditionalFormatting xmlns:xm="http://schemas.microsoft.com/office/excel/2006/main">
          <x14:cfRule type="dataBar" id="{4BA73880-647C-42E0-8DC7-E5B090D88252}">
            <x14:dataBar minLength="0" maxLength="100" gradient="0">
              <x14:cfvo type="autoMin"/>
              <x14:cfvo type="formula">
                <xm:f>VALUE(RIGHT($BV$3,3))</xm:f>
              </x14:cfvo>
              <x14:negativeFillColor rgb="FFFF0000"/>
              <x14:axisColor rgb="FF000000"/>
            </x14:dataBar>
          </x14:cfRule>
          <xm:sqref>BV1:BV1048576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3929B-B971-4EFE-9DD3-CCF89C05A6FD}">
  <sheetPr>
    <tabColor rgb="FF7030A0"/>
  </sheetPr>
  <dimension ref="A1:C25"/>
  <sheetViews>
    <sheetView workbookViewId="0">
      <selection activeCell="G18" sqref="G18"/>
    </sheetView>
  </sheetViews>
  <sheetFormatPr defaultColWidth="12.5" defaultRowHeight="14.25" x14ac:dyDescent="0.2"/>
  <cols>
    <col min="1" max="2" width="12.5" style="4"/>
    <col min="3" max="3" width="25.125" style="4" customWidth="1"/>
    <col min="4" max="16384" width="12.5" style="4"/>
  </cols>
  <sheetData>
    <row r="1" spans="1:3" x14ac:dyDescent="0.2">
      <c r="A1" s="86" t="s">
        <v>525</v>
      </c>
    </row>
    <row r="2" spans="1:3" x14ac:dyDescent="0.2">
      <c r="A2" s="39" t="s">
        <v>301</v>
      </c>
      <c r="B2" s="39" t="s">
        <v>302</v>
      </c>
      <c r="C2" s="39" t="s">
        <v>319</v>
      </c>
    </row>
    <row r="3" spans="1:3" x14ac:dyDescent="0.2">
      <c r="A3" s="4">
        <v>10001</v>
      </c>
      <c r="B3" s="4" t="s">
        <v>293</v>
      </c>
      <c r="C3" s="39" t="s">
        <v>313</v>
      </c>
    </row>
    <row r="4" spans="1:3" x14ac:dyDescent="0.2">
      <c r="A4" s="4">
        <v>10002</v>
      </c>
      <c r="B4" s="4" t="s">
        <v>321</v>
      </c>
      <c r="C4" s="39" t="s">
        <v>322</v>
      </c>
    </row>
    <row r="5" spans="1:3" x14ac:dyDescent="0.2">
      <c r="A5" s="4">
        <v>10003</v>
      </c>
      <c r="B5" s="4" t="s">
        <v>294</v>
      </c>
      <c r="C5" s="39" t="s">
        <v>314</v>
      </c>
    </row>
    <row r="6" spans="1:3" x14ac:dyDescent="0.2">
      <c r="A6" s="4">
        <v>10004</v>
      </c>
      <c r="B6" s="4" t="s">
        <v>295</v>
      </c>
      <c r="C6" s="39" t="s">
        <v>315</v>
      </c>
    </row>
    <row r="7" spans="1:3" x14ac:dyDescent="0.2">
      <c r="A7" s="4">
        <v>10005</v>
      </c>
      <c r="B7" s="39" t="s">
        <v>323</v>
      </c>
      <c r="C7" s="39" t="s">
        <v>324</v>
      </c>
    </row>
    <row r="8" spans="1:3" x14ac:dyDescent="0.2">
      <c r="A8" s="4">
        <v>10006</v>
      </c>
      <c r="B8" s="4" t="s">
        <v>296</v>
      </c>
      <c r="C8" s="39" t="s">
        <v>296</v>
      </c>
    </row>
    <row r="9" spans="1:3" x14ac:dyDescent="0.2">
      <c r="A9" s="4">
        <v>10007</v>
      </c>
      <c r="B9" s="39" t="s">
        <v>316</v>
      </c>
      <c r="C9" s="39" t="s">
        <v>316</v>
      </c>
    </row>
    <row r="10" spans="1:3" x14ac:dyDescent="0.2">
      <c r="A10" s="4">
        <v>10008</v>
      </c>
      <c r="B10" s="4" t="s">
        <v>297</v>
      </c>
      <c r="C10" s="39" t="s">
        <v>317</v>
      </c>
    </row>
    <row r="11" spans="1:3" x14ac:dyDescent="0.2">
      <c r="A11" s="4">
        <v>10009</v>
      </c>
      <c r="B11" s="4" t="s">
        <v>298</v>
      </c>
      <c r="C11" s="39" t="s">
        <v>318</v>
      </c>
    </row>
    <row r="12" spans="1:3" x14ac:dyDescent="0.2">
      <c r="A12" s="4">
        <v>10010</v>
      </c>
      <c r="B12" s="4" t="s">
        <v>163</v>
      </c>
      <c r="C12" s="39" t="s">
        <v>320</v>
      </c>
    </row>
    <row r="13" spans="1:3" x14ac:dyDescent="0.2">
      <c r="A13" s="4">
        <v>10011</v>
      </c>
      <c r="B13" s="39" t="s">
        <v>597</v>
      </c>
      <c r="C13" s="39" t="s">
        <v>598</v>
      </c>
    </row>
    <row r="15" spans="1:3" x14ac:dyDescent="0.2">
      <c r="A15" s="4">
        <v>20101</v>
      </c>
      <c r="B15" s="4" t="s">
        <v>325</v>
      </c>
      <c r="C15" s="39" t="s">
        <v>304</v>
      </c>
    </row>
    <row r="16" spans="1:3" x14ac:dyDescent="0.2">
      <c r="A16" s="4">
        <v>20102</v>
      </c>
      <c r="B16" s="4" t="s">
        <v>180</v>
      </c>
      <c r="C16" s="39" t="s">
        <v>305</v>
      </c>
    </row>
    <row r="17" spans="1:3" x14ac:dyDescent="0.2">
      <c r="A17" s="4">
        <v>20103</v>
      </c>
      <c r="B17" s="4" t="s">
        <v>182</v>
      </c>
      <c r="C17" s="39" t="s">
        <v>306</v>
      </c>
    </row>
    <row r="18" spans="1:3" x14ac:dyDescent="0.2">
      <c r="A18" s="4">
        <v>20104</v>
      </c>
      <c r="B18" s="4" t="s">
        <v>184</v>
      </c>
      <c r="C18" s="39" t="s">
        <v>307</v>
      </c>
    </row>
    <row r="19" spans="1:3" x14ac:dyDescent="0.2">
      <c r="C19" s="39"/>
    </row>
    <row r="20" spans="1:3" x14ac:dyDescent="0.2">
      <c r="A20" s="4">
        <v>20701</v>
      </c>
      <c r="B20" s="4" t="s">
        <v>299</v>
      </c>
      <c r="C20" s="39" t="s">
        <v>308</v>
      </c>
    </row>
    <row r="21" spans="1:3" x14ac:dyDescent="0.2">
      <c r="C21" s="39"/>
    </row>
    <row r="22" spans="1:3" x14ac:dyDescent="0.2">
      <c r="A22" s="4">
        <v>20801</v>
      </c>
      <c r="B22" s="4" t="s">
        <v>186</v>
      </c>
      <c r="C22" s="39" t="s">
        <v>309</v>
      </c>
    </row>
    <row r="23" spans="1:3" x14ac:dyDescent="0.2">
      <c r="A23" s="4">
        <v>20802</v>
      </c>
      <c r="B23" s="4" t="s">
        <v>300</v>
      </c>
      <c r="C23" s="39" t="s">
        <v>310</v>
      </c>
    </row>
    <row r="24" spans="1:3" x14ac:dyDescent="0.2">
      <c r="A24" s="4">
        <v>20803</v>
      </c>
      <c r="B24" s="4" t="s">
        <v>190</v>
      </c>
      <c r="C24" s="39" t="s">
        <v>311</v>
      </c>
    </row>
    <row r="25" spans="1:3" x14ac:dyDescent="0.2">
      <c r="A25" s="4">
        <v>20804</v>
      </c>
      <c r="B25" s="4" t="s">
        <v>192</v>
      </c>
      <c r="C25" s="39" t="s">
        <v>312</v>
      </c>
    </row>
  </sheetData>
  <phoneticPr fontId="2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"/>
  <sheetViews>
    <sheetView workbookViewId="0">
      <pane xSplit="3" ySplit="3" topLeftCell="D4" activePane="bottomRight" state="frozen"/>
      <selection pane="topRight"/>
      <selection pane="bottomLeft"/>
      <selection pane="bottomRight" activeCell="G24" sqref="G24"/>
    </sheetView>
  </sheetViews>
  <sheetFormatPr defaultColWidth="9.125" defaultRowHeight="14.25" x14ac:dyDescent="0.2"/>
  <cols>
    <col min="1" max="1" width="12.5" style="4" customWidth="1"/>
    <col min="2" max="2" width="11.5" style="5" customWidth="1"/>
    <col min="3" max="3" width="18.25" style="5" customWidth="1"/>
    <col min="4" max="4" width="11.375" style="4" customWidth="1"/>
    <col min="5" max="5" width="9.25" style="5" customWidth="1"/>
    <col min="6" max="9" width="14.875" style="4" customWidth="1"/>
    <col min="10" max="10" width="19" style="4" customWidth="1"/>
    <col min="11" max="13" width="17.875" style="4" customWidth="1"/>
    <col min="14" max="14" width="12.75" style="5" customWidth="1"/>
    <col min="15" max="16384" width="9.125" style="4"/>
  </cols>
  <sheetData>
    <row r="1" spans="1:14" s="1" customFormat="1" x14ac:dyDescent="0.2">
      <c r="A1" s="1" t="s">
        <v>0</v>
      </c>
      <c r="B1" s="6"/>
      <c r="C1" s="6"/>
      <c r="D1" s="1" t="s">
        <v>1</v>
      </c>
      <c r="E1" s="6"/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6"/>
    </row>
    <row r="2" spans="1:14" s="2" customFormat="1" x14ac:dyDescent="0.2">
      <c r="A2" s="2" t="s">
        <v>20</v>
      </c>
      <c r="B2" s="6"/>
      <c r="C2" s="6"/>
      <c r="D2" s="2" t="s">
        <v>21</v>
      </c>
      <c r="E2" s="6"/>
      <c r="F2" s="2" t="s">
        <v>23</v>
      </c>
      <c r="G2" s="2" t="s">
        <v>23</v>
      </c>
      <c r="H2" s="2" t="s">
        <v>23</v>
      </c>
      <c r="I2" s="2" t="s">
        <v>23</v>
      </c>
      <c r="J2" s="2" t="s">
        <v>23</v>
      </c>
      <c r="K2" s="2" t="s">
        <v>29</v>
      </c>
      <c r="L2" s="2" t="s">
        <v>29</v>
      </c>
      <c r="M2" s="2" t="s">
        <v>21</v>
      </c>
      <c r="N2" s="6"/>
    </row>
    <row r="3" spans="1:14" s="3" customFormat="1" ht="28.5" x14ac:dyDescent="0.2">
      <c r="A3" s="7" t="s">
        <v>202</v>
      </c>
      <c r="B3" s="8" t="s">
        <v>31</v>
      </c>
      <c r="C3" s="8" t="s">
        <v>203</v>
      </c>
      <c r="D3" s="9" t="s">
        <v>33</v>
      </c>
      <c r="E3" s="8" t="s">
        <v>34</v>
      </c>
      <c r="F3" s="9" t="s">
        <v>204</v>
      </c>
      <c r="G3" s="9" t="s">
        <v>205</v>
      </c>
      <c r="H3" s="9" t="s">
        <v>206</v>
      </c>
      <c r="I3" s="9" t="s">
        <v>207</v>
      </c>
      <c r="J3" s="9" t="s">
        <v>208</v>
      </c>
      <c r="K3" s="7" t="s">
        <v>209</v>
      </c>
      <c r="L3" s="7" t="s">
        <v>210</v>
      </c>
      <c r="M3" s="9" t="s">
        <v>211</v>
      </c>
      <c r="N3" s="8" t="s">
        <v>212</v>
      </c>
    </row>
    <row r="4" spans="1:14" x14ac:dyDescent="0.2">
      <c r="A4" s="4">
        <v>1350101</v>
      </c>
      <c r="B4" s="5" t="s">
        <v>213</v>
      </c>
      <c r="C4" s="5" t="s">
        <v>214</v>
      </c>
      <c r="D4" s="4">
        <v>960</v>
      </c>
      <c r="E4" s="5" t="str">
        <f>TEXT(D4/120,"0.00")&amp;" s"</f>
        <v>8.00 s</v>
      </c>
      <c r="F4" s="4">
        <v>21</v>
      </c>
      <c r="G4" s="4">
        <v>6</v>
      </c>
      <c r="H4" s="4">
        <v>10</v>
      </c>
      <c r="I4" s="4">
        <v>200</v>
      </c>
      <c r="J4" s="4">
        <v>3</v>
      </c>
      <c r="K4" s="4" t="s">
        <v>215</v>
      </c>
      <c r="L4" s="4" t="s">
        <v>216</v>
      </c>
      <c r="M4" s="4">
        <v>60</v>
      </c>
      <c r="N4" s="5" t="e">
        <f>$L4*120/$M4</f>
        <v>#VALUE!</v>
      </c>
    </row>
    <row r="5" spans="1:14" x14ac:dyDescent="0.2">
      <c r="A5" s="4">
        <v>1350102</v>
      </c>
      <c r="B5" s="5" t="s">
        <v>217</v>
      </c>
      <c r="C5" s="5" t="s">
        <v>214</v>
      </c>
      <c r="D5" s="4">
        <v>1440</v>
      </c>
      <c r="E5" s="5" t="str">
        <f t="shared" ref="E5" si="0">TEXT(D5/120,"0.00")&amp;" s"</f>
        <v>12.00 s</v>
      </c>
      <c r="F5" s="4">
        <v>18</v>
      </c>
      <c r="G5" s="4">
        <v>3</v>
      </c>
      <c r="H5" s="4">
        <v>8</v>
      </c>
      <c r="I5" s="4">
        <v>200</v>
      </c>
      <c r="J5" s="4">
        <v>3</v>
      </c>
      <c r="K5" s="4" t="s">
        <v>216</v>
      </c>
      <c r="L5" s="4" t="s">
        <v>216</v>
      </c>
      <c r="M5" s="4">
        <v>60</v>
      </c>
      <c r="N5" s="5" t="e">
        <f t="shared" ref="N5:N8" si="1">$L5*120/$M5</f>
        <v>#VALUE!</v>
      </c>
    </row>
    <row r="6" spans="1:14" x14ac:dyDescent="0.2">
      <c r="A6" s="4">
        <v>1350103</v>
      </c>
      <c r="B6" s="5" t="s">
        <v>218</v>
      </c>
      <c r="C6" s="5" t="s">
        <v>214</v>
      </c>
      <c r="D6" s="4">
        <v>1080</v>
      </c>
      <c r="E6" s="5" t="str">
        <f t="shared" ref="E6:E7" si="2">TEXT(D6/120,"0.00")&amp;" s"</f>
        <v>9.00 s</v>
      </c>
      <c r="F6" s="4">
        <v>18</v>
      </c>
      <c r="G6" s="4">
        <v>3</v>
      </c>
      <c r="H6" s="4">
        <v>8</v>
      </c>
      <c r="I6" s="4">
        <v>200</v>
      </c>
      <c r="J6" s="4">
        <v>3</v>
      </c>
      <c r="K6" s="4" t="s">
        <v>216</v>
      </c>
      <c r="L6" s="4" t="s">
        <v>216</v>
      </c>
      <c r="M6" s="4">
        <v>60</v>
      </c>
      <c r="N6" s="5" t="e">
        <f t="shared" si="1"/>
        <v>#VALUE!</v>
      </c>
    </row>
    <row r="7" spans="1:14" x14ac:dyDescent="0.2">
      <c r="A7" s="4">
        <v>1351101</v>
      </c>
      <c r="B7" s="5" t="s">
        <v>219</v>
      </c>
      <c r="C7" s="5" t="s">
        <v>214</v>
      </c>
      <c r="D7" s="4">
        <v>480</v>
      </c>
      <c r="E7" s="5" t="str">
        <f t="shared" si="2"/>
        <v>4.00 s</v>
      </c>
      <c r="F7" s="4">
        <v>24</v>
      </c>
      <c r="G7" s="4">
        <v>7</v>
      </c>
      <c r="H7" s="4">
        <v>8</v>
      </c>
      <c r="I7" s="4">
        <v>225</v>
      </c>
      <c r="J7" s="4">
        <v>3</v>
      </c>
      <c r="K7" s="4" t="s">
        <v>220</v>
      </c>
      <c r="L7" s="4" t="s">
        <v>216</v>
      </c>
      <c r="M7" s="4">
        <v>120</v>
      </c>
      <c r="N7" s="5" t="e">
        <f t="shared" si="1"/>
        <v>#VALUE!</v>
      </c>
    </row>
    <row r="8" spans="1:14" x14ac:dyDescent="0.2">
      <c r="A8" s="4">
        <v>1351102</v>
      </c>
      <c r="B8" s="5" t="s">
        <v>221</v>
      </c>
      <c r="C8" s="5" t="s">
        <v>214</v>
      </c>
      <c r="D8" s="4">
        <v>1440</v>
      </c>
      <c r="E8" s="5" t="str">
        <f t="shared" ref="E8" si="3">TEXT(D8/120,"0.00")&amp;" s"</f>
        <v>12.00 s</v>
      </c>
      <c r="F8" s="4">
        <v>15</v>
      </c>
      <c r="G8" s="4">
        <v>2.5</v>
      </c>
      <c r="H8" s="4">
        <v>4</v>
      </c>
      <c r="I8" s="4">
        <v>250</v>
      </c>
      <c r="J8" s="4">
        <v>3</v>
      </c>
      <c r="K8" s="4" t="s">
        <v>222</v>
      </c>
      <c r="L8" s="4" t="s">
        <v>223</v>
      </c>
      <c r="M8" s="4">
        <v>60</v>
      </c>
      <c r="N8" s="5" t="e">
        <f t="shared" si="1"/>
        <v>#VALUE!</v>
      </c>
    </row>
  </sheetData>
  <phoneticPr fontId="21" type="noConversion"/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17"/>
  <sheetViews>
    <sheetView workbookViewId="0">
      <pane xSplit="3" ySplit="3" topLeftCell="N4" activePane="bottomRight" state="frozen"/>
      <selection pane="topRight"/>
      <selection pane="bottomLeft"/>
      <selection pane="bottomRight" activeCell="AB1" sqref="AB1:AC1048576"/>
    </sheetView>
  </sheetViews>
  <sheetFormatPr defaultColWidth="9.125" defaultRowHeight="14.25" x14ac:dyDescent="0.2"/>
  <cols>
    <col min="1" max="1" width="12.5" style="4" customWidth="1"/>
    <col min="2" max="2" width="11.5" style="5" customWidth="1"/>
    <col min="3" max="3" width="13.625" style="5" customWidth="1"/>
    <col min="4" max="4" width="23.625" style="4" customWidth="1"/>
    <col min="5" max="5" width="14.125" style="4" customWidth="1"/>
    <col min="6" max="6" width="24.125" style="4" customWidth="1"/>
    <col min="7" max="12" width="9.125" style="18"/>
    <col min="13" max="13" width="13" style="4" customWidth="1"/>
    <col min="14" max="14" width="9.5" style="5" bestFit="1" customWidth="1"/>
    <col min="15" max="15" width="14.75" style="4" customWidth="1"/>
    <col min="16" max="17" width="12.25" style="4" customWidth="1"/>
    <col min="18" max="18" width="12.75" style="5" customWidth="1"/>
    <col min="19" max="19" width="14.625" style="5" bestFit="1" customWidth="1"/>
    <col min="20" max="20" width="14" style="5" bestFit="1" customWidth="1"/>
    <col min="21" max="21" width="11.25" style="5" bestFit="1" customWidth="1"/>
    <col min="22" max="22" width="9.125" style="5"/>
    <col min="23" max="24" width="12.75" style="5" customWidth="1"/>
    <col min="25" max="26" width="9.125" style="5"/>
    <col min="27" max="28" width="5.75" style="50" bestFit="1" customWidth="1"/>
    <col min="29" max="29" width="5.75" style="60" bestFit="1" customWidth="1"/>
    <col min="30" max="30" width="9.125" style="50"/>
    <col min="31" max="31" width="13.625" style="50" bestFit="1" customWidth="1"/>
    <col min="32" max="32" width="9.125" style="56"/>
    <col min="33" max="33" width="18.75" style="4" customWidth="1"/>
    <col min="34" max="34" width="9.125" style="5"/>
    <col min="35" max="35" width="18.75" style="4" customWidth="1"/>
    <col min="36" max="36" width="9.125" style="5"/>
    <col min="37" max="37" width="13.5" style="5" customWidth="1"/>
    <col min="38" max="38" width="18.75" style="4" customWidth="1"/>
    <col min="39" max="16384" width="9.125" style="4"/>
  </cols>
  <sheetData>
    <row r="1" spans="1:38" s="1" customFormat="1" x14ac:dyDescent="0.2">
      <c r="A1" s="1" t="s">
        <v>0</v>
      </c>
      <c r="B1" s="6"/>
      <c r="C1" s="6"/>
      <c r="D1" s="1" t="s">
        <v>224</v>
      </c>
      <c r="E1" s="1" t="s">
        <v>225</v>
      </c>
      <c r="F1" s="1" t="s">
        <v>17</v>
      </c>
      <c r="G1" s="19"/>
      <c r="H1" s="19"/>
      <c r="I1" s="19"/>
      <c r="J1" s="19"/>
      <c r="K1" s="19"/>
      <c r="L1" s="19"/>
      <c r="M1" s="1" t="s">
        <v>226</v>
      </c>
      <c r="N1" s="6"/>
      <c r="O1" s="1" t="s">
        <v>227</v>
      </c>
      <c r="P1" s="1" t="s">
        <v>228</v>
      </c>
      <c r="Q1" s="1" t="s">
        <v>229</v>
      </c>
      <c r="R1" s="6"/>
      <c r="S1" s="6"/>
      <c r="T1" s="6"/>
      <c r="U1" s="6"/>
      <c r="V1" s="6"/>
      <c r="W1" s="6"/>
      <c r="X1" s="6"/>
      <c r="Y1" s="6"/>
      <c r="Z1" s="6"/>
      <c r="AA1" s="48"/>
      <c r="AB1" s="48"/>
      <c r="AC1" s="59"/>
      <c r="AD1" s="48"/>
      <c r="AE1" s="48"/>
      <c r="AF1" s="55"/>
      <c r="AG1" s="1" t="s">
        <v>230</v>
      </c>
      <c r="AH1" s="6"/>
      <c r="AI1" s="1" t="s">
        <v>231</v>
      </c>
      <c r="AJ1" s="6"/>
      <c r="AK1" s="6"/>
      <c r="AL1" s="1" t="s">
        <v>232</v>
      </c>
    </row>
    <row r="2" spans="1:38" s="2" customFormat="1" x14ac:dyDescent="0.2">
      <c r="A2" s="2" t="s">
        <v>20</v>
      </c>
      <c r="B2" s="6"/>
      <c r="C2" s="6"/>
      <c r="D2" s="2" t="s">
        <v>26</v>
      </c>
      <c r="E2" s="2" t="s">
        <v>26</v>
      </c>
      <c r="F2" s="2" t="s">
        <v>29</v>
      </c>
      <c r="G2" s="19"/>
      <c r="H2" s="19"/>
      <c r="I2" s="19"/>
      <c r="J2" s="19"/>
      <c r="K2" s="19"/>
      <c r="L2" s="19"/>
      <c r="M2" s="2" t="s">
        <v>23</v>
      </c>
      <c r="N2" s="6"/>
      <c r="O2" s="2" t="s">
        <v>23</v>
      </c>
      <c r="P2" s="2" t="s">
        <v>23</v>
      </c>
      <c r="Q2" s="2" t="s">
        <v>23</v>
      </c>
      <c r="R2" s="6"/>
      <c r="S2" s="6"/>
      <c r="T2" s="6"/>
      <c r="U2" s="6"/>
      <c r="V2" s="6"/>
      <c r="W2" s="6"/>
      <c r="X2" s="6"/>
      <c r="Y2" s="6"/>
      <c r="Z2" s="6"/>
      <c r="AA2" s="48"/>
      <c r="AB2" s="48"/>
      <c r="AC2" s="59"/>
      <c r="AD2" s="48"/>
      <c r="AE2" s="48"/>
      <c r="AF2" s="55"/>
      <c r="AG2" s="2" t="s">
        <v>23</v>
      </c>
      <c r="AH2" s="6"/>
      <c r="AI2" s="2" t="s">
        <v>23</v>
      </c>
      <c r="AJ2" s="6"/>
      <c r="AK2" s="6"/>
      <c r="AL2" s="2" t="s">
        <v>23</v>
      </c>
    </row>
    <row r="3" spans="1:38" s="3" customFormat="1" ht="76.5" x14ac:dyDescent="0.2">
      <c r="A3" s="7" t="s">
        <v>233</v>
      </c>
      <c r="B3" s="8" t="s">
        <v>31</v>
      </c>
      <c r="C3" s="8" t="s">
        <v>32</v>
      </c>
      <c r="D3" s="20" t="s">
        <v>234</v>
      </c>
      <c r="E3" s="20" t="s">
        <v>235</v>
      </c>
      <c r="F3" s="9" t="s">
        <v>236</v>
      </c>
      <c r="G3" s="21" t="s">
        <v>63</v>
      </c>
      <c r="H3" s="21" t="s">
        <v>64</v>
      </c>
      <c r="I3" s="21" t="s">
        <v>65</v>
      </c>
      <c r="J3" s="21" t="s">
        <v>66</v>
      </c>
      <c r="K3" s="21" t="s">
        <v>128</v>
      </c>
      <c r="L3" s="21" t="s">
        <v>129</v>
      </c>
      <c r="M3" s="9" t="s">
        <v>237</v>
      </c>
      <c r="N3" s="13" t="s">
        <v>541</v>
      </c>
      <c r="O3" s="9" t="s">
        <v>238</v>
      </c>
      <c r="P3" s="9" t="s">
        <v>239</v>
      </c>
      <c r="Q3" s="9" t="s">
        <v>240</v>
      </c>
      <c r="R3" s="8" t="s">
        <v>552</v>
      </c>
      <c r="S3" s="8" t="s">
        <v>379</v>
      </c>
      <c r="T3" s="8" t="s">
        <v>380</v>
      </c>
      <c r="U3" s="8" t="s">
        <v>381</v>
      </c>
      <c r="V3" s="8" t="s">
        <v>131</v>
      </c>
      <c r="W3" s="8" t="s">
        <v>531</v>
      </c>
      <c r="X3" s="8" t="s">
        <v>532</v>
      </c>
      <c r="Y3" s="52" t="s">
        <v>533</v>
      </c>
      <c r="Z3" s="52" t="s">
        <v>431</v>
      </c>
      <c r="AA3" s="53" t="s">
        <v>601</v>
      </c>
      <c r="AB3" s="53" t="s">
        <v>602</v>
      </c>
      <c r="AC3" s="53" t="s">
        <v>603</v>
      </c>
      <c r="AD3" s="53" t="s">
        <v>430</v>
      </c>
      <c r="AE3" s="53" t="s">
        <v>516</v>
      </c>
      <c r="AF3" s="54" t="s">
        <v>428</v>
      </c>
      <c r="AG3" s="7" t="s">
        <v>241</v>
      </c>
      <c r="AH3" s="23" t="s">
        <v>242</v>
      </c>
      <c r="AI3" s="9" t="s">
        <v>243</v>
      </c>
      <c r="AJ3" s="23" t="s">
        <v>242</v>
      </c>
      <c r="AK3" s="8" t="s">
        <v>244</v>
      </c>
      <c r="AL3" s="9" t="s">
        <v>245</v>
      </c>
    </row>
    <row r="4" spans="1:38" x14ac:dyDescent="0.2">
      <c r="A4" s="4">
        <v>1360101</v>
      </c>
      <c r="B4" s="5" t="s">
        <v>246</v>
      </c>
      <c r="C4" s="5" t="s">
        <v>538</v>
      </c>
      <c r="D4" s="4" t="s">
        <v>247</v>
      </c>
      <c r="E4" s="4" t="s">
        <v>248</v>
      </c>
      <c r="F4" s="4" t="str" cm="1">
        <f t="array" aca="1" ref="F4" ca="1">_xlfn.TEXTJOIN(";",1,_xlfn.LAMBDA(_xlpm.x,IF(_xlpm.x&lt;&gt;"",OFFSET(_xlpm.x,3-ROW(),0)&amp;"="&amp;_xlpm.x,""))(G4:L4))</f>
        <v>sharp=8</v>
      </c>
      <c r="G4" s="18">
        <v>8</v>
      </c>
      <c r="H4" s="22"/>
      <c r="I4" s="22"/>
      <c r="J4" s="22"/>
      <c r="K4" s="22"/>
      <c r="L4" s="22"/>
      <c r="M4" s="4">
        <v>3</v>
      </c>
      <c r="N4" s="5" t="s">
        <v>542</v>
      </c>
      <c r="O4" s="4">
        <v>0.8</v>
      </c>
      <c r="P4" s="4">
        <v>3</v>
      </c>
      <c r="Q4" s="4">
        <v>0.5</v>
      </c>
      <c r="R4" s="5">
        <f>Q4*7.5*P4</f>
        <v>11.25</v>
      </c>
      <c r="S4" s="5" t="str" cm="1">
        <f t="array" ref="S4">TEXT(VLOOKUP($A4,battle_data!$A:$G,MATCH(INDEX(_xlfn.TEXTSPLIT(S$3,"|"),1),battle_data!$A$1:$G$1),0)*0.001,"0%")</f>
        <v>20%</v>
      </c>
      <c r="T4" s="5" t="str" cm="1">
        <f t="array" ref="T4">TEXT(VLOOKUP($A4,battle_data!$A:$G,MATCH(INDEX(_xlfn.TEXTSPLIT(T$3,"|"),1),battle_data!$A$1:$G$1),0)*0.001,"0%")</f>
        <v>10%</v>
      </c>
      <c r="U4" s="5" t="str" cm="1">
        <f t="array" ref="U4">TEXT(VLOOKUP($A4,battle_data!$A:$G,MATCH(INDEX(_xlfn.TEXTSPLIT(U$3,"|"),1),battle_data!$A$1:$G$1),0)*0.001,"0%")</f>
        <v>200%</v>
      </c>
      <c r="V4" s="5">
        <f>_xlfn.LET(_xlpm.p,($T4),_xlpm.p*$U4+(1-_xlpm.p))</f>
        <v>1.1000000000000001</v>
      </c>
      <c r="W4" s="5">
        <f>SUM($G4:$L4)*V4</f>
        <v>8.8000000000000007</v>
      </c>
      <c r="X4" s="5">
        <f>PRODUCT(W4,7.5,O4)</f>
        <v>52.800000000000004</v>
      </c>
      <c r="Y4" s="75"/>
      <c r="Z4" s="75"/>
      <c r="AA4" s="75"/>
      <c r="AB4" s="76"/>
      <c r="AC4" s="97"/>
      <c r="AD4" s="76"/>
      <c r="AE4" s="76"/>
      <c r="AF4" s="99"/>
      <c r="AG4" s="4">
        <f>AH4/1000</f>
        <v>8.0000000000000002E-3</v>
      </c>
      <c r="AH4" s="5">
        <v>8</v>
      </c>
      <c r="AI4" s="4">
        <f>AJ4/1000</f>
        <v>0.44</v>
      </c>
      <c r="AJ4" s="5">
        <v>440</v>
      </c>
      <c r="AK4" s="5">
        <f t="shared" ref="AK4:AK14" si="0">AI4/AG4</f>
        <v>55</v>
      </c>
      <c r="AL4" s="4">
        <v>0.5</v>
      </c>
    </row>
    <row r="5" spans="1:38" x14ac:dyDescent="0.2">
      <c r="A5" s="4">
        <v>13601010</v>
      </c>
      <c r="B5" s="5" t="s">
        <v>526</v>
      </c>
      <c r="C5" s="5" t="s">
        <v>538</v>
      </c>
      <c r="D5" s="4" t="s">
        <v>247</v>
      </c>
      <c r="E5" s="4" t="s">
        <v>248</v>
      </c>
      <c r="F5" s="4" t="str" cm="1">
        <f t="array" aca="1" ref="F5" ca="1">_xlfn.TEXTJOIN(";",1,_xlfn.LAMBDA(_xlpm.x,IF(_xlpm.x&lt;&gt;"",OFFSET(_xlpm.x,3-ROW(),0)&amp;"="&amp;_xlpm.x,""))(G5:L5))</f>
        <v>sharp=8</v>
      </c>
      <c r="G5" s="18">
        <v>8</v>
      </c>
      <c r="H5" s="22"/>
      <c r="I5" s="22"/>
      <c r="J5" s="22"/>
      <c r="K5" s="22"/>
      <c r="L5" s="22"/>
      <c r="M5" s="4">
        <v>3</v>
      </c>
      <c r="N5" s="5" t="s">
        <v>542</v>
      </c>
      <c r="O5" s="4">
        <v>0.8</v>
      </c>
      <c r="P5" s="4">
        <v>3</v>
      </c>
      <c r="Q5" s="4">
        <v>0.5</v>
      </c>
      <c r="R5" s="5">
        <f t="shared" ref="R5:R17" si="1">Q5*7.5*P5</f>
        <v>11.25</v>
      </c>
      <c r="S5" s="5" t="str" cm="1">
        <f t="array" ref="S5">TEXT(VLOOKUP($A5,battle_data!$A:$G,MATCH(INDEX(_xlfn.TEXTSPLIT(S$3,"|"),1),battle_data!$A$1:$G$1),0)*0.001,"0%")</f>
        <v>20%</v>
      </c>
      <c r="T5" s="5" t="str" cm="1">
        <f t="array" ref="T5">TEXT(VLOOKUP($A5,battle_data!$A:$G,MATCH(INDEX(_xlfn.TEXTSPLIT(T$3,"|"),1),battle_data!$A$1:$G$1),0)*0.001,"0%")</f>
        <v>10%</v>
      </c>
      <c r="U5" s="5" t="str" cm="1">
        <f t="array" ref="U5">TEXT(VLOOKUP($A5,battle_data!$A:$G,MATCH(INDEX(_xlfn.TEXTSPLIT(U$3,"|"),1),battle_data!$A$1:$G$1),0)*0.001,"0%")</f>
        <v>200%</v>
      </c>
      <c r="V5" s="5">
        <f>_xlfn.LET(_xlpm.p,($T5),_xlpm.p*$U5+(1-_xlpm.p))</f>
        <v>1.1000000000000001</v>
      </c>
      <c r="W5" s="5">
        <f t="shared" ref="W5:W17" si="2">SUM($G5:$L5)*V5</f>
        <v>8.8000000000000007</v>
      </c>
      <c r="X5" s="5">
        <f t="shared" ref="X5:X17" si="3">PRODUCT(W5,7.5,O5)</f>
        <v>52.800000000000004</v>
      </c>
      <c r="Y5" s="65">
        <f>AVERAGE(W5:X5)</f>
        <v>30.800000000000004</v>
      </c>
      <c r="Z5" s="65" cm="1">
        <f t="array" ref="Z5">_xlfn.LAMBDA(_xlpm._dps,_xlpm._info_cell,ROUND(IF(_xlpm._dps&lt;=0,-10,LOG(_xlpm._dps/INDEX(_xlfn.TEXTSPLIT(_xlpm._info_cell,"="),2),1.5)),2))($Y5,Z$3)</f>
        <v>-0.09</v>
      </c>
      <c r="AA5" s="66">
        <v>0</v>
      </c>
      <c r="AB5" s="66">
        <v>1</v>
      </c>
      <c r="AC5" s="98" cm="1">
        <f t="array" ref="AC5">_xlfn.LAMBDA(_xlpm._lv,_xlpm._rank,_xlpm._base,_xlpm._lv+INDEX(_xlfn.TEXTSPLIT(_xlpm._base,"="),2)^(_xlpm._rank-2)-1)(AA5,AB5,AC$3)</f>
        <v>-0.5</v>
      </c>
      <c r="AD5" s="66"/>
      <c r="AE5" s="66"/>
      <c r="AF5" s="100">
        <f>AC5*2-Z5-AD5</f>
        <v>-0.91</v>
      </c>
      <c r="AG5" s="4">
        <f>AH5/1000</f>
        <v>8.0000000000000002E-3</v>
      </c>
      <c r="AH5" s="5">
        <v>8</v>
      </c>
      <c r="AI5" s="4">
        <f>AJ5/1000</f>
        <v>0.44</v>
      </c>
      <c r="AJ5" s="5">
        <v>440</v>
      </c>
      <c r="AK5" s="5">
        <f t="shared" si="0"/>
        <v>55</v>
      </c>
      <c r="AL5" s="4">
        <v>0.5</v>
      </c>
    </row>
    <row r="6" spans="1:38" x14ac:dyDescent="0.2">
      <c r="A6" s="4">
        <v>13601011</v>
      </c>
      <c r="B6" s="5" t="s">
        <v>527</v>
      </c>
      <c r="C6" s="5" t="s">
        <v>538</v>
      </c>
      <c r="D6" s="4" t="s">
        <v>247</v>
      </c>
      <c r="E6" s="4" t="s">
        <v>248</v>
      </c>
      <c r="F6" s="4" t="str" cm="1">
        <f t="array" aca="1" ref="F6" ca="1">_xlfn.TEXTJOIN(";",1,_xlfn.LAMBDA(_xlpm.x,IF(_xlpm.x&lt;&gt;"",OFFSET(_xlpm.x,3-ROW(),0)&amp;"="&amp;_xlpm.x,""))(G6:L6))</f>
        <v>sharp=12</v>
      </c>
      <c r="G6" s="18">
        <v>12</v>
      </c>
      <c r="H6" s="22"/>
      <c r="I6" s="22"/>
      <c r="J6" s="22"/>
      <c r="K6" s="22"/>
      <c r="L6" s="22"/>
      <c r="M6" s="4">
        <v>3</v>
      </c>
      <c r="N6" s="5" t="s">
        <v>542</v>
      </c>
      <c r="O6" s="4">
        <v>0.8</v>
      </c>
      <c r="P6" s="4">
        <v>3</v>
      </c>
      <c r="Q6" s="4">
        <v>0.5</v>
      </c>
      <c r="R6" s="5">
        <f t="shared" si="1"/>
        <v>11.25</v>
      </c>
      <c r="S6" s="5" t="str" cm="1">
        <f t="array" ref="S6">TEXT(VLOOKUP($A6,battle_data!$A:$G,MATCH(INDEX(_xlfn.TEXTSPLIT(S$3,"|"),1),battle_data!$A$1:$G$1),0)*0.001,"0%")</f>
        <v>20%</v>
      </c>
      <c r="T6" s="5" t="str" cm="1">
        <f t="array" ref="T6">TEXT(VLOOKUP($A6,battle_data!$A:$G,MATCH(INDEX(_xlfn.TEXTSPLIT(T$3,"|"),1),battle_data!$A$1:$G$1),0)*0.001,"0%")</f>
        <v>10%</v>
      </c>
      <c r="U6" s="5" t="str" cm="1">
        <f t="array" ref="U6">TEXT(VLOOKUP($A6,battle_data!$A:$G,MATCH(INDEX(_xlfn.TEXTSPLIT(U$3,"|"),1),battle_data!$A$1:$G$1),0)*0.001,"0%")</f>
        <v>200%</v>
      </c>
      <c r="V6" s="5">
        <f>_xlfn.LET(_xlpm.p,($T6),_xlpm.p*$U6+(1-_xlpm.p))</f>
        <v>1.1000000000000001</v>
      </c>
      <c r="W6" s="5">
        <f t="shared" si="2"/>
        <v>13.200000000000001</v>
      </c>
      <c r="X6" s="5">
        <f t="shared" si="3"/>
        <v>79.200000000000017</v>
      </c>
      <c r="Y6" s="65">
        <f>AVERAGE(W6:X6)</f>
        <v>46.20000000000001</v>
      </c>
      <c r="Z6" s="65" cm="1">
        <f t="array" ref="Z6">_xlfn.LAMBDA(_xlpm._dps,_xlpm._info_cell,ROUND(IF(_xlpm._dps&lt;=0,-10,LOG(_xlpm._dps/INDEX(_xlfn.TEXTSPLIT(_xlpm._info_cell,"="),2),1.5)),2))($Y6,Z$3)</f>
        <v>0.91</v>
      </c>
      <c r="AA6" s="66">
        <v>1</v>
      </c>
      <c r="AB6" s="66">
        <v>1</v>
      </c>
      <c r="AC6" s="98" cm="1">
        <f t="array" ref="AC6">_xlfn.LAMBDA(_xlpm._lv,_xlpm._rank,_xlpm._base,_xlpm._lv+INDEX(_xlfn.TEXTSPLIT(_xlpm._base,"="),2)^(_xlpm._rank-2)-1)(AA6,AB6,AC$3)</f>
        <v>0.5</v>
      </c>
      <c r="AD6" s="66"/>
      <c r="AE6" s="66"/>
      <c r="AF6" s="100">
        <f>AC6*2-Z6-AD6</f>
        <v>8.9999999999999969E-2</v>
      </c>
      <c r="AG6" s="4">
        <f>AH6/1000</f>
        <v>8.0000000000000002E-3</v>
      </c>
      <c r="AH6" s="5">
        <v>8</v>
      </c>
      <c r="AI6" s="4">
        <f>AJ6/1000</f>
        <v>0.44</v>
      </c>
      <c r="AJ6" s="5">
        <v>440</v>
      </c>
      <c r="AK6" s="5">
        <f t="shared" si="0"/>
        <v>55</v>
      </c>
      <c r="AL6" s="4">
        <v>0.5</v>
      </c>
    </row>
    <row r="7" spans="1:38" x14ac:dyDescent="0.2">
      <c r="A7" s="4">
        <v>13601012</v>
      </c>
      <c r="B7" s="5" t="s">
        <v>528</v>
      </c>
      <c r="C7" s="5" t="s">
        <v>538</v>
      </c>
      <c r="D7" s="4" t="s">
        <v>247</v>
      </c>
      <c r="E7" s="4" t="s">
        <v>248</v>
      </c>
      <c r="F7" s="4" t="str" cm="1">
        <f t="array" aca="1" ref="F7" ca="1">_xlfn.TEXTJOIN(";",1,_xlfn.LAMBDA(_xlpm.x,IF(_xlpm.x&lt;&gt;"",OFFSET(_xlpm.x,3-ROW(),0)&amp;"="&amp;_xlpm.x,""))(G7:L7))</f>
        <v>sharp=18</v>
      </c>
      <c r="G7" s="18">
        <v>18</v>
      </c>
      <c r="H7" s="22"/>
      <c r="I7" s="22"/>
      <c r="J7" s="22"/>
      <c r="K7" s="22"/>
      <c r="L7" s="22"/>
      <c r="M7" s="4">
        <v>3</v>
      </c>
      <c r="N7" s="5" t="s">
        <v>542</v>
      </c>
      <c r="O7" s="4">
        <v>0.8</v>
      </c>
      <c r="P7" s="4">
        <v>3</v>
      </c>
      <c r="Q7" s="4">
        <v>0.5</v>
      </c>
      <c r="R7" s="5">
        <f t="shared" si="1"/>
        <v>11.25</v>
      </c>
      <c r="S7" s="5" t="str" cm="1">
        <f t="array" ref="S7">TEXT(VLOOKUP($A7,battle_data!$A:$G,MATCH(INDEX(_xlfn.TEXTSPLIT(S$3,"|"),1),battle_data!$A$1:$G$1),0)*0.001,"0%")</f>
        <v>20%</v>
      </c>
      <c r="T7" s="5" t="str" cm="1">
        <f t="array" ref="T7">TEXT(VLOOKUP($A7,battle_data!$A:$G,MATCH(INDEX(_xlfn.TEXTSPLIT(T$3,"|"),1),battle_data!$A$1:$G$1),0)*0.001,"0%")</f>
        <v>10%</v>
      </c>
      <c r="U7" s="5" t="str" cm="1">
        <f t="array" ref="U7">TEXT(VLOOKUP($A7,battle_data!$A:$G,MATCH(INDEX(_xlfn.TEXTSPLIT(U$3,"|"),1),battle_data!$A$1:$G$1),0)*0.001,"0%")</f>
        <v>200%</v>
      </c>
      <c r="V7" s="5">
        <f>_xlfn.LET(_xlpm.p,($T7),_xlpm.p*$U7+(1-_xlpm.p))</f>
        <v>1.1000000000000001</v>
      </c>
      <c r="W7" s="5">
        <f t="shared" si="2"/>
        <v>19.8</v>
      </c>
      <c r="X7" s="5">
        <f t="shared" si="3"/>
        <v>118.80000000000001</v>
      </c>
      <c r="Y7" s="65">
        <f>AVERAGE(W7:X7)</f>
        <v>69.300000000000011</v>
      </c>
      <c r="Z7" s="65" cm="1">
        <f t="array" ref="Z7">_xlfn.LAMBDA(_xlpm._dps,_xlpm._info_cell,ROUND(IF(_xlpm._dps&lt;=0,-10,LOG(_xlpm._dps/INDEX(_xlfn.TEXTSPLIT(_xlpm._info_cell,"="),2),1.5)),2))($Y7,Z$3)</f>
        <v>1.91</v>
      </c>
      <c r="AA7" s="66">
        <v>2</v>
      </c>
      <c r="AB7" s="66">
        <v>1</v>
      </c>
      <c r="AC7" s="98" cm="1">
        <f t="array" ref="AC7">_xlfn.LAMBDA(_xlpm._lv,_xlpm._rank,_xlpm._base,_xlpm._lv+INDEX(_xlfn.TEXTSPLIT(_xlpm._base,"="),2)^(_xlpm._rank-2)-1)(AA7,AB7,AC$3)</f>
        <v>1.5</v>
      </c>
      <c r="AD7" s="66"/>
      <c r="AE7" s="66"/>
      <c r="AF7" s="100">
        <f>AC7*2-Z7-AD7</f>
        <v>1.0900000000000001</v>
      </c>
      <c r="AG7" s="4">
        <f>AH7/1000</f>
        <v>8.0000000000000002E-3</v>
      </c>
      <c r="AH7" s="5">
        <v>8</v>
      </c>
      <c r="AI7" s="4">
        <f>AJ7/1000</f>
        <v>0.44</v>
      </c>
      <c r="AJ7" s="5">
        <v>440</v>
      </c>
      <c r="AK7" s="5">
        <f t="shared" si="0"/>
        <v>55</v>
      </c>
      <c r="AL7" s="4">
        <v>0.5</v>
      </c>
    </row>
    <row r="8" spans="1:38" x14ac:dyDescent="0.2">
      <c r="A8" s="4">
        <v>1360102</v>
      </c>
      <c r="B8" s="5" t="s">
        <v>249</v>
      </c>
      <c r="C8" s="5" t="s">
        <v>538</v>
      </c>
      <c r="D8" s="4" t="s">
        <v>247</v>
      </c>
      <c r="E8" s="4" t="s">
        <v>248</v>
      </c>
      <c r="F8" s="4" t="str" cm="1">
        <f t="array" aca="1" ref="F8" ca="1">_xlfn.TEXTJOIN(";",1,_xlfn.LAMBDA(_xlpm.x,IF(_xlpm.x&lt;&gt;"",OFFSET(_xlpm.x,3-ROW(),0)&amp;"="&amp;_xlpm.x,""))(G8:L8))</f>
        <v>sharp=5;blunt=4</v>
      </c>
      <c r="G8" s="18">
        <v>5</v>
      </c>
      <c r="H8" s="18">
        <v>4</v>
      </c>
      <c r="I8" s="22"/>
      <c r="J8" s="22"/>
      <c r="K8" s="22"/>
      <c r="L8" s="22"/>
      <c r="M8" s="4">
        <v>3.3</v>
      </c>
      <c r="N8" s="5" t="s">
        <v>544</v>
      </c>
      <c r="O8" s="4">
        <v>0.4</v>
      </c>
      <c r="P8" s="4">
        <v>4</v>
      </c>
      <c r="Q8" s="4">
        <v>0.45</v>
      </c>
      <c r="R8" s="5">
        <f t="shared" si="1"/>
        <v>13.5</v>
      </c>
      <c r="S8" s="5" t="str" cm="1">
        <f t="array" ref="S8">TEXT(VLOOKUP($A8,battle_data!$A:$G,MATCH(INDEX(_xlfn.TEXTSPLIT(S$3,"|"),1),battle_data!$A$1:$G$1),0)*0.001,"0%")</f>
        <v>0%</v>
      </c>
      <c r="T8" s="5" t="str" cm="1">
        <f t="array" ref="T8">TEXT(VLOOKUP($A8,battle_data!$A:$G,MATCH(INDEX(_xlfn.TEXTSPLIT(T$3,"|"),1),battle_data!$A$1:$G$1),0)*0.001,"0%")</f>
        <v>2%</v>
      </c>
      <c r="U8" s="5" t="str" cm="1">
        <f t="array" ref="U8">TEXT(VLOOKUP($A8,battle_data!$A:$G,MATCH(INDEX(_xlfn.TEXTSPLIT(U$3,"|"),1),battle_data!$A$1:$G$1),0)*0.001,"0%")</f>
        <v>150%</v>
      </c>
      <c r="V8" s="5">
        <f t="shared" ref="V8:V17" si="4">_xlfn.LET(_xlpm.p,($T8),_xlpm.p*$U8+(1-_xlpm.p))</f>
        <v>1.01</v>
      </c>
      <c r="W8" s="5">
        <f t="shared" si="2"/>
        <v>9.09</v>
      </c>
      <c r="X8" s="5">
        <f t="shared" si="3"/>
        <v>27.27</v>
      </c>
      <c r="Y8" s="75"/>
      <c r="Z8" s="75"/>
      <c r="AA8" s="75"/>
      <c r="AB8" s="76"/>
      <c r="AC8" s="97"/>
      <c r="AD8" s="76"/>
      <c r="AE8" s="76"/>
      <c r="AF8" s="99"/>
      <c r="AG8" s="4">
        <f t="shared" ref="AG8:AI14" si="5">AH8/1000</f>
        <v>2E-3</v>
      </c>
      <c r="AH8" s="5">
        <v>2</v>
      </c>
      <c r="AI8" s="4">
        <f t="shared" si="5"/>
        <v>9.5000000000000001E-2</v>
      </c>
      <c r="AJ8" s="5">
        <v>95</v>
      </c>
      <c r="AK8" s="5">
        <f t="shared" si="0"/>
        <v>47.5</v>
      </c>
      <c r="AL8" s="4">
        <v>0.45</v>
      </c>
    </row>
    <row r="9" spans="1:38" x14ac:dyDescent="0.2">
      <c r="A9" s="4">
        <v>13601022</v>
      </c>
      <c r="B9" s="5" t="s">
        <v>539</v>
      </c>
      <c r="C9" s="5" t="s">
        <v>538</v>
      </c>
      <c r="D9" s="4" t="s">
        <v>247</v>
      </c>
      <c r="E9" s="4" t="s">
        <v>248</v>
      </c>
      <c r="F9" s="4" t="str" cm="1">
        <f t="array" aca="1" ref="F9" ca="1">_xlfn.TEXTJOIN(";",1,_xlfn.LAMBDA(_xlpm.x,IF(_xlpm.x&lt;&gt;"",OFFSET(_xlpm.x,3-ROW(),0)&amp;"="&amp;_xlpm.x,""))(G9:L9))</f>
        <v>sharp=10;blunt=9</v>
      </c>
      <c r="G9" s="18">
        <v>10</v>
      </c>
      <c r="H9" s="18">
        <v>9</v>
      </c>
      <c r="I9" s="22"/>
      <c r="J9" s="22"/>
      <c r="K9" s="22"/>
      <c r="L9" s="22"/>
      <c r="M9" s="4">
        <v>3.3</v>
      </c>
      <c r="N9" s="5" t="s">
        <v>544</v>
      </c>
      <c r="O9" s="4">
        <v>0.4</v>
      </c>
      <c r="P9" s="4">
        <v>4</v>
      </c>
      <c r="Q9" s="4">
        <v>0.45</v>
      </c>
      <c r="R9" s="5">
        <f t="shared" si="1"/>
        <v>13.5</v>
      </c>
      <c r="S9" s="5" t="str" cm="1">
        <f t="array" ref="S9">TEXT(VLOOKUP($A9,battle_data!$A:$G,MATCH(INDEX(_xlfn.TEXTSPLIT(S$3,"|"),1),battle_data!$A$1:$G$1),0)*0.001,"0%")</f>
        <v>0%</v>
      </c>
      <c r="T9" s="5" t="str" cm="1">
        <f t="array" ref="T9">TEXT(VLOOKUP($A9,battle_data!$A:$G,MATCH(INDEX(_xlfn.TEXTSPLIT(T$3,"|"),1),battle_data!$A$1:$G$1),0)*0.001,"0%")</f>
        <v>2%</v>
      </c>
      <c r="U9" s="5" t="str" cm="1">
        <f t="array" ref="U9">TEXT(VLOOKUP($A9,battle_data!$A:$G,MATCH(INDEX(_xlfn.TEXTSPLIT(U$3,"|"),1),battle_data!$A$1:$G$1),0)*0.001,"0%")</f>
        <v>150%</v>
      </c>
      <c r="V9" s="5">
        <f t="shared" si="4"/>
        <v>1.01</v>
      </c>
      <c r="W9" s="5">
        <f t="shared" si="2"/>
        <v>19.190000000000001</v>
      </c>
      <c r="X9" s="5">
        <f t="shared" si="3"/>
        <v>57.570000000000007</v>
      </c>
      <c r="Y9" s="65">
        <f t="shared" ref="Y9" si="6">AVERAGE(W9:X9)</f>
        <v>38.380000000000003</v>
      </c>
      <c r="Z9" s="65" cm="1">
        <f t="array" ref="Z9">_xlfn.LAMBDA(_xlpm._dps,_xlpm._info_cell,ROUND(IF(_xlpm._dps&lt;=0,-10,LOG(_xlpm._dps/INDEX(_xlfn.TEXTSPLIT(_xlpm._info_cell,"="),2),1.5)),2))($Y9,Z$3)</f>
        <v>0.45</v>
      </c>
      <c r="AA9" s="66">
        <v>2</v>
      </c>
      <c r="AB9" s="66">
        <v>1</v>
      </c>
      <c r="AC9" s="98" cm="1">
        <f t="array" ref="AC9">_xlfn.LAMBDA(_xlpm._lv,_xlpm._rank,_xlpm._base,_xlpm._lv+INDEX(_xlfn.TEXTSPLIT(_xlpm._base,"="),2)^(_xlpm._rank-2)-1)(AA9,AB9,AC$3)</f>
        <v>1.5</v>
      </c>
      <c r="AD9" s="66">
        <v>-0.8</v>
      </c>
      <c r="AE9" s="66" t="s">
        <v>536</v>
      </c>
      <c r="AF9" s="100">
        <f>AC9*2-Z9-AD9</f>
        <v>3.3499999999999996</v>
      </c>
      <c r="AG9" s="4">
        <f t="shared" ref="AG9" si="7">AH9/1000</f>
        <v>2E-3</v>
      </c>
      <c r="AH9" s="5">
        <v>2</v>
      </c>
      <c r="AI9" s="4">
        <f t="shared" ref="AI9" si="8">AJ9/1000</f>
        <v>9.5000000000000001E-2</v>
      </c>
      <c r="AJ9" s="5">
        <v>95</v>
      </c>
      <c r="AK9" s="5">
        <f t="shared" ref="AK9" si="9">AI9/AG9</f>
        <v>47.5</v>
      </c>
      <c r="AL9" s="4">
        <v>0.45</v>
      </c>
    </row>
    <row r="10" spans="1:38" x14ac:dyDescent="0.2">
      <c r="A10" s="4">
        <v>13601023</v>
      </c>
      <c r="B10" s="5" t="s">
        <v>540</v>
      </c>
      <c r="C10" s="5" t="s">
        <v>538</v>
      </c>
      <c r="D10" s="4" t="s">
        <v>247</v>
      </c>
      <c r="E10" s="4" t="s">
        <v>248</v>
      </c>
      <c r="F10" s="4" t="str" cm="1">
        <f t="array" aca="1" ref="F10" ca="1">_xlfn.TEXTJOIN(";",1,_xlfn.LAMBDA(_xlpm.x,IF(_xlpm.x&lt;&gt;"",OFFSET(_xlpm.x,3-ROW(),0)&amp;"="&amp;_xlpm.x,""))(G10:L10))</f>
        <v>sharp=12;blunt=18</v>
      </c>
      <c r="G10" s="18">
        <v>12</v>
      </c>
      <c r="H10" s="18">
        <v>18</v>
      </c>
      <c r="I10" s="22"/>
      <c r="J10" s="22"/>
      <c r="K10" s="22"/>
      <c r="L10" s="22"/>
      <c r="M10" s="4">
        <v>3.3</v>
      </c>
      <c r="N10" s="5" t="s">
        <v>544</v>
      </c>
      <c r="O10" s="4">
        <v>0.4</v>
      </c>
      <c r="P10" s="4">
        <v>4</v>
      </c>
      <c r="Q10" s="4">
        <v>0.45</v>
      </c>
      <c r="R10" s="5">
        <f t="shared" si="1"/>
        <v>13.5</v>
      </c>
      <c r="S10" s="5" t="str" cm="1">
        <f t="array" ref="S10">TEXT(VLOOKUP($A10,battle_data!$A:$G,MATCH(INDEX(_xlfn.TEXTSPLIT(S$3,"|"),1),battle_data!$A$1:$G$1),0)*0.001,"0%")</f>
        <v>0%</v>
      </c>
      <c r="T10" s="5" t="str" cm="1">
        <f t="array" ref="T10">TEXT(VLOOKUP($A10,battle_data!$A:$G,MATCH(INDEX(_xlfn.TEXTSPLIT(T$3,"|"),1),battle_data!$A$1:$G$1),0)*0.001,"0%")</f>
        <v>2%</v>
      </c>
      <c r="U10" s="5" t="str" cm="1">
        <f t="array" ref="U10">TEXT(VLOOKUP($A10,battle_data!$A:$G,MATCH(INDEX(_xlfn.TEXTSPLIT(U$3,"|"),1),battle_data!$A$1:$G$1),0)*0.001,"0%")</f>
        <v>150%</v>
      </c>
      <c r="V10" s="5">
        <f t="shared" si="4"/>
        <v>1.01</v>
      </c>
      <c r="W10" s="5">
        <f t="shared" si="2"/>
        <v>30.3</v>
      </c>
      <c r="X10" s="5">
        <f t="shared" si="3"/>
        <v>90.9</v>
      </c>
      <c r="Y10" s="65">
        <f t="shared" ref="Y10" si="10">AVERAGE(W10:X10)</f>
        <v>60.6</v>
      </c>
      <c r="Z10" s="65" cm="1">
        <f t="array" ref="Z10">_xlfn.LAMBDA(_xlpm._dps,_xlpm._info_cell,ROUND(IF(_xlpm._dps&lt;=0,-10,LOG(_xlpm._dps/INDEX(_xlfn.TEXTSPLIT(_xlpm._info_cell,"="),2),1.5)),2))($Y10,Z$3)</f>
        <v>1.57</v>
      </c>
      <c r="AA10" s="66">
        <v>3</v>
      </c>
      <c r="AB10" s="66">
        <v>1</v>
      </c>
      <c r="AC10" s="98" cm="1">
        <f t="array" ref="AC10">_xlfn.LAMBDA(_xlpm._lv,_xlpm._rank,_xlpm._base,_xlpm._lv+INDEX(_xlfn.TEXTSPLIT(_xlpm._base,"="),2)^(_xlpm._rank-2)-1)(AA10,AB10,AC$3)</f>
        <v>2.5</v>
      </c>
      <c r="AD10" s="66">
        <v>-1.1000000000000001</v>
      </c>
      <c r="AE10" s="66" t="s">
        <v>536</v>
      </c>
      <c r="AF10" s="100">
        <f>AC10*2-Z10-AD10</f>
        <v>4.5299999999999994</v>
      </c>
      <c r="AG10" s="4">
        <f t="shared" ref="AG10" si="11">AH10/1000</f>
        <v>2E-3</v>
      </c>
      <c r="AH10" s="5">
        <v>2</v>
      </c>
      <c r="AI10" s="4">
        <f t="shared" ref="AI10" si="12">AJ10/1000</f>
        <v>9.5000000000000001E-2</v>
      </c>
      <c r="AJ10" s="5">
        <v>95</v>
      </c>
      <c r="AK10" s="5">
        <f t="shared" ref="AK10" si="13">AI10/AG10</f>
        <v>47.5</v>
      </c>
      <c r="AL10" s="4">
        <v>0.45</v>
      </c>
    </row>
    <row r="11" spans="1:38" x14ac:dyDescent="0.2">
      <c r="A11" s="4">
        <v>1360103</v>
      </c>
      <c r="B11" s="5" t="s">
        <v>250</v>
      </c>
      <c r="C11" s="5" t="s">
        <v>538</v>
      </c>
      <c r="D11" s="4" t="s">
        <v>251</v>
      </c>
      <c r="E11" s="4" t="s">
        <v>248</v>
      </c>
      <c r="F11" s="4" t="str" cm="1">
        <f t="array" aca="1" ref="F11" ca="1">_xlfn.TEXTJOIN(";",1,_xlfn.LAMBDA(_xlpm.x,IF(_xlpm.x&lt;&gt;"",OFFSET(_xlpm.x,3-ROW(),0)&amp;"="&amp;_xlpm.x,""))(G11:L11))</f>
        <v>blunt=2</v>
      </c>
      <c r="G11" s="22"/>
      <c r="H11" s="18">
        <v>2</v>
      </c>
      <c r="I11" s="22"/>
      <c r="J11" s="22"/>
      <c r="K11" s="22"/>
      <c r="L11" s="22"/>
      <c r="M11" s="4">
        <v>1</v>
      </c>
      <c r="N11" s="5" t="s">
        <v>543</v>
      </c>
      <c r="O11" s="4">
        <v>0.1</v>
      </c>
      <c r="P11" s="4">
        <v>9</v>
      </c>
      <c r="Q11" s="4">
        <v>1.2</v>
      </c>
      <c r="R11" s="5">
        <f t="shared" si="1"/>
        <v>81</v>
      </c>
      <c r="S11" s="5" t="str" cm="1">
        <f t="array" ref="S11">TEXT(VLOOKUP($A11,battle_data!$A:$G,MATCH(INDEX(_xlfn.TEXTSPLIT(S$3,"|"),1),battle_data!$A$1:$G$1),0)*0.001,"0%")</f>
        <v>0%</v>
      </c>
      <c r="T11" s="5" t="str" cm="1">
        <f t="array" ref="T11">TEXT(VLOOKUP($A11,battle_data!$A:$G,MATCH(INDEX(_xlfn.TEXTSPLIT(T$3,"|"),1),battle_data!$A$1:$G$1),0)*0.001,"0%")</f>
        <v>1%</v>
      </c>
      <c r="U11" s="5" t="str" cm="1">
        <f t="array" ref="U11">TEXT(VLOOKUP($A11,battle_data!$A:$G,MATCH(INDEX(_xlfn.TEXTSPLIT(U$3,"|"),1),battle_data!$A$1:$G$1),0)*0.001,"0%")</f>
        <v>150%</v>
      </c>
      <c r="V11" s="5">
        <f t="shared" si="4"/>
        <v>1.0049999999999999</v>
      </c>
      <c r="W11" s="5">
        <f t="shared" si="2"/>
        <v>2.0099999999999998</v>
      </c>
      <c r="X11" s="5">
        <f t="shared" si="3"/>
        <v>1.5075000000000001</v>
      </c>
      <c r="Y11" s="75"/>
      <c r="Z11" s="75"/>
      <c r="AA11" s="75"/>
      <c r="AB11" s="76"/>
      <c r="AC11" s="97"/>
      <c r="AD11" s="76"/>
      <c r="AE11" s="76"/>
      <c r="AF11" s="99"/>
      <c r="AG11" s="4">
        <f t="shared" si="5"/>
        <v>5.0000000000000001E-3</v>
      </c>
      <c r="AH11" s="5">
        <v>5</v>
      </c>
      <c r="AI11" s="4">
        <f t="shared" si="5"/>
        <v>0.22</v>
      </c>
      <c r="AJ11" s="5">
        <v>220</v>
      </c>
      <c r="AK11" s="5">
        <f t="shared" si="0"/>
        <v>44</v>
      </c>
      <c r="AL11" s="4">
        <v>0.18</v>
      </c>
    </row>
    <row r="12" spans="1:38" x14ac:dyDescent="0.2">
      <c r="A12" s="4">
        <v>13601030</v>
      </c>
      <c r="B12" s="5" t="s">
        <v>550</v>
      </c>
      <c r="C12" s="5" t="s">
        <v>538</v>
      </c>
      <c r="D12" s="4" t="s">
        <v>251</v>
      </c>
      <c r="E12" s="4" t="s">
        <v>248</v>
      </c>
      <c r="F12" s="4" t="str" cm="1">
        <f t="array" aca="1" ref="F12" ca="1">_xlfn.TEXTJOIN(";",1,_xlfn.LAMBDA(_xlpm.x,IF(_xlpm.x&lt;&gt;"",OFFSET(_xlpm.x,3-ROW(),0)&amp;"="&amp;_xlpm.x,""))(G12:L12))</f>
        <v>blunt=2</v>
      </c>
      <c r="G12" s="22"/>
      <c r="H12" s="18">
        <v>2</v>
      </c>
      <c r="I12" s="22"/>
      <c r="J12" s="22"/>
      <c r="K12" s="22"/>
      <c r="L12" s="22"/>
      <c r="M12" s="4">
        <v>1</v>
      </c>
      <c r="N12" s="5" t="s">
        <v>543</v>
      </c>
      <c r="O12" s="4">
        <v>0.1</v>
      </c>
      <c r="P12" s="47">
        <v>9</v>
      </c>
      <c r="Q12" s="47">
        <v>1.2</v>
      </c>
      <c r="R12" s="91">
        <f t="shared" si="1"/>
        <v>81</v>
      </c>
      <c r="S12" s="5" t="str" cm="1">
        <f t="array" ref="S12">TEXT(VLOOKUP($A12,battle_data!$A:$G,MATCH(INDEX(_xlfn.TEXTSPLIT(S$3,"|"),1),battle_data!$A$1:$G$1),0)*0.001,"0%")</f>
        <v>0%</v>
      </c>
      <c r="T12" s="5" t="str" cm="1">
        <f t="array" ref="T12">TEXT(VLOOKUP($A12,battle_data!$A:$G,MATCH(INDEX(_xlfn.TEXTSPLIT(T$3,"|"),1),battle_data!$A$1:$G$1),0)*0.001,"0%")</f>
        <v>1%</v>
      </c>
      <c r="U12" s="5" t="str" cm="1">
        <f t="array" ref="U12">TEXT(VLOOKUP($A12,battle_data!$A:$G,MATCH(INDEX(_xlfn.TEXTSPLIT(U$3,"|"),1),battle_data!$A$1:$G$1),0)*0.001,"0%")</f>
        <v>150%</v>
      </c>
      <c r="V12" s="5">
        <f t="shared" si="4"/>
        <v>1.0049999999999999</v>
      </c>
      <c r="W12" s="5">
        <f t="shared" si="2"/>
        <v>2.0099999999999998</v>
      </c>
      <c r="X12" s="5">
        <f t="shared" si="3"/>
        <v>1.5075000000000001</v>
      </c>
      <c r="Y12" s="65">
        <f t="shared" ref="Y12" si="14">AVERAGE(W12:X12)</f>
        <v>1.75875</v>
      </c>
      <c r="Z12" s="65" cm="1">
        <f t="array" ref="Z12">_xlfn.LAMBDA(_xlpm._dps,_xlpm._info_cell,ROUND(IF(_xlpm._dps&lt;=0,-10,LOG(_xlpm._dps/INDEX(_xlfn.TEXTSPLIT(_xlpm._info_cell,"="),2),1.5)),2))($Y12,Z$3)</f>
        <v>-7.16</v>
      </c>
      <c r="AA12" s="66">
        <v>0</v>
      </c>
      <c r="AB12" s="66">
        <v>1</v>
      </c>
      <c r="AC12" s="98" cm="1">
        <f t="array" ref="AC12">_xlfn.LAMBDA(_xlpm._lv,_xlpm._rank,_xlpm._base,_xlpm._lv+INDEX(_xlfn.TEXTSPLIT(_xlpm._base,"="),2)^(_xlpm._rank-2)-1)(AA12,AB12,AC$3)</f>
        <v>-0.5</v>
      </c>
      <c r="AD12" s="66">
        <v>6</v>
      </c>
      <c r="AE12" s="66" t="s">
        <v>534</v>
      </c>
      <c r="AF12" s="100">
        <f>AC12*2-Z12-AD12</f>
        <v>0.16000000000000014</v>
      </c>
      <c r="AG12" s="4">
        <f t="shared" ref="AG12" si="15">AH12/1000</f>
        <v>5.0000000000000001E-3</v>
      </c>
      <c r="AH12" s="5">
        <v>5</v>
      </c>
      <c r="AI12" s="4">
        <f t="shared" ref="AI12" si="16">AJ12/1000</f>
        <v>0.22</v>
      </c>
      <c r="AJ12" s="5">
        <v>220</v>
      </c>
      <c r="AK12" s="5">
        <f t="shared" ref="AK12" si="17">AI12/AG12</f>
        <v>44</v>
      </c>
      <c r="AL12" s="4">
        <v>0.18</v>
      </c>
    </row>
    <row r="13" spans="1:38" x14ac:dyDescent="0.2">
      <c r="A13" s="4">
        <v>13601031</v>
      </c>
      <c r="B13" s="5" t="s">
        <v>551</v>
      </c>
      <c r="C13" s="5" t="s">
        <v>538</v>
      </c>
      <c r="D13" s="4" t="s">
        <v>251</v>
      </c>
      <c r="E13" s="4" t="s">
        <v>248</v>
      </c>
      <c r="F13" s="4" t="str" cm="1">
        <f t="array" aca="1" ref="F13" ca="1">_xlfn.TEXTJOIN(";",1,_xlfn.LAMBDA(_xlpm.x,IF(_xlpm.x&lt;&gt;"",OFFSET(_xlpm.x,3-ROW(),0)&amp;"="&amp;_xlpm.x,""))(G13:L13))</f>
        <v>blunt=4</v>
      </c>
      <c r="G13" s="22"/>
      <c r="H13" s="18">
        <v>4</v>
      </c>
      <c r="I13" s="22"/>
      <c r="J13" s="22"/>
      <c r="K13" s="22"/>
      <c r="L13" s="22"/>
      <c r="M13" s="4">
        <v>1</v>
      </c>
      <c r="N13" s="5" t="s">
        <v>543</v>
      </c>
      <c r="O13" s="4">
        <v>0.1</v>
      </c>
      <c r="P13" s="47">
        <v>11</v>
      </c>
      <c r="Q13" s="47">
        <v>1.6</v>
      </c>
      <c r="R13" s="91">
        <f t="shared" si="1"/>
        <v>132</v>
      </c>
      <c r="S13" s="5" t="str" cm="1">
        <f t="array" ref="S13">TEXT(VLOOKUP($A13,battle_data!$A:$G,MATCH(INDEX(_xlfn.TEXTSPLIT(S$3,"|"),1),battle_data!$A$1:$G$1),0)*0.001,"0%")</f>
        <v>0%</v>
      </c>
      <c r="T13" s="5" t="str" cm="1">
        <f t="array" ref="T13">TEXT(VLOOKUP($A13,battle_data!$A:$G,MATCH(INDEX(_xlfn.TEXTSPLIT(T$3,"|"),1),battle_data!$A$1:$G$1),0)*0.001,"0%")</f>
        <v>1%</v>
      </c>
      <c r="U13" s="5" t="str" cm="1">
        <f t="array" ref="U13">TEXT(VLOOKUP($A13,battle_data!$A:$G,MATCH(INDEX(_xlfn.TEXTSPLIT(U$3,"|"),1),battle_data!$A$1:$G$1),0)*0.001,"0%")</f>
        <v>150%</v>
      </c>
      <c r="V13" s="5">
        <f t="shared" si="4"/>
        <v>1.0049999999999999</v>
      </c>
      <c r="W13" s="5">
        <f t="shared" si="2"/>
        <v>4.0199999999999996</v>
      </c>
      <c r="X13" s="5">
        <f t="shared" si="3"/>
        <v>3.0150000000000001</v>
      </c>
      <c r="Y13" s="65">
        <f t="shared" ref="Y13" si="18">AVERAGE(W13:X13)</f>
        <v>3.5175000000000001</v>
      </c>
      <c r="Z13" s="65" cm="1">
        <f t="array" ref="Z13">_xlfn.LAMBDA(_xlpm._dps,_xlpm._info_cell,ROUND(IF(_xlpm._dps&lt;=0,-10,LOG(_xlpm._dps/INDEX(_xlfn.TEXTSPLIT(_xlpm._info_cell,"="),2),1.5)),2))($Y13,Z$3)</f>
        <v>-5.45</v>
      </c>
      <c r="AA13" s="66">
        <v>1</v>
      </c>
      <c r="AB13" s="66">
        <v>1</v>
      </c>
      <c r="AC13" s="98" cm="1">
        <f t="array" ref="AC13">_xlfn.LAMBDA(_xlpm._lv,_xlpm._rank,_xlpm._base,_xlpm._lv+INDEX(_xlfn.TEXTSPLIT(_xlpm._base,"="),2)^(_xlpm._rank-2)-1)(AA13,AB13,AC$3)</f>
        <v>0.5</v>
      </c>
      <c r="AD13" s="66">
        <v>5</v>
      </c>
      <c r="AE13" s="66" t="s">
        <v>534</v>
      </c>
      <c r="AF13" s="100">
        <f>AC13*2-Z13-AD13</f>
        <v>1.4500000000000002</v>
      </c>
      <c r="AG13" s="4">
        <f t="shared" ref="AG13" si="19">AH13/1000</f>
        <v>5.0000000000000001E-3</v>
      </c>
      <c r="AH13" s="5">
        <v>5</v>
      </c>
      <c r="AI13" s="4">
        <f t="shared" ref="AI13" si="20">AJ13/1000</f>
        <v>0.22</v>
      </c>
      <c r="AJ13" s="5">
        <v>220</v>
      </c>
      <c r="AK13" s="5">
        <f t="shared" ref="AK13" si="21">AI13/AG13</f>
        <v>44</v>
      </c>
      <c r="AL13" s="4">
        <v>0.18</v>
      </c>
    </row>
    <row r="14" spans="1:38" x14ac:dyDescent="0.2">
      <c r="A14" s="4">
        <v>1361801</v>
      </c>
      <c r="B14" s="5" t="s">
        <v>371</v>
      </c>
      <c r="C14" s="5" t="s">
        <v>538</v>
      </c>
      <c r="D14" s="4" t="s">
        <v>247</v>
      </c>
      <c r="E14" s="4" t="s">
        <v>248</v>
      </c>
      <c r="F14" s="4" t="str" cm="1">
        <f t="array" aca="1" ref="F14" ca="1">_xlfn.TEXTJOIN(";",1,_xlfn.LAMBDA(_xlpm.x,IF(_xlpm.x&lt;&gt;"",OFFSET(_xlpm.x,3-ROW(),0)&amp;"="&amp;_xlpm.x,""))(G14:L14))</f>
        <v>sharp=6;acid=1</v>
      </c>
      <c r="G14" s="18">
        <v>6</v>
      </c>
      <c r="H14" s="22"/>
      <c r="I14" s="22"/>
      <c r="J14" s="18">
        <v>1</v>
      </c>
      <c r="K14" s="22"/>
      <c r="L14" s="22"/>
      <c r="M14" s="4">
        <v>3</v>
      </c>
      <c r="N14" s="5" t="s">
        <v>545</v>
      </c>
      <c r="O14" s="4">
        <v>0.6</v>
      </c>
      <c r="P14" s="4">
        <v>2</v>
      </c>
      <c r="Q14" s="4">
        <v>0.4</v>
      </c>
      <c r="R14" s="5">
        <f t="shared" si="1"/>
        <v>6</v>
      </c>
      <c r="S14" s="5" t="str" cm="1">
        <f t="array" ref="S14">TEXT(VLOOKUP($A14,battle_data!$A:$G,MATCH(INDEX(_xlfn.TEXTSPLIT(S$3,"|"),1),battle_data!$A$1:$G$1),0)*0.001,"0%")</f>
        <v>50%</v>
      </c>
      <c r="T14" s="5" t="str" cm="1">
        <f t="array" ref="T14">TEXT(VLOOKUP($A14,battle_data!$A:$G,MATCH(INDEX(_xlfn.TEXTSPLIT(T$3,"|"),1),battle_data!$A$1:$G$1),0)*0.001,"0%")</f>
        <v>15%</v>
      </c>
      <c r="U14" s="5" t="str" cm="1">
        <f t="array" ref="U14">TEXT(VLOOKUP($A14,battle_data!$A:$G,MATCH(INDEX(_xlfn.TEXTSPLIT(U$3,"|"),1),battle_data!$A$1:$G$1),0)*0.001,"0%")</f>
        <v>300%</v>
      </c>
      <c r="V14" s="5">
        <f t="shared" si="4"/>
        <v>1.2999999999999998</v>
      </c>
      <c r="W14" s="5">
        <f t="shared" si="2"/>
        <v>9.0999999999999979</v>
      </c>
      <c r="X14" s="5">
        <f t="shared" si="3"/>
        <v>40.949999999999989</v>
      </c>
      <c r="Y14" s="75"/>
      <c r="Z14" s="75"/>
      <c r="AA14" s="75"/>
      <c r="AB14" s="76"/>
      <c r="AC14" s="97"/>
      <c r="AD14" s="76"/>
      <c r="AE14" s="76"/>
      <c r="AF14" s="99"/>
      <c r="AG14" s="4">
        <f t="shared" ref="AG14" si="22">AH14/1000</f>
        <v>6.0000000000000001E-3</v>
      </c>
      <c r="AH14" s="5">
        <v>6</v>
      </c>
      <c r="AI14" s="4">
        <f t="shared" si="5"/>
        <v>0.9</v>
      </c>
      <c r="AJ14" s="5">
        <v>900</v>
      </c>
      <c r="AK14" s="5">
        <f t="shared" si="0"/>
        <v>150</v>
      </c>
      <c r="AL14" s="4">
        <v>0.5</v>
      </c>
    </row>
    <row r="15" spans="1:38" x14ac:dyDescent="0.2">
      <c r="A15" s="4">
        <v>13618011</v>
      </c>
      <c r="B15" s="5" t="s">
        <v>546</v>
      </c>
      <c r="C15" s="5" t="s">
        <v>538</v>
      </c>
      <c r="D15" s="4" t="s">
        <v>247</v>
      </c>
      <c r="E15" s="4" t="s">
        <v>248</v>
      </c>
      <c r="F15" s="4" t="str" cm="1">
        <f t="array" aca="1" ref="F15" ca="1">_xlfn.TEXTJOIN(";",1,_xlfn.LAMBDA(_xlpm.x,IF(_xlpm.x&lt;&gt;"",OFFSET(_xlpm.x,3-ROW(),0)&amp;"="&amp;_xlpm.x,""))(G15:L15))</f>
        <v>sharp=11</v>
      </c>
      <c r="G15" s="18">
        <v>11</v>
      </c>
      <c r="H15" s="22"/>
      <c r="I15" s="22"/>
      <c r="J15" s="22"/>
      <c r="K15" s="22"/>
      <c r="L15" s="22"/>
      <c r="M15" s="4">
        <v>3</v>
      </c>
      <c r="N15" s="5" t="s">
        <v>545</v>
      </c>
      <c r="O15" s="4">
        <v>0.6</v>
      </c>
      <c r="P15" s="4">
        <v>2</v>
      </c>
      <c r="Q15" s="4">
        <v>0.4</v>
      </c>
      <c r="R15" s="5">
        <f t="shared" si="1"/>
        <v>6</v>
      </c>
      <c r="S15" s="5" t="str" cm="1">
        <f t="array" ref="S15">TEXT(VLOOKUP($A15,battle_data!$A:$G,MATCH(INDEX(_xlfn.TEXTSPLIT(S$3,"|"),1),battle_data!$A$1:$G$1),0)*0.001,"0%")</f>
        <v>50%</v>
      </c>
      <c r="T15" s="5" t="str" cm="1">
        <f t="array" ref="T15">TEXT(VLOOKUP($A15,battle_data!$A:$G,MATCH(INDEX(_xlfn.TEXTSPLIT(T$3,"|"),1),battle_data!$A$1:$G$1),0)*0.001,"0%")</f>
        <v>15%</v>
      </c>
      <c r="U15" s="5" t="str" cm="1">
        <f t="array" ref="U15">TEXT(VLOOKUP($A15,battle_data!$A:$G,MATCH(INDEX(_xlfn.TEXTSPLIT(U$3,"|"),1),battle_data!$A$1:$G$1),0)*0.001,"0%")</f>
        <v>300%</v>
      </c>
      <c r="V15" s="5">
        <f t="shared" si="4"/>
        <v>1.2999999999999998</v>
      </c>
      <c r="W15" s="5">
        <f t="shared" si="2"/>
        <v>14.299999999999997</v>
      </c>
      <c r="X15" s="5">
        <f t="shared" si="3"/>
        <v>64.34999999999998</v>
      </c>
      <c r="Y15" s="65">
        <f t="shared" ref="Y15:Y16" si="23">AVERAGE(W15:X15)</f>
        <v>39.324999999999989</v>
      </c>
      <c r="Z15" s="65" cm="1">
        <f t="array" ref="Z15">_xlfn.LAMBDA(_xlpm._dps,_xlpm._info_cell,ROUND(IF(_xlpm._dps&lt;=0,-10,LOG(_xlpm._dps/INDEX(_xlfn.TEXTSPLIT(_xlpm._info_cell,"="),2),1.5)),2))($Y15,Z$3)</f>
        <v>0.51</v>
      </c>
      <c r="AA15" s="66">
        <v>1</v>
      </c>
      <c r="AB15" s="66">
        <v>1</v>
      </c>
      <c r="AC15" s="98" cm="1">
        <f t="array" ref="AC15">_xlfn.LAMBDA(_xlpm._lv,_xlpm._rank,_xlpm._base,_xlpm._lv+INDEX(_xlfn.TEXTSPLIT(_xlpm._base,"="),2)^(_xlpm._rank-2)-1)(AA15,AB15,AC$3)</f>
        <v>0.5</v>
      </c>
      <c r="AD15" s="66">
        <v>0.5</v>
      </c>
      <c r="AE15" s="66" t="s">
        <v>535</v>
      </c>
      <c r="AF15" s="100">
        <f>AC15*2-Z15-AD15</f>
        <v>-1.0000000000000009E-2</v>
      </c>
      <c r="AG15" s="4">
        <f t="shared" ref="AG15:AG16" si="24">AH15/1000</f>
        <v>6.0000000000000001E-3</v>
      </c>
      <c r="AH15" s="5">
        <v>6</v>
      </c>
      <c r="AI15" s="4">
        <f t="shared" ref="AI15:AI16" si="25">AJ15/1000</f>
        <v>0.9</v>
      </c>
      <c r="AJ15" s="5">
        <v>900</v>
      </c>
      <c r="AK15" s="5">
        <f t="shared" ref="AK15:AK16" si="26">AI15/AG15</f>
        <v>150</v>
      </c>
      <c r="AL15" s="4">
        <v>0.5</v>
      </c>
    </row>
    <row r="16" spans="1:38" x14ac:dyDescent="0.2">
      <c r="A16" s="4">
        <v>13618012</v>
      </c>
      <c r="B16" s="5" t="s">
        <v>548</v>
      </c>
      <c r="C16" s="5" t="s">
        <v>538</v>
      </c>
      <c r="D16" s="4" t="s">
        <v>247</v>
      </c>
      <c r="E16" s="4" t="s">
        <v>248</v>
      </c>
      <c r="F16" s="4" t="str" cm="1">
        <f t="array" aca="1" ref="F16" ca="1">_xlfn.TEXTJOIN(";",1,_xlfn.LAMBDA(_xlpm.x,IF(_xlpm.x&lt;&gt;"",OFFSET(_xlpm.x,3-ROW(),0)&amp;"="&amp;_xlpm.x,""))(G16:L16))</f>
        <v>sharp=16;acid=1</v>
      </c>
      <c r="G16" s="18">
        <v>16</v>
      </c>
      <c r="H16" s="22"/>
      <c r="I16" s="22"/>
      <c r="J16" s="18">
        <v>1</v>
      </c>
      <c r="K16" s="22"/>
      <c r="L16" s="22"/>
      <c r="M16" s="4">
        <v>3</v>
      </c>
      <c r="N16" s="5" t="s">
        <v>545</v>
      </c>
      <c r="O16" s="4">
        <v>0.6</v>
      </c>
      <c r="P16" s="4">
        <v>2</v>
      </c>
      <c r="Q16" s="4">
        <v>0.4</v>
      </c>
      <c r="R16" s="5">
        <f t="shared" si="1"/>
        <v>6</v>
      </c>
      <c r="S16" s="5" t="str" cm="1">
        <f t="array" ref="S16">TEXT(VLOOKUP($A16,battle_data!$A:$G,MATCH(INDEX(_xlfn.TEXTSPLIT(S$3,"|"),1),battle_data!$A$1:$G$1),0)*0.001,"0%")</f>
        <v>50%</v>
      </c>
      <c r="T16" s="5" t="str" cm="1">
        <f t="array" ref="T16">TEXT(VLOOKUP($A16,battle_data!$A:$G,MATCH(INDEX(_xlfn.TEXTSPLIT(T$3,"|"),1),battle_data!$A$1:$G$1),0)*0.001,"0%")</f>
        <v>15%</v>
      </c>
      <c r="U16" s="5" t="str" cm="1">
        <f t="array" ref="U16">TEXT(VLOOKUP($A16,battle_data!$A:$G,MATCH(INDEX(_xlfn.TEXTSPLIT(U$3,"|"),1),battle_data!$A$1:$G$1),0)*0.001,"0%")</f>
        <v>300%</v>
      </c>
      <c r="V16" s="5">
        <f t="shared" si="4"/>
        <v>1.2999999999999998</v>
      </c>
      <c r="W16" s="5">
        <f t="shared" si="2"/>
        <v>22.099999999999998</v>
      </c>
      <c r="X16" s="5">
        <f t="shared" si="3"/>
        <v>99.449999999999974</v>
      </c>
      <c r="Y16" s="65">
        <f t="shared" si="23"/>
        <v>60.774999999999984</v>
      </c>
      <c r="Z16" s="65" cm="1">
        <f t="array" ref="Z16">_xlfn.LAMBDA(_xlpm._dps,_xlpm._info_cell,ROUND(IF(_xlpm._dps&lt;=0,-10,LOG(_xlpm._dps/INDEX(_xlfn.TEXTSPLIT(_xlpm._info_cell,"="),2),1.5)),2))($Y16,Z$3)</f>
        <v>1.58</v>
      </c>
      <c r="AA16" s="66">
        <v>2</v>
      </c>
      <c r="AB16" s="66">
        <v>1</v>
      </c>
      <c r="AC16" s="98" cm="1">
        <f t="array" ref="AC16">_xlfn.LAMBDA(_xlpm._lv,_xlpm._rank,_xlpm._base,_xlpm._lv+INDEX(_xlfn.TEXTSPLIT(_xlpm._base,"="),2)^(_xlpm._rank-2)-1)(AA16,AB16,AC$3)</f>
        <v>1.5</v>
      </c>
      <c r="AD16" s="66">
        <v>0.5</v>
      </c>
      <c r="AE16" s="66" t="s">
        <v>535</v>
      </c>
      <c r="AF16" s="100">
        <f>AC16*2-Z16-AD16</f>
        <v>0.91999999999999993</v>
      </c>
      <c r="AG16" s="4">
        <f t="shared" si="24"/>
        <v>6.0000000000000001E-3</v>
      </c>
      <c r="AH16" s="5">
        <v>6</v>
      </c>
      <c r="AI16" s="4">
        <f t="shared" si="25"/>
        <v>0.9</v>
      </c>
      <c r="AJ16" s="5">
        <v>900</v>
      </c>
      <c r="AK16" s="5">
        <f t="shared" si="26"/>
        <v>150</v>
      </c>
      <c r="AL16" s="4">
        <v>0.5</v>
      </c>
    </row>
    <row r="17" spans="1:38" x14ac:dyDescent="0.2">
      <c r="A17" s="4">
        <v>13618013</v>
      </c>
      <c r="B17" s="5" t="s">
        <v>549</v>
      </c>
      <c r="C17" s="5" t="s">
        <v>538</v>
      </c>
      <c r="D17" s="4" t="s">
        <v>247</v>
      </c>
      <c r="E17" s="4" t="s">
        <v>248</v>
      </c>
      <c r="F17" s="4" t="str" cm="1">
        <f t="array" aca="1" ref="F17" ca="1">_xlfn.TEXTJOIN(";",1,_xlfn.LAMBDA(_xlpm.x,IF(_xlpm.x&lt;&gt;"",OFFSET(_xlpm.x,3-ROW(),0)&amp;"="&amp;_xlpm.x,""))(G17:L17))</f>
        <v>sharp=24;acid=4</v>
      </c>
      <c r="G17" s="18">
        <v>24</v>
      </c>
      <c r="H17" s="22"/>
      <c r="I17" s="22"/>
      <c r="J17" s="18">
        <v>4</v>
      </c>
      <c r="K17" s="22"/>
      <c r="L17" s="22"/>
      <c r="M17" s="4">
        <v>3</v>
      </c>
      <c r="N17" s="5" t="s">
        <v>545</v>
      </c>
      <c r="O17" s="4">
        <v>0.6</v>
      </c>
      <c r="P17" s="4">
        <v>2</v>
      </c>
      <c r="Q17" s="4">
        <v>0.4</v>
      </c>
      <c r="R17" s="5">
        <f t="shared" si="1"/>
        <v>6</v>
      </c>
      <c r="S17" s="5" t="str" cm="1">
        <f t="array" ref="S17">TEXT(VLOOKUP($A17,battle_data!$A:$G,MATCH(INDEX(_xlfn.TEXTSPLIT(S$3,"|"),1),battle_data!$A$1:$G$1),0)*0.001,"0%")</f>
        <v>50%</v>
      </c>
      <c r="T17" s="5" t="str" cm="1">
        <f t="array" ref="T17">TEXT(VLOOKUP($A17,battle_data!$A:$G,MATCH(INDEX(_xlfn.TEXTSPLIT(T$3,"|"),1),battle_data!$A$1:$G$1),0)*0.001,"0%")</f>
        <v>15%</v>
      </c>
      <c r="U17" s="5" t="str" cm="1">
        <f t="array" ref="U17">TEXT(VLOOKUP($A17,battle_data!$A:$G,MATCH(INDEX(_xlfn.TEXTSPLIT(U$3,"|"),1),battle_data!$A$1:$G$1),0)*0.001,"0%")</f>
        <v>300%</v>
      </c>
      <c r="V17" s="5">
        <f t="shared" si="4"/>
        <v>1.2999999999999998</v>
      </c>
      <c r="W17" s="5">
        <f t="shared" si="2"/>
        <v>36.399999999999991</v>
      </c>
      <c r="X17" s="5">
        <f t="shared" si="3"/>
        <v>163.79999999999995</v>
      </c>
      <c r="Y17" s="65">
        <f t="shared" ref="Y17" si="27">AVERAGE(W17:X17)</f>
        <v>100.09999999999997</v>
      </c>
      <c r="Z17" s="65" cm="1">
        <f t="array" ref="Z17">_xlfn.LAMBDA(_xlpm._dps,_xlpm._info_cell,ROUND(IF(_xlpm._dps&lt;=0,-10,LOG(_xlpm._dps/INDEX(_xlfn.TEXTSPLIT(_xlpm._info_cell,"="),2),1.5)),2))($Y17,Z$3)</f>
        <v>2.81</v>
      </c>
      <c r="AA17" s="66">
        <v>3</v>
      </c>
      <c r="AB17" s="66">
        <v>1</v>
      </c>
      <c r="AC17" s="98" cm="1">
        <f t="array" ref="AC17">_xlfn.LAMBDA(_xlpm._lv,_xlpm._rank,_xlpm._base,_xlpm._lv+INDEX(_xlfn.TEXTSPLIT(_xlpm._base,"="),2)^(_xlpm._rank-2)-1)(AA17,AB17,AC$3)</f>
        <v>2.5</v>
      </c>
      <c r="AD17" s="66">
        <v>0.5</v>
      </c>
      <c r="AE17" s="66" t="s">
        <v>535</v>
      </c>
      <c r="AF17" s="100">
        <f>AC17*2-Z17-AD17</f>
        <v>1.69</v>
      </c>
      <c r="AG17" s="4">
        <f t="shared" ref="AG17" si="28">AH17/1000</f>
        <v>6.0000000000000001E-3</v>
      </c>
      <c r="AH17" s="5">
        <v>6</v>
      </c>
      <c r="AI17" s="4">
        <f t="shared" ref="AI17" si="29">AJ17/1000</f>
        <v>0.9</v>
      </c>
      <c r="AJ17" s="5">
        <v>900</v>
      </c>
      <c r="AK17" s="5">
        <f t="shared" ref="AK17" si="30">AI17/AG17</f>
        <v>150</v>
      </c>
      <c r="AL17" s="4">
        <v>0.5</v>
      </c>
    </row>
  </sheetData>
  <phoneticPr fontId="21" type="noConversion"/>
  <conditionalFormatting sqref="Y1:Y3 Y5:Y7 Y15:Y1048576 Y9:Y10 Y12:Y13">
    <cfRule type="dataBar" priority="1">
      <dataBar>
        <cfvo type="num" val="0"/>
        <cfvo type="num" val="100"/>
        <color rgb="FFD6007B"/>
      </dataBar>
      <extLst>
        <ext xmlns:x14="http://schemas.microsoft.com/office/spreadsheetml/2009/9/main" uri="{B025F937-C7B1-47D3-B67F-A62EFF666E3E}">
          <x14:id>{34DE7109-014C-498F-A089-3BBD5BBE0648}</x14:id>
        </ext>
      </extLst>
    </cfRule>
  </conditionalFormatting>
  <conditionalFormatting sqref="AK1:AK1048576">
    <cfRule type="dataBar" priority="2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{44586C94-C7DD-40EA-9788-53AE4E50A497}</x14:id>
        </ext>
      </extLst>
    </cfRule>
  </conditionalFormatting>
  <pageMargins left="0.75" right="0.75" top="1" bottom="1" header="0.5" footer="0.5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DE7109-014C-498F-A089-3BBD5BBE0648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Y1:Y3 Y5:Y7 Y15:Y1048576 Y9:Y10 Y12:Y13</xm:sqref>
        </x14:conditionalFormatting>
        <x14:conditionalFormatting xmlns:xm="http://schemas.microsoft.com/office/excel/2006/main">
          <x14:cfRule type="dataBar" id="{44586C94-C7DD-40EA-9788-53AE4E50A4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AK1:AK1048576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29"/>
  <sheetViews>
    <sheetView workbookViewId="0">
      <pane xSplit="3" ySplit="3" topLeftCell="AC4" activePane="bottomRight" state="frozen"/>
      <selection pane="topRight"/>
      <selection pane="bottomLeft"/>
      <selection pane="bottomRight" activeCell="AV13" sqref="AV13"/>
    </sheetView>
  </sheetViews>
  <sheetFormatPr defaultColWidth="9.125" defaultRowHeight="14.25" x14ac:dyDescent="0.2"/>
  <cols>
    <col min="1" max="1" width="12.5" style="4" customWidth="1"/>
    <col min="2" max="2" width="16.375" style="5" customWidth="1"/>
    <col min="3" max="3" width="28.375" style="5" bestFit="1" customWidth="1"/>
    <col min="4" max="4" width="16.375" style="4" customWidth="1"/>
    <col min="5" max="5" width="12.75" style="5" customWidth="1"/>
    <col min="6" max="6" width="16.375" style="4" customWidth="1"/>
    <col min="7" max="8" width="7.875" style="14" customWidth="1"/>
    <col min="9" max="9" width="12.75" style="5" customWidth="1"/>
    <col min="10" max="10" width="17.875" style="4" customWidth="1"/>
    <col min="11" max="12" width="10.375" style="24" customWidth="1"/>
    <col min="13" max="13" width="24.25" style="4" customWidth="1"/>
    <col min="14" max="19" width="9.125" style="18"/>
    <col min="20" max="20" width="12.25" style="4" customWidth="1"/>
    <col min="21" max="21" width="87.875" bestFit="1" customWidth="1"/>
    <col min="22" max="22" width="21.75" style="60" bestFit="1" customWidth="1"/>
    <col min="23" max="28" width="9.125" style="60"/>
    <col min="29" max="29" width="14.625" style="5" bestFit="1" customWidth="1"/>
    <col min="30" max="30" width="12.875" style="5" bestFit="1" customWidth="1"/>
    <col min="31" max="31" width="11.25" style="5" bestFit="1" customWidth="1"/>
    <col min="32" max="34" width="9.125" style="5"/>
    <col min="35" max="35" width="21.75" style="60" bestFit="1" customWidth="1"/>
    <col min="36" max="36" width="9.125" style="5"/>
    <col min="37" max="37" width="10.625" style="5" customWidth="1"/>
    <col min="38" max="38" width="12.75" style="50" bestFit="1" customWidth="1"/>
    <col min="39" max="39" width="9.125" style="5"/>
    <col min="40" max="40" width="9.125" style="50"/>
    <col min="41" max="41" width="9.125" style="5"/>
    <col min="42" max="43" width="5.75" style="50" bestFit="1" customWidth="1"/>
    <col min="44" max="44" width="5.75" style="60" bestFit="1" customWidth="1"/>
    <col min="45" max="45" width="9.125" style="50"/>
    <col min="46" max="46" width="13.625" style="50" bestFit="1" customWidth="1"/>
    <col min="47" max="47" width="9.125" style="56"/>
    <col min="48" max="16384" width="9.125" style="4"/>
  </cols>
  <sheetData>
    <row r="1" spans="1:47" s="1" customFormat="1" x14ac:dyDescent="0.2">
      <c r="A1" s="1" t="s">
        <v>0</v>
      </c>
      <c r="B1" s="6"/>
      <c r="C1" s="6"/>
      <c r="D1" s="1" t="s">
        <v>252</v>
      </c>
      <c r="E1" s="6"/>
      <c r="F1" s="1" t="s">
        <v>253</v>
      </c>
      <c r="G1" s="15"/>
      <c r="H1" s="15"/>
      <c r="I1" s="6"/>
      <c r="J1" s="1" t="s">
        <v>396</v>
      </c>
      <c r="K1" s="31"/>
      <c r="L1" s="31"/>
      <c r="M1" s="1" t="s">
        <v>17</v>
      </c>
      <c r="N1" s="19"/>
      <c r="O1" s="19"/>
      <c r="P1" s="19"/>
      <c r="Q1" s="19"/>
      <c r="R1" s="19"/>
      <c r="S1" s="19"/>
      <c r="T1" s="1" t="s">
        <v>19</v>
      </c>
      <c r="U1" s="71" t="s">
        <v>438</v>
      </c>
      <c r="V1" s="59"/>
      <c r="W1" s="59"/>
      <c r="X1" s="59"/>
      <c r="Y1" s="59"/>
      <c r="Z1" s="59"/>
      <c r="AA1" s="59"/>
      <c r="AB1" s="59"/>
      <c r="AC1" s="6"/>
      <c r="AD1" s="6"/>
      <c r="AE1" s="6"/>
      <c r="AF1" s="6"/>
      <c r="AG1" s="6"/>
      <c r="AH1" s="6"/>
      <c r="AI1" s="59"/>
      <c r="AJ1" s="6"/>
      <c r="AK1" s="6"/>
      <c r="AL1" s="48"/>
      <c r="AM1" s="6"/>
      <c r="AN1" s="48"/>
      <c r="AO1" s="6"/>
      <c r="AP1" s="48"/>
      <c r="AQ1" s="48"/>
      <c r="AR1" s="59"/>
      <c r="AS1" s="48"/>
      <c r="AT1" s="48"/>
      <c r="AU1" s="55"/>
    </row>
    <row r="2" spans="1:47" s="2" customFormat="1" x14ac:dyDescent="0.2">
      <c r="A2" s="2" t="s">
        <v>20</v>
      </c>
      <c r="B2" s="6"/>
      <c r="C2" s="6"/>
      <c r="D2" s="2" t="s">
        <v>26</v>
      </c>
      <c r="E2" s="6"/>
      <c r="F2" s="2" t="s">
        <v>23</v>
      </c>
      <c r="G2" s="16"/>
      <c r="H2" s="16"/>
      <c r="I2" s="6"/>
      <c r="J2" s="2" t="s">
        <v>400</v>
      </c>
      <c r="K2" s="31"/>
      <c r="L2" s="31"/>
      <c r="M2" s="2" t="s">
        <v>29</v>
      </c>
      <c r="N2" s="19"/>
      <c r="O2" s="19"/>
      <c r="P2" s="19"/>
      <c r="Q2" s="19"/>
      <c r="R2" s="19"/>
      <c r="S2" s="19"/>
      <c r="T2" s="2" t="s">
        <v>23</v>
      </c>
      <c r="U2" s="72" t="s">
        <v>439</v>
      </c>
      <c r="V2" s="59"/>
      <c r="W2" s="59"/>
      <c r="X2" s="59"/>
      <c r="Y2" s="59"/>
      <c r="Z2" s="59"/>
      <c r="AA2" s="59"/>
      <c r="AB2" s="59"/>
      <c r="AC2" s="6"/>
      <c r="AD2" s="6"/>
      <c r="AE2" s="6"/>
      <c r="AF2" s="6"/>
      <c r="AG2" s="6"/>
      <c r="AH2" s="6"/>
      <c r="AI2" s="59"/>
      <c r="AJ2" s="6"/>
      <c r="AK2" s="6"/>
      <c r="AL2" s="48"/>
      <c r="AM2" s="6"/>
      <c r="AN2" s="48"/>
      <c r="AO2" s="6"/>
      <c r="AP2" s="48"/>
      <c r="AQ2" s="48"/>
      <c r="AR2" s="59"/>
      <c r="AS2" s="48"/>
      <c r="AT2" s="48"/>
      <c r="AU2" s="55"/>
    </row>
    <row r="3" spans="1:47" s="3" customFormat="1" ht="76.5" x14ac:dyDescent="0.2">
      <c r="A3" s="7" t="s">
        <v>254</v>
      </c>
      <c r="B3" s="8" t="s">
        <v>31</v>
      </c>
      <c r="C3" s="8" t="s">
        <v>32</v>
      </c>
      <c r="D3" s="7" t="s">
        <v>255</v>
      </c>
      <c r="E3" s="8" t="s">
        <v>256</v>
      </c>
      <c r="F3" s="9" t="s">
        <v>257</v>
      </c>
      <c r="G3" s="17" t="s">
        <v>258</v>
      </c>
      <c r="H3" s="17" t="s">
        <v>259</v>
      </c>
      <c r="I3" s="8" t="s">
        <v>260</v>
      </c>
      <c r="J3" s="46" t="s">
        <v>413</v>
      </c>
      <c r="K3" s="32" t="s">
        <v>416</v>
      </c>
      <c r="L3" s="32" t="s">
        <v>417</v>
      </c>
      <c r="M3" s="7" t="s">
        <v>62</v>
      </c>
      <c r="N3" s="21" t="s">
        <v>63</v>
      </c>
      <c r="O3" s="21" t="s">
        <v>64</v>
      </c>
      <c r="P3" s="21" t="s">
        <v>65</v>
      </c>
      <c r="Q3" s="21" t="s">
        <v>66</v>
      </c>
      <c r="R3" s="21" t="s">
        <v>128</v>
      </c>
      <c r="S3" s="21" t="s">
        <v>129</v>
      </c>
      <c r="T3" s="7" t="s">
        <v>69</v>
      </c>
      <c r="U3" s="9" t="s">
        <v>440</v>
      </c>
      <c r="V3" s="85" t="s">
        <v>492</v>
      </c>
      <c r="W3" s="58" t="s">
        <v>488</v>
      </c>
      <c r="X3" s="58" t="s">
        <v>489</v>
      </c>
      <c r="Y3" s="58" t="s">
        <v>490</v>
      </c>
      <c r="Z3" s="58" t="s">
        <v>491</v>
      </c>
      <c r="AA3" s="58" t="s">
        <v>560</v>
      </c>
      <c r="AB3" s="58" t="s">
        <v>561</v>
      </c>
      <c r="AC3" s="8" t="s">
        <v>379</v>
      </c>
      <c r="AD3" s="8" t="s">
        <v>380</v>
      </c>
      <c r="AE3" s="8" t="s">
        <v>381</v>
      </c>
      <c r="AF3" s="8" t="s">
        <v>590</v>
      </c>
      <c r="AG3" s="8" t="s">
        <v>131</v>
      </c>
      <c r="AH3" s="8" t="s">
        <v>591</v>
      </c>
      <c r="AI3" s="85" t="s">
        <v>589</v>
      </c>
      <c r="AJ3" s="8" t="s">
        <v>130</v>
      </c>
      <c r="AK3" s="51" t="s">
        <v>427</v>
      </c>
      <c r="AL3" s="53" t="s">
        <v>594</v>
      </c>
      <c r="AM3" s="52" t="s">
        <v>425</v>
      </c>
      <c r="AN3" s="53" t="s">
        <v>518</v>
      </c>
      <c r="AO3" s="52" t="s">
        <v>431</v>
      </c>
      <c r="AP3" s="53" t="s">
        <v>601</v>
      </c>
      <c r="AQ3" s="53" t="s">
        <v>602</v>
      </c>
      <c r="AR3" s="53" t="s">
        <v>603</v>
      </c>
      <c r="AS3" s="53" t="s">
        <v>430</v>
      </c>
      <c r="AT3" s="53" t="s">
        <v>516</v>
      </c>
      <c r="AU3" s="54" t="s">
        <v>428</v>
      </c>
    </row>
    <row r="4" spans="1:47" x14ac:dyDescent="0.2">
      <c r="A4" s="4">
        <v>1310106</v>
      </c>
      <c r="B4" s="5" t="s">
        <v>444</v>
      </c>
      <c r="C4" s="5" t="s">
        <v>443</v>
      </c>
      <c r="D4" s="79" t="s">
        <v>556</v>
      </c>
      <c r="E4" s="5" t="s">
        <v>479</v>
      </c>
      <c r="F4" s="4">
        <v>0</v>
      </c>
      <c r="G4" s="14">
        <v>0</v>
      </c>
      <c r="H4" s="14">
        <v>0</v>
      </c>
      <c r="J4" s="4" t="str" cm="1">
        <f t="array" ref="J4">_xlfn.TEXTJOIN(";",1,IFERROR(1/K4:L4,""))</f>
        <v>0.00208333333333333;0.00833333333333333</v>
      </c>
      <c r="K4" s="34">
        <v>480</v>
      </c>
      <c r="L4" s="34">
        <v>120</v>
      </c>
      <c r="M4" s="4" t="str" cm="1">
        <f t="array" aca="1" ref="M4" ca="1">_xlfn.TEXTJOIN(";",1,_xlfn.LAMBDA(_xlpm.x,IF(_xlpm.x&lt;&gt;"",OFFSET(_xlpm.x,3-ROW(),0)&amp;"="&amp;_xlpm.x,""))(N4:S4))</f>
        <v>sharp=10</v>
      </c>
      <c r="N4" s="18">
        <v>10</v>
      </c>
      <c r="O4" s="22"/>
      <c r="P4" s="22"/>
      <c r="Q4" s="22"/>
      <c r="R4" s="22"/>
      <c r="S4" s="22"/>
      <c r="T4" s="4">
        <v>0.5</v>
      </c>
      <c r="U4" s="84" t="str" cm="1">
        <f t="array" ref="U4">_xlfn.LET(_xlpm._prms,_xlfn._xlws.FILTER(tb_prms[prm],tb_prms[Type]=$V4),
_xlpm._pv_pair,_xlfn.MAP(_xlpm._prms,_xlfn.TAKE(TRANSPOSE(W4:AB4),ROWS(_xlpm._prms)),_xlfn.LAMBDA(_xlpm._p,_xlpm._v,_xlpm._p&amp;"="&amp;_xlpm._v)),
IFERROR(_xlfn.TEXTJOIN(";",0,_xlpm._pv_pair),""))</f>
        <v>atk_gap=12;charge_rate=0.001;charge_level=1;consume_rate=0.001</v>
      </c>
      <c r="V4" s="60" t="s">
        <v>493</v>
      </c>
      <c r="W4" s="60">
        <v>12</v>
      </c>
      <c r="X4" s="60">
        <v>1E-3</v>
      </c>
      <c r="Y4" s="60">
        <v>1</v>
      </c>
      <c r="Z4" s="60">
        <v>1E-3</v>
      </c>
      <c r="AA4" s="60" t="s">
        <v>515</v>
      </c>
      <c r="AB4" s="60" t="s">
        <v>515</v>
      </c>
      <c r="AC4" s="5" t="str" cm="1">
        <f t="array" ref="AC4">TEXT(VLOOKUP($A4,battle_data!$A:$G,MATCH(INDEX(_xlfn.TEXTSPLIT(AC$3,"|"),1),battle_data!$A$1:$G$1),0)*0.001,"0%")</f>
        <v>20%</v>
      </c>
      <c r="AD4" s="5" t="str" cm="1">
        <f t="array" ref="AD4">TEXT(VLOOKUP($A4,battle_data!$A:$G,MATCH(INDEX(_xlfn.TEXTSPLIT(AD$3,"|"),1),battle_data!$A$1:$G$1),0)*0.001,"0%")</f>
        <v>20%</v>
      </c>
      <c r="AE4" s="5" t="str" cm="1">
        <f t="array" ref="AE4">TEXT(VLOOKUP($A4,battle_data!$A:$G,MATCH(INDEX(_xlfn.TEXTSPLIT(AE$3,"|"),1),battle_data!$A$1:$G$1),0)*0.001,"0%")</f>
        <v>105%</v>
      </c>
      <c r="AF4" s="5">
        <f>SUM($N4:$S4)</f>
        <v>10</v>
      </c>
      <c r="AG4" s="5">
        <f>_xlfn.LET(_xlpm.p,($AD4),_xlpm.p*$AE4+(1-_xlpm.p))</f>
        <v>1.01</v>
      </c>
      <c r="AH4" s="5">
        <f>IF(A4="","",AF4*AG4)</f>
        <v>10.1</v>
      </c>
      <c r="AI4" s="60" t="s">
        <v>493</v>
      </c>
      <c r="AJ4" s="5" cm="1">
        <f t="array" ref="AJ4">IF($A4="","",_xlfn.SWITCH($AI4,
"Melee_Charge",$AH4/$Z4/$W4,
"Special_Car_Bomb",$AH4*$W4,
""
))</f>
        <v>841.66666666666663</v>
      </c>
      <c r="AK4" s="75"/>
      <c r="AL4" s="76"/>
      <c r="AM4" s="75"/>
      <c r="AN4" s="76"/>
      <c r="AO4" s="75"/>
      <c r="AP4" s="76"/>
      <c r="AQ4" s="76"/>
      <c r="AR4" s="97"/>
      <c r="AS4" s="76"/>
      <c r="AT4" s="76"/>
      <c r="AU4" s="99"/>
    </row>
    <row r="5" spans="1:47" x14ac:dyDescent="0.2">
      <c r="A5" s="4">
        <v>13101061</v>
      </c>
      <c r="B5" s="5" t="s">
        <v>509</v>
      </c>
      <c r="C5" s="5" t="s">
        <v>443</v>
      </c>
      <c r="D5" s="79" t="s">
        <v>556</v>
      </c>
      <c r="E5" s="5" t="s">
        <v>479</v>
      </c>
      <c r="F5" s="4">
        <v>0</v>
      </c>
      <c r="G5" s="14">
        <v>0</v>
      </c>
      <c r="H5" s="14">
        <v>0</v>
      </c>
      <c r="J5" s="4" t="str" cm="1">
        <f t="array" ref="J5">_xlfn.TEXTJOIN(";",1,IFERROR(1/K5:L5,""))</f>
        <v>0.00208333333333333;0.00833333333333333</v>
      </c>
      <c r="K5" s="34">
        <v>480</v>
      </c>
      <c r="L5" s="34">
        <v>120</v>
      </c>
      <c r="M5" s="4" t="str" cm="1">
        <f t="array" aca="1" ref="M5" ca="1">_xlfn.TEXTJOIN(";",1,_xlfn.LAMBDA(_xlpm.x,IF(_xlpm.x&lt;&gt;"",OFFSET(_xlpm.x,3-ROW(),0)&amp;"="&amp;_xlpm.x,""))(N5:S5))</f>
        <v>sharp=20</v>
      </c>
      <c r="N5" s="18">
        <v>20</v>
      </c>
      <c r="O5" s="22"/>
      <c r="P5" s="22"/>
      <c r="Q5" s="22"/>
      <c r="R5" s="22"/>
      <c r="S5" s="22"/>
      <c r="T5" s="4">
        <v>0.5</v>
      </c>
      <c r="U5" s="84" t="str" cm="1">
        <f t="array" ref="U5">_xlfn.LET(_xlpm._prms,_xlfn._xlws.FILTER(tb_prms[prm],tb_prms[Type]=$V5),
_xlpm._pv_pair,_xlfn.MAP(_xlpm._prms,_xlfn.TAKE(TRANSPOSE(W5:AB5),ROWS(_xlpm._prms)),_xlfn.LAMBDA(_xlpm._p,_xlpm._v,_xlpm._p&amp;"="&amp;_xlpm._v)),
IFERROR(_xlfn.TEXTJOIN(";",0,_xlpm._pv_pair),""))</f>
        <v>atk_gap=12;charge_rate=0.0006;charge_level=1;consume_rate=0.0022</v>
      </c>
      <c r="V5" s="60" t="s">
        <v>493</v>
      </c>
      <c r="W5" s="60">
        <v>12</v>
      </c>
      <c r="X5" s="60">
        <v>5.9999999999999995E-4</v>
      </c>
      <c r="Y5" s="60">
        <v>1</v>
      </c>
      <c r="Z5" s="60">
        <v>2.2000000000000001E-3</v>
      </c>
      <c r="AA5" s="60" t="s">
        <v>515</v>
      </c>
      <c r="AB5" s="60" t="s">
        <v>515</v>
      </c>
      <c r="AC5" s="5" t="str" cm="1">
        <f t="array" ref="AC5">TEXT(VLOOKUP($A5,battle_data!$A:$G,MATCH(INDEX(_xlfn.TEXTSPLIT(AC$3,"|"),1),battle_data!$A$1:$G$1),0)*0.001,"0%")</f>
        <v>20%</v>
      </c>
      <c r="AD5" s="5" t="str" cm="1">
        <f t="array" ref="AD5">TEXT(VLOOKUP($A5,battle_data!$A:$G,MATCH(INDEX(_xlfn.TEXTSPLIT(AD$3,"|"),1),battle_data!$A$1:$G$1),0)*0.001,"0%")</f>
        <v>20%</v>
      </c>
      <c r="AE5" s="5" t="str" cm="1">
        <f t="array" ref="AE5">TEXT(VLOOKUP($A5,battle_data!$A:$G,MATCH(INDEX(_xlfn.TEXTSPLIT(AE$3,"|"),1),battle_data!$A$1:$G$1),0)*0.001,"0%")</f>
        <v>105%</v>
      </c>
      <c r="AF5" s="5">
        <f t="shared" ref="AF5:AF26" si="0">SUM($N5:$S5)</f>
        <v>20</v>
      </c>
      <c r="AG5" s="5">
        <f>_xlfn.LET(_xlpm.p,($AD5),_xlpm.p*$AE5+(1-_xlpm.p))</f>
        <v>1.01</v>
      </c>
      <c r="AH5" s="5">
        <f t="shared" ref="AH5:AH26" si="1">IF(A5="","",AF5*AG5)</f>
        <v>20.2</v>
      </c>
      <c r="AI5" s="60" t="s">
        <v>493</v>
      </c>
      <c r="AJ5" s="5" cm="1">
        <f t="array" ref="AJ5">IF($A5="","",_xlfn.SWITCH($AI5,
"Melee_Charge",$AH5/$Z5/$W5,
"Special_Car_Bomb",$AH5*$W5,
""
))</f>
        <v>765.15151515151501</v>
      </c>
      <c r="AK5" s="65">
        <f>(1/X5+1/Z5)/120</f>
        <v>17.676767676767675</v>
      </c>
      <c r="AL5" s="66" t="s">
        <v>595</v>
      </c>
      <c r="AM5" s="65">
        <f t="shared" ref="AM5:AM6" si="2">AJ5/AK5</f>
        <v>43.285714285714285</v>
      </c>
      <c r="AN5" s="66">
        <f>_xlfn.LET(_xlpm._normal32_to_melee55,32/55,
_xlpm._aoe_coef,1.6,
_xlpm._normal32_to_melee55*_xlpm._aoe_coef)</f>
        <v>0.93090909090909091</v>
      </c>
      <c r="AO5" s="65" cm="1">
        <f t="array" ref="AO5">_xlfn.LAMBDA(_xlpm._dps,_xlpm._info_cell,_xlpm._muldps,ROUND(IF(_xlpm._dps&lt;=0,-10,LOG(_xlpm._dps*IF(_xlpm._muldps,_xlpm._muldps,1)/INDEX(_xlfn.TEXTSPLIT(_xlpm._info_cell,"="),2),1.5)),2))($AM5,AO$3,$AN5)</f>
        <v>0.56999999999999995</v>
      </c>
      <c r="AP5" s="66">
        <v>1</v>
      </c>
      <c r="AQ5" s="66">
        <v>1</v>
      </c>
      <c r="AR5" s="98" cm="1">
        <f t="array" ref="AR5">_xlfn.LAMBDA(_xlpm._lv,_xlpm._rank,_xlpm._base,_xlpm._lv+INDEX(_xlfn.TEXTSPLIT(_xlpm._base,"="),2)^(_xlpm._rank-2)-1)(AP5,AQ5,AR$3)</f>
        <v>0.5</v>
      </c>
      <c r="AS5" s="66">
        <v>-0.8</v>
      </c>
      <c r="AT5" s="66" t="s">
        <v>517</v>
      </c>
      <c r="AU5" s="100">
        <f>AR5*2-AO5-AS5</f>
        <v>1.23</v>
      </c>
    </row>
    <row r="6" spans="1:47" x14ac:dyDescent="0.2">
      <c r="A6" s="4">
        <v>13101062</v>
      </c>
      <c r="B6" s="5" t="s">
        <v>511</v>
      </c>
      <c r="C6" s="5" t="s">
        <v>443</v>
      </c>
      <c r="D6" s="79" t="s">
        <v>556</v>
      </c>
      <c r="E6" s="5" t="s">
        <v>479</v>
      </c>
      <c r="F6" s="4">
        <v>0</v>
      </c>
      <c r="G6" s="14">
        <v>0</v>
      </c>
      <c r="H6" s="14">
        <v>0</v>
      </c>
      <c r="J6" s="4" t="str" cm="1">
        <f t="array" ref="J6">_xlfn.TEXTJOIN(";",1,IFERROR(1/K6:L6,""))</f>
        <v>0.00208333333333333;0.00833333333333333</v>
      </c>
      <c r="K6" s="34">
        <v>480</v>
      </c>
      <c r="L6" s="34">
        <v>120</v>
      </c>
      <c r="M6" s="4" t="str" cm="1">
        <f t="array" aca="1" ref="M6" ca="1">_xlfn.TEXTJOIN(";",1,_xlfn.LAMBDA(_xlpm.x,IF(_xlpm.x&lt;&gt;"",OFFSET(_xlpm.x,3-ROW(),0)&amp;"="&amp;_xlpm.x,""))(N6:S6))</f>
        <v>sharp=28</v>
      </c>
      <c r="N6" s="18">
        <v>28</v>
      </c>
      <c r="O6" s="22"/>
      <c r="P6" s="22"/>
      <c r="Q6" s="22"/>
      <c r="R6" s="22"/>
      <c r="S6" s="22"/>
      <c r="T6" s="4">
        <v>0.5</v>
      </c>
      <c r="U6" s="84" t="str" cm="1">
        <f t="array" ref="U6">_xlfn.LET(_xlpm._prms,_xlfn._xlws.FILTER(tb_prms[prm],tb_prms[Type]=$V6),
_xlpm._pv_pair,_xlfn.MAP(_xlpm._prms,_xlfn.TAKE(TRANSPOSE(W6:AB6),ROWS(_xlpm._prms)),_xlfn.LAMBDA(_xlpm._p,_xlpm._v,_xlpm._p&amp;"="&amp;_xlpm._v)),
IFERROR(_xlfn.TEXTJOIN(";",0,_xlpm._pv_pair),""))</f>
        <v>atk_gap=12;charge_rate=0.00072;charge_level=1;consume_rate=0.0022</v>
      </c>
      <c r="V6" s="60" t="s">
        <v>493</v>
      </c>
      <c r="W6" s="60">
        <v>12</v>
      </c>
      <c r="X6" s="60">
        <v>7.2000000000000005E-4</v>
      </c>
      <c r="Y6" s="60">
        <v>1</v>
      </c>
      <c r="Z6" s="60">
        <v>2.2000000000000001E-3</v>
      </c>
      <c r="AA6" s="60" t="s">
        <v>515</v>
      </c>
      <c r="AB6" s="60" t="s">
        <v>515</v>
      </c>
      <c r="AC6" s="5" t="str" cm="1">
        <f t="array" ref="AC6">TEXT(VLOOKUP($A6,battle_data!$A:$G,MATCH(INDEX(_xlfn.TEXTSPLIT(AC$3,"|"),1),battle_data!$A$1:$G$1),0)*0.001,"0%")</f>
        <v>20%</v>
      </c>
      <c r="AD6" s="5" t="str" cm="1">
        <f t="array" ref="AD6">TEXT(VLOOKUP($A6,battle_data!$A:$G,MATCH(INDEX(_xlfn.TEXTSPLIT(AD$3,"|"),1),battle_data!$A$1:$G$1),0)*0.001,"0%")</f>
        <v>20%</v>
      </c>
      <c r="AE6" s="5" t="str" cm="1">
        <f t="array" ref="AE6">TEXT(VLOOKUP($A6,battle_data!$A:$G,MATCH(INDEX(_xlfn.TEXTSPLIT(AE$3,"|"),1),battle_data!$A$1:$G$1),0)*0.001,"0%")</f>
        <v>105%</v>
      </c>
      <c r="AF6" s="5">
        <f t="shared" si="0"/>
        <v>28</v>
      </c>
      <c r="AG6" s="5">
        <f>_xlfn.LET(_xlpm.p,($AD6),_xlpm.p*$AE6+(1-_xlpm.p))</f>
        <v>1.01</v>
      </c>
      <c r="AH6" s="5">
        <f t="shared" si="1"/>
        <v>28.28</v>
      </c>
      <c r="AI6" s="60" t="s">
        <v>493</v>
      </c>
      <c r="AJ6" s="5" cm="1">
        <f t="array" ref="AJ6">IF($A6="","",_xlfn.SWITCH($AI6,
"Melee_Charge",$AH6/$Z6/$W6,
"Special_Car_Bomb",$AH6*$W6,
""
))</f>
        <v>1071.2121212121212</v>
      </c>
      <c r="AK6" s="65">
        <f>(1/X6+1/Z6)/120</f>
        <v>15.361952861952862</v>
      </c>
      <c r="AL6" s="66" t="s">
        <v>595</v>
      </c>
      <c r="AM6" s="65">
        <f t="shared" si="2"/>
        <v>69.731506849315068</v>
      </c>
      <c r="AN6" s="66">
        <f>_xlfn.LET(_xlpm._normal32_to_melee55,32/55,
_xlpm._aoe_coef,1.6,
_xlpm._normal32_to_melee55*_xlpm._aoe_coef)</f>
        <v>0.93090909090909091</v>
      </c>
      <c r="AO6" s="65" cm="1">
        <f t="array" ref="AO6">_xlfn.LAMBDA(_xlpm._dps,_xlpm._info_cell,_xlpm._muldps,ROUND(IF(_xlpm._dps&lt;=0,-10,LOG(_xlpm._dps*IF(_xlpm._muldps,_xlpm._muldps,1)/INDEX(_xlfn.TEXTSPLIT(_xlpm._info_cell,"="),2),1.5)),2))($AM6,AO$3,$AN6)</f>
        <v>1.74</v>
      </c>
      <c r="AP6" s="66">
        <v>2</v>
      </c>
      <c r="AQ6" s="66">
        <v>1</v>
      </c>
      <c r="AR6" s="98" cm="1">
        <f t="array" ref="AR6">_xlfn.LAMBDA(_xlpm._lv,_xlpm._rank,_xlpm._base,_xlpm._lv+INDEX(_xlfn.TEXTSPLIT(_xlpm._base,"="),2)^(_xlpm._rank-2)-1)(AP6,AQ6,AR$3)</f>
        <v>1.5</v>
      </c>
      <c r="AS6" s="66">
        <v>-0.8</v>
      </c>
      <c r="AT6" s="66" t="s">
        <v>517</v>
      </c>
      <c r="AU6" s="100">
        <f>AR6*2-AO6-AS6</f>
        <v>2.06</v>
      </c>
    </row>
    <row r="7" spans="1:47" x14ac:dyDescent="0.2">
      <c r="A7" s="4">
        <v>13101063</v>
      </c>
      <c r="B7" s="5" t="s">
        <v>512</v>
      </c>
      <c r="C7" s="5" t="s">
        <v>443</v>
      </c>
      <c r="D7" s="79" t="s">
        <v>556</v>
      </c>
      <c r="E7" s="5" t="s">
        <v>479</v>
      </c>
      <c r="F7" s="4">
        <v>0</v>
      </c>
      <c r="G7" s="14">
        <v>0</v>
      </c>
      <c r="H7" s="14">
        <v>0</v>
      </c>
      <c r="J7" s="4" t="str" cm="1">
        <f t="array" ref="J7">_xlfn.TEXTJOIN(";",1,IFERROR(1/K7:L7,""))</f>
        <v>0.00208333333333333;0.00833333333333333</v>
      </c>
      <c r="K7" s="34">
        <v>480</v>
      </c>
      <c r="L7" s="34">
        <v>120</v>
      </c>
      <c r="M7" s="4" t="str" cm="1">
        <f t="array" aca="1" ref="M7" ca="1">_xlfn.TEXTJOIN(";",1,_xlfn.LAMBDA(_xlpm.x,IF(_xlpm.x&lt;&gt;"",OFFSET(_xlpm.x,3-ROW(),0)&amp;"="&amp;_xlpm.x,""))(N7:S7))</f>
        <v>sharp=40</v>
      </c>
      <c r="N7" s="18">
        <v>40</v>
      </c>
      <c r="O7" s="22"/>
      <c r="P7" s="22"/>
      <c r="Q7" s="22"/>
      <c r="R7" s="22"/>
      <c r="S7" s="22"/>
      <c r="T7" s="4">
        <v>0.5</v>
      </c>
      <c r="U7" s="84" t="str" cm="1">
        <f t="array" ref="U7">_xlfn.LET(_xlpm._prms,_xlfn._xlws.FILTER(tb_prms[prm],tb_prms[Type]=$V7),
_xlpm._pv_pair,_xlfn.MAP(_xlpm._prms,_xlfn.TAKE(TRANSPOSE(W7:AB7),ROWS(_xlpm._prms)),_xlfn.LAMBDA(_xlpm._p,_xlpm._v,_xlpm._p&amp;"="&amp;_xlpm._v)),
IFERROR(_xlfn.TEXTJOIN(";",0,_xlpm._pv_pair),""))</f>
        <v>atk_gap=12;charge_rate=0.00084;charge_level=1;consume_rate=0.0022</v>
      </c>
      <c r="V7" s="60" t="s">
        <v>493</v>
      </c>
      <c r="W7" s="60">
        <v>12</v>
      </c>
      <c r="X7" s="60">
        <v>8.4000000000000003E-4</v>
      </c>
      <c r="Y7" s="60">
        <v>1</v>
      </c>
      <c r="Z7" s="60">
        <v>2.2000000000000001E-3</v>
      </c>
      <c r="AA7" s="60" t="s">
        <v>515</v>
      </c>
      <c r="AB7" s="60" t="s">
        <v>515</v>
      </c>
      <c r="AC7" s="5" t="str" cm="1">
        <f t="array" ref="AC7">TEXT(VLOOKUP($A7,battle_data!$A:$G,MATCH(INDEX(_xlfn.TEXTSPLIT(AC$3,"|"),1),battle_data!$A$1:$G$1),0)*0.001,"0%")</f>
        <v>20%</v>
      </c>
      <c r="AD7" s="5" t="str" cm="1">
        <f t="array" ref="AD7">TEXT(VLOOKUP($A7,battle_data!$A:$G,MATCH(INDEX(_xlfn.TEXTSPLIT(AD$3,"|"),1),battle_data!$A$1:$G$1),0)*0.001,"0%")</f>
        <v>20%</v>
      </c>
      <c r="AE7" s="5" t="str" cm="1">
        <f t="array" ref="AE7">TEXT(VLOOKUP($A7,battle_data!$A:$G,MATCH(INDEX(_xlfn.TEXTSPLIT(AE$3,"|"),1),battle_data!$A$1:$G$1),0)*0.001,"0%")</f>
        <v>105%</v>
      </c>
      <c r="AF7" s="5">
        <f t="shared" si="0"/>
        <v>40</v>
      </c>
      <c r="AG7" s="5">
        <f>_xlfn.LET(_xlpm.p,($AD7),_xlpm.p*$AE7+(1-_xlpm.p))</f>
        <v>1.01</v>
      </c>
      <c r="AH7" s="5">
        <f t="shared" si="1"/>
        <v>40.4</v>
      </c>
      <c r="AI7" s="60" t="s">
        <v>493</v>
      </c>
      <c r="AJ7" s="5" cm="1">
        <f t="array" ref="AJ7">IF($A7="","",_xlfn.SWITCH($AI7,
"Melee_Charge",$AH7/$Z7/$W7,
"Special_Car_Bomb",$AH7*$W7,
""
))</f>
        <v>1530.30303030303</v>
      </c>
      <c r="AK7" s="65">
        <f>(1/X7+1/Z7)/120</f>
        <v>13.708513708513708</v>
      </c>
      <c r="AL7" s="66" t="s">
        <v>595</v>
      </c>
      <c r="AM7" s="65">
        <f t="shared" ref="AM7:AM8" si="3">AJ7/AK7</f>
        <v>111.63157894736841</v>
      </c>
      <c r="AN7" s="66">
        <f>_xlfn.LET(_xlpm._normal32_to_melee55,32/55,
_xlpm._aoe_coef,1.6,
_xlpm._normal32_to_melee55*_xlpm._aoe_coef)</f>
        <v>0.93090909090909091</v>
      </c>
      <c r="AO7" s="65" cm="1">
        <f t="array" ref="AO7">_xlfn.LAMBDA(_xlpm._dps,_xlpm._info_cell,_xlpm._muldps,ROUND(IF(_xlpm._dps&lt;=0,-10,LOG(_xlpm._dps*IF(_xlpm._muldps,_xlpm._muldps,1)/INDEX(_xlfn.TEXTSPLIT(_xlpm._info_cell,"="),2),1.5)),2))($AM7,AO$3,$AN7)</f>
        <v>2.9</v>
      </c>
      <c r="AP7" s="66">
        <v>3</v>
      </c>
      <c r="AQ7" s="66">
        <v>1</v>
      </c>
      <c r="AR7" s="98" cm="1">
        <f t="array" ref="AR7">_xlfn.LAMBDA(_xlpm._lv,_xlpm._rank,_xlpm._base,_xlpm._lv+INDEX(_xlfn.TEXTSPLIT(_xlpm._base,"="),2)^(_xlpm._rank-2)-1)(AP7,AQ7,AR$3)</f>
        <v>2.5</v>
      </c>
      <c r="AS7" s="66">
        <v>-0.8</v>
      </c>
      <c r="AT7" s="66" t="s">
        <v>517</v>
      </c>
      <c r="AU7" s="100">
        <f>AR7*2-AO7-AS7</f>
        <v>2.9000000000000004</v>
      </c>
    </row>
    <row r="8" spans="1:47" x14ac:dyDescent="0.2">
      <c r="A8" s="4">
        <v>13101064</v>
      </c>
      <c r="B8" s="5" t="s">
        <v>513</v>
      </c>
      <c r="C8" s="5" t="s">
        <v>443</v>
      </c>
      <c r="D8" s="79" t="s">
        <v>556</v>
      </c>
      <c r="E8" s="5" t="s">
        <v>479</v>
      </c>
      <c r="F8" s="4">
        <v>0</v>
      </c>
      <c r="G8" s="14">
        <v>0</v>
      </c>
      <c r="H8" s="14">
        <v>0</v>
      </c>
      <c r="J8" s="4" t="str" cm="1">
        <f t="array" ref="J8">_xlfn.TEXTJOIN(";",1,IFERROR(1/K8:L8,""))</f>
        <v>0.00208333333333333;0.00833333333333333</v>
      </c>
      <c r="K8" s="34">
        <v>480</v>
      </c>
      <c r="L8" s="34">
        <v>120</v>
      </c>
      <c r="M8" s="4" t="str" cm="1">
        <f t="array" aca="1" ref="M8" ca="1">_xlfn.TEXTJOIN(";",1,_xlfn.LAMBDA(_xlpm.x,IF(_xlpm.x&lt;&gt;"",OFFSET(_xlpm.x,3-ROW(),0)&amp;"="&amp;_xlpm.x,""))(N8:S8))</f>
        <v>sharp=57</v>
      </c>
      <c r="N8" s="18">
        <v>57</v>
      </c>
      <c r="O8" s="22"/>
      <c r="P8" s="22"/>
      <c r="Q8" s="22"/>
      <c r="R8" s="22"/>
      <c r="S8" s="22"/>
      <c r="T8" s="4">
        <v>0.5</v>
      </c>
      <c r="U8" s="84" t="str" cm="1">
        <f t="array" ref="U8">_xlfn.LET(_xlpm._prms,_xlfn._xlws.FILTER(tb_prms[prm],tb_prms[Type]=$V8),
_xlpm._pv_pair,_xlfn.MAP(_xlpm._prms,_xlfn.TAKE(TRANSPOSE(W8:AB8),ROWS(_xlpm._prms)),_xlfn.LAMBDA(_xlpm._p,_xlpm._v,_xlpm._p&amp;"="&amp;_xlpm._v)),
IFERROR(_xlfn.TEXTJOIN(";",0,_xlpm._pv_pair),""))</f>
        <v>atk_gap=12;charge_rate=0.00096;charge_level=1;consume_rate=0.0022</v>
      </c>
      <c r="V8" s="60" t="s">
        <v>493</v>
      </c>
      <c r="W8" s="60">
        <v>12</v>
      </c>
      <c r="X8" s="60">
        <v>9.6000000000000002E-4</v>
      </c>
      <c r="Y8" s="60">
        <v>1</v>
      </c>
      <c r="Z8" s="60">
        <v>2.2000000000000001E-3</v>
      </c>
      <c r="AA8" s="60" t="s">
        <v>515</v>
      </c>
      <c r="AB8" s="60" t="s">
        <v>515</v>
      </c>
      <c r="AC8" s="5" t="str" cm="1">
        <f t="array" ref="AC8">TEXT(VLOOKUP($A8,battle_data!$A:$G,MATCH(INDEX(_xlfn.TEXTSPLIT(AC$3,"|"),1),battle_data!$A$1:$G$1),0)*0.001,"0%")</f>
        <v>20%</v>
      </c>
      <c r="AD8" s="5" t="str" cm="1">
        <f t="array" ref="AD8">TEXT(VLOOKUP($A8,battle_data!$A:$G,MATCH(INDEX(_xlfn.TEXTSPLIT(AD$3,"|"),1),battle_data!$A$1:$G$1),0)*0.001,"0%")</f>
        <v>20%</v>
      </c>
      <c r="AE8" s="5" t="str" cm="1">
        <f t="array" ref="AE8">TEXT(VLOOKUP($A8,battle_data!$A:$G,MATCH(INDEX(_xlfn.TEXTSPLIT(AE$3,"|"),1),battle_data!$A$1:$G$1),0)*0.001,"0%")</f>
        <v>105%</v>
      </c>
      <c r="AF8" s="5">
        <f t="shared" si="0"/>
        <v>57</v>
      </c>
      <c r="AG8" s="5">
        <f>_xlfn.LET(_xlpm.p,($AD8),_xlpm.p*$AE8+(1-_xlpm.p))</f>
        <v>1.01</v>
      </c>
      <c r="AH8" s="5">
        <f t="shared" si="1"/>
        <v>57.57</v>
      </c>
      <c r="AI8" s="60" t="s">
        <v>493</v>
      </c>
      <c r="AJ8" s="5" cm="1">
        <f t="array" ref="AJ8">IF($A8="","",_xlfn.SWITCH($AI8,
"Melee_Charge",$AH8/$Z8/$W8,
"Special_Car_Bomb",$AH8*$W8,
""
))</f>
        <v>2180.681818181818</v>
      </c>
      <c r="AK8" s="65">
        <f>(1/X8+1/Z8)/120</f>
        <v>12.468434343434344</v>
      </c>
      <c r="AL8" s="66" t="s">
        <v>595</v>
      </c>
      <c r="AM8" s="65">
        <f t="shared" si="3"/>
        <v>174.89620253164554</v>
      </c>
      <c r="AN8" s="66">
        <f>_xlfn.LET(_xlpm._normal32_to_melee55,32/55,
_xlpm._aoe_coef,1.6,
_xlpm._normal32_to_melee55*_xlpm._aoe_coef)</f>
        <v>0.93090909090909091</v>
      </c>
      <c r="AO8" s="65" cm="1">
        <f t="array" ref="AO8">_xlfn.LAMBDA(_xlpm._dps,_xlpm._info_cell,_xlpm._muldps,ROUND(IF(_xlpm._dps&lt;=0,-10,LOG(_xlpm._dps*IF(_xlpm._muldps,_xlpm._muldps,1)/INDEX(_xlfn.TEXTSPLIT(_xlpm._info_cell,"="),2),1.5)),2))($AM8,AO$3,$AN8)</f>
        <v>4.01</v>
      </c>
      <c r="AP8" s="66">
        <v>4</v>
      </c>
      <c r="AQ8" s="66">
        <v>1</v>
      </c>
      <c r="AR8" s="98" cm="1">
        <f t="array" ref="AR8">_xlfn.LAMBDA(_xlpm._lv,_xlpm._rank,_xlpm._base,_xlpm._lv+INDEX(_xlfn.TEXTSPLIT(_xlpm._base,"="),2)^(_xlpm._rank-2)-1)(AP8,AQ8,AR$3)</f>
        <v>3.5</v>
      </c>
      <c r="AS8" s="66">
        <v>-0.8</v>
      </c>
      <c r="AT8" s="66" t="s">
        <v>517</v>
      </c>
      <c r="AU8" s="100">
        <f>AR8*2-AO8-AS8</f>
        <v>3.79</v>
      </c>
    </row>
    <row r="9" spans="1:47" x14ac:dyDescent="0.2">
      <c r="H9" s="5"/>
      <c r="J9" s="5"/>
      <c r="K9" s="5"/>
      <c r="L9" s="5"/>
      <c r="U9" s="5"/>
      <c r="AH9" s="5" t="str">
        <f t="shared" si="1"/>
        <v/>
      </c>
      <c r="AJ9" s="5" t="str" cm="1">
        <f t="array" ref="AJ9">IF($A9="","",_xlfn.SWITCH($AI9,
"Melee_Charge",$AH9/$Z9/$W9,
"Special_Car_Bomb",$AH9*$W9,
""
))</f>
        <v/>
      </c>
    </row>
    <row r="10" spans="1:47" x14ac:dyDescent="0.2">
      <c r="A10" s="4">
        <v>1330101</v>
      </c>
      <c r="B10" s="5" t="s">
        <v>567</v>
      </c>
      <c r="C10" s="5" t="s">
        <v>558</v>
      </c>
      <c r="D10" s="79" t="s">
        <v>554</v>
      </c>
      <c r="E10" s="5" t="s">
        <v>555</v>
      </c>
      <c r="F10" s="4">
        <v>0</v>
      </c>
      <c r="G10" s="14">
        <v>0</v>
      </c>
      <c r="H10" s="14">
        <v>0</v>
      </c>
      <c r="J10" s="4" t="str" cm="1">
        <f t="array" ref="J10">_xlfn.TEXTJOIN(";",1,IFERROR(1/K10:L10,""))</f>
        <v>0.00208333333333333</v>
      </c>
      <c r="K10" s="34">
        <v>480</v>
      </c>
      <c r="L10" s="34"/>
      <c r="M10" s="4" t="str" cm="1">
        <f t="array" aca="1" ref="M10" ca="1">_xlfn.TEXTJOIN(";",1,_xlfn.LAMBDA(_xlpm.x,IF(_xlpm.x&lt;&gt;"",OFFSET(_xlpm.x,3-ROW(),0)&amp;"="&amp;_xlpm.x,""))(N10:S10))</f>
        <v>fire=2</v>
      </c>
      <c r="N10" s="22"/>
      <c r="O10" s="22"/>
      <c r="P10" s="18">
        <v>2</v>
      </c>
      <c r="Q10" s="22"/>
      <c r="R10" s="22"/>
      <c r="S10" s="22"/>
      <c r="T10" s="4">
        <v>0.5</v>
      </c>
      <c r="U10" s="84" t="str" cm="1">
        <f t="array" ref="U10">_xlfn.LET(_xlpm._prms,_xlfn._xlws.FILTER(tb_prms[prm],tb_prms[Type]=$V10),
_xlpm._pv_pair,_xlfn.MAP(_xlpm._prms,_xlfn.TAKE(TRANSPOSE(W10:AB10),ROWS(_xlpm._prms)),_xlfn.LAMBDA(_xlpm._p,_xlpm._v,_xlpm._p&amp;"="&amp;_xlpm._v)),
IFERROR(_xlfn.TEXTJOIN(";",0,_xlpm._pv_pair),""))</f>
        <v>atk_gap=12;charge_rate=0.00032;charge_level=1;consume_rate=0.0011;acc=30;max_speedX=16</v>
      </c>
      <c r="V10" s="60" t="s">
        <v>559</v>
      </c>
      <c r="W10" s="60">
        <v>12</v>
      </c>
      <c r="X10" s="60">
        <v>3.2000000000000003E-4</v>
      </c>
      <c r="Y10" s="60">
        <v>1</v>
      </c>
      <c r="Z10" s="60">
        <v>1.1000000000000001E-3</v>
      </c>
      <c r="AA10" s="60">
        <v>30</v>
      </c>
      <c r="AB10" s="60">
        <v>16</v>
      </c>
      <c r="AC10" s="5" t="str" cm="1">
        <f t="array" ref="AC10">TEXT(VLOOKUP($A10,battle_data!$A:$G,MATCH(INDEX(_xlfn.TEXTSPLIT(AC$3,"|"),1),battle_data!$A$1:$G$1),0)*0.001,"0%")</f>
        <v>0%</v>
      </c>
      <c r="AD10" s="5" t="str" cm="1">
        <f t="array" ref="AD10">TEXT(VLOOKUP($A10,battle_data!$A:$G,MATCH(INDEX(_xlfn.TEXTSPLIT(AD$3,"|"),1),battle_data!$A$1:$G$1),0)*0.001,"0%")</f>
        <v>0%</v>
      </c>
      <c r="AE10" s="5" t="str" cm="1">
        <f t="array" ref="AE10">TEXT(VLOOKUP($A10,battle_data!$A:$G,MATCH(INDEX(_xlfn.TEXTSPLIT(AE$3,"|"),1),battle_data!$A$1:$G$1),0)*0.001,"0%")</f>
        <v>100%</v>
      </c>
      <c r="AF10" s="5">
        <f t="shared" si="0"/>
        <v>2</v>
      </c>
      <c r="AG10" s="5">
        <f>_xlfn.LET(_xlpm.p,($AD10),_xlpm.p*$AE10+(1-_xlpm.p))</f>
        <v>1</v>
      </c>
      <c r="AH10" s="5">
        <f t="shared" si="1"/>
        <v>2</v>
      </c>
      <c r="AI10" s="60" t="s">
        <v>493</v>
      </c>
      <c r="AJ10" s="5" cm="1">
        <f t="array" ref="AJ10">IF($A10="","",_xlfn.SWITCH($AI10,
"Melee_Charge",$AH10/$Z10/$W10,
"Special_Car_Bomb",$AH10*$W10,
""
))</f>
        <v>151.5151515151515</v>
      </c>
      <c r="AK10" s="75"/>
      <c r="AL10" s="76"/>
      <c r="AM10" s="75"/>
      <c r="AN10" s="76"/>
      <c r="AO10" s="75"/>
      <c r="AP10" s="76"/>
      <c r="AQ10" s="76"/>
      <c r="AR10" s="97"/>
      <c r="AS10" s="76"/>
      <c r="AT10" s="76"/>
      <c r="AU10" s="99"/>
    </row>
    <row r="11" spans="1:47" x14ac:dyDescent="0.2">
      <c r="A11" s="4">
        <v>13301012</v>
      </c>
      <c r="B11" s="5" t="s">
        <v>568</v>
      </c>
      <c r="C11" s="5" t="s">
        <v>558</v>
      </c>
      <c r="D11" s="79" t="s">
        <v>554</v>
      </c>
      <c r="E11" s="5" t="s">
        <v>555</v>
      </c>
      <c r="F11" s="4">
        <v>0</v>
      </c>
      <c r="G11" s="14">
        <v>0</v>
      </c>
      <c r="H11" s="14">
        <v>0</v>
      </c>
      <c r="J11" s="4" t="str" cm="1">
        <f t="array" ref="J11">_xlfn.TEXTJOIN(";",1,IFERROR(1/K11:L11,""))</f>
        <v>0.00208333333333333</v>
      </c>
      <c r="K11" s="34">
        <v>480</v>
      </c>
      <c r="L11" s="34"/>
      <c r="M11" s="4" t="str" cm="1">
        <f t="array" aca="1" ref="M11" ca="1">_xlfn.TEXTJOIN(";",1,_xlfn.LAMBDA(_xlpm.x,IF(_xlpm.x&lt;&gt;"",OFFSET(_xlpm.x,3-ROW(),0)&amp;"="&amp;_xlpm.x,""))(N11:S11))</f>
        <v>fire=9</v>
      </c>
      <c r="N11" s="22"/>
      <c r="O11" s="22"/>
      <c r="P11" s="18">
        <v>9</v>
      </c>
      <c r="Q11" s="22"/>
      <c r="R11" s="22"/>
      <c r="S11" s="22"/>
      <c r="T11" s="4">
        <v>0.5</v>
      </c>
      <c r="U11" s="84" t="str" cm="1">
        <f t="array" ref="U11">_xlfn.LET(_xlpm._prms,_xlfn._xlws.FILTER(tb_prms[prm],tb_prms[Type]=$V11),
_xlpm._pv_pair,_xlfn.MAP(_xlpm._prms,_xlfn.TAKE(TRANSPOSE(W11:AB11),ROWS(_xlpm._prms)),_xlfn.LAMBDA(_xlpm._p,_xlpm._v,_xlpm._p&amp;"="&amp;_xlpm._v)),
IFERROR(_xlfn.TEXTJOIN(";",0,_xlpm._pv_pair),""))</f>
        <v>atk_gap=12;charge_rate=0.00032;charge_level=1;consume_rate=0.00121;acc=2;max_speedX=16</v>
      </c>
      <c r="V11" s="60" t="s">
        <v>559</v>
      </c>
      <c r="W11" s="60">
        <v>12</v>
      </c>
      <c r="X11" s="60">
        <v>3.2000000000000003E-4</v>
      </c>
      <c r="Y11" s="60">
        <v>1</v>
      </c>
      <c r="Z11" s="60">
        <v>1.2100000000000001E-3</v>
      </c>
      <c r="AA11" s="60">
        <v>2</v>
      </c>
      <c r="AB11" s="60">
        <v>16</v>
      </c>
      <c r="AC11" s="5" t="str" cm="1">
        <f t="array" ref="AC11">TEXT(VLOOKUP($A11,battle_data!$A:$G,MATCH(INDEX(_xlfn.TEXTSPLIT(AC$3,"|"),1),battle_data!$A$1:$G$1),0)*0.001,"0%")</f>
        <v>0%</v>
      </c>
      <c r="AD11" s="5" t="str" cm="1">
        <f t="array" ref="AD11">TEXT(VLOOKUP($A11,battle_data!$A:$G,MATCH(INDEX(_xlfn.TEXTSPLIT(AD$3,"|"),1),battle_data!$A$1:$G$1),0)*0.001,"0%")</f>
        <v>0%</v>
      </c>
      <c r="AE11" s="5" t="str" cm="1">
        <f t="array" ref="AE11">TEXT(VLOOKUP($A11,battle_data!$A:$G,MATCH(INDEX(_xlfn.TEXTSPLIT(AE$3,"|"),1),battle_data!$A$1:$G$1),0)*0.001,"0%")</f>
        <v>100%</v>
      </c>
      <c r="AF11" s="5">
        <f t="shared" si="0"/>
        <v>9</v>
      </c>
      <c r="AG11" s="5">
        <v>2</v>
      </c>
      <c r="AH11" s="5">
        <f t="shared" si="1"/>
        <v>18</v>
      </c>
      <c r="AI11" s="60" t="s">
        <v>493</v>
      </c>
      <c r="AJ11" s="5" cm="1">
        <f t="array" ref="AJ11">IF($A11="","",_xlfn.SWITCH($AI11,
"Melee_Charge",$AH11/$Z11/$W11,
"Special_Car_Bomb",$AH11*$W11,
""
))</f>
        <v>1239.6694214876031</v>
      </c>
      <c r="AK11" s="65">
        <f>(1/X11+1/Z11)/120</f>
        <v>32.928719008264459</v>
      </c>
      <c r="AL11" s="66" t="s">
        <v>595</v>
      </c>
      <c r="AM11" s="65">
        <f t="shared" ref="AM11:AM13" si="4">AJ11/AK11</f>
        <v>37.647058823529413</v>
      </c>
      <c r="AN11" s="66">
        <v>1.5</v>
      </c>
      <c r="AO11" s="65" cm="1">
        <f t="array" ref="AO11">_xlfn.LAMBDA(_xlpm._dps,_xlpm._info_cell,_xlpm._muldps,ROUND(IF(_xlpm._dps&lt;=0,-10,LOG(_xlpm._dps*IF(_xlpm._muldps,_xlpm._muldps,1)/INDEX(_xlfn.TEXTSPLIT(_xlpm._info_cell,"="),2),1.5)),2))($AM11,AO$3,$AN11)</f>
        <v>1.4</v>
      </c>
      <c r="AP11" s="66">
        <v>2</v>
      </c>
      <c r="AQ11" s="66">
        <v>1</v>
      </c>
      <c r="AR11" s="98" cm="1">
        <f t="array" ref="AR11">_xlfn.LAMBDA(_xlpm._lv,_xlpm._rank,_xlpm._base,_xlpm._lv+INDEX(_xlfn.TEXTSPLIT(_xlpm._base,"="),2)^(_xlpm._rank-2)-1)(AP11,AQ11,AR$3)</f>
        <v>1.5</v>
      </c>
      <c r="AS11" s="66">
        <v>0.9</v>
      </c>
      <c r="AT11" s="66" t="s">
        <v>566</v>
      </c>
      <c r="AU11" s="100">
        <f>AR11*2-AO11-AS11</f>
        <v>0.70000000000000007</v>
      </c>
    </row>
    <row r="12" spans="1:47" x14ac:dyDescent="0.2">
      <c r="A12" s="4">
        <v>13301013</v>
      </c>
      <c r="B12" s="5" t="s">
        <v>569</v>
      </c>
      <c r="C12" s="5" t="s">
        <v>558</v>
      </c>
      <c r="D12" s="79" t="s">
        <v>554</v>
      </c>
      <c r="E12" s="5" t="s">
        <v>555</v>
      </c>
      <c r="F12" s="4">
        <v>0</v>
      </c>
      <c r="G12" s="14">
        <v>0</v>
      </c>
      <c r="H12" s="14">
        <v>0</v>
      </c>
      <c r="J12" s="4" t="str" cm="1">
        <f t="array" ref="J12">_xlfn.TEXTJOIN(";",1,IFERROR(1/K12:L12,""))</f>
        <v>0.00208333333333333</v>
      </c>
      <c r="K12" s="34">
        <v>480</v>
      </c>
      <c r="L12" s="34"/>
      <c r="M12" s="4" t="str" cm="1">
        <f t="array" aca="1" ref="M12" ca="1">_xlfn.TEXTJOIN(";",1,_xlfn.LAMBDA(_xlpm.x,IF(_xlpm.x&lt;&gt;"",OFFSET(_xlpm.x,3-ROW(),0)&amp;"="&amp;_xlpm.x,""))(N12:S12))</f>
        <v>fire=10</v>
      </c>
      <c r="N12" s="22"/>
      <c r="O12" s="22"/>
      <c r="P12" s="18">
        <v>10</v>
      </c>
      <c r="Q12" s="22"/>
      <c r="R12" s="22"/>
      <c r="S12" s="22"/>
      <c r="T12" s="4">
        <v>0.5</v>
      </c>
      <c r="U12" s="84" t="str" cm="1">
        <f t="array" ref="U12">_xlfn.LET(_xlpm._prms,_xlfn._xlws.FILTER(tb_prms[prm],tb_prms[Type]=$V12),
_xlpm._pv_pair,_xlfn.MAP(_xlpm._prms,_xlfn.TAKE(TRANSPOSE(W12:AB12),ROWS(_xlpm._prms)),_xlfn.LAMBDA(_xlpm._p,_xlpm._v,_xlpm._p&amp;"="&amp;_xlpm._v)),
IFERROR(_xlfn.TEXTJOIN(";",0,_xlpm._pv_pair),""))</f>
        <v>atk_gap=12;charge_rate=0.00032;charge_level=1;consume_rate=0.0011;acc=2.44948974278318;max_speedX=20</v>
      </c>
      <c r="V12" s="60" t="s">
        <v>559</v>
      </c>
      <c r="W12" s="60">
        <v>12</v>
      </c>
      <c r="X12" s="60">
        <v>3.2000000000000003E-4</v>
      </c>
      <c r="Y12" s="60">
        <v>1</v>
      </c>
      <c r="Z12" s="60">
        <v>1.1000000000000001E-3</v>
      </c>
      <c r="AA12" s="60">
        <v>2.4494897427831779</v>
      </c>
      <c r="AB12" s="60">
        <v>20</v>
      </c>
      <c r="AC12" s="5" t="str" cm="1">
        <f t="array" ref="AC12">TEXT(VLOOKUP($A12,battle_data!$A:$G,MATCH(INDEX(_xlfn.TEXTSPLIT(AC$3,"|"),1),battle_data!$A$1:$G$1),0)*0.001,"0%")</f>
        <v>0%</v>
      </c>
      <c r="AD12" s="5" t="str" cm="1">
        <f t="array" ref="AD12">TEXT(VLOOKUP($A12,battle_data!$A:$G,MATCH(INDEX(_xlfn.TEXTSPLIT(AD$3,"|"),1),battle_data!$A$1:$G$1),0)*0.001,"0%")</f>
        <v>0%</v>
      </c>
      <c r="AE12" s="5" t="str" cm="1">
        <f t="array" ref="AE12">TEXT(VLOOKUP($A12,battle_data!$A:$G,MATCH(INDEX(_xlfn.TEXTSPLIT(AE$3,"|"),1),battle_data!$A$1:$G$1),0)*0.001,"0%")</f>
        <v>100%</v>
      </c>
      <c r="AF12" s="5">
        <f t="shared" si="0"/>
        <v>10</v>
      </c>
      <c r="AG12" s="5">
        <v>3</v>
      </c>
      <c r="AH12" s="5">
        <f t="shared" si="1"/>
        <v>30</v>
      </c>
      <c r="AI12" s="60" t="s">
        <v>493</v>
      </c>
      <c r="AJ12" s="5" cm="1">
        <f t="array" ref="AJ12">IF($A12="","",_xlfn.SWITCH($AI12,
"Melee_Charge",$AH12/$Z12/$W12,
"Special_Car_Bomb",$AH12*$W12,
""
))</f>
        <v>2272.7272727272725</v>
      </c>
      <c r="AK12" s="65">
        <f>(1/X12+1/Z12)/120</f>
        <v>33.617424242424235</v>
      </c>
      <c r="AL12" s="66" t="s">
        <v>595</v>
      </c>
      <c r="AM12" s="65">
        <f t="shared" si="4"/>
        <v>67.605633802816911</v>
      </c>
      <c r="AN12" s="66">
        <v>1.5</v>
      </c>
      <c r="AO12" s="65" cm="1">
        <f t="array" ref="AO12">_xlfn.LAMBDA(_xlpm._dps,_xlpm._info_cell,_xlpm._muldps,ROUND(IF(_xlpm._dps&lt;=0,-10,LOG(_xlpm._dps*IF(_xlpm._muldps,_xlpm._muldps,1)/INDEX(_xlfn.TEXTSPLIT(_xlpm._info_cell,"="),2),1.5)),2))($AM12,AO$3,$AN12)</f>
        <v>2.84</v>
      </c>
      <c r="AP12" s="66">
        <v>3</v>
      </c>
      <c r="AQ12" s="66">
        <v>1</v>
      </c>
      <c r="AR12" s="98" cm="1">
        <f t="array" ref="AR12">_xlfn.LAMBDA(_xlpm._lv,_xlpm._rank,_xlpm._base,_xlpm._lv+INDEX(_xlfn.TEXTSPLIT(_xlpm._base,"="),2)^(_xlpm._rank-2)-1)(AP12,AQ12,AR$3)</f>
        <v>2.5</v>
      </c>
      <c r="AS12" s="66">
        <v>0.75</v>
      </c>
      <c r="AT12" s="66" t="s">
        <v>566</v>
      </c>
      <c r="AU12" s="100">
        <f>AR12*2-AO12-AS12</f>
        <v>1.4100000000000001</v>
      </c>
    </row>
    <row r="13" spans="1:47" x14ac:dyDescent="0.2">
      <c r="A13" s="4">
        <v>13301014</v>
      </c>
      <c r="B13" s="5" t="s">
        <v>570</v>
      </c>
      <c r="C13" s="5" t="s">
        <v>558</v>
      </c>
      <c r="D13" s="79" t="s">
        <v>554</v>
      </c>
      <c r="E13" s="5" t="s">
        <v>555</v>
      </c>
      <c r="F13" s="4">
        <v>0</v>
      </c>
      <c r="G13" s="14">
        <v>0</v>
      </c>
      <c r="H13" s="14">
        <v>0</v>
      </c>
      <c r="J13" s="4" t="str" cm="1">
        <f t="array" ref="J13">_xlfn.TEXTJOIN(";",1,IFERROR(1/K13:L13,""))</f>
        <v>0.00208333333333333</v>
      </c>
      <c r="K13" s="34">
        <v>480</v>
      </c>
      <c r="L13" s="34"/>
      <c r="M13" s="4" t="str" cm="1">
        <f t="array" aca="1" ref="M13" ca="1">_xlfn.TEXTJOIN(";",1,_xlfn.LAMBDA(_xlpm.x,IF(_xlpm.x&lt;&gt;"",OFFSET(_xlpm.x,3-ROW(),0)&amp;"="&amp;_xlpm.x,""))(N13:S13))</f>
        <v>fire=12</v>
      </c>
      <c r="N13" s="22"/>
      <c r="O13" s="22"/>
      <c r="P13" s="18">
        <v>12</v>
      </c>
      <c r="Q13" s="22"/>
      <c r="R13" s="22"/>
      <c r="S13" s="22"/>
      <c r="T13" s="4">
        <v>0.5</v>
      </c>
      <c r="U13" s="84" t="str" cm="1">
        <f t="array" ref="U13">_xlfn.LET(_xlpm._prms,_xlfn._xlws.FILTER(tb_prms[prm],tb_prms[Type]=$V13),
_xlpm._pv_pair,_xlfn.MAP(_xlpm._prms,_xlfn.TAKE(TRANSPOSE(W13:AB13),ROWS(_xlpm._prms)),_xlfn.LAMBDA(_xlpm._p,_xlpm._v,_xlpm._p&amp;"="&amp;_xlpm._v)),
IFERROR(_xlfn.TEXTJOIN(";",0,_xlpm._pv_pair),""))</f>
        <v>atk_gap=12;charge_rate=0.00032;charge_level=1;consume_rate=0.001;acc=3;max_speedX=25</v>
      </c>
      <c r="V13" s="60" t="s">
        <v>559</v>
      </c>
      <c r="W13" s="60">
        <v>12</v>
      </c>
      <c r="X13" s="60">
        <v>3.2000000000000003E-4</v>
      </c>
      <c r="Y13" s="60">
        <v>1</v>
      </c>
      <c r="Z13" s="60">
        <v>1E-3</v>
      </c>
      <c r="AA13" s="60">
        <v>3</v>
      </c>
      <c r="AB13" s="60">
        <v>25</v>
      </c>
      <c r="AC13" s="5" t="str" cm="1">
        <f t="array" ref="AC13">TEXT(VLOOKUP($A13,battle_data!$A:$G,MATCH(INDEX(_xlfn.TEXTSPLIT(AC$3,"|"),1),battle_data!$A$1:$G$1),0)*0.001,"0%")</f>
        <v>0%</v>
      </c>
      <c r="AD13" s="5" t="str" cm="1">
        <f t="array" ref="AD13">TEXT(VLOOKUP($A13,battle_data!$A:$G,MATCH(INDEX(_xlfn.TEXTSPLIT(AD$3,"|"),1),battle_data!$A$1:$G$1),0)*0.001,"0%")</f>
        <v>0%</v>
      </c>
      <c r="AE13" s="5" t="str" cm="1">
        <f t="array" ref="AE13">TEXT(VLOOKUP($A13,battle_data!$A:$G,MATCH(INDEX(_xlfn.TEXTSPLIT(AE$3,"|"),1),battle_data!$A$1:$G$1),0)*0.001,"0%")</f>
        <v>100%</v>
      </c>
      <c r="AF13" s="5">
        <f t="shared" si="0"/>
        <v>12</v>
      </c>
      <c r="AG13" s="5">
        <v>4</v>
      </c>
      <c r="AH13" s="5">
        <f t="shared" si="1"/>
        <v>48</v>
      </c>
      <c r="AI13" s="60" t="s">
        <v>493</v>
      </c>
      <c r="AJ13" s="5" cm="1">
        <f t="array" ref="AJ13">IF($A13="","",_xlfn.SWITCH($AI13,
"Melee_Charge",$AH13/$Z13/$W13,
"Special_Car_Bomb",$AH13*$W13,
""
))</f>
        <v>4000</v>
      </c>
      <c r="AK13" s="65">
        <f>(1/X13+1/Z13)/120</f>
        <v>34.375</v>
      </c>
      <c r="AL13" s="66" t="s">
        <v>595</v>
      </c>
      <c r="AM13" s="65">
        <f t="shared" si="4"/>
        <v>116.36363636363636</v>
      </c>
      <c r="AN13" s="66">
        <v>1.5</v>
      </c>
      <c r="AO13" s="65" cm="1">
        <f t="array" ref="AO13">_xlfn.LAMBDA(_xlpm._dps,_xlpm._info_cell,_xlpm._muldps,ROUND(IF(_xlpm._dps&lt;=0,-10,LOG(_xlpm._dps*IF(_xlpm._muldps,_xlpm._muldps,1)/INDEX(_xlfn.TEXTSPLIT(_xlpm._info_cell,"="),2),1.5)),2))($AM13,AO$3,$AN13)</f>
        <v>4.18</v>
      </c>
      <c r="AP13" s="66">
        <v>4</v>
      </c>
      <c r="AQ13" s="66">
        <v>1</v>
      </c>
      <c r="AR13" s="98" cm="1">
        <f t="array" ref="AR13">_xlfn.LAMBDA(_xlpm._lv,_xlpm._rank,_xlpm._base,_xlpm._lv+INDEX(_xlfn.TEXTSPLIT(_xlpm._base,"="),2)^(_xlpm._rank-2)-1)(AP13,AQ13,AR$3)</f>
        <v>3.5</v>
      </c>
      <c r="AS13" s="66">
        <v>0.6</v>
      </c>
      <c r="AT13" s="66" t="s">
        <v>566</v>
      </c>
      <c r="AU13" s="100">
        <f>AR13*2-AO13-AS13</f>
        <v>2.2200000000000002</v>
      </c>
    </row>
    <row r="14" spans="1:47" x14ac:dyDescent="0.2">
      <c r="H14" s="5"/>
      <c r="J14" s="5"/>
      <c r="K14" s="5"/>
      <c r="L14" s="5"/>
      <c r="U14" s="5"/>
      <c r="AH14" s="5" t="str">
        <f t="shared" si="1"/>
        <v/>
      </c>
      <c r="AJ14" s="5" t="str" cm="1">
        <f t="array" ref="AJ14">IF($A14="","",_xlfn.SWITCH($AI14,
"Melee_Charge",$AH14/$Z14/$W14,
"Special_Car_Bomb",$AH14*$W14,
""
))</f>
        <v/>
      </c>
    </row>
    <row r="15" spans="1:47" x14ac:dyDescent="0.2">
      <c r="A15" s="4">
        <v>1330102</v>
      </c>
      <c r="B15" s="5" t="s">
        <v>261</v>
      </c>
      <c r="C15" s="5" t="s">
        <v>262</v>
      </c>
      <c r="D15" s="4" t="s">
        <v>263</v>
      </c>
      <c r="E15" s="5" t="s">
        <v>264</v>
      </c>
      <c r="F15" s="4">
        <f>G15/H15</f>
        <v>0.65</v>
      </c>
      <c r="G15" s="14">
        <v>13</v>
      </c>
      <c r="H15" s="14">
        <v>20</v>
      </c>
      <c r="I15" s="5" t="s">
        <v>265</v>
      </c>
      <c r="J15" s="4" t="str" cm="1">
        <f t="array" ref="J15">_xlfn.TEXTJOIN(";",1,IFERROR(1/K15:L15,""))</f>
        <v/>
      </c>
      <c r="M15" s="4" t="str" cm="1">
        <f t="array" aca="1" ref="M15" ca="1">_xlfn.TEXTJOIN(";",1,_xlfn.LAMBDA(_xlpm.x,IF(_xlpm.x&lt;&gt;"",OFFSET(_xlpm.x,3-ROW(),0)&amp;"="&amp;_xlpm.x,""))(N15:S15))</f>
        <v>blunt=12</v>
      </c>
      <c r="N15" s="22"/>
      <c r="O15" s="18">
        <v>12</v>
      </c>
      <c r="P15" s="22"/>
      <c r="Q15" s="22"/>
      <c r="R15" s="22"/>
      <c r="S15" s="22"/>
      <c r="T15" s="4">
        <v>19</v>
      </c>
      <c r="U15" s="84" t="str" cm="1">
        <f t="array" ref="U15">_xlfn.LET(_xlpm._prms,_xlfn._xlws.FILTER(tb_prms[prm],tb_prms[Type]=$V15),
_xlpm._pv_pair,_xlfn.MAP(_xlpm._prms,_xlfn.TAKE(TRANSPOSE(W15:AB15),ROWS(_xlpm._prms)),_xlfn.LAMBDA(_xlpm._p,_xlpm._v,_xlpm._p&amp;"="&amp;_xlpm._v)),
IFERROR(_xlfn.TEXTJOIN(";",0,_xlpm._pv_pair),""))</f>
        <v/>
      </c>
      <c r="V15" s="60" t="s">
        <v>514</v>
      </c>
      <c r="W15" s="60" t="s">
        <v>515</v>
      </c>
      <c r="X15" s="60" t="s">
        <v>515</v>
      </c>
      <c r="Y15" s="60" t="s">
        <v>515</v>
      </c>
      <c r="Z15" s="60" t="s">
        <v>515</v>
      </c>
      <c r="AA15" s="60" t="s">
        <v>515</v>
      </c>
      <c r="AB15" s="60" t="s">
        <v>515</v>
      </c>
      <c r="AC15" s="5" t="str" cm="1">
        <f t="array" ref="AC15">TEXT(VLOOKUP($A15,battle_data!$A:$G,MATCH(INDEX(_xlfn.TEXTSPLIT(AC$3,"|"),1),battle_data!$A$1:$G$1),0)*0.001,"0%")</f>
        <v>80%</v>
      </c>
      <c r="AD15" s="5" t="str" cm="1">
        <f t="array" ref="AD15">TEXT(VLOOKUP($A15,battle_data!$A:$G,MATCH(INDEX(_xlfn.TEXTSPLIT(AD$3,"|"),1),battle_data!$A$1:$G$1),0)*0.001,"0%")</f>
        <v>0%</v>
      </c>
      <c r="AE15" s="5" t="str" cm="1">
        <f t="array" ref="AE15">TEXT(VLOOKUP($A15,battle_data!$A:$G,MATCH(INDEX(_xlfn.TEXTSPLIT(AE$3,"|"),1),battle_data!$A$1:$G$1),0)*0.001,"0%")</f>
        <v>150%</v>
      </c>
      <c r="AF15" s="5">
        <f t="shared" si="0"/>
        <v>12</v>
      </c>
      <c r="AG15" s="5">
        <f t="shared" ref="AG15:AG26" si="5">_xlfn.LET(_xlpm.p,($AD15),_xlpm.p*$AE15+(1-_xlpm.p))</f>
        <v>1</v>
      </c>
      <c r="AH15" s="5">
        <f t="shared" si="1"/>
        <v>12</v>
      </c>
      <c r="AI15" s="60" t="s">
        <v>514</v>
      </c>
      <c r="AJ15" s="5" t="str" cm="1">
        <f t="array" ref="AJ15">IF($A15="","",_xlfn.SWITCH($AI15,
"Melee_Charge",$AH15/$Z15/$W15,
"Special_Car_Bomb",$AH15*$W15,
""
))</f>
        <v/>
      </c>
    </row>
    <row r="16" spans="1:47" x14ac:dyDescent="0.2">
      <c r="H16" s="5"/>
      <c r="J16" s="5"/>
      <c r="K16" s="5"/>
      <c r="L16" s="5"/>
      <c r="U16" s="5"/>
      <c r="AH16" s="5" t="str">
        <f t="shared" si="1"/>
        <v/>
      </c>
      <c r="AJ16" s="5" t="str" cm="1">
        <f t="array" ref="AJ16">IF($A16="","",_xlfn.SWITCH($AI16,
"Melee_Charge",$AH16/$Z16/$W16,
"Special_Car_Bomb",$AH16*$W16,
""
))</f>
        <v/>
      </c>
    </row>
    <row r="17" spans="1:47" x14ac:dyDescent="0.2">
      <c r="A17" s="4">
        <v>1330106</v>
      </c>
      <c r="B17" s="5" t="s">
        <v>571</v>
      </c>
      <c r="C17" s="5" t="s">
        <v>553</v>
      </c>
      <c r="D17" s="92" t="s">
        <v>578</v>
      </c>
      <c r="E17" s="5" t="s">
        <v>577</v>
      </c>
      <c r="F17" s="4">
        <v>0</v>
      </c>
      <c r="G17" s="14">
        <v>0</v>
      </c>
      <c r="H17" s="14">
        <v>0</v>
      </c>
      <c r="J17" s="4" t="str" cm="1">
        <f t="array" ref="J17">_xlfn.TEXTJOIN(";",1,IFERROR(1/K17:L17,""))</f>
        <v>0.00208333333333333</v>
      </c>
      <c r="K17" s="34">
        <v>480</v>
      </c>
      <c r="L17" s="34"/>
      <c r="M17" s="4" t="str" cm="1">
        <f t="array" aca="1" ref="M17" ca="1">_xlfn.TEXTJOIN(";",1,_xlfn.LAMBDA(_xlpm.x,IF(_xlpm.x&lt;&gt;"",OFFSET(_xlpm.x,3-ROW(),0)&amp;"="&amp;_xlpm.x,""))(N17:S17))</f>
        <v>blunt=10;fire=10</v>
      </c>
      <c r="N17" s="22"/>
      <c r="O17" s="18">
        <v>10</v>
      </c>
      <c r="P17" s="18">
        <v>10</v>
      </c>
      <c r="Q17" s="22"/>
      <c r="R17" s="22"/>
      <c r="S17" s="22"/>
      <c r="T17" s="4">
        <v>20</v>
      </c>
      <c r="U17" s="84" t="str" cm="1">
        <f t="array" ref="U17">_xlfn.LET(_xlpm._prms,_xlfn._xlws.FILTER(tb_prms[prm],tb_prms[Type]=$V17),
_xlpm._pv_pair,_xlfn.MAP(_xlpm._prms,_xlfn.TAKE(TRANSPOSE(W17:AB17),ROWS(_xlpm._prms)),_xlfn.LAMBDA(_xlpm._p,_xlpm._v,_xlpm._p&amp;"="&amp;_xlpm._v)),
IFERROR(_xlfn.TEXTJOIN(";",0,_xlpm._pv_pair),""))</f>
        <v>usage=3;burst_speed=15;before_atk_sec=0.1;cd=1</v>
      </c>
      <c r="V17" s="60" t="s">
        <v>580</v>
      </c>
      <c r="W17" s="60">
        <v>3</v>
      </c>
      <c r="X17" s="60">
        <v>15</v>
      </c>
      <c r="Y17" s="60">
        <v>0.1</v>
      </c>
      <c r="Z17" s="60">
        <v>1</v>
      </c>
      <c r="AA17" s="60" t="s">
        <v>515</v>
      </c>
      <c r="AB17" s="60" t="s">
        <v>515</v>
      </c>
      <c r="AC17" s="5" t="str" cm="1">
        <f t="array" ref="AC17">TEXT(VLOOKUP($A17,battle_data!$A:$G,MATCH(INDEX(_xlfn.TEXTSPLIT(AC$3,"|"),1),battle_data!$A$1:$G$1),0)*0.001,"0%")</f>
        <v>0%</v>
      </c>
      <c r="AD17" s="5" t="str" cm="1">
        <f t="array" ref="AD17">TEXT(VLOOKUP($A17,battle_data!$A:$G,MATCH(INDEX(_xlfn.TEXTSPLIT(AD$3,"|"),1),battle_data!$A$1:$G$1),0)*0.001,"0%")</f>
        <v>0%</v>
      </c>
      <c r="AE17" s="5" t="str" cm="1">
        <f t="array" ref="AE17">TEXT(VLOOKUP($A17,battle_data!$A:$G,MATCH(INDEX(_xlfn.TEXTSPLIT(AE$3,"|"),1),battle_data!$A$1:$G$1),0)*0.001,"0%")</f>
        <v>100%</v>
      </c>
      <c r="AF17" s="5">
        <f t="shared" si="0"/>
        <v>20</v>
      </c>
      <c r="AG17" s="5">
        <f t="shared" si="5"/>
        <v>1</v>
      </c>
      <c r="AH17" s="5">
        <f t="shared" si="1"/>
        <v>20</v>
      </c>
      <c r="AI17" s="60" t="s">
        <v>580</v>
      </c>
      <c r="AJ17" s="5" cm="1">
        <f t="array" ref="AJ17">IF($A17="","",_xlfn.SWITCH($AI17,
"Melee_Charge",$AH17/$Z17/$W17,
"Special_Car_Bomb",$AH17*$W17,
""
))</f>
        <v>60</v>
      </c>
      <c r="AK17" s="75"/>
      <c r="AL17" s="76"/>
      <c r="AM17" s="75"/>
      <c r="AN17" s="76"/>
      <c r="AO17" s="75"/>
      <c r="AP17" s="76"/>
      <c r="AQ17" s="76"/>
      <c r="AR17" s="97"/>
      <c r="AS17" s="76"/>
      <c r="AT17" s="76"/>
      <c r="AU17" s="99"/>
    </row>
    <row r="18" spans="1:47" x14ac:dyDescent="0.2">
      <c r="A18" s="4">
        <v>13301060</v>
      </c>
      <c r="B18" s="5" t="s">
        <v>572</v>
      </c>
      <c r="C18" s="5" t="s">
        <v>553</v>
      </c>
      <c r="D18" s="92" t="s">
        <v>578</v>
      </c>
      <c r="E18" s="5" t="s">
        <v>577</v>
      </c>
      <c r="F18" s="4">
        <v>0</v>
      </c>
      <c r="G18" s="14">
        <v>0</v>
      </c>
      <c r="H18" s="14">
        <v>0</v>
      </c>
      <c r="J18" s="4" t="str" cm="1">
        <f t="array" ref="J18">_xlfn.TEXTJOIN(";",1,IFERROR(1/K18:L18,""))</f>
        <v>0.00208333333333333</v>
      </c>
      <c r="K18" s="34">
        <v>480</v>
      </c>
      <c r="L18" s="34"/>
      <c r="M18" s="4" t="str" cm="1">
        <f t="array" aca="1" ref="M18" ca="1">_xlfn.TEXTJOIN(";",1,_xlfn.LAMBDA(_xlpm.x,IF(_xlpm.x&lt;&gt;"",OFFSET(_xlpm.x,3-ROW(),0)&amp;"="&amp;_xlpm.x,""))(N18:S18))</f>
        <v>blunt=144;fire=144;flash=72</v>
      </c>
      <c r="N18" s="22"/>
      <c r="O18" s="18">
        <v>144</v>
      </c>
      <c r="P18" s="18">
        <v>144</v>
      </c>
      <c r="Q18" s="22"/>
      <c r="R18" s="22"/>
      <c r="S18" s="18">
        <v>72</v>
      </c>
      <c r="T18" s="4">
        <v>20</v>
      </c>
      <c r="U18" s="84" t="str" cm="1">
        <f t="array" ref="U18">_xlfn.LET(_xlpm._prms,_xlfn._xlws.FILTER(tb_prms[prm],tb_prms[Type]=$V18),
_xlpm._pv_pair,_xlfn.MAP(_xlpm._prms,_xlfn.TAKE(TRANSPOSE(W18:AB18),ROWS(_xlpm._prms)),_xlfn.LAMBDA(_xlpm._p,_xlpm._v,_xlpm._p&amp;"="&amp;_xlpm._v)),
IFERROR(_xlfn.TEXTJOIN(";",0,_xlpm._pv_pair),""))</f>
        <v>usage=1;burst_speed=15;before_atk_sec=0.1;cd=5</v>
      </c>
      <c r="V18" s="60" t="s">
        <v>580</v>
      </c>
      <c r="W18" s="60">
        <v>1</v>
      </c>
      <c r="X18" s="60">
        <v>15</v>
      </c>
      <c r="Y18" s="60">
        <v>0.1</v>
      </c>
      <c r="Z18" s="60">
        <v>5</v>
      </c>
      <c r="AA18" s="60" t="s">
        <v>515</v>
      </c>
      <c r="AB18" s="60" t="s">
        <v>515</v>
      </c>
      <c r="AC18" s="5" t="str" cm="1">
        <f t="array" ref="AC18">TEXT(VLOOKUP($A18,battle_data!$A:$G,MATCH(INDEX(_xlfn.TEXTSPLIT(AC$3,"|"),1),battle_data!$A$1:$G$1),0)*0.001,"0%")</f>
        <v>0%</v>
      </c>
      <c r="AD18" s="5" t="str" cm="1">
        <f t="array" ref="AD18">TEXT(VLOOKUP($A18,battle_data!$A:$G,MATCH(INDEX(_xlfn.TEXTSPLIT(AD$3,"|"),1),battle_data!$A$1:$G$1),0)*0.001,"0%")</f>
        <v>0%</v>
      </c>
      <c r="AE18" s="5" t="str" cm="1">
        <f t="array" ref="AE18">TEXT(VLOOKUP($A18,battle_data!$A:$G,MATCH(INDEX(_xlfn.TEXTSPLIT(AE$3,"|"),1),battle_data!$A$1:$G$1),0)*0.001,"0%")</f>
        <v>100%</v>
      </c>
      <c r="AF18" s="5">
        <f t="shared" si="0"/>
        <v>360</v>
      </c>
      <c r="AG18" s="5">
        <f t="shared" si="5"/>
        <v>1</v>
      </c>
      <c r="AH18" s="5">
        <f t="shared" si="1"/>
        <v>360</v>
      </c>
      <c r="AI18" s="60" t="s">
        <v>580</v>
      </c>
      <c r="AJ18" s="5" cm="1">
        <f t="array" ref="AJ18">IF($A18="","",_xlfn.SWITCH($AI18,
"Melee_Charge",$AH18/$Z18/$W18,
"Special_Car_Bomb",$AH18*$W18,
""
))</f>
        <v>360</v>
      </c>
      <c r="AK18" s="65">
        <v>120</v>
      </c>
      <c r="AL18" s="66" t="s">
        <v>592</v>
      </c>
      <c r="AM18" s="65">
        <f t="shared" ref="AM18" si="6">AJ18/AK18</f>
        <v>3</v>
      </c>
      <c r="AN18" s="66">
        <v>3</v>
      </c>
      <c r="AO18" s="65" cm="1">
        <f t="array" ref="AO18">_xlfn.LAMBDA(_xlpm._dps,_xlpm._info_cell,_xlpm._muldps,ROUND(IF(_xlpm._dps&lt;=0,-10,LOG(_xlpm._dps*IF(_xlpm._muldps,_xlpm._muldps,1)/INDEX(_xlfn.TEXTSPLIT(_xlpm._info_cell,"="),2),1.5)),2))($AM18,AO$3,$AN18)</f>
        <v>-3.13</v>
      </c>
      <c r="AP18" s="66">
        <v>0</v>
      </c>
      <c r="AQ18" s="66">
        <v>1</v>
      </c>
      <c r="AR18" s="98" cm="1">
        <f t="array" ref="AR18">_xlfn.LAMBDA(_xlpm._lv,_xlpm._rank,_xlpm._base,_xlpm._lv+INDEX(_xlfn.TEXTSPLIT(_xlpm._base,"="),2)^(_xlpm._rank-2)-1)(AP18,AQ18,AR$3)</f>
        <v>-0.5</v>
      </c>
      <c r="AS18" s="66">
        <v>2.5</v>
      </c>
      <c r="AT18" s="66" t="s">
        <v>593</v>
      </c>
      <c r="AU18" s="100">
        <f>AR18*2-AO18-AS18</f>
        <v>-0.37000000000000011</v>
      </c>
    </row>
    <row r="19" spans="1:47" x14ac:dyDescent="0.2">
      <c r="A19" s="4">
        <v>13301061</v>
      </c>
      <c r="B19" s="5" t="s">
        <v>573</v>
      </c>
      <c r="C19" s="5" t="s">
        <v>553</v>
      </c>
      <c r="D19" s="92" t="s">
        <v>578</v>
      </c>
      <c r="E19" s="5" t="s">
        <v>577</v>
      </c>
      <c r="F19" s="4">
        <v>0</v>
      </c>
      <c r="G19" s="14">
        <v>0</v>
      </c>
      <c r="H19" s="14">
        <v>0</v>
      </c>
      <c r="J19" s="4" t="str" cm="1">
        <f t="array" ref="J19">_xlfn.TEXTJOIN(";",1,IFERROR(1/K19:L19,""))</f>
        <v>0.00208333333333333</v>
      </c>
      <c r="K19" s="34">
        <v>480</v>
      </c>
      <c r="L19" s="34"/>
      <c r="M19" s="4" t="str" cm="1">
        <f t="array" aca="1" ref="M19" ca="1">_xlfn.TEXTJOIN(";",1,_xlfn.LAMBDA(_xlpm.x,IF(_xlpm.x&lt;&gt;"",OFFSET(_xlpm.x,3-ROW(),0)&amp;"="&amp;_xlpm.x,""))(N19:S19))</f>
        <v>blunt=144;fire=144;flash=72</v>
      </c>
      <c r="N19" s="22"/>
      <c r="O19" s="18">
        <v>144</v>
      </c>
      <c r="P19" s="18">
        <v>144</v>
      </c>
      <c r="Q19" s="22"/>
      <c r="R19" s="22"/>
      <c r="S19" s="18">
        <v>72</v>
      </c>
      <c r="T19" s="4">
        <v>20</v>
      </c>
      <c r="U19" s="84" t="str" cm="1">
        <f t="array" ref="U19">_xlfn.LET(_xlpm._prms,_xlfn._xlws.FILTER(tb_prms[prm],tb_prms[Type]=$V19),
_xlpm._pv_pair,_xlfn.MAP(_xlpm._prms,_xlfn.TAKE(TRANSPOSE(W19:AB19),ROWS(_xlpm._prms)),_xlfn.LAMBDA(_xlpm._p,_xlpm._v,_xlpm._p&amp;"="&amp;_xlpm._v)),
IFERROR(_xlfn.TEXTJOIN(";",0,_xlpm._pv_pair),""))</f>
        <v>usage=2;burst_speed=15;before_atk_sec=0.1;cd=5</v>
      </c>
      <c r="V19" s="60" t="s">
        <v>580</v>
      </c>
      <c r="W19" s="60">
        <v>2</v>
      </c>
      <c r="X19" s="60">
        <v>15</v>
      </c>
      <c r="Y19" s="60">
        <v>0.1</v>
      </c>
      <c r="Z19" s="60">
        <v>5</v>
      </c>
      <c r="AA19" s="60" t="s">
        <v>515</v>
      </c>
      <c r="AB19" s="60" t="s">
        <v>515</v>
      </c>
      <c r="AC19" s="5" t="str" cm="1">
        <f t="array" ref="AC19">TEXT(VLOOKUP($A19,battle_data!$A:$G,MATCH(INDEX(_xlfn.TEXTSPLIT(AC$3,"|"),1),battle_data!$A$1:$G$1),0)*0.001,"0%")</f>
        <v>0%</v>
      </c>
      <c r="AD19" s="5" t="str" cm="1">
        <f t="array" ref="AD19">TEXT(VLOOKUP($A19,battle_data!$A:$G,MATCH(INDEX(_xlfn.TEXTSPLIT(AD$3,"|"),1),battle_data!$A$1:$G$1),0)*0.001,"0%")</f>
        <v>0%</v>
      </c>
      <c r="AE19" s="5" t="str" cm="1">
        <f t="array" ref="AE19">TEXT(VLOOKUP($A19,battle_data!$A:$G,MATCH(INDEX(_xlfn.TEXTSPLIT(AE$3,"|"),1),battle_data!$A$1:$G$1),0)*0.001,"0%")</f>
        <v>100%</v>
      </c>
      <c r="AF19" s="5">
        <f t="shared" si="0"/>
        <v>360</v>
      </c>
      <c r="AG19" s="5">
        <f t="shared" si="5"/>
        <v>1</v>
      </c>
      <c r="AH19" s="5">
        <f t="shared" si="1"/>
        <v>360</v>
      </c>
      <c r="AI19" s="60" t="s">
        <v>580</v>
      </c>
      <c r="AJ19" s="5" cm="1">
        <f t="array" ref="AJ19">IF($A19="","",_xlfn.SWITCH($AI19,
"Melee_Charge",$AH19/$Z19/$W19,
"Special_Car_Bomb",$AH19*$W19,
""
))</f>
        <v>720</v>
      </c>
      <c r="AK19" s="65">
        <v>120</v>
      </c>
      <c r="AL19" s="66" t="s">
        <v>592</v>
      </c>
      <c r="AM19" s="65">
        <f t="shared" ref="AM19" si="7">AJ19/AK19</f>
        <v>6</v>
      </c>
      <c r="AN19" s="66">
        <v>3</v>
      </c>
      <c r="AO19" s="65" cm="1">
        <f t="array" ref="AO19">_xlfn.LAMBDA(_xlpm._dps,_xlpm._info_cell,_xlpm._muldps,ROUND(IF(_xlpm._dps&lt;=0,-10,LOG(_xlpm._dps*IF(_xlpm._muldps,_xlpm._muldps,1)/INDEX(_xlfn.TEXTSPLIT(_xlpm._info_cell,"="),2),1.5)),2))($AM19,AO$3,$AN19)</f>
        <v>-1.42</v>
      </c>
      <c r="AP19" s="66">
        <v>1</v>
      </c>
      <c r="AQ19" s="66">
        <v>1</v>
      </c>
      <c r="AR19" s="98" cm="1">
        <f t="array" ref="AR19">_xlfn.LAMBDA(_xlpm._lv,_xlpm._rank,_xlpm._base,_xlpm._lv+INDEX(_xlfn.TEXTSPLIT(_xlpm._base,"="),2)^(_xlpm._rank-2)-1)(AP19,AQ19,AR$3)</f>
        <v>0.5</v>
      </c>
      <c r="AS19" s="66">
        <v>2.5</v>
      </c>
      <c r="AT19" s="66" t="s">
        <v>593</v>
      </c>
      <c r="AU19" s="100">
        <f>AR19*2-AO19-AS19</f>
        <v>-8.0000000000000071E-2</v>
      </c>
    </row>
    <row r="20" spans="1:47" x14ac:dyDescent="0.2">
      <c r="A20" s="4">
        <v>13301062</v>
      </c>
      <c r="B20" s="5" t="s">
        <v>574</v>
      </c>
      <c r="C20" s="5" t="s">
        <v>553</v>
      </c>
      <c r="D20" s="92" t="s">
        <v>578</v>
      </c>
      <c r="E20" s="5" t="s">
        <v>577</v>
      </c>
      <c r="F20" s="4">
        <v>0</v>
      </c>
      <c r="G20" s="14">
        <v>0</v>
      </c>
      <c r="H20" s="14">
        <v>0</v>
      </c>
      <c r="J20" s="4" t="str" cm="1">
        <f t="array" ref="J20">_xlfn.TEXTJOIN(";",1,IFERROR(1/K20:L20,""))</f>
        <v>0.00208333333333333</v>
      </c>
      <c r="K20" s="34">
        <v>480</v>
      </c>
      <c r="L20" s="34"/>
      <c r="M20" s="4" t="str" cm="1">
        <f t="array" aca="1" ref="M20" ca="1">_xlfn.TEXTJOIN(";",1,_xlfn.LAMBDA(_xlpm.x,IF(_xlpm.x&lt;&gt;"",OFFSET(_xlpm.x,3-ROW(),0)&amp;"="&amp;_xlpm.x,""))(N20:S20))</f>
        <v>blunt=216;fire=216;flash=108</v>
      </c>
      <c r="N20" s="22"/>
      <c r="O20" s="18">
        <v>216</v>
      </c>
      <c r="P20" s="18">
        <v>216</v>
      </c>
      <c r="Q20" s="22"/>
      <c r="R20" s="22"/>
      <c r="S20" s="18">
        <v>108</v>
      </c>
      <c r="T20" s="4">
        <v>20</v>
      </c>
      <c r="U20" s="84" t="str" cm="1">
        <f t="array" ref="U20">_xlfn.LET(_xlpm._prms,_xlfn._xlws.FILTER(tb_prms[prm],tb_prms[Type]=$V20),
_xlpm._pv_pair,_xlfn.MAP(_xlpm._prms,_xlfn.TAKE(TRANSPOSE(W20:AB20),ROWS(_xlpm._prms)),_xlfn.LAMBDA(_xlpm._p,_xlpm._v,_xlpm._p&amp;"="&amp;_xlpm._v)),
IFERROR(_xlfn.TEXTJOIN(";",0,_xlpm._pv_pair),""))</f>
        <v>usage=2;burst_speed=15;before_atk_sec=0.1;cd=5</v>
      </c>
      <c r="V20" s="60" t="s">
        <v>580</v>
      </c>
      <c r="W20" s="60">
        <v>2</v>
      </c>
      <c r="X20" s="60">
        <v>15</v>
      </c>
      <c r="Y20" s="60">
        <v>0.1</v>
      </c>
      <c r="Z20" s="60">
        <v>5</v>
      </c>
      <c r="AA20" s="60" t="s">
        <v>515</v>
      </c>
      <c r="AB20" s="60" t="s">
        <v>515</v>
      </c>
      <c r="AC20" s="5" t="str" cm="1">
        <f t="array" ref="AC20">TEXT(VLOOKUP($A20,battle_data!$A:$G,MATCH(INDEX(_xlfn.TEXTSPLIT(AC$3,"|"),1),battle_data!$A$1:$G$1),0)*0.001,"0%")</f>
        <v>0%</v>
      </c>
      <c r="AD20" s="5" t="str" cm="1">
        <f t="array" ref="AD20">TEXT(VLOOKUP($A20,battle_data!$A:$G,MATCH(INDEX(_xlfn.TEXTSPLIT(AD$3,"|"),1),battle_data!$A$1:$G$1),0)*0.001,"0%")</f>
        <v>0%</v>
      </c>
      <c r="AE20" s="5" t="str" cm="1">
        <f t="array" ref="AE20">TEXT(VLOOKUP($A20,battle_data!$A:$G,MATCH(INDEX(_xlfn.TEXTSPLIT(AE$3,"|"),1),battle_data!$A$1:$G$1),0)*0.001,"0%")</f>
        <v>100%</v>
      </c>
      <c r="AF20" s="5">
        <f t="shared" si="0"/>
        <v>540</v>
      </c>
      <c r="AG20" s="5">
        <f t="shared" si="5"/>
        <v>1</v>
      </c>
      <c r="AH20" s="5">
        <f t="shared" si="1"/>
        <v>540</v>
      </c>
      <c r="AI20" s="60" t="s">
        <v>580</v>
      </c>
      <c r="AJ20" s="5" cm="1">
        <f t="array" ref="AJ20">IF($A20="","",_xlfn.SWITCH($AI20,
"Melee_Charge",$AH20/$Z20/$W20,
"Special_Car_Bomb",$AH20*$W20,
""
))</f>
        <v>1080</v>
      </c>
      <c r="AK20" s="65">
        <v>120</v>
      </c>
      <c r="AL20" s="66" t="s">
        <v>592</v>
      </c>
      <c r="AM20" s="65">
        <f t="shared" ref="AM20" si="8">AJ20/AK20</f>
        <v>9</v>
      </c>
      <c r="AN20" s="66">
        <v>3</v>
      </c>
      <c r="AO20" s="65" cm="1">
        <f t="array" ref="AO20">_xlfn.LAMBDA(_xlpm._dps,_xlpm._info_cell,_xlpm._muldps,ROUND(IF(_xlpm._dps&lt;=0,-10,LOG(_xlpm._dps*IF(_xlpm._muldps,_xlpm._muldps,1)/INDEX(_xlfn.TEXTSPLIT(_xlpm._info_cell,"="),2),1.5)),2))($AM20,AO$3,$AN20)</f>
        <v>-0.42</v>
      </c>
      <c r="AP20" s="66">
        <v>2</v>
      </c>
      <c r="AQ20" s="66">
        <v>1</v>
      </c>
      <c r="AR20" s="98" cm="1">
        <f t="array" ref="AR20">_xlfn.LAMBDA(_xlpm._lv,_xlpm._rank,_xlpm._base,_xlpm._lv+INDEX(_xlfn.TEXTSPLIT(_xlpm._base,"="),2)^(_xlpm._rank-2)-1)(AP20,AQ20,AR$3)</f>
        <v>1.5</v>
      </c>
      <c r="AS20" s="66">
        <v>2.5</v>
      </c>
      <c r="AT20" s="66" t="s">
        <v>593</v>
      </c>
      <c r="AU20" s="100">
        <f>AR20*2-AO20-AS20</f>
        <v>0.91999999999999993</v>
      </c>
    </row>
    <row r="21" spans="1:47" x14ac:dyDescent="0.2">
      <c r="A21" s="4">
        <v>13301063</v>
      </c>
      <c r="B21" s="5" t="s">
        <v>575</v>
      </c>
      <c r="C21" s="5" t="s">
        <v>553</v>
      </c>
      <c r="D21" s="92" t="s">
        <v>578</v>
      </c>
      <c r="E21" s="5" t="s">
        <v>577</v>
      </c>
      <c r="F21" s="4">
        <v>0</v>
      </c>
      <c r="G21" s="14">
        <v>0</v>
      </c>
      <c r="H21" s="14">
        <v>0</v>
      </c>
      <c r="J21" s="4" t="str" cm="1">
        <f t="array" ref="J21">_xlfn.TEXTJOIN(";",1,IFERROR(1/K21:L21,""))</f>
        <v>0.00208333333333333</v>
      </c>
      <c r="K21" s="34">
        <v>480</v>
      </c>
      <c r="L21" s="34"/>
      <c r="M21" s="4" t="str" cm="1">
        <f t="array" aca="1" ref="M21" ca="1">_xlfn.TEXTJOIN(";",1,_xlfn.LAMBDA(_xlpm.x,IF(_xlpm.x&lt;&gt;"",OFFSET(_xlpm.x,3-ROW(),0)&amp;"="&amp;_xlpm.x,""))(N21:S21))</f>
        <v>blunt=216;fire=216;flash=108</v>
      </c>
      <c r="N21" s="22"/>
      <c r="O21" s="18">
        <v>216</v>
      </c>
      <c r="P21" s="18">
        <v>216</v>
      </c>
      <c r="Q21" s="22"/>
      <c r="R21" s="22"/>
      <c r="S21" s="18">
        <v>108</v>
      </c>
      <c r="T21" s="4">
        <v>20</v>
      </c>
      <c r="U21" s="84" t="str" cm="1">
        <f t="array" ref="U21">_xlfn.LET(_xlpm._prms,_xlfn._xlws.FILTER(tb_prms[prm],tb_prms[Type]=$V21),
_xlpm._pv_pair,_xlfn.MAP(_xlpm._prms,_xlfn.TAKE(TRANSPOSE(W21:AB21),ROWS(_xlpm._prms)),_xlfn.LAMBDA(_xlpm._p,_xlpm._v,_xlpm._p&amp;"="&amp;_xlpm._v)),
IFERROR(_xlfn.TEXTJOIN(";",0,_xlpm._pv_pair),""))</f>
        <v>usage=3;burst_speed=15;before_atk_sec=0.1;cd=5</v>
      </c>
      <c r="V21" s="60" t="s">
        <v>580</v>
      </c>
      <c r="W21" s="60">
        <v>3</v>
      </c>
      <c r="X21" s="60">
        <v>15</v>
      </c>
      <c r="Y21" s="60">
        <v>0.1</v>
      </c>
      <c r="Z21" s="60">
        <v>5</v>
      </c>
      <c r="AA21" s="60" t="s">
        <v>515</v>
      </c>
      <c r="AB21" s="60" t="s">
        <v>515</v>
      </c>
      <c r="AC21" s="5" t="str" cm="1">
        <f t="array" ref="AC21">TEXT(VLOOKUP($A21,battle_data!$A:$G,MATCH(INDEX(_xlfn.TEXTSPLIT(AC$3,"|"),1),battle_data!$A$1:$G$1),0)*0.001,"0%")</f>
        <v>0%</v>
      </c>
      <c r="AD21" s="5" t="str" cm="1">
        <f t="array" ref="AD21">TEXT(VLOOKUP($A21,battle_data!$A:$G,MATCH(INDEX(_xlfn.TEXTSPLIT(AD$3,"|"),1),battle_data!$A$1:$G$1),0)*0.001,"0%")</f>
        <v>0%</v>
      </c>
      <c r="AE21" s="5" t="str" cm="1">
        <f t="array" ref="AE21">TEXT(VLOOKUP($A21,battle_data!$A:$G,MATCH(INDEX(_xlfn.TEXTSPLIT(AE$3,"|"),1),battle_data!$A$1:$G$1),0)*0.001,"0%")</f>
        <v>100%</v>
      </c>
      <c r="AF21" s="5">
        <f t="shared" si="0"/>
        <v>540</v>
      </c>
      <c r="AG21" s="5">
        <f t="shared" si="5"/>
        <v>1</v>
      </c>
      <c r="AH21" s="5">
        <f t="shared" si="1"/>
        <v>540</v>
      </c>
      <c r="AI21" s="60" t="s">
        <v>580</v>
      </c>
      <c r="AJ21" s="5" cm="1">
        <f t="array" ref="AJ21">IF($A21="","",_xlfn.SWITCH($AI21,
"Melee_Charge",$AH21/$Z21/$W21,
"Special_Car_Bomb",$AH21*$W21,
""
))</f>
        <v>1620</v>
      </c>
      <c r="AK21" s="65">
        <v>120</v>
      </c>
      <c r="AL21" s="66" t="s">
        <v>592</v>
      </c>
      <c r="AM21" s="65">
        <f t="shared" ref="AM21" si="9">AJ21/AK21</f>
        <v>13.5</v>
      </c>
      <c r="AN21" s="66">
        <v>3</v>
      </c>
      <c r="AO21" s="65" cm="1">
        <f t="array" ref="AO21">_xlfn.LAMBDA(_xlpm._dps,_xlpm._info_cell,_xlpm._muldps,ROUND(IF(_xlpm._dps&lt;=0,-10,LOG(_xlpm._dps*IF(_xlpm._muldps,_xlpm._muldps,1)/INDEX(_xlfn.TEXTSPLIT(_xlpm._info_cell,"="),2),1.5)),2))($AM21,AO$3,$AN21)</f>
        <v>0.57999999999999996</v>
      </c>
      <c r="AP21" s="66">
        <v>3</v>
      </c>
      <c r="AQ21" s="66">
        <v>1</v>
      </c>
      <c r="AR21" s="98" cm="1">
        <f t="array" ref="AR21">_xlfn.LAMBDA(_xlpm._lv,_xlpm._rank,_xlpm._base,_xlpm._lv+INDEX(_xlfn.TEXTSPLIT(_xlpm._base,"="),2)^(_xlpm._rank-2)-1)(AP21,AQ21,AR$3)</f>
        <v>2.5</v>
      </c>
      <c r="AS21" s="66">
        <v>2.5</v>
      </c>
      <c r="AT21" s="66" t="s">
        <v>593</v>
      </c>
      <c r="AU21" s="100">
        <f>AR21*2-AO21-AS21</f>
        <v>1.92</v>
      </c>
    </row>
    <row r="22" spans="1:47" x14ac:dyDescent="0.2">
      <c r="A22" s="4">
        <v>13301064</v>
      </c>
      <c r="B22" s="5" t="s">
        <v>576</v>
      </c>
      <c r="C22" s="5" t="s">
        <v>553</v>
      </c>
      <c r="D22" s="92" t="s">
        <v>578</v>
      </c>
      <c r="E22" s="5" t="s">
        <v>577</v>
      </c>
      <c r="F22" s="4">
        <v>0</v>
      </c>
      <c r="G22" s="14">
        <v>0</v>
      </c>
      <c r="H22" s="14">
        <v>0</v>
      </c>
      <c r="J22" s="4" t="str" cm="1">
        <f t="array" ref="J22">_xlfn.TEXTJOIN(";",1,IFERROR(1/K22:L22,""))</f>
        <v>0.00208333333333333</v>
      </c>
      <c r="K22" s="34">
        <v>480</v>
      </c>
      <c r="L22" s="34"/>
      <c r="M22" s="4" t="str" cm="1">
        <f t="array" aca="1" ref="M22" ca="1">_xlfn.TEXTJOIN(";",1,_xlfn.LAMBDA(_xlpm.x,IF(_xlpm.x&lt;&gt;"",OFFSET(_xlpm.x,3-ROW(),0)&amp;"="&amp;_xlpm.x,""))(N22:S22))</f>
        <v>blunt=324;fire=324;flash=162</v>
      </c>
      <c r="N22" s="22"/>
      <c r="O22" s="18">
        <v>324</v>
      </c>
      <c r="P22" s="18">
        <v>324</v>
      </c>
      <c r="Q22" s="22"/>
      <c r="R22" s="22"/>
      <c r="S22" s="18">
        <v>162</v>
      </c>
      <c r="T22" s="4">
        <v>20</v>
      </c>
      <c r="U22" s="84" t="str" cm="1">
        <f t="array" ref="U22">_xlfn.LET(_xlpm._prms,_xlfn._xlws.FILTER(tb_prms[prm],tb_prms[Type]=$V22),
_xlpm._pv_pair,_xlfn.MAP(_xlpm._prms,_xlfn.TAKE(TRANSPOSE(W22:AB22),ROWS(_xlpm._prms)),_xlfn.LAMBDA(_xlpm._p,_xlpm._v,_xlpm._p&amp;"="&amp;_xlpm._v)),
IFERROR(_xlfn.TEXTJOIN(";",0,_xlpm._pv_pair),""))</f>
        <v>usage=3;burst_speed=15;before_atk_sec=0.1;cd=5</v>
      </c>
      <c r="V22" s="60" t="s">
        <v>580</v>
      </c>
      <c r="W22" s="60">
        <v>3</v>
      </c>
      <c r="X22" s="60">
        <v>15</v>
      </c>
      <c r="Y22" s="60">
        <v>0.1</v>
      </c>
      <c r="Z22" s="60">
        <v>5</v>
      </c>
      <c r="AA22" s="60" t="s">
        <v>515</v>
      </c>
      <c r="AB22" s="60" t="s">
        <v>515</v>
      </c>
      <c r="AC22" s="5" t="str" cm="1">
        <f t="array" ref="AC22">TEXT(VLOOKUP($A22,battle_data!$A:$G,MATCH(INDEX(_xlfn.TEXTSPLIT(AC$3,"|"),1),battle_data!$A$1:$G$1),0)*0.001,"0%")</f>
        <v>0%</v>
      </c>
      <c r="AD22" s="5" t="str" cm="1">
        <f t="array" ref="AD22">TEXT(VLOOKUP($A22,battle_data!$A:$G,MATCH(INDEX(_xlfn.TEXTSPLIT(AD$3,"|"),1),battle_data!$A$1:$G$1),0)*0.001,"0%")</f>
        <v>0%</v>
      </c>
      <c r="AE22" s="5" t="str" cm="1">
        <f t="array" ref="AE22">TEXT(VLOOKUP($A22,battle_data!$A:$G,MATCH(INDEX(_xlfn.TEXTSPLIT(AE$3,"|"),1),battle_data!$A$1:$G$1),0)*0.001,"0%")</f>
        <v>100%</v>
      </c>
      <c r="AF22" s="5">
        <f t="shared" si="0"/>
        <v>810</v>
      </c>
      <c r="AG22" s="5">
        <f t="shared" si="5"/>
        <v>1</v>
      </c>
      <c r="AH22" s="5">
        <f t="shared" si="1"/>
        <v>810</v>
      </c>
      <c r="AI22" s="60" t="s">
        <v>580</v>
      </c>
      <c r="AJ22" s="5" cm="1">
        <f t="array" ref="AJ22">IF($A22="","",_xlfn.SWITCH($AI22,
"Melee_Charge",$AH22/$Z22/$W22,
"Special_Car_Bomb",$AH22*$W22,
""
))</f>
        <v>2430</v>
      </c>
      <c r="AK22" s="65">
        <v>120</v>
      </c>
      <c r="AL22" s="66" t="s">
        <v>592</v>
      </c>
      <c r="AM22" s="65">
        <f t="shared" ref="AM22" si="10">AJ22/AK22</f>
        <v>20.25</v>
      </c>
      <c r="AN22" s="66">
        <v>3</v>
      </c>
      <c r="AO22" s="65" cm="1">
        <f t="array" ref="AO22">_xlfn.LAMBDA(_xlpm._dps,_xlpm._info_cell,_xlpm._muldps,ROUND(IF(_xlpm._dps&lt;=0,-10,LOG(_xlpm._dps*IF(_xlpm._muldps,_xlpm._muldps,1)/INDEX(_xlfn.TEXTSPLIT(_xlpm._info_cell,"="),2),1.5)),2))($AM22,AO$3,$AN22)</f>
        <v>1.58</v>
      </c>
      <c r="AP22" s="66">
        <v>4</v>
      </c>
      <c r="AQ22" s="66">
        <v>1</v>
      </c>
      <c r="AR22" s="98" cm="1">
        <f t="array" ref="AR22">_xlfn.LAMBDA(_xlpm._lv,_xlpm._rank,_xlpm._base,_xlpm._lv+INDEX(_xlfn.TEXTSPLIT(_xlpm._base,"="),2)^(_xlpm._rank-2)-1)(AP22,AQ22,AR$3)</f>
        <v>3.5</v>
      </c>
      <c r="AS22" s="66">
        <v>2.5</v>
      </c>
      <c r="AT22" s="66" t="s">
        <v>593</v>
      </c>
      <c r="AU22" s="100">
        <f>AR22*2-AO22-AS22</f>
        <v>2.92</v>
      </c>
    </row>
    <row r="23" spans="1:47" x14ac:dyDescent="0.2">
      <c r="A23" s="4">
        <v>1331801</v>
      </c>
      <c r="B23" s="5" t="s">
        <v>484</v>
      </c>
      <c r="C23" s="5" t="s">
        <v>443</v>
      </c>
      <c r="D23" s="79" t="s">
        <v>557</v>
      </c>
      <c r="E23" s="5" t="s">
        <v>478</v>
      </c>
      <c r="F23" s="4">
        <v>0</v>
      </c>
      <c r="G23" s="14">
        <v>0</v>
      </c>
      <c r="H23" s="14">
        <v>0</v>
      </c>
      <c r="J23" s="4" t="str" cm="1">
        <f t="array" ref="J23">_xlfn.TEXTJOIN(";",1,IFERROR(1/K23:L23,""))</f>
        <v>0.00208333333333333;0.00833333333333333</v>
      </c>
      <c r="K23" s="34">
        <v>480</v>
      </c>
      <c r="L23" s="34">
        <v>120</v>
      </c>
      <c r="M23" s="4" t="str" cm="1">
        <f t="array" aca="1" ref="M23" ca="1">_xlfn.TEXTJOIN(";",1,_xlfn.LAMBDA(_xlpm.x,IF(_xlpm.x&lt;&gt;"",OFFSET(_xlpm.x,3-ROW(),0)&amp;"="&amp;_xlpm.x,""))(N23:S23))</f>
        <v>sharp=2</v>
      </c>
      <c r="N23" s="18">
        <v>2</v>
      </c>
      <c r="O23" s="22"/>
      <c r="P23" s="22"/>
      <c r="Q23" s="22"/>
      <c r="R23" s="22"/>
      <c r="S23" s="22"/>
      <c r="T23" s="4">
        <v>0</v>
      </c>
      <c r="U23" s="84" t="str" cm="1">
        <f t="array" ref="U23">_xlfn.LET(_xlpm._prms,_xlfn._xlws.FILTER(tb_prms[prm],tb_prms[Type]=$V23),
_xlpm._pv_pair,_xlfn.MAP(_xlpm._prms,_xlfn.TAKE(TRANSPOSE(W23:AB23),ROWS(_xlpm._prms)),_xlfn.LAMBDA(_xlpm._p,_xlpm._v,_xlpm._p&amp;"="&amp;_xlpm._v)),
IFERROR(_xlfn.TEXTJOIN(";",0,_xlpm._pv_pair),""))</f>
        <v>atk_gap=12;charge_rate=0.005;charge_level=3;consume_rate=0.001</v>
      </c>
      <c r="V23" s="60" t="s">
        <v>493</v>
      </c>
      <c r="W23" s="60">
        <v>12</v>
      </c>
      <c r="X23" s="60">
        <v>5.0000000000000001E-3</v>
      </c>
      <c r="Y23" s="60">
        <v>3</v>
      </c>
      <c r="Z23" s="60">
        <v>1E-3</v>
      </c>
      <c r="AA23" s="60" t="s">
        <v>515</v>
      </c>
      <c r="AB23" s="60" t="s">
        <v>515</v>
      </c>
      <c r="AC23" s="5" t="str" cm="1">
        <f t="array" ref="AC23">TEXT(VLOOKUP($A23,battle_data!$A:$G,MATCH(INDEX(_xlfn.TEXTSPLIT(AC$3,"|"),1),battle_data!$A$1:$G$1),0)*0.001,"0%")</f>
        <v>33%</v>
      </c>
      <c r="AD23" s="5" t="str" cm="1">
        <f t="array" ref="AD23">TEXT(VLOOKUP($A23,battle_data!$A:$G,MATCH(INDEX(_xlfn.TEXTSPLIT(AD$3,"|"),1),battle_data!$A$1:$G$1),0)*0.001,"0%")</f>
        <v>33%</v>
      </c>
      <c r="AE23" s="5" t="str" cm="1">
        <f t="array" ref="AE23">TEXT(VLOOKUP($A23,battle_data!$A:$G,MATCH(INDEX(_xlfn.TEXTSPLIT(AE$3,"|"),1),battle_data!$A$1:$G$1),0)*0.001,"0%")</f>
        <v>102%</v>
      </c>
      <c r="AF23" s="5">
        <f t="shared" si="0"/>
        <v>2</v>
      </c>
      <c r="AG23" s="5">
        <f t="shared" si="5"/>
        <v>1.0065999999999999</v>
      </c>
      <c r="AH23" s="5">
        <f t="shared" si="1"/>
        <v>2.0131999999999999</v>
      </c>
      <c r="AI23" s="60" t="s">
        <v>493</v>
      </c>
      <c r="AJ23" s="5" cm="1">
        <f t="array" ref="AJ23">IF($A23="","",_xlfn.SWITCH($AI23,
"Melee_Charge",$AH23/$Z23/$W23,
"Special_Car_Bomb",$AH23*$W23,
""
))</f>
        <v>167.76666666666665</v>
      </c>
      <c r="AK23" s="75"/>
      <c r="AL23" s="76"/>
      <c r="AM23" s="75"/>
      <c r="AN23" s="76"/>
      <c r="AO23" s="75"/>
      <c r="AP23" s="76"/>
      <c r="AQ23" s="76"/>
      <c r="AR23" s="97"/>
      <c r="AS23" s="76"/>
      <c r="AT23" s="76"/>
      <c r="AU23" s="99"/>
    </row>
    <row r="24" spans="1:47" x14ac:dyDescent="0.2">
      <c r="A24" s="4">
        <v>13318012</v>
      </c>
      <c r="B24" s="5" t="s">
        <v>485</v>
      </c>
      <c r="C24" s="5" t="s">
        <v>443</v>
      </c>
      <c r="D24" s="79" t="s">
        <v>557</v>
      </c>
      <c r="E24" s="5" t="s">
        <v>478</v>
      </c>
      <c r="F24" s="4">
        <v>0</v>
      </c>
      <c r="G24" s="14">
        <v>0</v>
      </c>
      <c r="H24" s="14">
        <v>0</v>
      </c>
      <c r="J24" s="4" t="str" cm="1">
        <f t="array" ref="J24">_xlfn.TEXTJOIN(";",1,IFERROR(1/K24:L24,""))</f>
        <v>0.00208333333333333;0.00833333333333333</v>
      </c>
      <c r="K24" s="34">
        <v>480</v>
      </c>
      <c r="L24" s="34">
        <v>120</v>
      </c>
      <c r="M24" s="4" t="str" cm="1">
        <f t="array" aca="1" ref="M24" ca="1">_xlfn.TEXTJOIN(";",1,_xlfn.LAMBDA(_xlpm.x,IF(_xlpm.x&lt;&gt;"",OFFSET(_xlpm.x,3-ROW(),0)&amp;"="&amp;_xlpm.x,""))(N24:S24))</f>
        <v>blunt=12;fire=12;flash=12</v>
      </c>
      <c r="N24" s="22"/>
      <c r="O24" s="18">
        <v>12</v>
      </c>
      <c r="P24" s="18">
        <v>12</v>
      </c>
      <c r="Q24" s="22"/>
      <c r="R24" s="22"/>
      <c r="S24" s="18">
        <v>12</v>
      </c>
      <c r="T24" s="4">
        <v>0</v>
      </c>
      <c r="U24" s="84" t="str" cm="1">
        <f t="array" ref="U24">_xlfn.LET(_xlpm._prms,_xlfn._xlws.FILTER(tb_prms[prm],tb_prms[Type]=$V24),
_xlpm._pv_pair,_xlfn.MAP(_xlpm._prms,_xlfn.TAKE(TRANSPOSE(W24:AB24),ROWS(_xlpm._prms)),_xlfn.LAMBDA(_xlpm._p,_xlpm._v,_xlpm._p&amp;"="&amp;_xlpm._v)),
IFERROR(_xlfn.TEXTJOIN(";",0,_xlpm._pv_pair),""))</f>
        <v>atk_gap=40;charge_rate=0.0006;charge_level=3;consume_rate=0.00125</v>
      </c>
      <c r="V24" s="60" t="s">
        <v>493</v>
      </c>
      <c r="W24" s="60">
        <v>40</v>
      </c>
      <c r="X24" s="60">
        <v>5.9999999999999995E-4</v>
      </c>
      <c r="Y24" s="60">
        <v>3</v>
      </c>
      <c r="Z24" s="60">
        <v>1.25E-3</v>
      </c>
      <c r="AA24" s="60" t="s">
        <v>515</v>
      </c>
      <c r="AB24" s="60" t="s">
        <v>515</v>
      </c>
      <c r="AC24" s="5" t="str" cm="1">
        <f t="array" ref="AC24">TEXT(VLOOKUP($A24,battle_data!$A:$G,MATCH(INDEX(_xlfn.TEXTSPLIT(AC$3,"|"),1),battle_data!$A$1:$G$1),0)*0.001,"0%")</f>
        <v>33%</v>
      </c>
      <c r="AD24" s="5" t="str" cm="1">
        <f t="array" ref="AD24">TEXT(VLOOKUP($A24,battle_data!$A:$G,MATCH(INDEX(_xlfn.TEXTSPLIT(AD$3,"|"),1),battle_data!$A$1:$G$1),0)*0.001,"0%")</f>
        <v>33%</v>
      </c>
      <c r="AE24" s="5" t="str" cm="1">
        <f t="array" ref="AE24">TEXT(VLOOKUP($A24,battle_data!$A:$G,MATCH(INDEX(_xlfn.TEXTSPLIT(AE$3,"|"),1),battle_data!$A$1:$G$1),0)*0.001,"0%")</f>
        <v>102%</v>
      </c>
      <c r="AF24" s="5">
        <f t="shared" si="0"/>
        <v>36</v>
      </c>
      <c r="AG24" s="5">
        <f t="shared" si="5"/>
        <v>1.0065999999999999</v>
      </c>
      <c r="AH24" s="5">
        <f t="shared" si="1"/>
        <v>36.2376</v>
      </c>
      <c r="AI24" s="60" t="s">
        <v>493</v>
      </c>
      <c r="AJ24" s="5" cm="1">
        <f t="array" ref="AJ24">IF($A24="","",_xlfn.SWITCH($AI24,
"Melee_Charge",$AH24/$Z24/$W24,
"Special_Car_Bomb",$AH24*$W24,
""
))</f>
        <v>724.75199999999995</v>
      </c>
      <c r="AK24" s="65">
        <f>(1/X24+1/Z24)/120</f>
        <v>20.555555555555557</v>
      </c>
      <c r="AL24" s="66" t="s">
        <v>595</v>
      </c>
      <c r="AM24" s="65">
        <f>AJ24/AK24</f>
        <v>35.258205405405398</v>
      </c>
      <c r="AN24" s="66">
        <v>2.2000000000000002</v>
      </c>
      <c r="AO24" s="65" cm="1">
        <f t="array" ref="AO24">_xlfn.LAMBDA(_xlpm._dps,_xlpm._info_cell,_xlpm._muldps,ROUND(IF(_xlpm._dps&lt;=0,-10,LOG(_xlpm._dps*IF(_xlpm._muldps,_xlpm._muldps,1)/INDEX(_xlfn.TEXTSPLIT(_xlpm._info_cell,"="),2),1.5)),2))($AM24,AO$3,$AN24)</f>
        <v>2.1800000000000002</v>
      </c>
      <c r="AP24" s="66">
        <v>2</v>
      </c>
      <c r="AQ24" s="66">
        <v>2</v>
      </c>
      <c r="AR24" s="98" cm="1">
        <f t="array" ref="AR24">_xlfn.LAMBDA(_xlpm._lv,_xlpm._rank,_xlpm._base,_xlpm._lv+INDEX(_xlfn.TEXTSPLIT(_xlpm._base,"="),2)^(_xlpm._rank-2)-1)(AP24,AQ24,AR$3)</f>
        <v>2</v>
      </c>
      <c r="AS24" s="66"/>
      <c r="AT24" s="66"/>
      <c r="AU24" s="100">
        <f>AR24*2-AO24-AS24</f>
        <v>1.8199999999999998</v>
      </c>
    </row>
    <row r="25" spans="1:47" x14ac:dyDescent="0.2">
      <c r="A25" s="4">
        <v>13318013</v>
      </c>
      <c r="B25" s="5" t="s">
        <v>486</v>
      </c>
      <c r="C25" s="5" t="s">
        <v>443</v>
      </c>
      <c r="D25" s="79" t="s">
        <v>557</v>
      </c>
      <c r="E25" s="5" t="s">
        <v>478</v>
      </c>
      <c r="F25" s="4">
        <v>0</v>
      </c>
      <c r="G25" s="14">
        <v>0</v>
      </c>
      <c r="H25" s="14">
        <v>0</v>
      </c>
      <c r="J25" s="4" t="str" cm="1">
        <f t="array" ref="J25">_xlfn.TEXTJOIN(";",1,IFERROR(1/K25:L25,""))</f>
        <v>0.00208333333333333;0.00833333333333333</v>
      </c>
      <c r="K25" s="34">
        <v>480</v>
      </c>
      <c r="L25" s="34">
        <v>120</v>
      </c>
      <c r="M25" s="4" t="str" cm="1">
        <f t="array" aca="1" ref="M25" ca="1">_xlfn.TEXTJOIN(";",1,_xlfn.LAMBDA(_xlpm.x,IF(_xlpm.x&lt;&gt;"",OFFSET(_xlpm.x,3-ROW(),0)&amp;"="&amp;_xlpm.x,""))(N25:S25))</f>
        <v>blunt=16;fire=16;flash=16</v>
      </c>
      <c r="N25" s="22"/>
      <c r="O25" s="18">
        <v>16</v>
      </c>
      <c r="P25" s="18">
        <v>16</v>
      </c>
      <c r="Q25" s="22"/>
      <c r="R25" s="22"/>
      <c r="S25" s="18">
        <v>16</v>
      </c>
      <c r="T25" s="4">
        <v>0</v>
      </c>
      <c r="U25" s="84" t="str" cm="1">
        <f t="array" ref="U25">_xlfn.LET(_xlpm._prms,_xlfn._xlws.FILTER(tb_prms[prm],tb_prms[Type]=$V25),
_xlpm._pv_pair,_xlfn.MAP(_xlpm._prms,_xlfn.TAKE(TRANSPOSE(W25:AB25),ROWS(_xlpm._prms)),_xlfn.LAMBDA(_xlpm._p,_xlpm._v,_xlpm._p&amp;"="&amp;_xlpm._v)),
IFERROR(_xlfn.TEXTJOIN(";",0,_xlpm._pv_pair),""))</f>
        <v>atk_gap=40;charge_rate=0.0007;charge_level=3;consume_rate=0.001</v>
      </c>
      <c r="V25" s="60" t="s">
        <v>493</v>
      </c>
      <c r="W25" s="60">
        <v>40</v>
      </c>
      <c r="X25" s="60">
        <v>6.9999999999999999E-4</v>
      </c>
      <c r="Y25" s="60">
        <v>3</v>
      </c>
      <c r="Z25" s="60">
        <v>1E-3</v>
      </c>
      <c r="AA25" s="60" t="s">
        <v>515</v>
      </c>
      <c r="AB25" s="60" t="s">
        <v>515</v>
      </c>
      <c r="AC25" s="5" t="str" cm="1">
        <f t="array" ref="AC25">TEXT(VLOOKUP($A25,battle_data!$A:$G,MATCH(INDEX(_xlfn.TEXTSPLIT(AC$3,"|"),1),battle_data!$A$1:$G$1),0)*0.001,"0%")</f>
        <v>33%</v>
      </c>
      <c r="AD25" s="5" t="str" cm="1">
        <f t="array" ref="AD25">TEXT(VLOOKUP($A25,battle_data!$A:$G,MATCH(INDEX(_xlfn.TEXTSPLIT(AD$3,"|"),1),battle_data!$A$1:$G$1),0)*0.001,"0%")</f>
        <v>33%</v>
      </c>
      <c r="AE25" s="5" t="str" cm="1">
        <f t="array" ref="AE25">TEXT(VLOOKUP($A25,battle_data!$A:$G,MATCH(INDEX(_xlfn.TEXTSPLIT(AE$3,"|"),1),battle_data!$A$1:$G$1),0)*0.001,"0%")</f>
        <v>102%</v>
      </c>
      <c r="AF25" s="5">
        <f t="shared" si="0"/>
        <v>48</v>
      </c>
      <c r="AG25" s="5">
        <f t="shared" si="5"/>
        <v>1.0065999999999999</v>
      </c>
      <c r="AH25" s="5">
        <f t="shared" si="1"/>
        <v>48.316800000000001</v>
      </c>
      <c r="AI25" s="60" t="s">
        <v>493</v>
      </c>
      <c r="AJ25" s="5" cm="1">
        <f t="array" ref="AJ25">IF($A25="","",_xlfn.SWITCH($AI25,
"Melee_Charge",$AH25/$Z25/$W25,
"Special_Car_Bomb",$AH25*$W25,
""
))</f>
        <v>1207.92</v>
      </c>
      <c r="AK25" s="65">
        <f t="shared" ref="AK25:AK26" si="11">(1/X25+1/Z25)/120</f>
        <v>20.238095238095237</v>
      </c>
      <c r="AL25" s="66" t="s">
        <v>595</v>
      </c>
      <c r="AM25" s="65">
        <f t="shared" ref="AM25:AM26" si="12">AJ25/AK25</f>
        <v>59.685458823529416</v>
      </c>
      <c r="AN25" s="66">
        <v>2</v>
      </c>
      <c r="AO25" s="65" cm="1">
        <f t="array" ref="AO25">_xlfn.LAMBDA(_xlpm._dps,_xlpm._info_cell,_xlpm._muldps,ROUND(IF(_xlpm._dps&lt;=0,-10,LOG(_xlpm._dps*IF(_xlpm._muldps,_xlpm._muldps,1)/INDEX(_xlfn.TEXTSPLIT(_xlpm._info_cell,"="),2),1.5)),2))($AM25,AO$3,$AN25)</f>
        <v>3.25</v>
      </c>
      <c r="AP25" s="66">
        <v>3</v>
      </c>
      <c r="AQ25" s="66">
        <v>2</v>
      </c>
      <c r="AR25" s="98" cm="1">
        <f t="array" ref="AR25">_xlfn.LAMBDA(_xlpm._lv,_xlpm._rank,_xlpm._base,_xlpm._lv+INDEX(_xlfn.TEXTSPLIT(_xlpm._base,"="),2)^(_xlpm._rank-2)-1)(AP25,AQ25,AR$3)</f>
        <v>3</v>
      </c>
      <c r="AS25" s="66"/>
      <c r="AT25" s="66"/>
      <c r="AU25" s="100">
        <f>AR25*2-AO25-AS25</f>
        <v>2.75</v>
      </c>
    </row>
    <row r="26" spans="1:47" x14ac:dyDescent="0.2">
      <c r="A26" s="4">
        <v>13318014</v>
      </c>
      <c r="B26" s="5" t="s">
        <v>487</v>
      </c>
      <c r="C26" s="5" t="s">
        <v>443</v>
      </c>
      <c r="D26" s="79" t="s">
        <v>557</v>
      </c>
      <c r="E26" s="5" t="s">
        <v>478</v>
      </c>
      <c r="F26" s="4">
        <v>0</v>
      </c>
      <c r="G26" s="14">
        <v>0</v>
      </c>
      <c r="H26" s="14">
        <v>0</v>
      </c>
      <c r="J26" s="4" t="str" cm="1">
        <f t="array" ref="J26">_xlfn.TEXTJOIN(";",1,IFERROR(1/K26:L26,""))</f>
        <v>0.00208333333333333;0.00833333333333333</v>
      </c>
      <c r="K26" s="34">
        <v>480</v>
      </c>
      <c r="L26" s="34">
        <v>120</v>
      </c>
      <c r="M26" s="4" t="str" cm="1">
        <f t="array" aca="1" ref="M26" ca="1">_xlfn.TEXTJOIN(";",1,_xlfn.LAMBDA(_xlpm.x,IF(_xlpm.x&lt;&gt;"",OFFSET(_xlpm.x,3-ROW(),0)&amp;"="&amp;_xlpm.x,""))(N26:S26))</f>
        <v>blunt=22;fire=22;flash=22</v>
      </c>
      <c r="N26" s="22"/>
      <c r="O26" s="18">
        <v>22</v>
      </c>
      <c r="P26" s="18">
        <v>22</v>
      </c>
      <c r="Q26" s="22"/>
      <c r="R26" s="22"/>
      <c r="S26" s="18">
        <v>22</v>
      </c>
      <c r="T26" s="4">
        <v>0</v>
      </c>
      <c r="U26" s="84" t="str" cm="1">
        <f t="array" ref="U26">_xlfn.LET(_xlpm._prms,_xlfn._xlws.FILTER(tb_prms[prm],tb_prms[Type]=$V26),
_xlpm._pv_pair,_xlfn.MAP(_xlpm._prms,_xlfn.TAKE(TRANSPOSE(W26:AB26),ROWS(_xlpm._prms)),_xlfn.LAMBDA(_xlpm._p,_xlpm._v,_xlpm._p&amp;"="&amp;_xlpm._v)),
IFERROR(_xlfn.TEXTJOIN(";",0,_xlpm._pv_pair),""))</f>
        <v>atk_gap=40;charge_rate=0.0008;charge_level=3;consume_rate=0.0008</v>
      </c>
      <c r="V26" s="60" t="s">
        <v>493</v>
      </c>
      <c r="W26" s="60">
        <v>40</v>
      </c>
      <c r="X26" s="60">
        <v>8.0000000000000004E-4</v>
      </c>
      <c r="Y26" s="60">
        <v>3</v>
      </c>
      <c r="Z26" s="60">
        <v>8.0000000000000004E-4</v>
      </c>
      <c r="AA26" s="60" t="s">
        <v>515</v>
      </c>
      <c r="AB26" s="60" t="s">
        <v>515</v>
      </c>
      <c r="AC26" s="5" t="str" cm="1">
        <f t="array" ref="AC26">TEXT(VLOOKUP($A26,battle_data!$A:$G,MATCH(INDEX(_xlfn.TEXTSPLIT(AC$3,"|"),1),battle_data!$A$1:$G$1),0)*0.001,"0%")</f>
        <v>33%</v>
      </c>
      <c r="AD26" s="5" t="str" cm="1">
        <f t="array" ref="AD26">TEXT(VLOOKUP($A26,battle_data!$A:$G,MATCH(INDEX(_xlfn.TEXTSPLIT(AD$3,"|"),1),battle_data!$A$1:$G$1),0)*0.001,"0%")</f>
        <v>33%</v>
      </c>
      <c r="AE26" s="5" t="str" cm="1">
        <f t="array" ref="AE26">TEXT(VLOOKUP($A26,battle_data!$A:$G,MATCH(INDEX(_xlfn.TEXTSPLIT(AE$3,"|"),1),battle_data!$A$1:$G$1),0)*0.001,"0%")</f>
        <v>102%</v>
      </c>
      <c r="AF26" s="5">
        <f t="shared" si="0"/>
        <v>66</v>
      </c>
      <c r="AG26" s="5">
        <f t="shared" si="5"/>
        <v>1.0065999999999999</v>
      </c>
      <c r="AH26" s="5">
        <f t="shared" si="1"/>
        <v>66.435599999999994</v>
      </c>
      <c r="AI26" s="60" t="s">
        <v>493</v>
      </c>
      <c r="AJ26" s="5" cm="1">
        <f t="array" ref="AJ26">IF($A26="","",_xlfn.SWITCH($AI26,
"Melee_Charge",$AH26/$Z26/$W26,
"Special_Car_Bomb",$AH26*$W26,
""
))</f>
        <v>2076.1124999999997</v>
      </c>
      <c r="AK26" s="65">
        <f t="shared" si="11"/>
        <v>20.833333333333332</v>
      </c>
      <c r="AL26" s="66" t="s">
        <v>595</v>
      </c>
      <c r="AM26" s="65">
        <f t="shared" si="12"/>
        <v>99.653399999999991</v>
      </c>
      <c r="AN26" s="66">
        <v>1.8</v>
      </c>
      <c r="AO26" s="65" cm="1">
        <f t="array" ref="AO26">_xlfn.LAMBDA(_xlpm._dps,_xlpm._info_cell,_xlpm._muldps,ROUND(IF(_xlpm._dps&lt;=0,-10,LOG(_xlpm._dps*IF(_xlpm._muldps,_xlpm._muldps,1)/INDEX(_xlfn.TEXTSPLIT(_xlpm._info_cell,"="),2),1.5)),2))($AM26,AO$3,$AN26)</f>
        <v>4.25</v>
      </c>
      <c r="AP26" s="66">
        <v>4</v>
      </c>
      <c r="AQ26" s="66">
        <v>2</v>
      </c>
      <c r="AR26" s="98" cm="1">
        <f t="array" ref="AR26">_xlfn.LAMBDA(_xlpm._lv,_xlpm._rank,_xlpm._base,_xlpm._lv+INDEX(_xlfn.TEXTSPLIT(_xlpm._base,"="),2)^(_xlpm._rank-2)-1)(AP26,AQ26,AR$3)</f>
        <v>4</v>
      </c>
      <c r="AS26" s="66"/>
      <c r="AT26" s="66"/>
      <c r="AU26" s="100">
        <f>AR26*2-AO26-AS26</f>
        <v>3.75</v>
      </c>
    </row>
    <row r="27" spans="1:47" x14ac:dyDescent="0.2">
      <c r="H27" s="5"/>
      <c r="K27" s="5"/>
      <c r="L27" s="5"/>
      <c r="U27" s="5"/>
    </row>
    <row r="28" spans="1:47" x14ac:dyDescent="0.2">
      <c r="H28" s="5"/>
      <c r="J28" s="5"/>
      <c r="K28" s="5"/>
      <c r="L28" s="5"/>
      <c r="U28" s="5"/>
    </row>
    <row r="29" spans="1:47" x14ac:dyDescent="0.2">
      <c r="H29" s="5"/>
      <c r="J29" s="5"/>
      <c r="K29" s="5"/>
      <c r="L29" s="5"/>
      <c r="U29" s="5"/>
    </row>
  </sheetData>
  <phoneticPr fontId="21" type="noConversion"/>
  <conditionalFormatting sqref="AE3 AE14 AE16 AE28:AE10008">
    <cfRule type="expression" dxfId="0" priority="2">
      <formula>AND(XEF3&lt;&gt;"",AE3&lt;1000)</formula>
    </cfRule>
  </conditionalFormatting>
  <conditionalFormatting sqref="AJ1:AJ1048576">
    <cfRule type="dataBar" priority="1">
      <dataBar>
        <cfvo type="num" val="0"/>
        <cfvo type="num" val="2000"/>
        <color rgb="FFD6007B"/>
      </dataBar>
      <extLst>
        <ext xmlns:x14="http://schemas.microsoft.com/office/spreadsheetml/2009/9/main" uri="{B025F937-C7B1-47D3-B67F-A62EFF666E3E}">
          <x14:id>{3CE1525F-86E4-4626-870F-435963748C56}</x14:id>
        </ext>
      </extLst>
    </cfRule>
  </conditionalFormatting>
  <pageMargins left="0.75" right="0.75" top="1" bottom="1" header="0.5" footer="0.5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E1525F-86E4-4626-870F-435963748C56}">
            <x14:dataBar minLength="0" maxLength="100" gradient="0">
              <x14:cfvo type="num">
                <xm:f>0</xm:f>
              </x14:cfvo>
              <x14:cfvo type="num">
                <xm:f>2000</xm:f>
              </x14:cfvo>
              <x14:negativeFillColor rgb="FFFF0000"/>
              <x14:axisColor rgb="FF000000"/>
            </x14:dataBar>
          </x14:cfRule>
          <xm:sqref>AJ1:AJ1048576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16A88-F413-49FA-A2C8-077A2F867093}">
  <sheetPr>
    <tabColor rgb="FF7030A0"/>
  </sheetPr>
  <dimension ref="A1:C17"/>
  <sheetViews>
    <sheetView workbookViewId="0">
      <selection activeCell="H10" sqref="H10"/>
    </sheetView>
  </sheetViews>
  <sheetFormatPr defaultRowHeight="14.25" x14ac:dyDescent="0.2"/>
  <cols>
    <col min="1" max="1" width="20.5" style="82" bestFit="1" customWidth="1"/>
    <col min="2" max="2" width="15.75" style="82" customWidth="1"/>
    <col min="3" max="3" width="18.75" style="82" customWidth="1"/>
    <col min="4" max="16384" width="9" style="82"/>
  </cols>
  <sheetData>
    <row r="1" spans="1:3" x14ac:dyDescent="0.2">
      <c r="A1" s="83" t="s">
        <v>494</v>
      </c>
      <c r="B1" s="83" t="s">
        <v>500</v>
      </c>
      <c r="C1" s="83" t="s">
        <v>495</v>
      </c>
    </row>
    <row r="2" spans="1:3" x14ac:dyDescent="0.2">
      <c r="A2" s="83" t="s">
        <v>493</v>
      </c>
      <c r="B2" s="83" t="s">
        <v>496</v>
      </c>
      <c r="C2" s="83" t="s">
        <v>501</v>
      </c>
    </row>
    <row r="3" spans="1:3" x14ac:dyDescent="0.2">
      <c r="A3" s="83" t="s">
        <v>493</v>
      </c>
      <c r="B3" s="83" t="s">
        <v>497</v>
      </c>
      <c r="C3" s="83" t="s">
        <v>502</v>
      </c>
    </row>
    <row r="4" spans="1:3" x14ac:dyDescent="0.2">
      <c r="A4" s="83" t="s">
        <v>493</v>
      </c>
      <c r="B4" s="83" t="s">
        <v>498</v>
      </c>
      <c r="C4" s="83" t="s">
        <v>503</v>
      </c>
    </row>
    <row r="5" spans="1:3" x14ac:dyDescent="0.2">
      <c r="A5" s="83" t="s">
        <v>493</v>
      </c>
      <c r="B5" s="83" t="s">
        <v>499</v>
      </c>
      <c r="C5" s="83" t="s">
        <v>504</v>
      </c>
    </row>
    <row r="6" spans="1:3" x14ac:dyDescent="0.2">
      <c r="A6" s="83" t="s">
        <v>559</v>
      </c>
      <c r="B6" s="83" t="s">
        <v>496</v>
      </c>
      <c r="C6" s="83" t="s">
        <v>501</v>
      </c>
    </row>
    <row r="7" spans="1:3" x14ac:dyDescent="0.2">
      <c r="A7" s="83" t="s">
        <v>559</v>
      </c>
      <c r="B7" s="83" t="s">
        <v>497</v>
      </c>
      <c r="C7" s="83" t="s">
        <v>502</v>
      </c>
    </row>
    <row r="8" spans="1:3" x14ac:dyDescent="0.2">
      <c r="A8" s="83" t="s">
        <v>559</v>
      </c>
      <c r="B8" s="83" t="s">
        <v>498</v>
      </c>
      <c r="C8" s="83" t="s">
        <v>503</v>
      </c>
    </row>
    <row r="9" spans="1:3" x14ac:dyDescent="0.2">
      <c r="A9" s="83" t="s">
        <v>559</v>
      </c>
      <c r="B9" s="83" t="s">
        <v>499</v>
      </c>
      <c r="C9" s="83" t="s">
        <v>504</v>
      </c>
    </row>
    <row r="10" spans="1:3" x14ac:dyDescent="0.2">
      <c r="A10" s="83" t="s">
        <v>559</v>
      </c>
      <c r="B10" s="83" t="s">
        <v>562</v>
      </c>
      <c r="C10" s="83" t="s">
        <v>564</v>
      </c>
    </row>
    <row r="11" spans="1:3" x14ac:dyDescent="0.2">
      <c r="A11" s="83" t="s">
        <v>559</v>
      </c>
      <c r="B11" s="83" t="s">
        <v>563</v>
      </c>
      <c r="C11" s="83" t="s">
        <v>565</v>
      </c>
    </row>
    <row r="12" spans="1:3" x14ac:dyDescent="0.2">
      <c r="A12" s="83" t="s">
        <v>579</v>
      </c>
      <c r="B12" s="83" t="s">
        <v>581</v>
      </c>
      <c r="C12" s="83" t="s">
        <v>587</v>
      </c>
    </row>
    <row r="13" spans="1:3" x14ac:dyDescent="0.2">
      <c r="A13" s="83" t="s">
        <v>579</v>
      </c>
      <c r="B13" s="83" t="s">
        <v>582</v>
      </c>
      <c r="C13" s="83" t="s">
        <v>583</v>
      </c>
    </row>
    <row r="14" spans="1:3" x14ac:dyDescent="0.2">
      <c r="A14" s="83" t="s">
        <v>579</v>
      </c>
      <c r="B14" s="83" t="s">
        <v>584</v>
      </c>
      <c r="C14" s="83" t="s">
        <v>585</v>
      </c>
    </row>
    <row r="15" spans="1:3" x14ac:dyDescent="0.2">
      <c r="A15" s="83" t="s">
        <v>579</v>
      </c>
      <c r="B15" s="83" t="s">
        <v>586</v>
      </c>
      <c r="C15" s="83" t="s">
        <v>588</v>
      </c>
    </row>
    <row r="16" spans="1:3" x14ac:dyDescent="0.2">
      <c r="A16" s="83"/>
      <c r="B16" s="83"/>
      <c r="C16" s="83"/>
    </row>
    <row r="17" spans="1:3" x14ac:dyDescent="0.2">
      <c r="A17" s="83"/>
      <c r="B17" s="83"/>
      <c r="C17" s="83"/>
    </row>
  </sheetData>
  <phoneticPr fontId="2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1"/>
  <sheetViews>
    <sheetView workbookViewId="0">
      <pane xSplit="3" ySplit="3" topLeftCell="D4" activePane="bottomRight" state="frozen"/>
      <selection pane="topRight"/>
      <selection pane="bottomLeft"/>
      <selection pane="bottomRight" activeCell="B13" sqref="B13"/>
    </sheetView>
  </sheetViews>
  <sheetFormatPr defaultColWidth="9.125" defaultRowHeight="14.25" x14ac:dyDescent="0.2"/>
  <cols>
    <col min="1" max="1" width="12.5" style="4" customWidth="1"/>
    <col min="2" max="2" width="11.5" style="5" customWidth="1"/>
    <col min="3" max="3" width="13.625" style="5" customWidth="1"/>
    <col min="4" max="4" width="17.375" style="4" customWidth="1"/>
    <col min="5" max="5" width="9" style="4" customWidth="1"/>
    <col min="6" max="6" width="6.625" style="5" customWidth="1"/>
    <col min="7" max="7" width="11.375" style="4" customWidth="1"/>
    <col min="8" max="8" width="14.25" style="4" customWidth="1"/>
    <col min="9" max="9" width="18.625" style="4" customWidth="1"/>
    <col min="10" max="11" width="8.375" style="5" customWidth="1"/>
    <col min="12" max="12" width="12.25" style="4" customWidth="1"/>
    <col min="13" max="13" width="14.5" style="4" customWidth="1"/>
    <col min="14" max="14" width="13.5" style="4" customWidth="1"/>
    <col min="15" max="16" width="8.375" style="5" customWidth="1"/>
    <col min="17" max="17" width="16.875" style="4" customWidth="1"/>
    <col min="18" max="18" width="22.625" style="4" customWidth="1"/>
    <col min="19" max="16384" width="9.125" style="4"/>
  </cols>
  <sheetData>
    <row r="1" spans="1:18" s="1" customFormat="1" x14ac:dyDescent="0.2">
      <c r="A1" s="1" t="s">
        <v>0</v>
      </c>
      <c r="B1" s="6"/>
      <c r="C1" s="6"/>
      <c r="D1" s="1" t="s">
        <v>266</v>
      </c>
      <c r="E1" s="1" t="s">
        <v>1</v>
      </c>
      <c r="F1" s="6"/>
      <c r="G1" s="1" t="s">
        <v>267</v>
      </c>
      <c r="H1" s="1" t="s">
        <v>16</v>
      </c>
      <c r="I1" s="1" t="s">
        <v>17</v>
      </c>
      <c r="J1" s="6"/>
      <c r="K1" s="6"/>
      <c r="L1" s="1" t="s">
        <v>19</v>
      </c>
      <c r="M1" s="1" t="s">
        <v>268</v>
      </c>
      <c r="N1" s="1" t="s">
        <v>269</v>
      </c>
      <c r="O1" s="6"/>
      <c r="P1" s="6"/>
      <c r="Q1" s="1" t="s">
        <v>270</v>
      </c>
      <c r="R1" s="1" t="s">
        <v>271</v>
      </c>
    </row>
    <row r="2" spans="1:18" s="2" customFormat="1" x14ac:dyDescent="0.2">
      <c r="A2" s="2" t="s">
        <v>20</v>
      </c>
      <c r="B2" s="6"/>
      <c r="C2" s="6"/>
      <c r="D2" s="2" t="s">
        <v>26</v>
      </c>
      <c r="E2" s="2" t="s">
        <v>21</v>
      </c>
      <c r="F2" s="6"/>
      <c r="G2" s="2" t="s">
        <v>23</v>
      </c>
      <c r="H2" s="2" t="s">
        <v>23</v>
      </c>
      <c r="I2" s="2" t="s">
        <v>29</v>
      </c>
      <c r="J2" s="6"/>
      <c r="K2" s="6"/>
      <c r="L2" s="2" t="s">
        <v>23</v>
      </c>
      <c r="M2" s="2" t="s">
        <v>23</v>
      </c>
      <c r="N2" s="2" t="s">
        <v>27</v>
      </c>
      <c r="O2" s="6"/>
      <c r="P2" s="6"/>
      <c r="Q2" s="2" t="s">
        <v>21</v>
      </c>
      <c r="R2" s="2" t="s">
        <v>23</v>
      </c>
    </row>
    <row r="3" spans="1:18" s="3" customFormat="1" ht="42.75" x14ac:dyDescent="0.2">
      <c r="A3" s="7" t="s">
        <v>272</v>
      </c>
      <c r="B3" s="8" t="s">
        <v>31</v>
      </c>
      <c r="C3" s="8" t="s">
        <v>32</v>
      </c>
      <c r="D3" s="9" t="s">
        <v>273</v>
      </c>
      <c r="E3" s="9" t="s">
        <v>33</v>
      </c>
      <c r="F3" s="8" t="s">
        <v>34</v>
      </c>
      <c r="G3" s="9" t="s">
        <v>274</v>
      </c>
      <c r="H3" s="9" t="s">
        <v>61</v>
      </c>
      <c r="I3" s="7" t="s">
        <v>62</v>
      </c>
      <c r="J3" s="8" t="s">
        <v>67</v>
      </c>
      <c r="K3" s="8" t="s">
        <v>68</v>
      </c>
      <c r="L3" s="7" t="s">
        <v>69</v>
      </c>
      <c r="M3" s="11" t="s">
        <v>275</v>
      </c>
      <c r="N3" s="12" t="s">
        <v>276</v>
      </c>
      <c r="O3" s="8" t="s">
        <v>277</v>
      </c>
      <c r="P3" s="13" t="s">
        <v>278</v>
      </c>
      <c r="Q3" s="11" t="s">
        <v>279</v>
      </c>
      <c r="R3" s="11" t="s">
        <v>280</v>
      </c>
    </row>
    <row r="4" spans="1:18" x14ac:dyDescent="0.2">
      <c r="A4" s="4">
        <v>1340101</v>
      </c>
      <c r="B4" s="5" t="s">
        <v>281</v>
      </c>
      <c r="C4" s="5" t="s">
        <v>282</v>
      </c>
      <c r="D4" s="4" t="s">
        <v>283</v>
      </c>
      <c r="E4" s="4">
        <v>200</v>
      </c>
      <c r="F4" s="5" t="str">
        <f t="shared" ref="F4:F11" si="0">TEXT(E4/120,"0.00")&amp;" s"</f>
        <v>1.67 s</v>
      </c>
      <c r="G4" s="4">
        <v>1.75</v>
      </c>
      <c r="H4" s="4">
        <v>50</v>
      </c>
      <c r="I4" s="4" t="s">
        <v>284</v>
      </c>
      <c r="J4" s="5" t="e">
        <f>$I4*30/#REF!</f>
        <v>#VALUE!</v>
      </c>
      <c r="K4" s="5" t="e">
        <f>$I4*120/($E4+4*#REF!)</f>
        <v>#VALUE!</v>
      </c>
      <c r="L4" s="4">
        <v>15</v>
      </c>
      <c r="M4" s="4">
        <v>100</v>
      </c>
      <c r="N4" s="4" t="str" cm="1">
        <f t="array" ref="N4">_xlfn.TEXTJOIN("~",1,O4:P4/120)</f>
        <v>0.166666666666667~0.0166666666666667</v>
      </c>
      <c r="O4" s="5">
        <v>20</v>
      </c>
      <c r="P4" s="5">
        <v>2</v>
      </c>
      <c r="Q4" s="4">
        <v>240</v>
      </c>
      <c r="R4" s="4">
        <v>15</v>
      </c>
    </row>
    <row r="5" spans="1:18" x14ac:dyDescent="0.2">
      <c r="A5" s="10">
        <v>1340102</v>
      </c>
      <c r="B5" s="5" t="s">
        <v>285</v>
      </c>
      <c r="C5" s="5" t="s">
        <v>282</v>
      </c>
      <c r="D5" s="4" t="s">
        <v>283</v>
      </c>
      <c r="E5" s="4">
        <v>150</v>
      </c>
      <c r="F5" s="5" t="str">
        <f t="shared" si="0"/>
        <v>1.25 s</v>
      </c>
      <c r="G5" s="4">
        <v>1.75</v>
      </c>
      <c r="H5" s="4">
        <v>40</v>
      </c>
      <c r="I5" s="4" t="s">
        <v>284</v>
      </c>
      <c r="J5" s="5" t="e">
        <f>$I5*30/#REF!</f>
        <v>#VALUE!</v>
      </c>
      <c r="K5" s="5" t="e">
        <f>$I5*120/($E5+4*#REF!)</f>
        <v>#VALUE!</v>
      </c>
      <c r="L5" s="4">
        <v>15</v>
      </c>
      <c r="M5" s="4">
        <v>100</v>
      </c>
      <c r="N5" s="4" t="str" cm="1">
        <f t="array" ref="N5">_xlfn.TEXTJOIN("~",1,O5:P5/120)</f>
        <v>0.166666666666667~0.0166666666666667</v>
      </c>
      <c r="O5" s="5">
        <v>20</v>
      </c>
      <c r="P5" s="5">
        <v>2</v>
      </c>
      <c r="Q5" s="4">
        <v>240</v>
      </c>
      <c r="R5" s="4">
        <v>5</v>
      </c>
    </row>
    <row r="6" spans="1:18" x14ac:dyDescent="0.2">
      <c r="A6" s="10">
        <v>1340103</v>
      </c>
      <c r="B6" s="5" t="s">
        <v>286</v>
      </c>
      <c r="C6" s="5" t="s">
        <v>282</v>
      </c>
      <c r="D6" s="4" t="s">
        <v>283</v>
      </c>
      <c r="E6" s="4">
        <v>150</v>
      </c>
      <c r="F6" s="5" t="str">
        <f t="shared" si="0"/>
        <v>1.25 s</v>
      </c>
      <c r="G6" s="4">
        <v>1.75</v>
      </c>
      <c r="H6" s="4">
        <v>40</v>
      </c>
      <c r="I6" s="4" t="s">
        <v>284</v>
      </c>
      <c r="J6" s="5" t="e">
        <f>$I6*30/#REF!</f>
        <v>#VALUE!</v>
      </c>
      <c r="K6" s="5" t="e">
        <f>$I6*120/($E6+4*#REF!)</f>
        <v>#VALUE!</v>
      </c>
      <c r="L6" s="4">
        <v>15</v>
      </c>
      <c r="M6" s="4">
        <v>100</v>
      </c>
      <c r="N6" s="4" t="str" cm="1">
        <f t="array" ref="N6">_xlfn.TEXTJOIN("~",1,O6:P6/120)</f>
        <v>0.166666666666667~0.0166666666666667</v>
      </c>
      <c r="O6" s="5">
        <v>20</v>
      </c>
      <c r="P6" s="5">
        <v>2</v>
      </c>
      <c r="Q6" s="4">
        <v>240</v>
      </c>
      <c r="R6" s="4">
        <v>5</v>
      </c>
    </row>
    <row r="7" spans="1:18" x14ac:dyDescent="0.2">
      <c r="A7" s="10">
        <v>1340104</v>
      </c>
      <c r="B7" s="5" t="s">
        <v>287</v>
      </c>
      <c r="C7" s="5" t="s">
        <v>282</v>
      </c>
      <c r="D7" s="4" t="s">
        <v>283</v>
      </c>
      <c r="E7" s="4">
        <v>150</v>
      </c>
      <c r="F7" s="5" t="str">
        <f t="shared" si="0"/>
        <v>1.25 s</v>
      </c>
      <c r="G7" s="4">
        <v>1.75</v>
      </c>
      <c r="H7" s="4">
        <v>40</v>
      </c>
      <c r="I7" s="4" t="s">
        <v>284</v>
      </c>
      <c r="J7" s="5" t="e">
        <f>$I7*30/#REF!</f>
        <v>#VALUE!</v>
      </c>
      <c r="K7" s="5" t="e">
        <f>$I7*120/($E7+4*#REF!)</f>
        <v>#VALUE!</v>
      </c>
      <c r="L7" s="4">
        <v>15</v>
      </c>
      <c r="M7" s="4">
        <v>100</v>
      </c>
      <c r="N7" s="4" t="str" cm="1">
        <f t="array" ref="N7">_xlfn.TEXTJOIN("~",1,O7:P7/120)</f>
        <v>0.166666666666667~0.0166666666666667</v>
      </c>
      <c r="O7" s="5">
        <v>20</v>
      </c>
      <c r="P7" s="5">
        <v>2</v>
      </c>
      <c r="Q7" s="4">
        <v>240</v>
      </c>
      <c r="R7" s="4">
        <v>5</v>
      </c>
    </row>
    <row r="8" spans="1:18" x14ac:dyDescent="0.2">
      <c r="A8" s="10">
        <v>1340105</v>
      </c>
      <c r="B8" s="5" t="s">
        <v>288</v>
      </c>
      <c r="C8" s="5" t="s">
        <v>282</v>
      </c>
      <c r="D8" s="4" t="s">
        <v>283</v>
      </c>
      <c r="E8" s="4">
        <v>150</v>
      </c>
      <c r="F8" s="5" t="str">
        <f t="shared" si="0"/>
        <v>1.25 s</v>
      </c>
      <c r="G8" s="4">
        <v>1.75</v>
      </c>
      <c r="H8" s="4">
        <v>40</v>
      </c>
      <c r="I8" s="4" t="s">
        <v>284</v>
      </c>
      <c r="J8" s="5" t="e">
        <f>$I8*30/#REF!</f>
        <v>#VALUE!</v>
      </c>
      <c r="K8" s="5" t="e">
        <f>$I8*120/($E8+4*#REF!)</f>
        <v>#VALUE!</v>
      </c>
      <c r="L8" s="4">
        <v>15</v>
      </c>
      <c r="M8" s="4">
        <v>100</v>
      </c>
      <c r="N8" s="4" t="str" cm="1">
        <f t="array" ref="N8">_xlfn.TEXTJOIN("~",1,O8:P8/120)</f>
        <v>0.166666666666667~0.0166666666666667</v>
      </c>
      <c r="O8" s="5">
        <v>20</v>
      </c>
      <c r="P8" s="5">
        <v>2</v>
      </c>
      <c r="Q8" s="4">
        <v>240</v>
      </c>
      <c r="R8" s="4">
        <v>5</v>
      </c>
    </row>
    <row r="9" spans="1:18" x14ac:dyDescent="0.2">
      <c r="A9" s="10">
        <v>1340106</v>
      </c>
      <c r="B9" s="5" t="s">
        <v>289</v>
      </c>
      <c r="C9" s="5" t="s">
        <v>282</v>
      </c>
      <c r="D9" s="4" t="s">
        <v>283</v>
      </c>
      <c r="E9" s="4">
        <v>150</v>
      </c>
      <c r="F9" s="5" t="str">
        <f t="shared" si="0"/>
        <v>1.25 s</v>
      </c>
      <c r="G9" s="4">
        <v>1.75</v>
      </c>
      <c r="H9" s="4">
        <v>40</v>
      </c>
      <c r="I9" s="4" t="s">
        <v>284</v>
      </c>
      <c r="J9" s="5" t="e">
        <f>$I9*30/#REF!</f>
        <v>#VALUE!</v>
      </c>
      <c r="K9" s="5" t="e">
        <f>$I9*120/($E9+4*#REF!)</f>
        <v>#VALUE!</v>
      </c>
      <c r="L9" s="4">
        <v>15</v>
      </c>
      <c r="M9" s="4">
        <v>100</v>
      </c>
      <c r="N9" s="4" t="str" cm="1">
        <f t="array" ref="N9">_xlfn.TEXTJOIN("~",1,O9:P9/120)</f>
        <v>0.166666666666667~0.0166666666666667</v>
      </c>
      <c r="O9" s="5">
        <v>20</v>
      </c>
      <c r="P9" s="5">
        <v>2</v>
      </c>
      <c r="Q9" s="4">
        <v>240</v>
      </c>
      <c r="R9" s="4">
        <v>5</v>
      </c>
    </row>
    <row r="10" spans="1:18" x14ac:dyDescent="0.2">
      <c r="A10" s="10">
        <v>1340107</v>
      </c>
      <c r="B10" s="5" t="s">
        <v>290</v>
      </c>
      <c r="C10" s="5" t="s">
        <v>282</v>
      </c>
      <c r="D10" s="4" t="s">
        <v>283</v>
      </c>
      <c r="E10" s="4">
        <v>150</v>
      </c>
      <c r="F10" s="5" t="str">
        <f t="shared" si="0"/>
        <v>1.25 s</v>
      </c>
      <c r="G10" s="4">
        <v>1.75</v>
      </c>
      <c r="H10" s="4">
        <v>40</v>
      </c>
      <c r="I10" s="4" t="s">
        <v>284</v>
      </c>
      <c r="J10" s="5" t="e">
        <f>$I10*30/#REF!</f>
        <v>#VALUE!</v>
      </c>
      <c r="K10" s="5" t="e">
        <f>$I10*120/($E10+4*#REF!)</f>
        <v>#VALUE!</v>
      </c>
      <c r="L10" s="4">
        <v>15</v>
      </c>
      <c r="M10" s="4">
        <v>100</v>
      </c>
      <c r="N10" s="4" t="str" cm="1">
        <f t="array" ref="N10">_xlfn.TEXTJOIN("~",1,O10:P10/120)</f>
        <v>0.166666666666667~0.0166666666666667</v>
      </c>
      <c r="O10" s="5">
        <v>20</v>
      </c>
      <c r="P10" s="5">
        <v>2</v>
      </c>
      <c r="Q10" s="4">
        <v>240</v>
      </c>
      <c r="R10" s="4">
        <v>5</v>
      </c>
    </row>
    <row r="11" spans="1:18" x14ac:dyDescent="0.2">
      <c r="A11" s="10">
        <v>1340108</v>
      </c>
      <c r="B11" s="5" t="s">
        <v>291</v>
      </c>
      <c r="C11" s="5" t="s">
        <v>282</v>
      </c>
      <c r="D11" s="4" t="s">
        <v>283</v>
      </c>
      <c r="E11" s="4">
        <v>150</v>
      </c>
      <c r="F11" s="5" t="str">
        <f t="shared" si="0"/>
        <v>1.25 s</v>
      </c>
      <c r="G11" s="4">
        <v>1.5</v>
      </c>
      <c r="H11" s="4">
        <v>40</v>
      </c>
      <c r="I11" s="4" t="s">
        <v>284</v>
      </c>
      <c r="J11" s="5" t="e">
        <f>$I11*30/#REF!</f>
        <v>#VALUE!</v>
      </c>
      <c r="K11" s="5" t="e">
        <f>$I11*120/($E11+4*#REF!)</f>
        <v>#VALUE!</v>
      </c>
      <c r="L11" s="4">
        <v>15</v>
      </c>
      <c r="M11" s="4">
        <v>100</v>
      </c>
      <c r="N11" s="4" t="str" cm="1">
        <f t="array" ref="N11">_xlfn.TEXTJOIN("~",1,O11:P11/120)</f>
        <v>0.166666666666667~0.0166666666666667</v>
      </c>
      <c r="O11" s="5">
        <v>20</v>
      </c>
      <c r="P11" s="5">
        <v>2</v>
      </c>
      <c r="Q11" s="4">
        <v>240</v>
      </c>
      <c r="R11" s="4">
        <v>5</v>
      </c>
    </row>
  </sheetData>
  <phoneticPr fontId="21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battle_data</vt:lpstr>
      <vt:lpstr>melee_logic</vt:lpstr>
      <vt:lpstr>fire_logic</vt:lpstr>
      <vt:lpstr>-飞射物</vt:lpstr>
      <vt:lpstr>hook_logic</vt:lpstr>
      <vt:lpstr>ram_logic</vt:lpstr>
      <vt:lpstr>other_logic</vt:lpstr>
      <vt:lpstr>-自定义参数</vt:lpstr>
      <vt:lpstr>shield_logic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Wenda Wang</cp:lastModifiedBy>
  <dcterms:created xsi:type="dcterms:W3CDTF">2015-06-05T18:19:00Z</dcterms:created>
  <dcterms:modified xsi:type="dcterms:W3CDTF">2026-01-08T07:28:00Z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3C74A27F2FB748ED9AFFF5EE5A04D3FA</vt:lpwstr>
  </property>
  <property fmtid="{D5CDD505-2E9C-101B-9397-08002B2CF9AE}" pid="3" name="KSOProductBuildVer">
    <vt:lpwstr>2052-12.1.0.22529</vt:lpwstr>
  </property>
</Properties>
</file>