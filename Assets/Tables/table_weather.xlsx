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C54FAAF9-8FFE-4120-93B4-BE2D5D85607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weather" sheetId="6" r:id="rId1"/>
    <sheet name="weather_group" sheetId="8" r:id="rId2"/>
    <sheet name="-id 配置说明" sheetId="7" r:id="rId3"/>
  </sheets>
  <definedNames>
    <definedName name="_richtext_i">_xlfn.LAMBDA(_xlpm.x,IF(_xlpm.x&lt;&gt;"","&lt;i&gt;"&amp;_xlpm.x&amp;"&lt;/i&gt;",""))</definedName>
    <definedName name="locate">_xlfn.LAMBDA(_xlpm.col_relative,_xlpm.rows,"RC["&amp;_xlpm.col_relative&amp;"]:R["&amp;_xlpm.rows-1&amp;"]C["&amp;_xlpm.col_relative&amp;"]")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8" l="1" a="1"/>
  <c r="AB14" i="8" s="1"/>
  <c r="AA14" i="8"/>
  <c r="K14" i="8" a="1"/>
  <c r="K14" i="8" s="1"/>
  <c r="J14" i="8" s="1" a="1"/>
  <c r="J14" i="8" s="1"/>
  <c r="G14" i="8"/>
  <c r="F14" i="8"/>
  <c r="C14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4" i="6"/>
  <c r="M6" i="6"/>
  <c r="G6" i="6"/>
  <c r="F6" i="6"/>
  <c r="AB50" i="8" a="1"/>
  <c r="AB50" i="8" s="1"/>
  <c r="AA50" i="8"/>
  <c r="K50" i="8" a="1"/>
  <c r="K50" i="8" s="1"/>
  <c r="J50" i="8" s="1" a="1"/>
  <c r="J50" i="8" s="1"/>
  <c r="I50" i="8"/>
  <c r="G50" i="8"/>
  <c r="F50" i="8"/>
  <c r="C50" i="8"/>
  <c r="AB49" i="8" a="1"/>
  <c r="AB49" i="8" s="1"/>
  <c r="AA49" i="8"/>
  <c r="C49" i="8"/>
  <c r="AB48" i="8" a="1"/>
  <c r="AB48" i="8" s="1"/>
  <c r="AA48" i="8"/>
  <c r="K48" i="8" a="1"/>
  <c r="K48" i="8" s="1"/>
  <c r="J48" i="8" s="1" a="1"/>
  <c r="J48" i="8" s="1"/>
  <c r="I48" i="8"/>
  <c r="G48" i="8" s="1"/>
  <c r="F48" i="8"/>
  <c r="C48" i="8"/>
  <c r="AB47" i="8" a="1"/>
  <c r="AB47" i="8" s="1"/>
  <c r="AA47" i="8"/>
  <c r="K47" i="8" a="1"/>
  <c r="K47" i="8" s="1"/>
  <c r="J47" i="8" s="1" a="1"/>
  <c r="J47" i="8" s="1"/>
  <c r="I47" i="8"/>
  <c r="G47" i="8"/>
  <c r="F47" i="8"/>
  <c r="C47" i="8"/>
  <c r="AB46" i="8" a="1"/>
  <c r="AB46" i="8" s="1"/>
  <c r="AA46" i="8"/>
  <c r="C46" i="8"/>
  <c r="AB45" i="8" a="1"/>
  <c r="AB45" i="8" s="1"/>
  <c r="AA45" i="8"/>
  <c r="K45" i="8" a="1"/>
  <c r="K45" i="8" s="1"/>
  <c r="I45" i="8"/>
  <c r="G45" i="8" s="1"/>
  <c r="F45" i="8"/>
  <c r="C45" i="8"/>
  <c r="AB44" i="8" a="1"/>
  <c r="AB44" i="8" s="1"/>
  <c r="AA44" i="8"/>
  <c r="K44" i="8" a="1"/>
  <c r="K44" i="8" s="1"/>
  <c r="J44" i="8" s="1" a="1"/>
  <c r="J44" i="8" s="1"/>
  <c r="I44" i="8"/>
  <c r="G44" i="8" s="1"/>
  <c r="F44" i="8"/>
  <c r="C44" i="8"/>
  <c r="AB43" i="8" a="1"/>
  <c r="AB43" i="8" s="1"/>
  <c r="AA43" i="8"/>
  <c r="K43" i="8" a="1"/>
  <c r="K43" i="8" s="1"/>
  <c r="J43" i="8" s="1" a="1"/>
  <c r="J43" i="8" s="1"/>
  <c r="I43" i="8"/>
  <c r="G43" i="8" s="1"/>
  <c r="F43" i="8"/>
  <c r="C43" i="8"/>
  <c r="AB42" i="8" a="1"/>
  <c r="AB42" i="8" s="1"/>
  <c r="AA42" i="8"/>
  <c r="C42" i="8"/>
  <c r="AB41" i="8" a="1"/>
  <c r="AB41" i="8" s="1"/>
  <c r="AA41" i="8"/>
  <c r="K41" i="8" a="1"/>
  <c r="K41" i="8" s="1"/>
  <c r="I41" i="8"/>
  <c r="G41" i="8" s="1"/>
  <c r="F41" i="8"/>
  <c r="C41" i="8"/>
  <c r="AB40" i="8" a="1"/>
  <c r="AB40" i="8" s="1"/>
  <c r="AA40" i="8"/>
  <c r="K40" i="8" a="1"/>
  <c r="K40" i="8" s="1"/>
  <c r="I40" i="8"/>
  <c r="G40" i="8" s="1"/>
  <c r="F40" i="8"/>
  <c r="C40" i="8"/>
  <c r="AB39" i="8" a="1"/>
  <c r="AB39" i="8" s="1"/>
  <c r="AA39" i="8"/>
  <c r="K39" i="8" a="1"/>
  <c r="K39" i="8" s="1"/>
  <c r="J39" i="8" s="1" a="1"/>
  <c r="J39" i="8" s="1"/>
  <c r="I39" i="8"/>
  <c r="G39" i="8" s="1"/>
  <c r="F39" i="8"/>
  <c r="C39" i="8"/>
  <c r="AB38" i="8" a="1"/>
  <c r="AB38" i="8" s="1"/>
  <c r="AA38" i="8"/>
  <c r="K38" i="8" a="1"/>
  <c r="K38" i="8" s="1"/>
  <c r="J38" i="8" s="1" a="1"/>
  <c r="J38" i="8" s="1"/>
  <c r="I38" i="8"/>
  <c r="G38" i="8" s="1"/>
  <c r="F38" i="8"/>
  <c r="C38" i="8"/>
  <c r="AB37" i="8" a="1"/>
  <c r="AB37" i="8" s="1"/>
  <c r="AA37" i="8"/>
  <c r="C37" i="8"/>
  <c r="AB36" i="8" a="1"/>
  <c r="AB36" i="8" s="1"/>
  <c r="AA36" i="8"/>
  <c r="K36" i="8" a="1"/>
  <c r="K36" i="8" s="1"/>
  <c r="I36" i="8"/>
  <c r="G36" i="8" s="1"/>
  <c r="F36" i="8"/>
  <c r="C36" i="8"/>
  <c r="AB35" i="8" a="1"/>
  <c r="AB35" i="8" s="1"/>
  <c r="AA35" i="8"/>
  <c r="K35" i="8" a="1"/>
  <c r="K35" i="8" s="1"/>
  <c r="I35" i="8"/>
  <c r="G35" i="8" s="1"/>
  <c r="F35" i="8"/>
  <c r="C35" i="8"/>
  <c r="AB34" i="8" a="1"/>
  <c r="AB34" i="8" s="1"/>
  <c r="AA34" i="8"/>
  <c r="K34" i="8" a="1"/>
  <c r="K34" i="8" s="1"/>
  <c r="I34" i="8"/>
  <c r="G34" i="8" s="1"/>
  <c r="F34" i="8"/>
  <c r="C34" i="8"/>
  <c r="AB33" i="8" a="1"/>
  <c r="AB33" i="8" s="1"/>
  <c r="AA33" i="8"/>
  <c r="K33" i="8" a="1"/>
  <c r="K33" i="8" s="1"/>
  <c r="J33" i="8" s="1" a="1"/>
  <c r="J33" i="8" s="1"/>
  <c r="I33" i="8"/>
  <c r="G33" i="8" s="1"/>
  <c r="F33" i="8"/>
  <c r="C33" i="8"/>
  <c r="AB32" i="8" a="1"/>
  <c r="AB32" i="8" s="1"/>
  <c r="AA32" i="8"/>
  <c r="K32" i="8" a="1"/>
  <c r="K32" i="8" s="1"/>
  <c r="J32" i="8" s="1" a="1"/>
  <c r="J32" i="8" s="1"/>
  <c r="I32" i="8"/>
  <c r="G32" i="8" s="1"/>
  <c r="F32" i="8"/>
  <c r="C32" i="8"/>
  <c r="AB31" i="8" a="1"/>
  <c r="AB31" i="8" s="1"/>
  <c r="AA31" i="8"/>
  <c r="C31" i="8"/>
  <c r="AB30" i="8" a="1"/>
  <c r="AB30" i="8" s="1"/>
  <c r="AA30" i="8"/>
  <c r="K30" i="8" a="1"/>
  <c r="K30" i="8" s="1"/>
  <c r="I30" i="8"/>
  <c r="G30" i="8" s="1"/>
  <c r="F30" i="8"/>
  <c r="C30" i="8"/>
  <c r="AB29" i="8" a="1"/>
  <c r="AB29" i="8" s="1"/>
  <c r="AA29" i="8"/>
  <c r="K29" i="8" a="1"/>
  <c r="K29" i="8" s="1"/>
  <c r="I29" i="8"/>
  <c r="G29" i="8" s="1"/>
  <c r="F29" i="8"/>
  <c r="C29" i="8"/>
  <c r="AB28" i="8" a="1"/>
  <c r="AB28" i="8" s="1"/>
  <c r="AA28" i="8"/>
  <c r="K28" i="8" a="1"/>
  <c r="K28" i="8" s="1"/>
  <c r="J28" i="8" s="1" a="1"/>
  <c r="J28" i="8" s="1"/>
  <c r="I28" i="8"/>
  <c r="G28" i="8" s="1"/>
  <c r="F28" i="8"/>
  <c r="C28" i="8"/>
  <c r="AB27" i="8" a="1"/>
  <c r="AB27" i="8" s="1"/>
  <c r="AA27" i="8"/>
  <c r="K27" i="8" a="1"/>
  <c r="K27" i="8" s="1"/>
  <c r="J27" i="8" s="1" a="1"/>
  <c r="J27" i="8" s="1"/>
  <c r="I27" i="8"/>
  <c r="G27" i="8" s="1"/>
  <c r="F27" i="8"/>
  <c r="C27" i="8"/>
  <c r="AB26" i="8" a="1"/>
  <c r="AB26" i="8" s="1"/>
  <c r="AA26" i="8"/>
  <c r="C26" i="8"/>
  <c r="AB25" i="8" a="1"/>
  <c r="AB25" i="8" s="1"/>
  <c r="AA25" i="8"/>
  <c r="K25" i="8" a="1"/>
  <c r="K25" i="8" s="1"/>
  <c r="I25" i="8"/>
  <c r="G25" i="8" s="1"/>
  <c r="F25" i="8"/>
  <c r="C25" i="8"/>
  <c r="AB24" i="8" a="1"/>
  <c r="AB24" i="8" s="1"/>
  <c r="AA24" i="8"/>
  <c r="K24" i="8" a="1"/>
  <c r="K24" i="8" s="1"/>
  <c r="J24" i="8" s="1" a="1"/>
  <c r="J24" i="8" s="1"/>
  <c r="I24" i="8"/>
  <c r="G24" i="8" s="1"/>
  <c r="F24" i="8"/>
  <c r="C24" i="8"/>
  <c r="AB23" i="8" a="1"/>
  <c r="AB23" i="8" s="1"/>
  <c r="AA23" i="8"/>
  <c r="K23" i="8" a="1"/>
  <c r="K23" i="8" s="1"/>
  <c r="J23" i="8" s="1" a="1"/>
  <c r="J23" i="8" s="1"/>
  <c r="I23" i="8"/>
  <c r="G23" i="8" s="1"/>
  <c r="F23" i="8"/>
  <c r="C23" i="8"/>
  <c r="AB22" i="8" a="1"/>
  <c r="AB22" i="8" s="1"/>
  <c r="AA22" i="8"/>
  <c r="C22" i="8"/>
  <c r="AB21" i="8" a="1"/>
  <c r="AB21" i="8" s="1"/>
  <c r="AA21" i="8"/>
  <c r="K21" i="8" a="1"/>
  <c r="K21" i="8" s="1"/>
  <c r="J21" i="8" s="1" a="1"/>
  <c r="J21" i="8" s="1"/>
  <c r="I21" i="8"/>
  <c r="G21" i="8" s="1"/>
  <c r="F21" i="8"/>
  <c r="C21" i="8"/>
  <c r="AB20" i="8" a="1"/>
  <c r="AB20" i="8" s="1"/>
  <c r="AA20" i="8"/>
  <c r="K20" i="8" a="1"/>
  <c r="K20" i="8" s="1"/>
  <c r="J20" i="8" s="1" a="1"/>
  <c r="J20" i="8" s="1"/>
  <c r="I20" i="8"/>
  <c r="G20" i="8"/>
  <c r="F20" i="8"/>
  <c r="C20" i="8"/>
  <c r="AB19" i="8" a="1"/>
  <c r="AB19" i="8" s="1"/>
  <c r="AA19" i="8"/>
  <c r="C19" i="8"/>
  <c r="AB18" i="8" a="1"/>
  <c r="AB18" i="8" s="1"/>
  <c r="AA18" i="8"/>
  <c r="K18" i="8" a="1"/>
  <c r="K18" i="8" s="1"/>
  <c r="J18" i="8" s="1" a="1"/>
  <c r="J18" i="8" s="1"/>
  <c r="I18" i="8"/>
  <c r="G18" i="8" s="1"/>
  <c r="F18" i="8"/>
  <c r="C18" i="8"/>
  <c r="AB17" i="8" a="1"/>
  <c r="AB17" i="8" s="1"/>
  <c r="AA17" i="8"/>
  <c r="C17" i="8"/>
  <c r="M10" i="6"/>
  <c r="M11" i="6"/>
  <c r="M12" i="6"/>
  <c r="J34" i="8" l="1" a="1"/>
  <c r="J34" i="8" s="1"/>
  <c r="J29" i="8" a="1"/>
  <c r="J29" i="8" s="1"/>
  <c r="J25" i="8" a="1"/>
  <c r="J25" i="8" s="1"/>
  <c r="J30" i="8" a="1"/>
  <c r="J30" i="8" s="1"/>
  <c r="J35" i="8" a="1"/>
  <c r="J35" i="8" s="1"/>
  <c r="J40" i="8" a="1"/>
  <c r="J40" i="8" s="1"/>
  <c r="J45" i="8" a="1"/>
  <c r="J45" i="8" s="1"/>
  <c r="J36" i="8" a="1"/>
  <c r="J36" i="8" s="1"/>
  <c r="J41" i="8" a="1"/>
  <c r="J41" i="8" s="1"/>
  <c r="G8" i="6" l="1"/>
  <c r="F8" i="6"/>
  <c r="G4" i="8"/>
  <c r="AB88" i="8" a="1"/>
  <c r="AB88" i="8" s="1"/>
  <c r="AA88" i="8"/>
  <c r="K88" i="8" a="1"/>
  <c r="K88" i="8" s="1"/>
  <c r="J88" i="8" s="1" a="1"/>
  <c r="J88" i="8" s="1"/>
  <c r="I88" i="8"/>
  <c r="G88" i="8" s="1"/>
  <c r="F88" i="8"/>
  <c r="C88" i="8"/>
  <c r="AB87" i="8" a="1"/>
  <c r="AB87" i="8" s="1"/>
  <c r="AA87" i="8"/>
  <c r="C87" i="8"/>
  <c r="AB86" i="8" a="1"/>
  <c r="AB86" i="8" s="1"/>
  <c r="AA86" i="8"/>
  <c r="K86" i="8" a="1"/>
  <c r="K86" i="8" s="1"/>
  <c r="J86" i="8" s="1" a="1"/>
  <c r="J86" i="8" s="1"/>
  <c r="I86" i="8"/>
  <c r="G86" i="8" s="1"/>
  <c r="F86" i="8"/>
  <c r="C86" i="8"/>
  <c r="AB85" i="8" a="1"/>
  <c r="AB85" i="8" s="1"/>
  <c r="AA85" i="8"/>
  <c r="K85" i="8" a="1"/>
  <c r="K85" i="8" s="1"/>
  <c r="J85" i="8" s="1" a="1"/>
  <c r="J85" i="8" s="1"/>
  <c r="I85" i="8"/>
  <c r="G85" i="8" s="1"/>
  <c r="F85" i="8"/>
  <c r="C85" i="8"/>
  <c r="AB84" i="8" a="1"/>
  <c r="AB84" i="8" s="1"/>
  <c r="AA84" i="8"/>
  <c r="C84" i="8"/>
  <c r="AB83" i="8" a="1"/>
  <c r="AB83" i="8" s="1"/>
  <c r="AA83" i="8"/>
  <c r="K83" i="8" a="1"/>
  <c r="K83" i="8" s="1"/>
  <c r="I83" i="8"/>
  <c r="G83" i="8" s="1"/>
  <c r="F83" i="8"/>
  <c r="C83" i="8"/>
  <c r="AB82" i="8" a="1"/>
  <c r="AB82" i="8" s="1"/>
  <c r="AA82" i="8"/>
  <c r="K82" i="8" a="1"/>
  <c r="K82" i="8" s="1"/>
  <c r="J82" i="8" s="1" a="1"/>
  <c r="J82" i="8" s="1"/>
  <c r="I82" i="8"/>
  <c r="G82" i="8" s="1"/>
  <c r="F82" i="8"/>
  <c r="C82" i="8"/>
  <c r="AB81" i="8" a="1"/>
  <c r="AB81" i="8" s="1"/>
  <c r="AA81" i="8"/>
  <c r="K81" i="8" a="1"/>
  <c r="K81" i="8" s="1"/>
  <c r="J81" i="8" s="1" a="1"/>
  <c r="J81" i="8" s="1"/>
  <c r="I81" i="8"/>
  <c r="G81" i="8" s="1"/>
  <c r="F81" i="8"/>
  <c r="C81" i="8"/>
  <c r="AB80" i="8" a="1"/>
  <c r="AB80" i="8" s="1"/>
  <c r="AA80" i="8"/>
  <c r="C80" i="8"/>
  <c r="AB79" i="8" a="1"/>
  <c r="AB79" i="8" s="1"/>
  <c r="AA79" i="8"/>
  <c r="K79" i="8" a="1"/>
  <c r="K79" i="8" s="1"/>
  <c r="I79" i="8"/>
  <c r="G79" i="8" s="1"/>
  <c r="F79" i="8"/>
  <c r="C79" i="8"/>
  <c r="AB78" i="8" a="1"/>
  <c r="AB78" i="8" s="1"/>
  <c r="AA78" i="8"/>
  <c r="K78" i="8" a="1"/>
  <c r="K78" i="8" s="1"/>
  <c r="I78" i="8"/>
  <c r="G78" i="8" s="1"/>
  <c r="F78" i="8"/>
  <c r="C78" i="8"/>
  <c r="AB77" i="8" a="1"/>
  <c r="AB77" i="8" s="1"/>
  <c r="AA77" i="8"/>
  <c r="K77" i="8" a="1"/>
  <c r="K77" i="8" s="1"/>
  <c r="J77" i="8" s="1" a="1"/>
  <c r="J77" i="8" s="1"/>
  <c r="I77" i="8"/>
  <c r="G77" i="8" s="1"/>
  <c r="F77" i="8"/>
  <c r="C77" i="8"/>
  <c r="AB76" i="8" a="1"/>
  <c r="AB76" i="8" s="1"/>
  <c r="AA76" i="8"/>
  <c r="K76" i="8" a="1"/>
  <c r="K76" i="8" s="1"/>
  <c r="J76" i="8" s="1" a="1"/>
  <c r="J76" i="8" s="1"/>
  <c r="I76" i="8"/>
  <c r="G76" i="8" s="1"/>
  <c r="F76" i="8"/>
  <c r="C76" i="8"/>
  <c r="AB75" i="8" a="1"/>
  <c r="AB75" i="8" s="1"/>
  <c r="AA75" i="8"/>
  <c r="C75" i="8"/>
  <c r="AB74" i="8" a="1"/>
  <c r="AB74" i="8" s="1"/>
  <c r="AA74" i="8"/>
  <c r="K74" i="8" a="1"/>
  <c r="K74" i="8" s="1"/>
  <c r="I74" i="8"/>
  <c r="G74" i="8" s="1"/>
  <c r="F74" i="8"/>
  <c r="C74" i="8"/>
  <c r="AB73" i="8" a="1"/>
  <c r="AB73" i="8" s="1"/>
  <c r="AA73" i="8"/>
  <c r="K73" i="8" a="1"/>
  <c r="K73" i="8" s="1"/>
  <c r="I73" i="8"/>
  <c r="G73" i="8" s="1"/>
  <c r="F73" i="8"/>
  <c r="C73" i="8"/>
  <c r="AB72" i="8" a="1"/>
  <c r="AB72" i="8" s="1"/>
  <c r="AA72" i="8"/>
  <c r="K72" i="8" a="1"/>
  <c r="J72" i="8" s="1" a="1"/>
  <c r="J72" i="8" s="1"/>
  <c r="I72" i="8"/>
  <c r="G72" i="8" s="1"/>
  <c r="F72" i="8"/>
  <c r="C72" i="8"/>
  <c r="AB71" i="8" a="1"/>
  <c r="AB71" i="8" s="1"/>
  <c r="AA71" i="8"/>
  <c r="K71" i="8" a="1"/>
  <c r="K71" i="8" s="1"/>
  <c r="J71" i="8" s="1" a="1"/>
  <c r="J71" i="8" s="1"/>
  <c r="I71" i="8"/>
  <c r="G71" i="8" s="1"/>
  <c r="F71" i="8"/>
  <c r="C71" i="8"/>
  <c r="AB70" i="8" a="1"/>
  <c r="AB70" i="8" s="1"/>
  <c r="AA70" i="8"/>
  <c r="K70" i="8" a="1"/>
  <c r="K70" i="8" s="1"/>
  <c r="J70" i="8" s="1" a="1"/>
  <c r="J70" i="8" s="1"/>
  <c r="I70" i="8"/>
  <c r="G70" i="8" s="1"/>
  <c r="F70" i="8"/>
  <c r="C70" i="8"/>
  <c r="AB69" i="8" a="1"/>
  <c r="AB69" i="8" s="1"/>
  <c r="AA69" i="8"/>
  <c r="C69" i="8"/>
  <c r="AB68" i="8" a="1"/>
  <c r="AB68" i="8" s="1"/>
  <c r="AA68" i="8"/>
  <c r="K68" i="8" a="1"/>
  <c r="K68" i="8" s="1"/>
  <c r="I68" i="8"/>
  <c r="G68" i="8" s="1"/>
  <c r="F68" i="8"/>
  <c r="C68" i="8"/>
  <c r="AB67" i="8" a="1"/>
  <c r="AB67" i="8" s="1"/>
  <c r="AA67" i="8"/>
  <c r="K67" i="8" a="1"/>
  <c r="J67" i="8" s="1" a="1"/>
  <c r="J67" i="8" s="1"/>
  <c r="I67" i="8"/>
  <c r="G67" i="8" s="1"/>
  <c r="F67" i="8"/>
  <c r="C67" i="8"/>
  <c r="AB66" i="8" a="1"/>
  <c r="AB66" i="8" s="1"/>
  <c r="AA66" i="8"/>
  <c r="K66" i="8" a="1"/>
  <c r="K66" i="8" s="1"/>
  <c r="J66" i="8" s="1" a="1"/>
  <c r="J66" i="8" s="1"/>
  <c r="I66" i="8"/>
  <c r="G66" i="8" s="1"/>
  <c r="F66" i="8"/>
  <c r="C66" i="8"/>
  <c r="AB65" i="8" a="1"/>
  <c r="AB65" i="8" s="1"/>
  <c r="AA65" i="8"/>
  <c r="K65" i="8" a="1"/>
  <c r="K65" i="8" s="1"/>
  <c r="J65" i="8" s="1" a="1"/>
  <c r="J65" i="8" s="1"/>
  <c r="I65" i="8"/>
  <c r="G65" i="8" s="1"/>
  <c r="F65" i="8"/>
  <c r="C65" i="8"/>
  <c r="AB64" i="8" a="1"/>
  <c r="AB64" i="8" s="1"/>
  <c r="AA64" i="8"/>
  <c r="C64" i="8"/>
  <c r="AB63" i="8" a="1"/>
  <c r="AB63" i="8" s="1"/>
  <c r="AA63" i="8"/>
  <c r="K63" i="8" a="1"/>
  <c r="K63" i="8" s="1"/>
  <c r="I63" i="8"/>
  <c r="G63" i="8" s="1"/>
  <c r="F63" i="8"/>
  <c r="C63" i="8"/>
  <c r="AB62" i="8" a="1"/>
  <c r="AB62" i="8" s="1"/>
  <c r="AA62" i="8"/>
  <c r="K62" i="8" a="1"/>
  <c r="K62" i="8" s="1"/>
  <c r="J62" i="8" s="1" a="1"/>
  <c r="J62" i="8" s="1"/>
  <c r="I62" i="8"/>
  <c r="G62" i="8" s="1"/>
  <c r="F62" i="8"/>
  <c r="C62" i="8"/>
  <c r="AB61" i="8" a="1"/>
  <c r="AB61" i="8" s="1"/>
  <c r="AA61" i="8"/>
  <c r="K61" i="8" a="1"/>
  <c r="K61" i="8" s="1"/>
  <c r="J61" i="8" s="1" a="1"/>
  <c r="J61" i="8" s="1"/>
  <c r="I61" i="8"/>
  <c r="G61" i="8" s="1"/>
  <c r="F61" i="8"/>
  <c r="C61" i="8"/>
  <c r="AB60" i="8" a="1"/>
  <c r="AB60" i="8" s="1"/>
  <c r="AA60" i="8"/>
  <c r="C60" i="8"/>
  <c r="AB59" i="8" a="1"/>
  <c r="AB59" i="8" s="1"/>
  <c r="AA59" i="8"/>
  <c r="K59" i="8" a="1"/>
  <c r="K59" i="8" s="1"/>
  <c r="J59" i="8" s="1" a="1"/>
  <c r="J59" i="8" s="1"/>
  <c r="I59" i="8"/>
  <c r="G59" i="8" s="1"/>
  <c r="F59" i="8"/>
  <c r="C59" i="8"/>
  <c r="AB58" i="8" a="1"/>
  <c r="AB58" i="8" s="1"/>
  <c r="AA58" i="8"/>
  <c r="K58" i="8" a="1"/>
  <c r="K58" i="8" s="1"/>
  <c r="J58" i="8" s="1" a="1"/>
  <c r="J58" i="8" s="1"/>
  <c r="I58" i="8"/>
  <c r="G58" i="8" s="1"/>
  <c r="F58" i="8"/>
  <c r="C58" i="8"/>
  <c r="AB57" i="8" a="1"/>
  <c r="AB57" i="8" s="1"/>
  <c r="AA57" i="8"/>
  <c r="C57" i="8"/>
  <c r="AB56" i="8" a="1"/>
  <c r="AB56" i="8" s="1"/>
  <c r="AA56" i="8"/>
  <c r="K56" i="8" a="1"/>
  <c r="K56" i="8" s="1"/>
  <c r="J56" i="8" s="1" a="1"/>
  <c r="J56" i="8" s="1"/>
  <c r="I56" i="8"/>
  <c r="G56" i="8" s="1"/>
  <c r="F56" i="8"/>
  <c r="C56" i="8"/>
  <c r="I126" i="8"/>
  <c r="G126" i="8" s="1"/>
  <c r="AB126" i="8" a="1"/>
  <c r="AB126" i="8" s="1"/>
  <c r="AA126" i="8"/>
  <c r="K126" i="8" a="1"/>
  <c r="K126" i="8" s="1"/>
  <c r="J126" i="8" s="1" a="1"/>
  <c r="J126" i="8" s="1"/>
  <c r="F126" i="8"/>
  <c r="C126" i="8"/>
  <c r="AB125" i="8" a="1"/>
  <c r="AB125" i="8" s="1"/>
  <c r="AA125" i="8"/>
  <c r="C125" i="8"/>
  <c r="AB124" i="8" a="1"/>
  <c r="AB124" i="8" s="1"/>
  <c r="AA124" i="8"/>
  <c r="K124" i="8" a="1"/>
  <c r="K124" i="8" s="1"/>
  <c r="I124" i="8"/>
  <c r="G124" i="8" s="1"/>
  <c r="F124" i="8"/>
  <c r="C124" i="8"/>
  <c r="AB123" i="8" a="1"/>
  <c r="AB123" i="8" s="1"/>
  <c r="AA123" i="8"/>
  <c r="K123" i="8" a="1"/>
  <c r="K123" i="8" s="1"/>
  <c r="J123" i="8" s="1" a="1"/>
  <c r="J123" i="8" s="1"/>
  <c r="I123" i="8"/>
  <c r="G123" i="8" s="1"/>
  <c r="F123" i="8"/>
  <c r="C123" i="8"/>
  <c r="AB122" i="8" a="1"/>
  <c r="AB122" i="8" s="1"/>
  <c r="AA122" i="8"/>
  <c r="C122" i="8"/>
  <c r="AB121" i="8" a="1"/>
  <c r="AB121" i="8" s="1"/>
  <c r="AA121" i="8"/>
  <c r="K121" i="8" a="1"/>
  <c r="K121" i="8" s="1"/>
  <c r="I121" i="8"/>
  <c r="G121" i="8" s="1"/>
  <c r="F121" i="8"/>
  <c r="C121" i="8"/>
  <c r="AB120" i="8" a="1"/>
  <c r="AB120" i="8" s="1"/>
  <c r="AA120" i="8"/>
  <c r="K120" i="8" a="1"/>
  <c r="I120" i="8"/>
  <c r="G120" i="8" s="1"/>
  <c r="F120" i="8"/>
  <c r="C120" i="8"/>
  <c r="AB119" i="8" a="1"/>
  <c r="AB119" i="8" s="1"/>
  <c r="AA119" i="8"/>
  <c r="K119" i="8" a="1"/>
  <c r="K119" i="8" s="1"/>
  <c r="J119" i="8" s="1" a="1"/>
  <c r="J119" i="8" s="1"/>
  <c r="I119" i="8"/>
  <c r="G119" i="8" s="1"/>
  <c r="F119" i="8"/>
  <c r="C119" i="8"/>
  <c r="AB118" i="8" a="1"/>
  <c r="AB118" i="8" s="1"/>
  <c r="AA118" i="8"/>
  <c r="C118" i="8"/>
  <c r="AB117" i="8" a="1"/>
  <c r="AB117" i="8" s="1"/>
  <c r="AA117" i="8"/>
  <c r="K117" i="8" a="1"/>
  <c r="K117" i="8" s="1"/>
  <c r="I117" i="8"/>
  <c r="G117" i="8" s="1"/>
  <c r="F117" i="8"/>
  <c r="C117" i="8"/>
  <c r="AB116" i="8" a="1"/>
  <c r="AB116" i="8" s="1"/>
  <c r="AA116" i="8"/>
  <c r="K116" i="8" a="1"/>
  <c r="J116" i="8" s="1" a="1"/>
  <c r="J116" i="8" s="1"/>
  <c r="I116" i="8"/>
  <c r="G116" i="8" s="1"/>
  <c r="F116" i="8"/>
  <c r="C116" i="8"/>
  <c r="AB115" i="8" a="1"/>
  <c r="AB115" i="8" s="1"/>
  <c r="AA115" i="8"/>
  <c r="K115" i="8" a="1"/>
  <c r="K115" i="8" s="1"/>
  <c r="I115" i="8"/>
  <c r="G115" i="8" s="1"/>
  <c r="F115" i="8"/>
  <c r="C115" i="8"/>
  <c r="AB114" i="8" a="1"/>
  <c r="AB114" i="8" s="1"/>
  <c r="AA114" i="8"/>
  <c r="K114" i="8" a="1"/>
  <c r="K114" i="8" s="1"/>
  <c r="J114" i="8" s="1" a="1"/>
  <c r="J114" i="8" s="1"/>
  <c r="I114" i="8"/>
  <c r="G114" i="8" s="1"/>
  <c r="F114" i="8"/>
  <c r="C114" i="8"/>
  <c r="AB113" i="8" a="1"/>
  <c r="AB113" i="8" s="1"/>
  <c r="AA113" i="8"/>
  <c r="C113" i="8"/>
  <c r="J63" i="8" l="1" a="1"/>
  <c r="J63" i="8" s="1"/>
  <c r="K67" i="8"/>
  <c r="J68" i="8" a="1"/>
  <c r="J68" i="8" s="1"/>
  <c r="K72" i="8"/>
  <c r="J73" i="8" a="1"/>
  <c r="J73" i="8" s="1"/>
  <c r="J78" i="8" a="1"/>
  <c r="J78" i="8" s="1"/>
  <c r="J83" i="8" a="1"/>
  <c r="J83" i="8" s="1"/>
  <c r="J74" i="8" a="1"/>
  <c r="J74" i="8" s="1"/>
  <c r="J79" i="8" a="1"/>
  <c r="J79" i="8" s="1"/>
  <c r="J124" i="8" a="1"/>
  <c r="J124" i="8" s="1"/>
  <c r="J121" i="8" a="1"/>
  <c r="J121" i="8" s="1"/>
  <c r="K120" i="8"/>
  <c r="J120" i="8" s="1" a="1"/>
  <c r="J120" i="8" s="1"/>
  <c r="J115" i="8" a="1"/>
  <c r="J115" i="8" s="1"/>
  <c r="J117" i="8" a="1"/>
  <c r="J117" i="8" s="1"/>
  <c r="K116" i="8"/>
  <c r="AB112" i="8" l="1" a="1"/>
  <c r="AB112" i="8" s="1"/>
  <c r="AA112" i="8"/>
  <c r="K112" i="8" a="1"/>
  <c r="K112" i="8" s="1"/>
  <c r="I112" i="8"/>
  <c r="G112" i="8" s="1"/>
  <c r="F112" i="8"/>
  <c r="C112" i="8"/>
  <c r="AB111" i="8" a="1"/>
  <c r="AB111" i="8" s="1"/>
  <c r="AA111" i="8"/>
  <c r="K111" i="8" a="1"/>
  <c r="K111" i="8" s="1"/>
  <c r="I111" i="8"/>
  <c r="G111" i="8" s="1"/>
  <c r="F111" i="8"/>
  <c r="C111" i="8"/>
  <c r="AB110" i="8" a="1"/>
  <c r="AB110" i="8" s="1"/>
  <c r="AA110" i="8"/>
  <c r="K110" i="8" a="1"/>
  <c r="J110" i="8" s="1" a="1"/>
  <c r="J110" i="8" s="1"/>
  <c r="I110" i="8"/>
  <c r="G110" i="8" s="1"/>
  <c r="F110" i="8"/>
  <c r="C110" i="8"/>
  <c r="AB109" i="8" a="1"/>
  <c r="AB109" i="8" s="1"/>
  <c r="AA109" i="8"/>
  <c r="K109" i="8" a="1"/>
  <c r="K109" i="8" s="1"/>
  <c r="J109" i="8" s="1" a="1"/>
  <c r="J109" i="8" s="1"/>
  <c r="I109" i="8"/>
  <c r="G109" i="8" s="1"/>
  <c r="F109" i="8"/>
  <c r="C109" i="8"/>
  <c r="AB108" i="8" a="1"/>
  <c r="AB108" i="8" s="1"/>
  <c r="AA108" i="8"/>
  <c r="K108" i="8" a="1"/>
  <c r="K108" i="8" s="1"/>
  <c r="J108" i="8" s="1" a="1"/>
  <c r="J108" i="8" s="1"/>
  <c r="I108" i="8"/>
  <c r="G108" i="8" s="1"/>
  <c r="F108" i="8"/>
  <c r="C108" i="8"/>
  <c r="AB107" i="8" a="1"/>
  <c r="AB107" i="8" s="1"/>
  <c r="AA107" i="8"/>
  <c r="C107" i="8"/>
  <c r="AB106" i="8" a="1"/>
  <c r="AB106" i="8" s="1"/>
  <c r="AA106" i="8"/>
  <c r="K106" i="8" a="1"/>
  <c r="K106" i="8" s="1"/>
  <c r="I106" i="8"/>
  <c r="G106" i="8" s="1"/>
  <c r="F106" i="8"/>
  <c r="C106" i="8"/>
  <c r="AB105" i="8" a="1"/>
  <c r="AB105" i="8" s="1"/>
  <c r="AA105" i="8"/>
  <c r="K105" i="8" a="1"/>
  <c r="K105" i="8" s="1"/>
  <c r="I105" i="8"/>
  <c r="G105" i="8" s="1"/>
  <c r="F105" i="8"/>
  <c r="C105" i="8"/>
  <c r="AB104" i="8" a="1"/>
  <c r="AB104" i="8" s="1"/>
  <c r="AA104" i="8"/>
  <c r="K104" i="8" a="1"/>
  <c r="K104" i="8" s="1"/>
  <c r="J104" i="8" s="1" a="1"/>
  <c r="J104" i="8" s="1"/>
  <c r="I104" i="8"/>
  <c r="G104" i="8" s="1"/>
  <c r="F104" i="8"/>
  <c r="C104" i="8"/>
  <c r="AB103" i="8" a="1"/>
  <c r="AB103" i="8" s="1"/>
  <c r="AA103" i="8"/>
  <c r="K103" i="8" a="1"/>
  <c r="K103" i="8" s="1"/>
  <c r="J103" i="8" s="1" a="1"/>
  <c r="J103" i="8" s="1"/>
  <c r="I103" i="8"/>
  <c r="G103" i="8" s="1"/>
  <c r="F103" i="8"/>
  <c r="C103" i="8"/>
  <c r="AB102" i="8" a="1"/>
  <c r="AB102" i="8" s="1"/>
  <c r="AA102" i="8"/>
  <c r="C102" i="8"/>
  <c r="AB101" i="8" a="1"/>
  <c r="AB101" i="8" s="1"/>
  <c r="AA101" i="8"/>
  <c r="K101" i="8" a="1"/>
  <c r="J101" i="8" s="1" a="1"/>
  <c r="J101" i="8" s="1"/>
  <c r="I101" i="8"/>
  <c r="G101" i="8" s="1"/>
  <c r="F101" i="8"/>
  <c r="C101" i="8"/>
  <c r="AB100" i="8" a="1"/>
  <c r="AB100" i="8" s="1"/>
  <c r="AA100" i="8"/>
  <c r="K100" i="8" a="1"/>
  <c r="K100" i="8" s="1"/>
  <c r="I100" i="8"/>
  <c r="G100" i="8" s="1"/>
  <c r="F100" i="8"/>
  <c r="C100" i="8"/>
  <c r="AB99" i="8" a="1"/>
  <c r="AB99" i="8" s="1"/>
  <c r="AA99" i="8"/>
  <c r="K99" i="8" a="1"/>
  <c r="K99" i="8" s="1"/>
  <c r="J99" i="8" s="1" a="1"/>
  <c r="J99" i="8" s="1"/>
  <c r="I99" i="8"/>
  <c r="G99" i="8" s="1"/>
  <c r="F99" i="8"/>
  <c r="C99" i="8"/>
  <c r="AB98" i="8" a="1"/>
  <c r="AB98" i="8" s="1"/>
  <c r="AA98" i="8"/>
  <c r="C98" i="8"/>
  <c r="AA94" i="8"/>
  <c r="AA96" i="8"/>
  <c r="AA97" i="8"/>
  <c r="AB97" i="8" a="1"/>
  <c r="AB97" i="8" s="1"/>
  <c r="K97" i="8" a="1"/>
  <c r="K97" i="8" s="1"/>
  <c r="J97" i="8" s="1" a="1"/>
  <c r="J97" i="8" s="1"/>
  <c r="I97" i="8"/>
  <c r="G97" i="8" s="1"/>
  <c r="F97" i="8"/>
  <c r="C97" i="8"/>
  <c r="AB96" i="8" a="1"/>
  <c r="AB96" i="8" s="1"/>
  <c r="K96" i="8" a="1"/>
  <c r="K96" i="8" s="1"/>
  <c r="J96" i="8" s="1" a="1"/>
  <c r="J96" i="8" s="1"/>
  <c r="I96" i="8"/>
  <c r="G96" i="8"/>
  <c r="F96" i="8"/>
  <c r="C96" i="8"/>
  <c r="AB95" i="8" a="1"/>
  <c r="AB95" i="8" s="1"/>
  <c r="AA95" i="8"/>
  <c r="C95" i="8"/>
  <c r="AB94" i="8" a="1"/>
  <c r="AB94" i="8" s="1"/>
  <c r="K94" i="8" a="1"/>
  <c r="K94" i="8" s="1"/>
  <c r="J94" i="8" s="1" a="1"/>
  <c r="J94" i="8" s="1"/>
  <c r="I94" i="8"/>
  <c r="G94" i="8" s="1"/>
  <c r="F94" i="8"/>
  <c r="C94" i="8"/>
  <c r="J112" i="8" l="1" a="1"/>
  <c r="J112" i="8" s="1"/>
  <c r="J111" i="8" a="1"/>
  <c r="J111" i="8" s="1"/>
  <c r="K110" i="8"/>
  <c r="J106" i="8" a="1"/>
  <c r="J106" i="8" s="1"/>
  <c r="J105" i="8" a="1"/>
  <c r="J105" i="8" s="1"/>
  <c r="J100" i="8" a="1"/>
  <c r="J100" i="8" s="1"/>
  <c r="K101" i="8"/>
  <c r="F21" i="6" l="1"/>
  <c r="F14" i="6"/>
  <c r="G14" i="6" l="1"/>
  <c r="G21" i="6"/>
  <c r="G5" i="6" l="1"/>
  <c r="G9" i="6"/>
  <c r="G10" i="6"/>
  <c r="G11" i="6"/>
  <c r="G12" i="6"/>
  <c r="G13" i="6"/>
  <c r="G15" i="6"/>
  <c r="G16" i="6"/>
  <c r="G17" i="6"/>
  <c r="G18" i="6"/>
  <c r="G19" i="6"/>
  <c r="G20" i="6"/>
  <c r="G22" i="6"/>
  <c r="G23" i="6"/>
  <c r="G24" i="6"/>
  <c r="G25" i="6"/>
  <c r="G4" i="6"/>
  <c r="F5" i="6"/>
  <c r="F9" i="6"/>
  <c r="F10" i="6"/>
  <c r="F11" i="6"/>
  <c r="F12" i="6"/>
  <c r="F13" i="6"/>
  <c r="F15" i="6"/>
  <c r="F16" i="6"/>
  <c r="F17" i="6"/>
  <c r="F18" i="6"/>
  <c r="F19" i="6"/>
  <c r="F20" i="6"/>
  <c r="F22" i="6"/>
  <c r="F23" i="6"/>
  <c r="F24" i="6"/>
  <c r="F25" i="6"/>
  <c r="F4" i="6"/>
  <c r="M5" i="6"/>
  <c r="M9" i="6"/>
  <c r="M13" i="6"/>
  <c r="M15" i="6"/>
  <c r="M16" i="6"/>
  <c r="M17" i="6"/>
  <c r="M18" i="6"/>
  <c r="M19" i="6"/>
  <c r="M20" i="6"/>
  <c r="M22" i="6"/>
  <c r="M23" i="6"/>
  <c r="M24" i="6"/>
  <c r="M25" i="6"/>
  <c r="M4" i="6"/>
  <c r="C5" i="8"/>
  <c r="C6" i="8"/>
  <c r="C7" i="8"/>
  <c r="C8" i="8"/>
  <c r="C9" i="8"/>
  <c r="C10" i="8"/>
  <c r="C11" i="8"/>
  <c r="C13" i="8"/>
  <c r="C55" i="8"/>
  <c r="C15" i="8"/>
  <c r="C54" i="8"/>
  <c r="C93" i="8"/>
  <c r="C4" i="8"/>
  <c r="K6" i="8" a="1"/>
  <c r="K6" i="8" s="1"/>
  <c r="J6" i="8" s="1" a="1"/>
  <c r="J6" i="8" s="1"/>
  <c r="AB10" i="8" a="1"/>
  <c r="AB10" i="8" s="1"/>
  <c r="AA10" i="8"/>
  <c r="K10" i="8" a="1"/>
  <c r="K10" i="8" s="1"/>
  <c r="J10" i="8" s="1" a="1"/>
  <c r="J10" i="8" s="1"/>
  <c r="I10" i="8"/>
  <c r="G10" i="8" s="1"/>
  <c r="F10" i="8"/>
  <c r="AB9" i="8" a="1"/>
  <c r="AB9" i="8" s="1"/>
  <c r="AA9" i="8"/>
  <c r="K9" i="8" a="1"/>
  <c r="J9" i="8" s="1" a="1"/>
  <c r="J9" i="8" s="1"/>
  <c r="I9" i="8"/>
  <c r="G9" i="8" s="1"/>
  <c r="F9" i="8"/>
  <c r="AB8" i="8" a="1"/>
  <c r="AB8" i="8" s="1"/>
  <c r="AA8" i="8"/>
  <c r="K8" i="8" a="1"/>
  <c r="J8" i="8" s="1" a="1"/>
  <c r="J8" i="8" s="1"/>
  <c r="I8" i="8"/>
  <c r="G8" i="8" s="1"/>
  <c r="F8" i="8"/>
  <c r="AB7" i="8" a="1"/>
  <c r="AB7" i="8" s="1"/>
  <c r="AA7" i="8"/>
  <c r="K7" i="8" a="1"/>
  <c r="K7" i="8" s="1"/>
  <c r="I7" i="8"/>
  <c r="G7" i="8" s="1"/>
  <c r="F7" i="8"/>
  <c r="AB6" i="8" a="1"/>
  <c r="AB6" i="8" s="1"/>
  <c r="AA6" i="8"/>
  <c r="I6" i="8"/>
  <c r="G6" i="8" s="1"/>
  <c r="F6" i="8"/>
  <c r="P10" i="6"/>
  <c r="P11" i="6"/>
  <c r="P12" i="6"/>
  <c r="N12" i="6"/>
  <c r="N11" i="6"/>
  <c r="N10" i="6"/>
  <c r="N9" i="6"/>
  <c r="J7" i="8" l="1" a="1"/>
  <c r="J7" i="8" s="1"/>
  <c r="K8" i="8"/>
  <c r="K9" i="8"/>
  <c r="P19" i="6"/>
  <c r="N19" i="6"/>
  <c r="P18" i="6" l="1"/>
  <c r="N18" i="6"/>
  <c r="P17" i="6"/>
  <c r="N17" i="6"/>
  <c r="N16" i="6"/>
  <c r="N15" i="6"/>
  <c r="AB93" i="8" a="1"/>
  <c r="AB93" i="8" s="1"/>
  <c r="AB4" i="8" a="1"/>
  <c r="AB4" i="8" s="1"/>
  <c r="AA93" i="8"/>
  <c r="AA4" i="8"/>
  <c r="N22" i="6" l="1"/>
  <c r="N23" i="6"/>
  <c r="K4" i="8" a="1"/>
  <c r="K4" i="8" s="1"/>
  <c r="F4" i="8"/>
  <c r="P25" i="6"/>
  <c r="N25" i="6"/>
  <c r="P24" i="6"/>
  <c r="N24" i="6"/>
  <c r="J4" i="8" l="1" a="1"/>
  <c r="J4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<sst xmlns="http://schemas.openxmlformats.org/spreadsheetml/2006/main" count="313" uniqueCount="169">
  <si>
    <t>id</t>
  </si>
  <si>
    <t>mask_prefab</t>
  </si>
  <si>
    <t>monsters</t>
  </si>
  <si>
    <t>monster_HOT</t>
  </si>
  <si>
    <t>buff_remove</t>
  </si>
  <si>
    <t>behaviour</t>
  </si>
  <si>
    <t>diy_prms</t>
  </si>
  <si>
    <t>uint key</t>
  </si>
  <si>
    <t>string</t>
  </si>
  <si>
    <t>uint</t>
  </si>
  <si>
    <t>string[]</t>
  </si>
  <si>
    <t>dict&lt;string,string&gt;</t>
  </si>
  <si>
    <t>天气 id</t>
  </si>
  <si>
    <t>备注
世界</t>
  </si>
  <si>
    <t>辅助
命名</t>
  </si>
  <si>
    <t>备注
天气</t>
  </si>
  <si>
    <t>表现用prefab</t>
  </si>
  <si>
    <t>遮罩prefab</t>
  </si>
  <si>
    <t>生成怪物</t>
  </si>
  <si>
    <t>移除buff</t>
  </si>
  <si>
    <t>天气脚本</t>
  </si>
  <si>
    <t>自定义变量</t>
  </si>
  <si>
    <t>通用</t>
  </si>
  <si>
    <t>general</t>
  </si>
  <si>
    <t>晴</t>
  </si>
  <si>
    <t>sunny</t>
  </si>
  <si>
    <t>大湖</t>
  </si>
  <si>
    <t>lake</t>
  </si>
  <si>
    <t>阴天</t>
  </si>
  <si>
    <t>dark_clouds</t>
  </si>
  <si>
    <t>下雨</t>
  </si>
  <si>
    <t>rain</t>
  </si>
  <si>
    <t>fire;acid</t>
  </si>
  <si>
    <t>暴雨</t>
  </si>
  <si>
    <t>storm</t>
  </si>
  <si>
    <t>雷暴</t>
  </si>
  <si>
    <t>group_id</t>
  </si>
  <si>
    <t>sub_id</t>
  </si>
  <si>
    <t>weather</t>
  </si>
  <si>
    <t>length</t>
  </si>
  <si>
    <t>next</t>
  </si>
  <si>
    <t>(float,float)</t>
  </si>
  <si>
    <t>(uint,int)[]</t>
  </si>
  <si>
    <t>天气组 
group id key</t>
  </si>
  <si>
    <t>天气组
sub id key</t>
  </si>
  <si>
    <t>随机长度</t>
  </si>
  <si>
    <t>辅助列
长度
min</t>
  </si>
  <si>
    <t>辅助列
长度
max</t>
  </si>
  <si>
    <r>
      <rPr>
        <b/>
        <sz val="11"/>
        <color theme="1"/>
        <rFont val="等线"/>
        <family val="3"/>
        <charset val="134"/>
        <scheme val="minor"/>
      </rPr>
      <t xml:space="preserve">转移至特定新天气
</t>
    </r>
    <r>
      <rPr>
        <i/>
        <sz val="10"/>
        <color theme="1"/>
        <rFont val="等线"/>
        <family val="3"/>
        <charset val="134"/>
        <scheme val="minor"/>
      </rPr>
      <t>(子 id~概率)
圆桌概率，总值=1m</t>
    </r>
  </si>
  <si>
    <t>辅助列
sub id
1</t>
  </si>
  <si>
    <t>辅助列
sub id
2</t>
  </si>
  <si>
    <t>辅助列
sub id
3</t>
  </si>
  <si>
    <t>辅助列
sub id
4</t>
  </si>
  <si>
    <t>辅助列
sub id
5</t>
  </si>
  <si>
    <t>辅助列
sub id
6</t>
  </si>
  <si>
    <t>辅助列
sub id
7</t>
  </si>
  <si>
    <t>辅助列
sub id
8</t>
  </si>
  <si>
    <t>辅助列
概率
1</t>
  </si>
  <si>
    <t>辅助列
概率
2</t>
  </si>
  <si>
    <t>辅助列
概率
3</t>
  </si>
  <si>
    <t>辅助列
概率
4</t>
  </si>
  <si>
    <t>辅助列
概率
5</t>
  </si>
  <si>
    <t>辅助列
概率
6</t>
  </si>
  <si>
    <t>辅助列
概率
7</t>
  </si>
  <si>
    <t>辅助列
概率
8</t>
  </si>
  <si>
    <t>第1位</t>
  </si>
  <si>
    <t>第2位</t>
  </si>
  <si>
    <t>第3位</t>
  </si>
  <si>
    <t>第4位</t>
  </si>
  <si>
    <t>第5位</t>
  </si>
  <si>
    <t>第6位</t>
  </si>
  <si>
    <t>46 = weather</t>
  </si>
  <si>
    <t>01 = 地宫</t>
  </si>
  <si>
    <t>00~99 编号</t>
  </si>
  <si>
    <t>02 = 云间</t>
  </si>
  <si>
    <t>08 = 大湖</t>
  </si>
  <si>
    <t>备注2
天气
名称</t>
    <phoneticPr fontId="14" type="noConversion"/>
  </si>
  <si>
    <t>备注1
世界</t>
    <phoneticPr fontId="14" type="noConversion"/>
  </si>
  <si>
    <t>大湖</t>
    <phoneticPr fontId="14" type="noConversion"/>
  </si>
  <si>
    <t>总概率
校验</t>
    <phoneticPr fontId="14" type="noConversion"/>
  </si>
  <si>
    <t>方阵
校验</t>
    <phoneticPr fontId="14" type="noConversion"/>
  </si>
  <si>
    <t>thunderstorm</t>
    <phoneticPr fontId="14" type="noConversion"/>
  </si>
  <si>
    <t>ThunderStorm</t>
  </si>
  <si>
    <t>desert</t>
    <phoneticPr fontId="14" type="noConversion"/>
  </si>
  <si>
    <t>荒漠</t>
    <phoneticPr fontId="14" type="noConversion"/>
  </si>
  <si>
    <t>扬尘</t>
    <phoneticPr fontId="14" type="noConversion"/>
  </si>
  <si>
    <t>沙暴</t>
    <phoneticPr fontId="14" type="noConversion"/>
  </si>
  <si>
    <t>fugitive_dust</t>
    <phoneticPr fontId="14" type="noConversion"/>
  </si>
  <si>
    <t>sand_storm</t>
    <phoneticPr fontId="14" type="noConversion"/>
  </si>
  <si>
    <t>quicksand</t>
    <phoneticPr fontId="14" type="noConversion"/>
  </si>
  <si>
    <t>qs_and_fd</t>
    <phoneticPr fontId="14" type="noConversion"/>
  </si>
  <si>
    <t>qs_and_ss</t>
    <phoneticPr fontId="14" type="noConversion"/>
  </si>
  <si>
    <t>树梢</t>
    <phoneticPr fontId="14" type="noConversion"/>
  </si>
  <si>
    <t>treetop</t>
    <phoneticPr fontId="14" type="noConversion"/>
  </si>
  <si>
    <t>薄雾</t>
    <phoneticPr fontId="14" type="noConversion"/>
  </si>
  <si>
    <t>黑色妖雾</t>
    <phoneticPr fontId="14" type="noConversion"/>
  </si>
  <si>
    <t>浓厚妖雾</t>
    <phoneticPr fontId="14" type="noConversion"/>
  </si>
  <si>
    <t>mist</t>
    <phoneticPr fontId="14" type="noConversion"/>
  </si>
  <si>
    <t>fog</t>
    <phoneticPr fontId="14" type="noConversion"/>
  </si>
  <si>
    <t>black_fog</t>
    <phoneticPr fontId="14" type="noConversion"/>
  </si>
  <si>
    <t>thick_black_fog</t>
    <phoneticPr fontId="14" type="noConversion"/>
  </si>
  <si>
    <t>duplicated check</t>
    <phoneticPr fontId="14" type="noConversion"/>
  </si>
  <si>
    <t>weather_icon_path</t>
    <phoneticPr fontId="14" type="noConversion"/>
  </si>
  <si>
    <t>view_prefab</t>
    <phoneticPr fontId="14" type="noConversion"/>
  </si>
  <si>
    <t>string</t>
    <phoneticPr fontId="14" type="noConversion"/>
  </si>
  <si>
    <t>天气icon</t>
    <phoneticPr fontId="14" type="noConversion"/>
  </si>
  <si>
    <t>name</t>
    <phoneticPr fontId="14" type="noConversion"/>
  </si>
  <si>
    <t>天气名称</t>
    <phoneticPr fontId="14" type="noConversion"/>
  </si>
  <si>
    <t>desc</t>
    <phoneticPr fontId="14" type="noConversion"/>
  </si>
  <si>
    <t>天气描述</t>
    <phoneticPr fontId="14" type="noConversion"/>
  </si>
  <si>
    <t>无特殊效果</t>
    <phoneticPr fontId="14" type="noConversion"/>
  </si>
  <si>
    <t>细雨朦胧，润物无声。</t>
    <phoneticPr fontId="14" type="noConversion"/>
  </si>
  <si>
    <t>沙暴肆虐，遮天蔽日。</t>
    <phoneticPr fontId="14" type="noConversion"/>
  </si>
  <si>
    <t>场景desc</t>
    <phoneticPr fontId="14" type="noConversion"/>
  </si>
  <si>
    <t>天气描述 备注</t>
    <phoneticPr fontId="14" type="noConversion"/>
  </si>
  <si>
    <t>效果desc1</t>
    <phoneticPr fontId="14" type="noConversion"/>
  </si>
  <si>
    <t>效果desc2</t>
    <phoneticPr fontId="14" type="noConversion"/>
  </si>
  <si>
    <t>减缓车辆移速。</t>
    <phoneticPr fontId="14" type="noConversion"/>
  </si>
  <si>
    <t>周期性从流沙中生成沙漠蛇与毒蝎。</t>
    <phoneticPr fontId="14" type="noConversion"/>
  </si>
  <si>
    <t>所有水生生物周期性获得生命恢复。</t>
    <phoneticPr fontId="14" type="noConversion"/>
  </si>
  <si>
    <t>持续移除场景中的燃烧与酸蚀效果。</t>
  </si>
  <si>
    <t>效果desc3</t>
    <phoneticPr fontId="14" type="noConversion"/>
  </si>
  <si>
    <t>不断有螃蟹从天空中掉下。</t>
    <phoneticPr fontId="14" type="noConversion"/>
  </si>
  <si>
    <t>所有飞射物额外产生20%未命中几率。</t>
    <phoneticPr fontId="14" type="noConversion"/>
  </si>
  <si>
    <t>所有飞射物额外产生80%未命中几率。</t>
    <phoneticPr fontId="14" type="noConversion"/>
  </si>
  <si>
    <t>ui_icon_weather_0</t>
  </si>
  <si>
    <t>暖阳高照，正当其时。</t>
    <phoneticPr fontId="14" type="noConversion"/>
  </si>
  <si>
    <t>飞星不动，脱水脱水。</t>
    <phoneticPr fontId="14" type="noConversion"/>
  </si>
  <si>
    <t>薄雾朦胧，如梦似幻。</t>
    <phoneticPr fontId="14" type="noConversion"/>
  </si>
  <si>
    <t>乌云密布，山雨欲来。</t>
    <phoneticPr fontId="14" type="noConversion"/>
  </si>
  <si>
    <t>暴雨如注，倾盆如瀑。</t>
    <phoneticPr fontId="14" type="noConversion"/>
  </si>
  <si>
    <t>惊雷动地，霹雳破空。</t>
    <phoneticPr fontId="14" type="noConversion"/>
  </si>
  <si>
    <t>积沙</t>
    <phoneticPr fontId="14" type="noConversion"/>
  </si>
  <si>
    <t>积沙，扬尘</t>
    <phoneticPr fontId="14" type="noConversion"/>
  </si>
  <si>
    <t>积沙，沙暴</t>
    <phoneticPr fontId="14" type="noConversion"/>
  </si>
  <si>
    <t>烈日当空，赤地千里。</t>
    <phoneticPr fontId="14" type="noConversion"/>
  </si>
  <si>
    <t>遍地积沙，长路难行。</t>
    <phoneticPr fontId="14" type="noConversion"/>
  </si>
  <si>
    <t>扬尘四起，八方迷离。</t>
    <phoneticPr fontId="14" type="noConversion"/>
  </si>
  <si>
    <t>浓雾</t>
    <phoneticPr fontId="14" type="noConversion"/>
  </si>
  <si>
    <t>日照芳林，金光如霰。</t>
    <phoneticPr fontId="14" type="noConversion"/>
  </si>
  <si>
    <t>林雾环绕，鸟兽隐现。</t>
    <phoneticPr fontId="14" type="noConversion"/>
  </si>
  <si>
    <t>浓雾中刷出各种丛林生物</t>
  </si>
  <si>
    <t>浓雾中刷出各种魔物</t>
  </si>
  <si>
    <t>限制视野范围（轻微）</t>
  </si>
  <si>
    <t>限制视野范围（中等）</t>
  </si>
  <si>
    <t>所有魔物快速回血</t>
    <phoneticPr fontId="14" type="noConversion"/>
  </si>
  <si>
    <t>浓雾弥漫，鬼魅丛生。</t>
    <phoneticPr fontId="14" type="noConversion"/>
  </si>
  <si>
    <t>妖雾乍起，妖邪初现。</t>
    <phoneticPr fontId="14" type="noConversion"/>
  </si>
  <si>
    <t>所有飞射物额外产生30%未命中几率。</t>
    <phoneticPr fontId="14" type="noConversion"/>
  </si>
  <si>
    <t>流沙在下，扬尘在前。</t>
    <phoneticPr fontId="14" type="noConversion"/>
  </si>
  <si>
    <t>困于深沙，陷于尘暴。</t>
    <phoneticPr fontId="14" type="noConversion"/>
  </si>
  <si>
    <t>晴空</t>
    <phoneticPr fontId="14" type="noConversion"/>
  </si>
  <si>
    <t>暖阳</t>
    <phoneticPr fontId="14" type="noConversion"/>
  </si>
  <si>
    <t>曝晒</t>
    <phoneticPr fontId="14" type="noConversion"/>
  </si>
  <si>
    <t>dmg_stupor=10;distance_range=3,30;gap_range=0.5,3;delay=2.25</t>
    <phoneticPr fontId="14" type="noConversion"/>
  </si>
  <si>
    <t>dungeon</t>
    <phoneticPr fontId="14" type="noConversion"/>
  </si>
  <si>
    <t>未知</t>
    <phoneticPr fontId="14" type="noConversion"/>
  </si>
  <si>
    <t>unknown</t>
    <phoneticPr fontId="14" type="noConversion"/>
  </si>
  <si>
    <t>九幽之下，不见天日。</t>
    <phoneticPr fontId="14" type="noConversion"/>
  </si>
  <si>
    <t>heal_tags</t>
    <phoneticPr fontId="14" type="noConversion"/>
  </si>
  <si>
    <t>string[]</t>
    <phoneticPr fontId="14" type="noConversion"/>
  </si>
  <si>
    <t>治愈标签</t>
    <phoneticPr fontId="14" type="noConversion"/>
  </si>
  <si>
    <t>(float,float,float)</t>
    <phoneticPr fontId="14" type="noConversion"/>
  </si>
  <si>
    <t>对特定怪物
heal over time
(对普通怪的治疗百分比，对精英怪的治疗百分比，间隔秒)</t>
    <phoneticPr fontId="14" type="noConversion"/>
  </si>
  <si>
    <t>0.04~0.04~3</t>
    <phoneticPr fontId="14" type="noConversion"/>
  </si>
  <si>
    <t>Rain</t>
    <phoneticPr fontId="14" type="noConversion"/>
  </si>
  <si>
    <t>aquatic</t>
    <phoneticPr fontId="14" type="noConversion"/>
  </si>
  <si>
    <t>0.045~0.003~1</t>
    <phoneticPr fontId="14" type="noConversion"/>
  </si>
  <si>
    <t>0.06~0.004~0.75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</si>
</sst>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Blue][&gt;=1000000]&quot;1m&quot;;[&gt;=10000]#\,####;[Magenta]General"/>
  </numFmts>
  <fonts count="20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11"/>
      <color theme="5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9"/>
      <color theme="6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i/>
      <sz val="11"/>
      <color theme="8"/>
      <name val="等线"/>
      <family val="3"/>
      <charset val="134"/>
      <scheme val="minor"/>
    </font>
    <font>
      <b/>
      <i/>
      <sz val="11"/>
      <color theme="6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E8F1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71">
    <xf numFmtId="0" fontId="0" fillId="0" borderId="0" xfId="0"/>
    <xf numFmtId="0" fontId="1" fillId="2" borderId="1" xfId="3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176" fontId="11" fillId="2" borderId="0" xfId="0" applyNumberFormat="1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6" fontId="9" fillId="3" borderId="0" xfId="0" applyNumberFormat="1" applyFont="1" applyFill="1" applyAlignment="1">
      <alignment horizontal="center" vertical="center" wrapText="1"/>
    </xf>
    <xf numFmtId="176" fontId="9" fillId="4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76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76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76" fontId="9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76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0" borderId="1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3">
    <dxf>
      <font>
        <color rgb="FFFF0000"/>
      </font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9FF"/>
      <color rgb="FFA5E8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1/sharedlinks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pane xSplit="5" ySplit="3" topLeftCell="N7" activePane="bottomRight" state="frozen"/>
      <selection pane="topRight" activeCell="F1" sqref="F1"/>
      <selection pane="bottomLeft" activeCell="A4" sqref="A4"/>
      <selection pane="bottomRight" activeCell="Q27" sqref="Q27"/>
    </sheetView>
  </sheetViews>
  <sheetFormatPr defaultColWidth="9.125" defaultRowHeight="14.25" x14ac:dyDescent="0.2"/>
  <cols>
    <col min="1" max="1" width="10.5" style="7" customWidth="1"/>
    <col min="2" max="2" width="5.75" style="8" customWidth="1"/>
    <col min="3" max="3" width="11" style="9" customWidth="1"/>
    <col min="4" max="4" width="11.5" style="8" bestFit="1" customWidth="1"/>
    <col min="5" max="5" width="13.375" style="9" bestFit="1" customWidth="1"/>
    <col min="6" max="6" width="21.375" style="27" bestFit="1" customWidth="1"/>
    <col min="7" max="7" width="19.5" style="27" bestFit="1" customWidth="1"/>
    <col min="8" max="8" width="21.375" style="50" customWidth="1"/>
    <col min="9" max="9" width="21.875" style="53" bestFit="1" customWidth="1"/>
    <col min="10" max="12" width="34.375" style="53" bestFit="1" customWidth="1"/>
    <col min="13" max="13" width="22.625" style="27" customWidth="1"/>
    <col min="14" max="14" width="39" style="27" bestFit="1" customWidth="1"/>
    <col min="15" max="15" width="38.5" style="27" customWidth="1"/>
    <col min="16" max="17" width="9" style="7" customWidth="1"/>
    <col min="18" max="18" width="50.25" style="7" customWidth="1"/>
    <col min="19" max="19" width="11.75" style="7" customWidth="1"/>
    <col min="20" max="20" width="25.5" style="7" customWidth="1"/>
    <col min="21" max="21" width="59.875" style="7" bestFit="1" customWidth="1"/>
    <col min="22" max="16384" width="9.125" style="7"/>
  </cols>
  <sheetData>
    <row r="1" spans="1:21" s="4" customFormat="1" x14ac:dyDescent="0.2">
      <c r="A1" s="4" t="s">
        <v>0</v>
      </c>
      <c r="B1" s="13"/>
      <c r="C1" s="14"/>
      <c r="D1" s="13"/>
      <c r="E1" s="14"/>
      <c r="F1" s="4" t="s">
        <v>106</v>
      </c>
      <c r="G1" s="4" t="s">
        <v>108</v>
      </c>
      <c r="H1" s="25"/>
      <c r="I1" s="13"/>
      <c r="J1" s="13"/>
      <c r="K1" s="13"/>
      <c r="L1" s="13"/>
      <c r="M1" s="4" t="s">
        <v>102</v>
      </c>
      <c r="N1" s="4" t="s">
        <v>103</v>
      </c>
      <c r="O1" s="4" t="s">
        <v>1</v>
      </c>
      <c r="P1" s="4" t="s">
        <v>2</v>
      </c>
      <c r="Q1" s="4" t="s">
        <v>159</v>
      </c>
      <c r="R1" s="4" t="s">
        <v>3</v>
      </c>
      <c r="S1" s="4" t="s">
        <v>4</v>
      </c>
      <c r="T1" s="4" t="s">
        <v>5</v>
      </c>
      <c r="U1" s="4" t="s">
        <v>6</v>
      </c>
    </row>
    <row r="2" spans="1:21" s="5" customFormat="1" x14ac:dyDescent="0.2">
      <c r="A2" s="5" t="s">
        <v>7</v>
      </c>
      <c r="B2" s="13"/>
      <c r="C2" s="14"/>
      <c r="D2" s="13"/>
      <c r="E2" s="14"/>
      <c r="F2" s="5" t="s">
        <v>104</v>
      </c>
      <c r="G2" s="5" t="s">
        <v>104</v>
      </c>
      <c r="H2" s="19"/>
      <c r="I2" s="13"/>
      <c r="J2" s="13"/>
      <c r="K2" s="13"/>
      <c r="L2" s="13"/>
      <c r="M2" s="5" t="s">
        <v>104</v>
      </c>
      <c r="N2" s="5" t="s">
        <v>8</v>
      </c>
      <c r="O2" s="5" t="s">
        <v>8</v>
      </c>
      <c r="P2" s="5" t="s">
        <v>9</v>
      </c>
      <c r="Q2" s="5" t="s">
        <v>160</v>
      </c>
      <c r="R2" s="5" t="s">
        <v>162</v>
      </c>
      <c r="S2" s="5" t="s">
        <v>10</v>
      </c>
      <c r="T2" s="5" t="s">
        <v>8</v>
      </c>
      <c r="U2" s="5" t="s">
        <v>11</v>
      </c>
    </row>
    <row r="3" spans="1:21" s="6" customFormat="1" ht="42.75" x14ac:dyDescent="0.2">
      <c r="A3" s="16" t="s">
        <v>12</v>
      </c>
      <c r="B3" s="17" t="s">
        <v>13</v>
      </c>
      <c r="C3" s="18" t="s">
        <v>14</v>
      </c>
      <c r="D3" s="17" t="s">
        <v>15</v>
      </c>
      <c r="E3" s="18" t="s">
        <v>14</v>
      </c>
      <c r="F3" s="16" t="s">
        <v>107</v>
      </c>
      <c r="G3" s="16" t="s">
        <v>109</v>
      </c>
      <c r="H3" s="49" t="s">
        <v>114</v>
      </c>
      <c r="I3" s="52" t="s">
        <v>113</v>
      </c>
      <c r="J3" s="52" t="s">
        <v>115</v>
      </c>
      <c r="K3" s="52" t="s">
        <v>116</v>
      </c>
      <c r="L3" s="52" t="s">
        <v>121</v>
      </c>
      <c r="M3" s="16" t="s">
        <v>105</v>
      </c>
      <c r="N3" s="16" t="s">
        <v>16</v>
      </c>
      <c r="O3" s="16" t="s">
        <v>17</v>
      </c>
      <c r="P3" s="47" t="s">
        <v>18</v>
      </c>
      <c r="Q3" s="47" t="s">
        <v>161</v>
      </c>
      <c r="R3" s="48" t="s">
        <v>163</v>
      </c>
      <c r="S3" s="16" t="s">
        <v>19</v>
      </c>
      <c r="T3" s="16" t="s">
        <v>20</v>
      </c>
      <c r="U3" s="16" t="s">
        <v>21</v>
      </c>
    </row>
    <row r="4" spans="1:21" x14ac:dyDescent="0.2">
      <c r="A4" s="7">
        <v>0</v>
      </c>
      <c r="B4" s="8" t="s">
        <v>22</v>
      </c>
      <c r="C4" s="9" t="s">
        <v>23</v>
      </c>
      <c r="D4" s="8" t="s">
        <v>24</v>
      </c>
      <c r="E4" s="9" t="s">
        <v>25</v>
      </c>
      <c r="F4" s="27" t="str">
        <f>_xlfn.LET(_xlpm._id,$A4,_xlpm._output,_xlfn.TEXTJOIN("_",1,"weather_name",_xlpm._id),IF(_xlpm._id&lt;&gt;"",_xlpm._output,""))</f>
        <v>weather_name_0</v>
      </c>
      <c r="G4" s="27" t="str">
        <f>_xlfn.LET(_xlpm._id,$A4,_xlpm._output,_xlfn.TEXTJOIN("_",1,"weather_desc",_xlpm._id),IF(_xlpm._id&lt;&gt;"",_xlpm._output,""))</f>
        <v>weather_desc_0</v>
      </c>
      <c r="H4" s="51" t="str">
        <f>_xlfn.TEXTJOIN("&lt;br&gt;",1,IF(I4&lt;&gt;"",I4&amp;"&lt;br&gt;",""),_richtext_i(J4:L4))</f>
        <v>飞星不动，脱水脱水。&lt;br&gt;&lt;br&gt;&lt;i&gt;无特殊效果&lt;/i&gt;</v>
      </c>
      <c r="I4" s="53" t="s">
        <v>127</v>
      </c>
      <c r="J4" s="53" t="s">
        <v>110</v>
      </c>
      <c r="K4" s="54"/>
      <c r="L4" s="54"/>
      <c r="M4" s="27" t="str">
        <f>_xlfn.LET(_xlpm._id,$A4,_xlpm._output,_xlfn.TEXTJOIN("_",1,"ui_icon_weather",_xlpm._id),IF(_xlpm._id&lt;&gt;"",_xlpm._output,""))</f>
        <v>ui_icon_weather_0</v>
      </c>
      <c r="N4" s="28"/>
      <c r="O4" s="28"/>
      <c r="P4" s="28"/>
      <c r="Q4" s="28"/>
      <c r="R4" s="28"/>
      <c r="S4" s="28"/>
    </row>
    <row r="5" spans="1:21" x14ac:dyDescent="0.2">
      <c r="F5" s="27" t="str">
        <f t="shared" ref="F5:F25" si="0">_xlfn.LET(_xlpm._id,$A5,_xlpm._output,_xlfn.TEXTJOIN("_",1,"weather_name",_xlpm._id),IF(_xlpm._id&lt;&gt;"",_xlpm._output,""))</f>
        <v/>
      </c>
      <c r="G5" s="27" t="str">
        <f t="shared" ref="G5:G25" si="1">_xlfn.LET(_xlpm._id,$A5,_xlpm._output,_xlfn.TEXTJOIN("_",1,"weather_desc",_xlpm._id),IF(_xlpm._id&lt;&gt;"",_xlpm._output,""))</f>
        <v/>
      </c>
      <c r="H5" s="51" t="str">
        <f>_xlfn.TEXTJOIN("&lt;br&gt;",1,IF(I5&lt;&gt;"",I5&amp;"&lt;br&gt;",""),_richtext_i(J5:L5))</f>
        <v/>
      </c>
      <c r="M5" s="27" t="str">
        <f t="shared" ref="M5:M25" si="2">_xlfn.LET(_xlpm._id,$A5,_xlpm._output,_xlfn.TEXTJOIN("_",1,"ui_icon_weather",_xlpm._id),IF(_xlpm._id&lt;&gt;"",_xlpm._output,""))</f>
        <v/>
      </c>
    </row>
    <row r="6" spans="1:21" x14ac:dyDescent="0.2">
      <c r="A6" s="7">
        <v>460100</v>
      </c>
      <c r="B6" s="8" t="s">
        <v>22</v>
      </c>
      <c r="C6" s="9" t="s">
        <v>155</v>
      </c>
      <c r="D6" s="8" t="s">
        <v>156</v>
      </c>
      <c r="E6" s="9" t="s">
        <v>157</v>
      </c>
      <c r="F6" s="27" t="str">
        <f t="shared" si="0"/>
        <v>weather_name_460100</v>
      </c>
      <c r="G6" s="27" t="str">
        <f t="shared" si="1"/>
        <v>weather_desc_460100</v>
      </c>
      <c r="H6" s="51" t="str">
        <f>_xlfn.TEXTJOIN("&lt;br&gt;",1,IF(I6&lt;&gt;"",I6&amp;"&lt;br&gt;",""),_richtext_i(J6:L6))</f>
        <v>九幽之下，不见天日。&lt;br&gt;&lt;br&gt;&lt;i&gt;无特殊效果&lt;/i&gt;</v>
      </c>
      <c r="I6" s="53" t="s">
        <v>158</v>
      </c>
      <c r="J6" s="53" t="s">
        <v>110</v>
      </c>
      <c r="K6" s="54"/>
      <c r="L6" s="54"/>
      <c r="M6" s="27" t="str">
        <f>_xlfn.LET(_xlpm._id,$A6,_xlpm._output,_xlfn.TEXTJOIN("_",1,"ui_icon_weather",_xlpm._id),IF(_xlpm._id&lt;&gt;"",_xlpm._output,""))</f>
        <v>ui_icon_weather_460100</v>
      </c>
      <c r="N6" s="28"/>
      <c r="O6" s="28"/>
      <c r="P6" s="28"/>
      <c r="Q6" s="28"/>
      <c r="R6" s="28"/>
      <c r="S6" s="28"/>
    </row>
    <row r="7" spans="1:21" x14ac:dyDescent="0.2">
      <c r="H7" s="51" t="str">
        <f>_xlfn.TEXTJOIN("&lt;br&gt;",1,IF(I7&lt;&gt;"",I7&amp;"&lt;br&gt;",""),_richtext_i(J7:L7))</f>
        <v/>
      </c>
    </row>
    <row r="8" spans="1:21" x14ac:dyDescent="0.2">
      <c r="A8" s="7">
        <v>460400</v>
      </c>
      <c r="B8" s="8" t="s">
        <v>22</v>
      </c>
      <c r="C8" s="9" t="s">
        <v>93</v>
      </c>
      <c r="D8" s="8" t="s">
        <v>151</v>
      </c>
      <c r="E8" s="9" t="s">
        <v>25</v>
      </c>
      <c r="F8" s="27" t="str">
        <f t="shared" si="0"/>
        <v>weather_name_460400</v>
      </c>
      <c r="G8" s="27" t="str">
        <f t="shared" si="1"/>
        <v>weather_desc_460400</v>
      </c>
      <c r="H8" s="51" t="str">
        <f>_xlfn.TEXTJOIN("&lt;br&gt;",1,IF(I8&lt;&gt;"",I8&amp;"&lt;br&gt;",""),_richtext_i(J8:L8))</f>
        <v>日照芳林，金光如霰。&lt;br&gt;&lt;br&gt;&lt;i&gt;无特殊效果&lt;/i&gt;</v>
      </c>
      <c r="I8" s="53" t="s">
        <v>139</v>
      </c>
      <c r="J8" s="53" t="s">
        <v>110</v>
      </c>
      <c r="K8" s="54"/>
      <c r="L8" s="54"/>
      <c r="M8" s="55" t="s">
        <v>125</v>
      </c>
      <c r="N8" s="28"/>
      <c r="O8" s="28"/>
      <c r="P8" s="28"/>
      <c r="Q8" s="28"/>
      <c r="R8" s="28"/>
      <c r="S8" s="28"/>
    </row>
    <row r="9" spans="1:21" x14ac:dyDescent="0.2">
      <c r="A9" s="7">
        <v>460401</v>
      </c>
      <c r="B9" s="8" t="s">
        <v>92</v>
      </c>
      <c r="C9" s="9" t="s">
        <v>93</v>
      </c>
      <c r="D9" s="8" t="s">
        <v>94</v>
      </c>
      <c r="E9" s="9" t="s">
        <v>97</v>
      </c>
      <c r="F9" s="27" t="str">
        <f t="shared" si="0"/>
        <v>weather_name_460401</v>
      </c>
      <c r="G9" s="27" t="str">
        <f t="shared" si="1"/>
        <v>weather_desc_460401</v>
      </c>
      <c r="H9" s="51" t="str">
        <f>_xlfn.TEXTJOIN("&lt;br&gt;",1,IF(I9&lt;&gt;"",I9&amp;"&lt;br&gt;",""),_richtext_i(J9:L9))</f>
        <v>薄雾朦胧，如梦似幻。&lt;br&gt;&lt;br&gt;&lt;i&gt;限制视野范围（轻微）&lt;/i&gt;</v>
      </c>
      <c r="I9" s="53" t="s">
        <v>128</v>
      </c>
      <c r="J9" s="53" t="s">
        <v>143</v>
      </c>
      <c r="K9" s="54"/>
      <c r="L9" s="54"/>
      <c r="M9" s="27" t="str">
        <f t="shared" si="2"/>
        <v>ui_icon_weather_460401</v>
      </c>
      <c r="N9" s="27" t="str">
        <f>_xlfn.TEXTJOIN("_",1,"weather",$A9,$C9,$E9)</f>
        <v>weather_460401_treetop_mist</v>
      </c>
      <c r="O9" s="28"/>
      <c r="P9" s="28"/>
      <c r="Q9" s="28"/>
      <c r="R9" s="28"/>
      <c r="S9" s="28"/>
    </row>
    <row r="10" spans="1:21" x14ac:dyDescent="0.2">
      <c r="A10" s="7">
        <v>460402</v>
      </c>
      <c r="B10" s="8" t="s">
        <v>92</v>
      </c>
      <c r="C10" s="9" t="s">
        <v>93</v>
      </c>
      <c r="D10" s="8" t="s">
        <v>138</v>
      </c>
      <c r="E10" s="9" t="s">
        <v>98</v>
      </c>
      <c r="F10" s="27" t="str">
        <f t="shared" si="0"/>
        <v>weather_name_460402</v>
      </c>
      <c r="G10" s="27" t="str">
        <f t="shared" si="1"/>
        <v>weather_desc_460402</v>
      </c>
      <c r="H10" s="51" t="str">
        <f>_xlfn.TEXTJOIN("&lt;br&gt;",1,IF(I10&lt;&gt;"",I10&amp;"&lt;br&gt;",""),_richtext_i(J10:L10))</f>
        <v>林雾环绕，鸟兽隐现。&lt;br&gt;&lt;br&gt;&lt;i&gt;限制视野范围（中等）&lt;/i&gt;&lt;br&gt;&lt;i&gt;浓雾中刷出各种丛林生物&lt;/i&gt;</v>
      </c>
      <c r="I10" s="53" t="s">
        <v>140</v>
      </c>
      <c r="J10" s="53" t="s">
        <v>144</v>
      </c>
      <c r="K10" s="53" t="s">
        <v>141</v>
      </c>
      <c r="L10" s="54"/>
      <c r="M10" s="27" t="str">
        <f t="shared" si="2"/>
        <v>ui_icon_weather_460402</v>
      </c>
      <c r="N10" s="27" t="str">
        <f>_xlfn.TEXTJOIN("_",1,"weather",$A10,$C10,$E10)</f>
        <v>weather_460402_treetop_fog</v>
      </c>
      <c r="O10" s="28"/>
      <c r="P10" s="7">
        <f>A10</f>
        <v>460402</v>
      </c>
      <c r="R10" s="28"/>
      <c r="S10" s="28"/>
    </row>
    <row r="11" spans="1:21" x14ac:dyDescent="0.2">
      <c r="A11" s="7">
        <v>460403</v>
      </c>
      <c r="B11" s="8" t="s">
        <v>92</v>
      </c>
      <c r="C11" s="9" t="s">
        <v>93</v>
      </c>
      <c r="D11" s="8" t="s">
        <v>95</v>
      </c>
      <c r="E11" s="9" t="s">
        <v>99</v>
      </c>
      <c r="F11" s="27" t="str">
        <f t="shared" si="0"/>
        <v>weather_name_460403</v>
      </c>
      <c r="G11" s="27" t="str">
        <f t="shared" si="1"/>
        <v>weather_desc_460403</v>
      </c>
      <c r="H11" s="51" t="str">
        <f>_xlfn.TEXTJOIN("&lt;br&gt;",1,IF(I11&lt;&gt;"",I11&amp;"&lt;br&gt;",""),_richtext_i(J11:L11))</f>
        <v>妖雾乍起，妖邪初现。&lt;br&gt;&lt;br&gt;&lt;i&gt;限制视野范围（中等）&lt;/i&gt;&lt;br&gt;&lt;i&gt;浓雾中刷出各种魔物&lt;/i&gt;</v>
      </c>
      <c r="I11" s="53" t="s">
        <v>147</v>
      </c>
      <c r="J11" s="53" t="s">
        <v>144</v>
      </c>
      <c r="K11" s="53" t="s">
        <v>142</v>
      </c>
      <c r="L11" s="54"/>
      <c r="M11" s="27" t="str">
        <f t="shared" si="2"/>
        <v>ui_icon_weather_460403</v>
      </c>
      <c r="N11" s="27" t="str">
        <f>_xlfn.TEXTJOIN("_",1,"weather",$A11,$C11,$E11)</f>
        <v>weather_460403_treetop_black_fog</v>
      </c>
      <c r="O11" s="28"/>
      <c r="P11" s="7">
        <f>A11</f>
        <v>460403</v>
      </c>
      <c r="R11" s="28"/>
      <c r="S11" s="28"/>
    </row>
    <row r="12" spans="1:21" x14ac:dyDescent="0.2">
      <c r="A12" s="7">
        <v>460404</v>
      </c>
      <c r="B12" s="8" t="s">
        <v>92</v>
      </c>
      <c r="C12" s="9" t="s">
        <v>93</v>
      </c>
      <c r="D12" s="8" t="s">
        <v>96</v>
      </c>
      <c r="E12" s="9" t="s">
        <v>100</v>
      </c>
      <c r="F12" s="27" t="str">
        <f t="shared" si="0"/>
        <v>weather_name_460404</v>
      </c>
      <c r="G12" s="27" t="str">
        <f t="shared" si="1"/>
        <v>weather_desc_460404</v>
      </c>
      <c r="H12" s="51" t="str">
        <f>_xlfn.TEXTJOIN("&lt;br&gt;",1,IF(I12&lt;&gt;"",I12&amp;"&lt;br&gt;",""),_richtext_i(J12:L12))</f>
        <v>浓雾弥漫，鬼魅丛生。&lt;br&gt;&lt;br&gt;&lt;i&gt;限制视野范围（中等）&lt;/i&gt;&lt;br&gt;&lt;i&gt;浓雾中刷出各种魔物&lt;/i&gt;&lt;br&gt;&lt;i&gt;所有魔物快速回血&lt;/i&gt;</v>
      </c>
      <c r="I12" s="53" t="s">
        <v>146</v>
      </c>
      <c r="J12" s="53" t="s">
        <v>144</v>
      </c>
      <c r="K12" s="53" t="s">
        <v>142</v>
      </c>
      <c r="L12" s="53" t="s">
        <v>145</v>
      </c>
      <c r="M12" s="27" t="str">
        <f t="shared" si="2"/>
        <v>ui_icon_weather_460404</v>
      </c>
      <c r="N12" s="27" t="str">
        <f>_xlfn.TEXTJOIN("_",1,"weather",$A12,$C12,$E12)</f>
        <v>weather_460404_treetop_thick_black_fog</v>
      </c>
      <c r="O12" s="28"/>
      <c r="P12" s="7">
        <f>A12</f>
        <v>460404</v>
      </c>
      <c r="R12" s="29" t="s">
        <v>164</v>
      </c>
      <c r="S12" s="28"/>
      <c r="U12" s="29"/>
    </row>
    <row r="13" spans="1:21" x14ac:dyDescent="0.2">
      <c r="F13" s="27" t="str">
        <f t="shared" si="0"/>
        <v/>
      </c>
      <c r="G13" s="27" t="str">
        <f t="shared" si="1"/>
        <v/>
      </c>
      <c r="H13" s="51" t="str">
        <f>_xlfn.TEXTJOIN("&lt;br&gt;",1,IF(I13&lt;&gt;"",I13&amp;"&lt;br&gt;",""),_richtext_i(J13:L13))</f>
        <v/>
      </c>
      <c r="M13" s="27" t="str">
        <f t="shared" si="2"/>
        <v/>
      </c>
    </row>
    <row r="14" spans="1:21" x14ac:dyDescent="0.2">
      <c r="A14" s="7">
        <v>460700</v>
      </c>
      <c r="B14" s="8" t="s">
        <v>84</v>
      </c>
      <c r="C14" s="9" t="s">
        <v>83</v>
      </c>
      <c r="D14" s="8" t="s">
        <v>153</v>
      </c>
      <c r="E14" s="9" t="s">
        <v>25</v>
      </c>
      <c r="F14" s="27" t="str">
        <f t="shared" si="0"/>
        <v>weather_name_460700</v>
      </c>
      <c r="G14" s="27" t="str">
        <f>_xlfn.LET(_xlpm._id,$A14,_xlpm._output,_xlfn.TEXTJOIN("_",1,"weather_desc",_xlpm._id),IF(_xlpm._id&lt;&gt;"",_xlpm._output,""))</f>
        <v>weather_desc_460700</v>
      </c>
      <c r="H14" s="51" t="str">
        <f>_xlfn.TEXTJOIN("&lt;br&gt;",1,IF(I14&lt;&gt;"",I14&amp;"&lt;br&gt;",""),_richtext_i(J14:L14))</f>
        <v>烈日当空，赤地千里。&lt;br&gt;&lt;br&gt;&lt;i&gt;无特殊效果&lt;/i&gt;</v>
      </c>
      <c r="I14" s="53" t="s">
        <v>135</v>
      </c>
      <c r="J14" s="53" t="s">
        <v>110</v>
      </c>
      <c r="K14" s="54"/>
      <c r="L14" s="54"/>
      <c r="M14" s="55" t="s">
        <v>125</v>
      </c>
      <c r="N14" s="28"/>
      <c r="O14" s="28"/>
      <c r="P14" s="28"/>
      <c r="Q14" s="28"/>
      <c r="R14" s="28"/>
      <c r="S14" s="28"/>
    </row>
    <row r="15" spans="1:21" x14ac:dyDescent="0.2">
      <c r="A15" s="7">
        <v>460701</v>
      </c>
      <c r="B15" s="8" t="s">
        <v>84</v>
      </c>
      <c r="C15" s="9" t="s">
        <v>83</v>
      </c>
      <c r="D15" s="8" t="s">
        <v>85</v>
      </c>
      <c r="E15" s="9" t="s">
        <v>87</v>
      </c>
      <c r="F15" s="27" t="str">
        <f t="shared" si="0"/>
        <v>weather_name_460701</v>
      </c>
      <c r="G15" s="27" t="str">
        <f t="shared" si="1"/>
        <v>weather_desc_460701</v>
      </c>
      <c r="H15" s="51" t="str">
        <f>_xlfn.TEXTJOIN("&lt;br&gt;",1,IF(I15&lt;&gt;"",I15&amp;"&lt;br&gt;",""),_richtext_i(J15:L15))</f>
        <v>扬尘四起，八方迷离。&lt;br&gt;&lt;br&gt;&lt;i&gt;所有飞射物额外产生20%未命中几率。&lt;/i&gt;</v>
      </c>
      <c r="I15" s="53" t="s">
        <v>137</v>
      </c>
      <c r="J15" s="53" t="s">
        <v>123</v>
      </c>
      <c r="K15" s="54"/>
      <c r="L15" s="54"/>
      <c r="M15" s="27" t="str">
        <f t="shared" si="2"/>
        <v>ui_icon_weather_460701</v>
      </c>
      <c r="N15" s="27" t="str">
        <f>_xlfn.TEXTJOIN("_",1,"weather",$A15,$C15,$E15)</f>
        <v>weather_460701_desert_fugitive_dust</v>
      </c>
      <c r="O15" s="28"/>
      <c r="P15" s="28"/>
      <c r="Q15" s="28"/>
      <c r="R15" s="28"/>
      <c r="S15" s="28"/>
    </row>
    <row r="16" spans="1:21" x14ac:dyDescent="0.2">
      <c r="A16" s="7">
        <v>460702</v>
      </c>
      <c r="B16" s="8" t="s">
        <v>84</v>
      </c>
      <c r="C16" s="9" t="s">
        <v>83</v>
      </c>
      <c r="D16" s="8" t="s">
        <v>86</v>
      </c>
      <c r="E16" s="9" t="s">
        <v>88</v>
      </c>
      <c r="F16" s="27" t="str">
        <f t="shared" si="0"/>
        <v>weather_name_460702</v>
      </c>
      <c r="G16" s="27" t="str">
        <f t="shared" si="1"/>
        <v>weather_desc_460702</v>
      </c>
      <c r="H16" s="51" t="str">
        <f>_xlfn.TEXTJOIN("&lt;br&gt;",1,IF(I16&lt;&gt;"",I16&amp;"&lt;br&gt;",""),_richtext_i(J16:L16))</f>
        <v>沙暴肆虐，遮天蔽日。&lt;br&gt;&lt;br&gt;&lt;i&gt;所有飞射物额外产生80%未命中几率。&lt;/i&gt;</v>
      </c>
      <c r="I16" s="53" t="s">
        <v>112</v>
      </c>
      <c r="J16" s="53" t="s">
        <v>124</v>
      </c>
      <c r="K16" s="54"/>
      <c r="L16" s="54"/>
      <c r="M16" s="27" t="str">
        <f t="shared" si="2"/>
        <v>ui_icon_weather_460702</v>
      </c>
      <c r="N16" s="27" t="str">
        <f>_xlfn.TEXTJOIN("_",1,"weather",$A16,$C16,$E16)</f>
        <v>weather_460702_desert_sand_storm</v>
      </c>
      <c r="O16" s="28"/>
      <c r="P16" s="28"/>
      <c r="Q16" s="28"/>
      <c r="R16" s="28"/>
      <c r="S16" s="28"/>
    </row>
    <row r="17" spans="1:21" x14ac:dyDescent="0.2">
      <c r="A17" s="7">
        <v>460703</v>
      </c>
      <c r="B17" s="8" t="s">
        <v>84</v>
      </c>
      <c r="C17" s="9" t="s">
        <v>83</v>
      </c>
      <c r="D17" s="8" t="s">
        <v>132</v>
      </c>
      <c r="E17" s="9" t="s">
        <v>89</v>
      </c>
      <c r="F17" s="27" t="str">
        <f t="shared" si="0"/>
        <v>weather_name_460703</v>
      </c>
      <c r="G17" s="27" t="str">
        <f t="shared" si="1"/>
        <v>weather_desc_460703</v>
      </c>
      <c r="H17" s="51" t="str">
        <f>_xlfn.TEXTJOIN("&lt;br&gt;",1,IF(I17&lt;&gt;"",I17&amp;"&lt;br&gt;",""),_richtext_i(J17:L17))</f>
        <v>遍地积沙，长路难行。&lt;br&gt;&lt;br&gt;&lt;i&gt;减缓车辆移速。&lt;/i&gt;&lt;br&gt;&lt;i&gt;周期性从流沙中生成沙漠蛇与毒蝎。&lt;/i&gt;</v>
      </c>
      <c r="I17" s="53" t="s">
        <v>136</v>
      </c>
      <c r="J17" s="53" t="s">
        <v>117</v>
      </c>
      <c r="K17" s="53" t="s">
        <v>118</v>
      </c>
      <c r="L17" s="54"/>
      <c r="M17" s="27" t="str">
        <f t="shared" si="2"/>
        <v>ui_icon_weather_460703</v>
      </c>
      <c r="N17" s="27" t="str">
        <f>_xlfn.TEXTJOIN("_",1,"weather",$A17,$C17,$E17)</f>
        <v>weather_460703_desert_quicksand</v>
      </c>
      <c r="O17" s="28"/>
      <c r="P17" s="7">
        <f>A17</f>
        <v>460703</v>
      </c>
      <c r="R17" s="28"/>
      <c r="S17" s="28"/>
    </row>
    <row r="18" spans="1:21" x14ac:dyDescent="0.2">
      <c r="A18" s="7">
        <v>460704</v>
      </c>
      <c r="B18" s="8" t="s">
        <v>84</v>
      </c>
      <c r="C18" s="9" t="s">
        <v>83</v>
      </c>
      <c r="D18" s="8" t="s">
        <v>133</v>
      </c>
      <c r="E18" s="9" t="s">
        <v>90</v>
      </c>
      <c r="F18" s="27" t="str">
        <f t="shared" si="0"/>
        <v>weather_name_460704</v>
      </c>
      <c r="G18" s="27" t="str">
        <f t="shared" si="1"/>
        <v>weather_desc_460704</v>
      </c>
      <c r="H18" s="51" t="str">
        <f>_xlfn.TEXTJOIN("&lt;br&gt;",1,IF(I18&lt;&gt;"",I18&amp;"&lt;br&gt;",""),_richtext_i(J18:L18))</f>
        <v>流沙在下，扬尘在前。&lt;br&gt;&lt;br&gt;&lt;i&gt;减缓车辆移速。&lt;/i&gt;&lt;br&gt;&lt;i&gt;周期性从流沙中生成沙漠蛇与毒蝎。&lt;/i&gt;&lt;br&gt;&lt;i&gt;所有飞射物额外产生30%未命中几率。&lt;/i&gt;</v>
      </c>
      <c r="I18" s="53" t="s">
        <v>149</v>
      </c>
      <c r="J18" s="53" t="s">
        <v>117</v>
      </c>
      <c r="K18" s="53" t="s">
        <v>118</v>
      </c>
      <c r="L18" s="53" t="s">
        <v>148</v>
      </c>
      <c r="M18" s="27" t="str">
        <f t="shared" si="2"/>
        <v>ui_icon_weather_460704</v>
      </c>
      <c r="N18" s="27" t="str">
        <f>_xlfn.TEXTJOIN("_",1,"weather",$A18,$C18,$E18)</f>
        <v>weather_460704_desert_qs_and_fd</v>
      </c>
      <c r="O18" s="28"/>
      <c r="P18" s="7">
        <f>A18</f>
        <v>460704</v>
      </c>
      <c r="R18" s="28"/>
      <c r="S18" s="28"/>
      <c r="U18" s="29"/>
    </row>
    <row r="19" spans="1:21" x14ac:dyDescent="0.2">
      <c r="A19" s="7">
        <v>460705</v>
      </c>
      <c r="B19" s="8" t="s">
        <v>84</v>
      </c>
      <c r="C19" s="9" t="s">
        <v>83</v>
      </c>
      <c r="D19" s="8" t="s">
        <v>134</v>
      </c>
      <c r="E19" s="9" t="s">
        <v>91</v>
      </c>
      <c r="F19" s="27" t="str">
        <f t="shared" si="0"/>
        <v>weather_name_460705</v>
      </c>
      <c r="G19" s="27" t="str">
        <f t="shared" si="1"/>
        <v>weather_desc_460705</v>
      </c>
      <c r="H19" s="51" t="str">
        <f>_xlfn.TEXTJOIN("&lt;br&gt;",1,IF(I19&lt;&gt;"",I19&amp;"&lt;br&gt;",""),_richtext_i(J19:L19))</f>
        <v>困于深沙，陷于尘暴。&lt;br&gt;&lt;br&gt;&lt;i&gt;减缓车辆移速。&lt;/i&gt;&lt;br&gt;&lt;i&gt;周期性从流沙中生成沙漠蛇与毒蝎。&lt;/i&gt;&lt;br&gt;&lt;i&gt;所有飞射物额外产生80%未命中几率。&lt;/i&gt;</v>
      </c>
      <c r="I19" s="53" t="s">
        <v>150</v>
      </c>
      <c r="J19" s="53" t="s">
        <v>117</v>
      </c>
      <c r="K19" s="53" t="s">
        <v>118</v>
      </c>
      <c r="L19" s="53" t="s">
        <v>124</v>
      </c>
      <c r="M19" s="27" t="str">
        <f t="shared" si="2"/>
        <v>ui_icon_weather_460705</v>
      </c>
      <c r="N19" s="27" t="str">
        <f>_xlfn.TEXTJOIN("_",1,"weather",$A19,$C19,$E19)</f>
        <v>weather_460705_desert_qs_and_ss</v>
      </c>
      <c r="O19" s="28"/>
      <c r="P19" s="7">
        <f>A19</f>
        <v>460705</v>
      </c>
      <c r="R19" s="28"/>
      <c r="S19" s="28"/>
      <c r="U19" s="29"/>
    </row>
    <row r="20" spans="1:21" x14ac:dyDescent="0.2">
      <c r="F20" s="27" t="str">
        <f t="shared" si="0"/>
        <v/>
      </c>
      <c r="G20" s="27" t="str">
        <f t="shared" si="1"/>
        <v/>
      </c>
      <c r="H20" s="51" t="str">
        <f>_xlfn.TEXTJOIN("&lt;br&gt;",1,IF(I20&lt;&gt;"",I20&amp;"&lt;br&gt;",""),_richtext_i(J20:L20))</f>
        <v/>
      </c>
      <c r="M20" s="27" t="str">
        <f t="shared" si="2"/>
        <v/>
      </c>
    </row>
    <row r="21" spans="1:21" x14ac:dyDescent="0.2">
      <c r="A21" s="7">
        <v>460800</v>
      </c>
      <c r="B21" s="8" t="s">
        <v>26</v>
      </c>
      <c r="C21" s="9" t="s">
        <v>27</v>
      </c>
      <c r="D21" s="8" t="s">
        <v>152</v>
      </c>
      <c r="E21" s="9" t="s">
        <v>25</v>
      </c>
      <c r="F21" s="27" t="str">
        <f t="shared" si="0"/>
        <v>weather_name_460800</v>
      </c>
      <c r="G21" s="27" t="str">
        <f>_xlfn.LET(_xlpm._id,$A21,_xlpm._output,_xlfn.TEXTJOIN("_",1,"weather_desc",_xlpm._id),IF(_xlpm._id&lt;&gt;"",_xlpm._output,""))</f>
        <v>weather_desc_460800</v>
      </c>
      <c r="H21" s="51" t="str">
        <f>_xlfn.TEXTJOIN("&lt;br&gt;",1,IF(I21&lt;&gt;"",I21&amp;"&lt;br&gt;",""),_richtext_i(J21:L21))</f>
        <v>暖阳高照，正当其时。&lt;br&gt;&lt;br&gt;&lt;i&gt;无特殊效果&lt;/i&gt;</v>
      </c>
      <c r="I21" s="53" t="s">
        <v>126</v>
      </c>
      <c r="J21" s="53" t="s">
        <v>110</v>
      </c>
      <c r="K21" s="54"/>
      <c r="L21" s="54"/>
      <c r="M21" s="55" t="s">
        <v>125</v>
      </c>
      <c r="N21" s="28"/>
      <c r="O21" s="28"/>
      <c r="P21" s="28"/>
      <c r="Q21" s="28"/>
      <c r="R21" s="28"/>
      <c r="S21" s="28"/>
    </row>
    <row r="22" spans="1:21" x14ac:dyDescent="0.2">
      <c r="A22" s="7">
        <v>460801</v>
      </c>
      <c r="B22" s="8" t="s">
        <v>26</v>
      </c>
      <c r="C22" s="9" t="s">
        <v>27</v>
      </c>
      <c r="D22" s="8" t="s">
        <v>28</v>
      </c>
      <c r="E22" s="9" t="s">
        <v>29</v>
      </c>
      <c r="F22" s="27" t="str">
        <f t="shared" si="0"/>
        <v>weather_name_460801</v>
      </c>
      <c r="G22" s="27" t="str">
        <f t="shared" si="1"/>
        <v>weather_desc_460801</v>
      </c>
      <c r="H22" s="51" t="str">
        <f>_xlfn.TEXTJOIN("&lt;br&gt;",1,IF(I22&lt;&gt;"",I22&amp;"&lt;br&gt;",""),_richtext_i(J22:L22))</f>
        <v>乌云密布，山雨欲来。&lt;br&gt;&lt;br&gt;&lt;i&gt;无特殊效果&lt;/i&gt;</v>
      </c>
      <c r="I22" s="53" t="s">
        <v>129</v>
      </c>
      <c r="J22" s="53" t="s">
        <v>110</v>
      </c>
      <c r="K22" s="54"/>
      <c r="L22" s="54"/>
      <c r="M22" s="27" t="str">
        <f t="shared" si="2"/>
        <v>ui_icon_weather_460801</v>
      </c>
      <c r="N22" s="27" t="str">
        <f>_xlfn.TEXTJOIN("_",1,"weather",$A22,$C22,$E22)</f>
        <v>weather_460801_lake_dark_clouds</v>
      </c>
      <c r="O22" s="28"/>
      <c r="P22" s="28"/>
      <c r="Q22" s="28"/>
      <c r="R22" s="28"/>
      <c r="S22" s="28"/>
    </row>
    <row r="23" spans="1:21" x14ac:dyDescent="0.2">
      <c r="A23" s="7">
        <v>460802</v>
      </c>
      <c r="B23" s="8" t="s">
        <v>26</v>
      </c>
      <c r="C23" s="9" t="s">
        <v>27</v>
      </c>
      <c r="D23" s="8" t="s">
        <v>30</v>
      </c>
      <c r="E23" s="9" t="s">
        <v>31</v>
      </c>
      <c r="F23" s="27" t="str">
        <f t="shared" si="0"/>
        <v>weather_name_460802</v>
      </c>
      <c r="G23" s="27" t="str">
        <f t="shared" si="1"/>
        <v>weather_desc_460802</v>
      </c>
      <c r="H23" s="51" t="str">
        <f>_xlfn.TEXTJOIN("&lt;br&gt;",1,IF(I23&lt;&gt;"",I23&amp;"&lt;br&gt;",""),_richtext_i(J23:L23))</f>
        <v>细雨朦胧，润物无声。&lt;br&gt;&lt;br&gt;&lt;i&gt;所有水生生物周期性获得生命恢复。&lt;/i&gt;&lt;br&gt;&lt;i&gt;持续移除场景中的燃烧与酸蚀效果。&lt;/i&gt;</v>
      </c>
      <c r="I23" s="53" t="s">
        <v>111</v>
      </c>
      <c r="J23" s="53" t="s">
        <v>119</v>
      </c>
      <c r="K23" s="53" t="s">
        <v>120</v>
      </c>
      <c r="L23" s="54"/>
      <c r="M23" s="27" t="str">
        <f t="shared" si="2"/>
        <v>ui_icon_weather_460802</v>
      </c>
      <c r="N23" s="27" t="str">
        <f>_xlfn.TEXTJOIN("_",1,"weather",$A23,$C23,$E23)</f>
        <v>weather_460802_lake_rain</v>
      </c>
      <c r="O23" s="28"/>
      <c r="P23" s="28"/>
      <c r="Q23" s="29" t="s">
        <v>166</v>
      </c>
      <c r="R23" s="29" t="s">
        <v>167</v>
      </c>
      <c r="S23" s="7" t="s">
        <v>32</v>
      </c>
      <c r="T23" s="29" t="s">
        <v>165</v>
      </c>
    </row>
    <row r="24" spans="1:21" x14ac:dyDescent="0.2">
      <c r="A24" s="7">
        <v>460803</v>
      </c>
      <c r="B24" s="8" t="s">
        <v>26</v>
      </c>
      <c r="C24" s="9" t="s">
        <v>27</v>
      </c>
      <c r="D24" s="8" t="s">
        <v>33</v>
      </c>
      <c r="E24" s="9" t="s">
        <v>34</v>
      </c>
      <c r="F24" s="27" t="str">
        <f t="shared" si="0"/>
        <v>weather_name_460803</v>
      </c>
      <c r="G24" s="27" t="str">
        <f t="shared" si="1"/>
        <v>weather_desc_460803</v>
      </c>
      <c r="H24" s="51" t="str">
        <f>_xlfn.TEXTJOIN("&lt;br&gt;",1,IF(I24&lt;&gt;"",I24&amp;"&lt;br&gt;",""),_richtext_i(J24:L24))</f>
        <v>暴雨如注，倾盆如瀑。&lt;br&gt;&lt;br&gt;&lt;i&gt;所有水生生物周期性获得生命恢复。&lt;/i&gt;&lt;br&gt;&lt;i&gt;持续移除场景中的燃烧与酸蚀效果。&lt;/i&gt;&lt;br&gt;&lt;i&gt;不断有螃蟹从天空中掉下。&lt;/i&gt;</v>
      </c>
      <c r="I24" s="53" t="s">
        <v>130</v>
      </c>
      <c r="J24" s="53" t="s">
        <v>119</v>
      </c>
      <c r="K24" s="53" t="s">
        <v>120</v>
      </c>
      <c r="L24" s="53" t="s">
        <v>122</v>
      </c>
      <c r="M24" s="27" t="str">
        <f t="shared" si="2"/>
        <v>ui_icon_weather_460803</v>
      </c>
      <c r="N24" s="27" t="str">
        <f>_xlfn.TEXTJOIN("_",1,"weather",$A24,$C24,$E24)</f>
        <v>weather_460803_lake_storm</v>
      </c>
      <c r="O24" s="28"/>
      <c r="P24" s="7">
        <f>A24</f>
        <v>460803</v>
      </c>
      <c r="Q24" s="29" t="s">
        <v>166</v>
      </c>
      <c r="R24" s="29" t="s">
        <v>168</v>
      </c>
      <c r="S24" s="7" t="s">
        <v>32</v>
      </c>
      <c r="T24" s="29" t="s">
        <v>165</v>
      </c>
    </row>
    <row r="25" spans="1:21" x14ac:dyDescent="0.2">
      <c r="A25" s="7">
        <v>460804</v>
      </c>
      <c r="B25" s="8" t="s">
        <v>26</v>
      </c>
      <c r="C25" s="9" t="s">
        <v>27</v>
      </c>
      <c r="D25" s="8" t="s">
        <v>35</v>
      </c>
      <c r="E25" s="9" t="s">
        <v>81</v>
      </c>
      <c r="F25" s="27" t="str">
        <f t="shared" si="0"/>
        <v>weather_name_460804</v>
      </c>
      <c r="G25" s="27" t="str">
        <f t="shared" si="1"/>
        <v>weather_desc_460804</v>
      </c>
      <c r="H25" s="51" t="str">
        <f>_xlfn.TEXTJOIN("&lt;br&gt;",1,IF(I25&lt;&gt;"",I25&amp;"&lt;br&gt;",""),_richtext_i(J25:L25))</f>
        <v>惊雷动地，霹雳破空。&lt;br&gt;&lt;br&gt;&lt;i&gt;所有水生生物周期性获得生命恢复。&lt;/i&gt;&lt;br&gt;&lt;i&gt;持续移除场景中的燃烧与酸蚀效果。&lt;/i&gt;&lt;br&gt;&lt;i&gt;不断有螃蟹从天空中掉下。&lt;/i&gt;</v>
      </c>
      <c r="I25" s="53" t="s">
        <v>131</v>
      </c>
      <c r="J25" s="53" t="s">
        <v>119</v>
      </c>
      <c r="K25" s="53" t="s">
        <v>120</v>
      </c>
      <c r="L25" s="53" t="s">
        <v>122</v>
      </c>
      <c r="M25" s="27" t="str">
        <f t="shared" si="2"/>
        <v>ui_icon_weather_460804</v>
      </c>
      <c r="N25" s="27" t="str">
        <f>_xlfn.TEXTJOIN("_",1,"weather",$A25,$C25,$E25)</f>
        <v>weather_460804_lake_thunderstorm</v>
      </c>
      <c r="O25" s="28"/>
      <c r="P25" s="7">
        <f>A25</f>
        <v>460804</v>
      </c>
      <c r="Q25" s="29" t="s">
        <v>166</v>
      </c>
      <c r="R25" s="29" t="s">
        <v>168</v>
      </c>
      <c r="S25" s="7" t="s">
        <v>32</v>
      </c>
      <c r="T25" s="7" t="s">
        <v>82</v>
      </c>
      <c r="U25" s="29" t="s">
        <v>154</v>
      </c>
    </row>
  </sheetData>
  <phoneticPr fontId="14" type="noConversion"/>
  <conditionalFormatting sqref="A1:A1048576">
    <cfRule type="duplicateValues" dxfId="2" priority="2"/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26"/>
  <sheetViews>
    <sheetView workbookViewId="0">
      <pane ySplit="3" topLeftCell="A85" activePane="bottomLeft" state="frozen"/>
      <selection pane="bottomLeft" activeCell="J94" sqref="J94"/>
    </sheetView>
  </sheetViews>
  <sheetFormatPr defaultColWidth="9.125" defaultRowHeight="14.25" x14ac:dyDescent="0.2"/>
  <cols>
    <col min="1" max="1" width="12" style="7" customWidth="1"/>
    <col min="2" max="2" width="10.5" style="7" customWidth="1"/>
    <col min="3" max="3" width="13.875" style="32" customWidth="1"/>
    <col min="4" max="4" width="11.75" style="7" customWidth="1"/>
    <col min="5" max="5" width="5.75" style="8" customWidth="1"/>
    <col min="6" max="6" width="12.875" style="8" bestFit="1" customWidth="1"/>
    <col min="7" max="7" width="11.75" style="7" customWidth="1"/>
    <col min="8" max="9" width="7.625" style="9" customWidth="1"/>
    <col min="10" max="10" width="60.25" style="7" customWidth="1"/>
    <col min="11" max="18" width="7.625" style="10" customWidth="1"/>
    <col min="19" max="25" width="9.125" style="11"/>
    <col min="26" max="26" width="9.375" style="11" customWidth="1"/>
    <col min="27" max="28" width="9.125" style="12"/>
    <col min="29" max="16384" width="9.125" style="7"/>
  </cols>
  <sheetData>
    <row r="1" spans="1:28" s="4" customFormat="1" x14ac:dyDescent="0.2">
      <c r="A1" s="4" t="s">
        <v>36</v>
      </c>
      <c r="B1" s="4" t="s">
        <v>37</v>
      </c>
      <c r="C1" s="30"/>
      <c r="D1" s="4" t="s">
        <v>38</v>
      </c>
      <c r="E1" s="13"/>
      <c r="F1" s="13"/>
      <c r="G1" s="4" t="s">
        <v>39</v>
      </c>
      <c r="H1" s="14"/>
      <c r="I1" s="14"/>
      <c r="J1" s="4" t="s">
        <v>40</v>
      </c>
      <c r="K1" s="19"/>
      <c r="L1" s="19"/>
      <c r="M1" s="19"/>
      <c r="N1" s="19"/>
      <c r="O1" s="19"/>
      <c r="P1" s="19"/>
      <c r="Q1" s="19"/>
      <c r="R1" s="19"/>
      <c r="S1" s="21"/>
      <c r="T1" s="21"/>
      <c r="U1" s="21"/>
      <c r="V1" s="21"/>
      <c r="W1" s="21"/>
      <c r="X1" s="21"/>
      <c r="Y1" s="21"/>
      <c r="Z1" s="21"/>
      <c r="AA1" s="25"/>
      <c r="AB1" s="25"/>
    </row>
    <row r="2" spans="1:28" s="5" customFormat="1" x14ac:dyDescent="0.2">
      <c r="A2" s="5" t="s">
        <v>7</v>
      </c>
      <c r="B2" s="5" t="s">
        <v>7</v>
      </c>
      <c r="C2" s="30"/>
      <c r="D2" s="5" t="s">
        <v>9</v>
      </c>
      <c r="E2" s="13"/>
      <c r="F2" s="13"/>
      <c r="G2" s="5" t="s">
        <v>41</v>
      </c>
      <c r="H2" s="14"/>
      <c r="I2" s="14"/>
      <c r="J2" s="5" t="s">
        <v>42</v>
      </c>
      <c r="K2" s="19"/>
      <c r="L2" s="19"/>
      <c r="M2" s="19"/>
      <c r="N2" s="19"/>
      <c r="O2" s="19"/>
      <c r="P2" s="19"/>
      <c r="Q2" s="19"/>
      <c r="R2" s="19"/>
      <c r="S2" s="22"/>
      <c r="T2" s="22"/>
      <c r="U2" s="22"/>
      <c r="V2" s="22"/>
      <c r="W2" s="22"/>
      <c r="X2" s="22"/>
      <c r="Y2" s="22"/>
      <c r="Z2" s="22"/>
      <c r="AA2" s="19"/>
      <c r="AB2" s="19"/>
    </row>
    <row r="3" spans="1:28" s="6" customFormat="1" ht="42.75" x14ac:dyDescent="0.2">
      <c r="A3" s="15" t="s">
        <v>43</v>
      </c>
      <c r="B3" s="15" t="s">
        <v>44</v>
      </c>
      <c r="C3" s="31" t="s">
        <v>101</v>
      </c>
      <c r="D3" s="16" t="s">
        <v>12</v>
      </c>
      <c r="E3" s="17" t="s">
        <v>77</v>
      </c>
      <c r="F3" s="17" t="s">
        <v>76</v>
      </c>
      <c r="G3" s="16" t="s">
        <v>45</v>
      </c>
      <c r="H3" s="18" t="s">
        <v>46</v>
      </c>
      <c r="I3" s="18" t="s">
        <v>47</v>
      </c>
      <c r="J3" s="15" t="s">
        <v>48</v>
      </c>
      <c r="K3" s="20" t="s">
        <v>49</v>
      </c>
      <c r="L3" s="20" t="s">
        <v>50</v>
      </c>
      <c r="M3" s="20" t="s">
        <v>51</v>
      </c>
      <c r="N3" s="20" t="s">
        <v>52</v>
      </c>
      <c r="O3" s="20" t="s">
        <v>53</v>
      </c>
      <c r="P3" s="20" t="s">
        <v>54</v>
      </c>
      <c r="Q3" s="20" t="s">
        <v>55</v>
      </c>
      <c r="R3" s="20" t="s">
        <v>56</v>
      </c>
      <c r="S3" s="23" t="s">
        <v>57</v>
      </c>
      <c r="T3" s="23" t="s">
        <v>58</v>
      </c>
      <c r="U3" s="23" t="s">
        <v>59</v>
      </c>
      <c r="V3" s="23" t="s">
        <v>60</v>
      </c>
      <c r="W3" s="23" t="s">
        <v>61</v>
      </c>
      <c r="X3" s="23" t="s">
        <v>62</v>
      </c>
      <c r="Y3" s="23" t="s">
        <v>63</v>
      </c>
      <c r="Z3" s="23" t="s">
        <v>64</v>
      </c>
      <c r="AA3" s="26" t="s">
        <v>79</v>
      </c>
      <c r="AB3" s="26" t="s">
        <v>80</v>
      </c>
    </row>
    <row r="4" spans="1:28" x14ac:dyDescent="0.2">
      <c r="A4" s="7">
        <v>0</v>
      </c>
      <c r="B4" s="7">
        <v>0</v>
      </c>
      <c r="C4" s="32" t="str">
        <f>_xlfn.TEXTJOIN(";",1,A4,B4)</f>
        <v>0;0</v>
      </c>
      <c r="D4" s="7">
        <v>0</v>
      </c>
      <c r="F4" s="8" t="str">
        <f>VLOOKUP(D4,weather!A:D,4,0)</f>
        <v>晴</v>
      </c>
      <c r="G4" s="7" t="str">
        <f>H4&amp;"~"&amp;I4</f>
        <v>99999~99999</v>
      </c>
      <c r="H4" s="9">
        <v>99999</v>
      </c>
      <c r="I4" s="9">
        <v>99999</v>
      </c>
      <c r="J4" s="7" t="str" cm="1">
        <f t="array" aca="1" ref="J4" ca="1">_xlfn.TEXTJOIN(";",1,_xlfn.MAP(K4:R4,S4:Z4,_xlfn.LAMBDA(_xlpm.a,_xlpm.b,IF(_xlpm.b=0,"",_xlpm.a&amp;"~"&amp;_xlpm.b))))</f>
        <v>0~1000000</v>
      </c>
      <c r="K4" s="10" cm="1">
        <f t="array" aca="1" ref="K4:R4" ca="1">_xlfn.LET(_xlpm._arr_len,COUNTIF($A:$A,$A4),_xlpm._group_row,MATCH($A4,$A:$A,0),_xlfn.MAKEARRAY(1,8,_xlfn.LAMBDA(_xlpm.x,_xlpm.y,IF(_xlpm.y&gt;_xlpm._arr_len,"",INDEX(OFFSET($A4,_xlpm._group_row-ROW(),1,_xlpm._arr_len),_xlpm.y)))))</f>
        <v>0</v>
      </c>
      <c r="L4" s="10" t="str">
        <f ca="1"/>
        <v/>
      </c>
      <c r="M4" s="10" t="str">
        <f ca="1"/>
        <v/>
      </c>
      <c r="N4" s="10" t="str">
        <f ca="1"/>
        <v/>
      </c>
      <c r="O4" s="10" t="str">
        <f ca="1"/>
        <v/>
      </c>
      <c r="P4" s="10" t="str">
        <f ca="1"/>
        <v/>
      </c>
      <c r="Q4" s="10" t="str">
        <f ca="1"/>
        <v/>
      </c>
      <c r="R4" s="10" t="str">
        <f ca="1"/>
        <v/>
      </c>
      <c r="S4" s="11">
        <v>1000000</v>
      </c>
      <c r="T4" s="24"/>
      <c r="U4" s="24"/>
      <c r="V4" s="24"/>
      <c r="W4" s="24"/>
      <c r="X4" s="24"/>
      <c r="Y4" s="24"/>
      <c r="Z4" s="24"/>
      <c r="AA4" s="12" t="str">
        <f>IF(A4&lt;&gt;"",IF(SUM(S4:Z4)&gt;=1000000,"Correct","Error"),"")</f>
        <v>Correct</v>
      </c>
      <c r="AB4" s="12" t="str" cm="1">
        <f t="array" ref="AB4">IF(A4&lt;&gt;"",IF(AND(IF(VALUE(RIGHT($S$3:$Z$3,1))&gt;COUNTIF(A:A,A4),S4:Z4&lt;&gt;""=FALSE,TRUE)),"Correct","Error"),"")</f>
        <v>Correct</v>
      </c>
    </row>
    <row r="5" spans="1:28" x14ac:dyDescent="0.2">
      <c r="C5" s="32" t="str">
        <f t="shared" ref="C5:C93" si="0">_xlfn.TEXTJOIN(";",1,A5,B5)</f>
        <v/>
      </c>
    </row>
    <row r="6" spans="1:28" x14ac:dyDescent="0.2">
      <c r="A6" s="7">
        <v>420499</v>
      </c>
      <c r="B6" s="7">
        <v>1</v>
      </c>
      <c r="C6" s="32" t="str">
        <f t="shared" si="0"/>
        <v>420499;1</v>
      </c>
      <c r="D6" s="7">
        <v>460401</v>
      </c>
      <c r="E6" s="8" t="s">
        <v>92</v>
      </c>
      <c r="F6" s="8" t="str">
        <f>VLOOKUP(D6,weather!A:D,4,0)</f>
        <v>薄雾</v>
      </c>
      <c r="G6" s="7" t="str">
        <f>H6&amp;"~"&amp;I6</f>
        <v>150~235</v>
      </c>
      <c r="H6" s="9">
        <v>150</v>
      </c>
      <c r="I6" s="9">
        <f>H6*1.5+10</f>
        <v>235</v>
      </c>
      <c r="J6" s="7" t="str" cm="1">
        <f t="array" aca="1" ref="J6" ca="1">_xlfn.TEXTJOIN(";",1,_xlfn.MAP(K6:R6,S6:Z6,_xlfn.LAMBDA(_xlpm.a,_xlpm.b,IF(_xlpm.b=0,"",_xlpm.a&amp;"~"&amp;_xlpm.b))))</f>
        <v>1~100000;2~700000;0~1000000</v>
      </c>
      <c r="K6" s="10" cm="1">
        <f t="array" aca="1" ref="K6:R6" ca="1">_xlfn.LET(_xlpm._arr_len,COUNTIF($A:$A,$A6),_xlpm._group_row,MATCH($A6,$A:$A,0),_xlfn.MAKEARRAY(1,8,_xlfn.LAMBDA(_xlpm.x,_xlpm.y,IF(_xlpm.y&gt;_xlpm._arr_len,"",INDEX(OFFSET($A6,_xlpm._group_row-ROW(),1,_xlpm._arr_len),_xlpm.y)))))</f>
        <v>1</v>
      </c>
      <c r="L6" s="10">
        <f ca="1"/>
        <v>2</v>
      </c>
      <c r="M6" s="10">
        <f ca="1"/>
        <v>3</v>
      </c>
      <c r="N6" s="10">
        <f ca="1"/>
        <v>4</v>
      </c>
      <c r="O6" s="10">
        <f ca="1"/>
        <v>0</v>
      </c>
      <c r="P6" s="10" t="str">
        <f ca="1"/>
        <v/>
      </c>
      <c r="Q6" s="10" t="str">
        <f ca="1"/>
        <v/>
      </c>
      <c r="R6" s="10" t="str">
        <f ca="1"/>
        <v/>
      </c>
      <c r="S6" s="11">
        <v>100000</v>
      </c>
      <c r="T6" s="11">
        <v>700000</v>
      </c>
      <c r="U6" s="24"/>
      <c r="V6" s="24"/>
      <c r="W6" s="11">
        <v>1000000</v>
      </c>
      <c r="X6" s="24"/>
      <c r="Y6" s="24"/>
      <c r="Z6" s="24"/>
      <c r="AA6" s="12" t="str">
        <f>IF(A6&lt;&gt;"",IF(SUM(S6:Z6)&gt;=1000000,"Correct","Error"),"")</f>
        <v>Correct</v>
      </c>
      <c r="AB6" s="12" t="str" cm="1">
        <f t="array" ref="AB6">IF(A6&lt;&gt;"",IF(AND(IF(VALUE(RIGHT($S$3:$Z$3,1))&gt;COUNTIF(A:A,A6),S6:Z6&lt;&gt;""=FALSE,TRUE)),"Correct","Error"),"")</f>
        <v>Correct</v>
      </c>
    </row>
    <row r="7" spans="1:28" x14ac:dyDescent="0.2">
      <c r="A7" s="7">
        <v>420499</v>
      </c>
      <c r="B7" s="7">
        <v>2</v>
      </c>
      <c r="C7" s="32" t="str">
        <f t="shared" si="0"/>
        <v>420499;2</v>
      </c>
      <c r="D7" s="7">
        <v>460402</v>
      </c>
      <c r="E7" s="8" t="s">
        <v>92</v>
      </c>
      <c r="F7" s="8" t="str">
        <f>VLOOKUP(D7,weather!A:D,4,0)</f>
        <v>浓雾</v>
      </c>
      <c r="G7" s="7" t="str">
        <f t="shared" ref="G7:G10" si="1">H7&amp;"~"&amp;I7</f>
        <v>200~310</v>
      </c>
      <c r="H7" s="9">
        <v>200</v>
      </c>
      <c r="I7" s="9">
        <f t="shared" ref="I7:I10" si="2">H7*1.5+10</f>
        <v>310</v>
      </c>
      <c r="J7" s="7" t="str" cm="1">
        <f t="array" aca="1" ref="J7" ca="1">_xlfn.TEXTJOIN(";",1,_xlfn.MAP(K7:R7,S7:Z7,_xlfn.LAMBDA(_xlpm.a,_xlpm.b,IF(_xlpm.b=0,"",_xlpm.a&amp;"~"&amp;_xlpm.b))))</f>
        <v>2~100000;3~1000000</v>
      </c>
      <c r="K7" s="10" cm="1">
        <f t="array" aca="1" ref="K7:R7" ca="1">_xlfn.LET(_xlpm._arr_len,COUNTIF($A:$A,$A7),_xlpm._group_row,MATCH($A7,$A:$A,0),_xlfn.MAKEARRAY(1,8,_xlfn.LAMBDA(_xlpm.x,_xlpm.y,IF(_xlpm.y&gt;_xlpm._arr_len,"",INDEX(OFFSET($A7,_xlpm._group_row-ROW(),1,_xlpm._arr_len),_xlpm.y)))))</f>
        <v>1</v>
      </c>
      <c r="L7" s="10">
        <f ca="1"/>
        <v>2</v>
      </c>
      <c r="M7" s="10">
        <f ca="1"/>
        <v>3</v>
      </c>
      <c r="N7" s="10">
        <f ca="1"/>
        <v>4</v>
      </c>
      <c r="O7" s="10">
        <f ca="1"/>
        <v>0</v>
      </c>
      <c r="P7" s="10" t="str">
        <f ca="1"/>
        <v/>
      </c>
      <c r="Q7" s="10" t="str">
        <f ca="1"/>
        <v/>
      </c>
      <c r="R7" s="10" t="str">
        <f ca="1"/>
        <v/>
      </c>
      <c r="S7" s="24"/>
      <c r="T7" s="11">
        <v>100000</v>
      </c>
      <c r="U7" s="11">
        <v>1000000</v>
      </c>
      <c r="V7" s="24"/>
      <c r="W7" s="24"/>
      <c r="X7" s="24"/>
      <c r="Y7" s="24"/>
      <c r="Z7" s="24"/>
      <c r="AA7" s="12" t="str">
        <f>IF(A7&lt;&gt;"",IF(SUM(S7:Z7)&gt;=1000000,"Correct","Error"),"")</f>
        <v>Correct</v>
      </c>
      <c r="AB7" s="12" t="str" cm="1">
        <f t="array" ref="AB7">IF(A7&lt;&gt;"",IF(AND(IF(VALUE(RIGHT($S$3:$Z$3,1))&gt;COUNTIF(A:A,A7),S7:Z7&lt;&gt;""=FALSE,TRUE)),"Correct","Error"),"")</f>
        <v>Correct</v>
      </c>
    </row>
    <row r="8" spans="1:28" x14ac:dyDescent="0.2">
      <c r="A8" s="7">
        <v>420499</v>
      </c>
      <c r="B8" s="7">
        <v>3</v>
      </c>
      <c r="C8" s="32" t="str">
        <f t="shared" si="0"/>
        <v>420499;3</v>
      </c>
      <c r="D8" s="7">
        <v>460403</v>
      </c>
      <c r="E8" s="8" t="s">
        <v>92</v>
      </c>
      <c r="F8" s="8" t="str">
        <f>VLOOKUP(D8,weather!A:D,4,0)</f>
        <v>黑色妖雾</v>
      </c>
      <c r="G8" s="7" t="str">
        <f t="shared" si="1"/>
        <v>200~310</v>
      </c>
      <c r="H8" s="9">
        <v>200</v>
      </c>
      <c r="I8" s="9">
        <f t="shared" si="2"/>
        <v>310</v>
      </c>
      <c r="J8" s="7" t="str" cm="1">
        <f t="array" aca="1" ref="J8" ca="1">_xlfn.TEXTJOIN(";",1,_xlfn.MAP(K8:R8,S8:Z8,_xlfn.LAMBDA(_xlpm.a,_xlpm.b,IF(_xlpm.b=0,"",_xlpm.a&amp;"~"&amp;_xlpm.b))))</f>
        <v>3~100000;4~1000000</v>
      </c>
      <c r="K8" s="10" cm="1">
        <f t="array" aca="1" ref="K8:R8" ca="1">_xlfn.LET(_xlpm._arr_len,COUNTIF($A:$A,$A8),_xlpm._group_row,MATCH($A8,$A:$A,0),_xlfn.MAKEARRAY(1,8,_xlfn.LAMBDA(_xlpm.x,_xlpm.y,IF(_xlpm.y&gt;_xlpm._arr_len,"",INDEX(OFFSET($A8,_xlpm._group_row-ROW(),1,_xlpm._arr_len),_xlpm.y)))))</f>
        <v>1</v>
      </c>
      <c r="L8" s="10">
        <f ca="1"/>
        <v>2</v>
      </c>
      <c r="M8" s="10">
        <f ca="1"/>
        <v>3</v>
      </c>
      <c r="N8" s="10">
        <f ca="1"/>
        <v>4</v>
      </c>
      <c r="O8" s="10">
        <f ca="1"/>
        <v>0</v>
      </c>
      <c r="P8" s="10" t="str">
        <f ca="1"/>
        <v/>
      </c>
      <c r="Q8" s="10" t="str">
        <f ca="1"/>
        <v/>
      </c>
      <c r="R8" s="10" t="str">
        <f ca="1"/>
        <v/>
      </c>
      <c r="S8" s="24"/>
      <c r="T8" s="24"/>
      <c r="U8" s="11">
        <v>100000</v>
      </c>
      <c r="V8" s="11">
        <v>1000000</v>
      </c>
      <c r="W8" s="24"/>
      <c r="X8" s="24"/>
      <c r="Y8" s="24"/>
      <c r="Z8" s="24"/>
      <c r="AA8" s="12" t="str">
        <f>IF(A8&lt;&gt;"",IF(SUM(S8:Z8)&gt;=1000000,"Correct","Error"),"")</f>
        <v>Correct</v>
      </c>
      <c r="AB8" s="12" t="str" cm="1">
        <f t="array" ref="AB8">IF(A8&lt;&gt;"",IF(AND(IF(VALUE(RIGHT($S$3:$Z$3,1))&gt;COUNTIF(A:A,A8),S8:Z8&lt;&gt;""=FALSE,TRUE)),"Correct","Error"),"")</f>
        <v>Correct</v>
      </c>
    </row>
    <row r="9" spans="1:28" x14ac:dyDescent="0.2">
      <c r="A9" s="7">
        <v>420499</v>
      </c>
      <c r="B9" s="7">
        <v>4</v>
      </c>
      <c r="C9" s="32" t="str">
        <f t="shared" si="0"/>
        <v>420499;4</v>
      </c>
      <c r="D9" s="7">
        <v>460404</v>
      </c>
      <c r="E9" s="8" t="s">
        <v>92</v>
      </c>
      <c r="F9" s="8" t="str">
        <f>VLOOKUP(D9,weather!A:D,4,0)</f>
        <v>浓厚妖雾</v>
      </c>
      <c r="G9" s="7" t="str">
        <f t="shared" si="1"/>
        <v>150~235</v>
      </c>
      <c r="H9" s="9">
        <v>150</v>
      </c>
      <c r="I9" s="9">
        <f t="shared" si="2"/>
        <v>235</v>
      </c>
      <c r="J9" s="7" t="str" cm="1">
        <f t="array" aca="1" ref="J9" ca="1">_xlfn.TEXTJOIN(";",1,_xlfn.MAP(K9:R9,S9:Z9,_xlfn.LAMBDA(_xlpm.a,_xlpm.b,IF(_xlpm.b=0,"",_xlpm.a&amp;"~"&amp;_xlpm.b))))</f>
        <v>4~100000;0~1000000</v>
      </c>
      <c r="K9" s="10" cm="1">
        <f t="array" aca="1" ref="K9:R9" ca="1">_xlfn.LET(_xlpm._arr_len,COUNTIF($A:$A,$A9),_xlpm._group_row,MATCH($A9,$A:$A,0),_xlfn.MAKEARRAY(1,8,_xlfn.LAMBDA(_xlpm.x,_xlpm.y,IF(_xlpm.y&gt;_xlpm._arr_len,"",INDEX(OFFSET($A9,_xlpm._group_row-ROW(),1,_xlpm._arr_len),_xlpm.y)))))</f>
        <v>1</v>
      </c>
      <c r="L9" s="10">
        <f ca="1"/>
        <v>2</v>
      </c>
      <c r="M9" s="10">
        <f ca="1"/>
        <v>3</v>
      </c>
      <c r="N9" s="10">
        <f ca="1"/>
        <v>4</v>
      </c>
      <c r="O9" s="10">
        <f ca="1"/>
        <v>0</v>
      </c>
      <c r="P9" s="10" t="str">
        <f ca="1"/>
        <v/>
      </c>
      <c r="Q9" s="10" t="str">
        <f ca="1"/>
        <v/>
      </c>
      <c r="R9" s="10" t="str">
        <f ca="1"/>
        <v/>
      </c>
      <c r="S9" s="24"/>
      <c r="T9" s="24"/>
      <c r="U9" s="24"/>
      <c r="V9" s="11">
        <v>100000</v>
      </c>
      <c r="W9" s="11">
        <v>1000000</v>
      </c>
      <c r="X9" s="24"/>
      <c r="Y9" s="24"/>
      <c r="Z9" s="24"/>
      <c r="AA9" s="12" t="str">
        <f>IF(A9&lt;&gt;"",IF(SUM(S9:Z9)&gt;=1000000,"Correct","Error"),"")</f>
        <v>Correct</v>
      </c>
      <c r="AB9" s="12" t="str" cm="1">
        <f t="array" ref="AB9">IF(A9&lt;&gt;"",IF(AND(IF(VALUE(RIGHT($S$3:$Z$3,1))&gt;COUNTIF(A:A,A9),S9:Z9&lt;&gt;""=FALSE,TRUE)),"Correct","Error"),"")</f>
        <v>Correct</v>
      </c>
    </row>
    <row r="10" spans="1:28" x14ac:dyDescent="0.2">
      <c r="A10" s="7">
        <v>420499</v>
      </c>
      <c r="B10" s="7">
        <v>0</v>
      </c>
      <c r="C10" s="32" t="str">
        <f t="shared" si="0"/>
        <v>420499;0</v>
      </c>
      <c r="D10" s="7">
        <v>0</v>
      </c>
      <c r="E10" s="8" t="s">
        <v>92</v>
      </c>
      <c r="F10" s="8" t="str">
        <f>VLOOKUP(D10,weather!A:D,4,0)</f>
        <v>晴</v>
      </c>
      <c r="G10" s="7" t="str">
        <f t="shared" si="1"/>
        <v>100~160</v>
      </c>
      <c r="H10" s="9">
        <v>100</v>
      </c>
      <c r="I10" s="9">
        <f t="shared" si="2"/>
        <v>160</v>
      </c>
      <c r="J10" s="7" t="str" cm="1">
        <f t="array" aca="1" ref="J10" ca="1">_xlfn.TEXTJOIN(";",1,_xlfn.MAP(K10:R10,S10:Z10,_xlfn.LAMBDA(_xlpm.a,_xlpm.b,IF(_xlpm.b=0,"",_xlpm.a&amp;"~"&amp;_xlpm.b))))</f>
        <v>1~700000;0~1000000</v>
      </c>
      <c r="K10" s="10" cm="1">
        <f t="array" aca="1" ref="K10:R10" ca="1">_xlfn.LET(_xlpm._arr_len,COUNTIF($A:$A,$A10),_xlpm._group_row,MATCH($A10,$A:$A,0),_xlfn.MAKEARRAY(1,8,_xlfn.LAMBDA(_xlpm.x,_xlpm.y,IF(_xlpm.y&gt;_xlpm._arr_len,"",INDEX(OFFSET($A10,_xlpm._group_row-ROW(),1,_xlpm._arr_len),_xlpm.y)))))</f>
        <v>1</v>
      </c>
      <c r="L10" s="10">
        <f ca="1"/>
        <v>2</v>
      </c>
      <c r="M10" s="10">
        <f ca="1"/>
        <v>3</v>
      </c>
      <c r="N10" s="10">
        <f ca="1"/>
        <v>4</v>
      </c>
      <c r="O10" s="10">
        <f ca="1"/>
        <v>0</v>
      </c>
      <c r="P10" s="10" t="str">
        <f ca="1"/>
        <v/>
      </c>
      <c r="Q10" s="10" t="str">
        <f ca="1"/>
        <v/>
      </c>
      <c r="R10" s="10" t="str">
        <f ca="1"/>
        <v/>
      </c>
      <c r="S10" s="11">
        <v>700000</v>
      </c>
      <c r="T10" s="24"/>
      <c r="U10" s="24"/>
      <c r="V10" s="24"/>
      <c r="W10" s="11">
        <v>1000000</v>
      </c>
      <c r="X10" s="24"/>
      <c r="Y10" s="24"/>
      <c r="Z10" s="24"/>
      <c r="AA10" s="12" t="str">
        <f>IF(A10&lt;&gt;"",IF(SUM(S10:Y10)&gt;=1000000,"Correct","Error"),"")</f>
        <v>Correct</v>
      </c>
      <c r="AB10" s="12" t="str" cm="1">
        <f t="array" ref="AB10">IF(A10&lt;&gt;"",IF(AND(IF(VALUE(RIGHT($S$3:$Z$3,1))&gt;COUNTIF(A:A,A10),S10:Z10&lt;&gt;""=FALSE,TRUE)),"Correct","Error"),"")</f>
        <v>Correct</v>
      </c>
    </row>
    <row r="11" spans="1:28" x14ac:dyDescent="0.2">
      <c r="C11" s="32" t="str">
        <f t="shared" si="0"/>
        <v/>
      </c>
    </row>
    <row r="12" spans="1:28" s="63" customFormat="1" x14ac:dyDescent="0.2">
      <c r="C12" s="64"/>
      <c r="E12" s="65"/>
      <c r="F12" s="65"/>
      <c r="H12" s="66"/>
      <c r="I12" s="66"/>
      <c r="K12" s="67"/>
      <c r="L12" s="67"/>
      <c r="M12" s="67"/>
      <c r="N12" s="67"/>
      <c r="O12" s="67"/>
      <c r="P12" s="67"/>
      <c r="Q12" s="67"/>
      <c r="R12" s="67"/>
      <c r="S12" s="68"/>
      <c r="T12" s="68"/>
      <c r="U12" s="68"/>
      <c r="V12" s="68"/>
      <c r="W12" s="68"/>
      <c r="X12" s="68"/>
      <c r="Y12" s="68"/>
      <c r="Z12" s="68"/>
      <c r="AA12" s="69"/>
      <c r="AB12" s="69"/>
    </row>
    <row r="13" spans="1:28" x14ac:dyDescent="0.2">
      <c r="C13" s="32" t="str">
        <f t="shared" si="0"/>
        <v/>
      </c>
    </row>
    <row r="14" spans="1:28" x14ac:dyDescent="0.2">
      <c r="A14" s="7">
        <v>420100</v>
      </c>
      <c r="B14" s="7">
        <v>0</v>
      </c>
      <c r="C14" s="32" t="str">
        <f>_xlfn.TEXTJOIN(";",1,A14,B14)</f>
        <v>420100;0</v>
      </c>
      <c r="D14" s="7">
        <v>460100</v>
      </c>
      <c r="F14" s="8" t="str">
        <f>VLOOKUP(D14,weather!A:D,4,0)</f>
        <v>未知</v>
      </c>
      <c r="G14" s="7" t="str">
        <f>H14&amp;"~"&amp;I14</f>
        <v>99999~99999</v>
      </c>
      <c r="H14" s="9">
        <v>99999</v>
      </c>
      <c r="I14" s="9">
        <v>99999</v>
      </c>
      <c r="J14" s="7" t="str" cm="1">
        <f t="array" aca="1" ref="J14" ca="1">_xlfn.TEXTJOIN(";",1,_xlfn.MAP(K14:R14,S14:Z14,_xlfn.LAMBDA(_xlpm.a,_xlpm.b,IF(_xlpm.b=0,"",_xlpm.a&amp;"~"&amp;_xlpm.b))))</f>
        <v>0~1000000</v>
      </c>
      <c r="K14" s="10" cm="1">
        <f t="array" aca="1" ref="K14:R14" ca="1">_xlfn.LET(_xlpm._arr_len,COUNTIF($A:$A,$A14),_xlpm._group_row,MATCH($A14,$A:$A,0),_xlfn.MAKEARRAY(1,8,_xlfn.LAMBDA(_xlpm.x,_xlpm.y,IF(_xlpm.y&gt;_xlpm._arr_len,"",INDEX(OFFSET($A14,_xlpm._group_row-ROW(),1,_xlpm._arr_len),_xlpm.y)))))</f>
        <v>0</v>
      </c>
      <c r="L14" s="10" t="str">
        <f ca="1"/>
        <v/>
      </c>
      <c r="M14" s="10" t="str">
        <f ca="1"/>
        <v/>
      </c>
      <c r="N14" s="10" t="str">
        <f ca="1"/>
        <v/>
      </c>
      <c r="O14" s="10" t="str">
        <f ca="1"/>
        <v/>
      </c>
      <c r="P14" s="10" t="str">
        <f ca="1"/>
        <v/>
      </c>
      <c r="Q14" s="10" t="str">
        <f ca="1"/>
        <v/>
      </c>
      <c r="R14" s="10" t="str">
        <f ca="1"/>
        <v/>
      </c>
      <c r="S14" s="11">
        <v>1000000</v>
      </c>
      <c r="T14" s="24"/>
      <c r="U14" s="24"/>
      <c r="V14" s="24"/>
      <c r="W14" s="24"/>
      <c r="X14" s="24"/>
      <c r="Y14" s="24"/>
      <c r="Z14" s="24"/>
      <c r="AA14" s="12" t="str">
        <f>IF(A14&lt;&gt;"",IF(SUM(S14:Z14)&gt;=1000000,"Correct","Error"),"")</f>
        <v>Correct</v>
      </c>
      <c r="AB14" s="12" t="str" cm="1">
        <f t="array" ref="AB14">IF(A14&lt;&gt;"",IF(AND(IF(VALUE(RIGHT($S$3:$Z$3,1))&gt;COUNTIF(A:A,A14),S14:Z14&lt;&gt;""=FALSE,TRUE)),"Correct","Error"),"")</f>
        <v>Correct</v>
      </c>
    </row>
    <row r="15" spans="1:28" x14ac:dyDescent="0.2">
      <c r="C15" s="32" t="str">
        <f>_xlfn.TEXTJOIN(";",1,A15,B15)</f>
        <v/>
      </c>
    </row>
    <row r="16" spans="1:28" s="56" customFormat="1" x14ac:dyDescent="0.2">
      <c r="C16" s="57"/>
      <c r="E16" s="58"/>
      <c r="F16" s="58"/>
      <c r="H16" s="59"/>
      <c r="I16" s="59"/>
      <c r="K16" s="60"/>
      <c r="L16" s="60"/>
      <c r="M16" s="60"/>
      <c r="N16" s="60"/>
      <c r="O16" s="60"/>
      <c r="P16" s="60"/>
      <c r="Q16" s="60"/>
      <c r="R16" s="60"/>
      <c r="S16" s="61"/>
      <c r="T16" s="61"/>
      <c r="U16" s="61"/>
      <c r="V16" s="61"/>
      <c r="W16" s="61"/>
      <c r="X16" s="61"/>
      <c r="Y16" s="61"/>
      <c r="Z16" s="61"/>
      <c r="AA16" s="62"/>
      <c r="AB16" s="62"/>
    </row>
    <row r="17" spans="1:28" x14ac:dyDescent="0.2">
      <c r="C17" s="32" t="str">
        <f t="shared" ref="C17:C50" si="3">_xlfn.TEXTJOIN(";",1,A17,B17)</f>
        <v/>
      </c>
      <c r="AA17" s="12" t="str">
        <f t="shared" ref="AA17:AA50" si="4">IF(A17&lt;&gt;"",IF(SUM(S17:Z17)&gt;=1000000,"Correct","Error"),"")</f>
        <v/>
      </c>
      <c r="AB17" s="12" t="str" cm="1">
        <f t="array" ref="AB17">IF(A17&lt;&gt;"",IF(AND(IF(VALUE(RIGHT($S$3:$Z$3,1))&gt;COUNTIF(A:A,A17),S17:Z17&lt;&gt;""=FALSE,TRUE)),"Correct","Error"),"")</f>
        <v/>
      </c>
    </row>
    <row r="18" spans="1:28" x14ac:dyDescent="0.2">
      <c r="A18" s="7">
        <v>420401</v>
      </c>
      <c r="B18" s="7">
        <v>0</v>
      </c>
      <c r="C18" s="32" t="str">
        <f t="shared" si="3"/>
        <v>420401;0</v>
      </c>
      <c r="D18" s="7">
        <v>460400</v>
      </c>
      <c r="E18" s="8" t="s">
        <v>78</v>
      </c>
      <c r="F18" s="8" t="str">
        <f>VLOOKUP(D18,weather!A:D,4,0)</f>
        <v>晴空</v>
      </c>
      <c r="G18" s="7" t="str">
        <f t="shared" ref="G18" si="5">H18&amp;"~"&amp;I18</f>
        <v>8680~9994</v>
      </c>
      <c r="H18" s="9">
        <v>8680</v>
      </c>
      <c r="I18" s="9">
        <f t="shared" ref="I18" si="6">H18*1.15+12</f>
        <v>9994</v>
      </c>
      <c r="J18" s="7" t="str" cm="1">
        <f t="array" aca="1" ref="J18" ca="1">_xlfn.TEXTJOIN(";",1,_xlfn.MAP(K18:R18,S18:Z18,_xlfn.LAMBDA(_xlpm.a,_xlpm.b,IF(_xlpm.b=0,"",_xlpm.a&amp;"~"&amp;_xlpm.b))))</f>
        <v>0~1000000</v>
      </c>
      <c r="K18" s="10" cm="1">
        <f t="array" aca="1" ref="K18:R18" ca="1">_xlfn.LET(_xlpm._arr_len,COUNTIF($A:$A,$A18),_xlpm._group_row,MATCH($A18,$A:$A,0),_xlfn.MAKEARRAY(1,8,_xlfn.LAMBDA(_xlpm.x,_xlpm.y,IF(_xlpm.y&gt;_xlpm._arr_len,"",INDEX(OFFSET($A18,_xlpm._group_row-ROW(),1,_xlpm._arr_len),_xlpm.y)))))</f>
        <v>0</v>
      </c>
      <c r="L18" s="10" t="str">
        <f ca="1"/>
        <v/>
      </c>
      <c r="M18" s="10" t="str">
        <f ca="1"/>
        <v/>
      </c>
      <c r="N18" s="10" t="str">
        <f ca="1"/>
        <v/>
      </c>
      <c r="O18" s="10" t="str">
        <f ca="1"/>
        <v/>
      </c>
      <c r="P18" s="10" t="str">
        <f ca="1"/>
        <v/>
      </c>
      <c r="Q18" s="10" t="str">
        <f ca="1"/>
        <v/>
      </c>
      <c r="R18" s="10" t="str">
        <f ca="1"/>
        <v/>
      </c>
      <c r="S18" s="11">
        <v>1000000</v>
      </c>
      <c r="T18" s="24"/>
      <c r="U18" s="24"/>
      <c r="V18" s="24"/>
      <c r="W18" s="24"/>
      <c r="X18" s="24"/>
      <c r="Y18" s="24"/>
      <c r="Z18" s="24"/>
      <c r="AA18" s="12" t="str">
        <f t="shared" si="4"/>
        <v>Correct</v>
      </c>
      <c r="AB18" s="12" t="str" cm="1">
        <f t="array" ref="AB18">IF(A18&lt;&gt;"",IF(AND(IF(VALUE(RIGHT($S$3:$Z$3,1))&gt;COUNTIF(A:A,A18),S18:Z18&lt;&gt;""=FALSE,TRUE)),"Correct","Error"),"")</f>
        <v>Correct</v>
      </c>
    </row>
    <row r="19" spans="1:28" x14ac:dyDescent="0.2">
      <c r="C19" s="32" t="str">
        <f t="shared" si="3"/>
        <v/>
      </c>
      <c r="AA19" s="12" t="str">
        <f t="shared" si="4"/>
        <v/>
      </c>
      <c r="AB19" s="12" t="str" cm="1">
        <f t="array" ref="AB19">IF(A19&lt;&gt;"",IF(AND(IF(VALUE(RIGHT($S$3:$Z$3,1))&gt;COUNTIF(A:A,A19),S19:Z19&lt;&gt;""=FALSE,TRUE)),"Correct","Error"),"")</f>
        <v/>
      </c>
    </row>
    <row r="20" spans="1:28" x14ac:dyDescent="0.2">
      <c r="A20" s="7">
        <v>420402</v>
      </c>
      <c r="B20" s="7">
        <v>0</v>
      </c>
      <c r="C20" s="32" t="str">
        <f t="shared" si="3"/>
        <v>420402;0</v>
      </c>
      <c r="D20" s="7">
        <v>460400</v>
      </c>
      <c r="E20" s="8" t="s">
        <v>78</v>
      </c>
      <c r="F20" s="8" t="str">
        <f>VLOOKUP(D20,weather!A:D,4,0)</f>
        <v>晴空</v>
      </c>
      <c r="G20" s="7" t="str">
        <f>H20&amp;"~"&amp;I20</f>
        <v>150~184.5</v>
      </c>
      <c r="H20" s="9">
        <v>150</v>
      </c>
      <c r="I20" s="9">
        <f t="shared" ref="I20:I21" si="7">H20*1.15+12</f>
        <v>184.5</v>
      </c>
      <c r="J20" s="7" t="str" cm="1">
        <f t="array" aca="1" ref="J20" ca="1">_xlfn.TEXTJOIN(";",1,_xlfn.MAP(K20:R20,S20:Z20,_xlfn.LAMBDA(_xlpm.a,_xlpm.b,IF(_xlpm.b=0,"",_xlpm.a&amp;"~"&amp;_xlpm.b))))</f>
        <v>0~400000;10~600000</v>
      </c>
      <c r="K20" s="10" cm="1">
        <f t="array" aca="1" ref="K20:R20" ca="1">_xlfn.LET(_xlpm._arr_len,COUNTIF($A:$A,$A20),_xlpm._group_row,MATCH($A20,$A:$A,0),_xlfn.MAKEARRAY(1,8,_xlfn.LAMBDA(_xlpm.x,_xlpm.y,IF(_xlpm.y&gt;_xlpm._arr_len,"",INDEX(OFFSET($A20,_xlpm._group_row-ROW(),1,_xlpm._arr_len),_xlpm.y)))))</f>
        <v>0</v>
      </c>
      <c r="L20" s="10">
        <f ca="1"/>
        <v>10</v>
      </c>
      <c r="M20" s="10" t="str">
        <f ca="1"/>
        <v/>
      </c>
      <c r="N20" s="10" t="str">
        <f ca="1"/>
        <v/>
      </c>
      <c r="O20" s="10" t="str">
        <f ca="1"/>
        <v/>
      </c>
      <c r="P20" s="10" t="str">
        <f ca="1"/>
        <v/>
      </c>
      <c r="Q20" s="10" t="str">
        <f ca="1"/>
        <v/>
      </c>
      <c r="R20" s="10" t="str">
        <f ca="1"/>
        <v/>
      </c>
      <c r="S20" s="11">
        <v>400000</v>
      </c>
      <c r="T20" s="11">
        <v>600000</v>
      </c>
      <c r="U20" s="24"/>
      <c r="V20" s="24"/>
      <c r="W20" s="24"/>
      <c r="X20" s="24"/>
      <c r="Y20" s="24"/>
      <c r="Z20" s="24"/>
      <c r="AA20" s="12" t="str">
        <f t="shared" si="4"/>
        <v>Correct</v>
      </c>
      <c r="AB20" s="12" t="str" cm="1">
        <f t="array" ref="AB20">IF(A20&lt;&gt;"",IF(AND(IF(VALUE(RIGHT($S$3:$Z$3,1))&gt;COUNTIF(A:A,A20),S20:Z20&lt;&gt;""=FALSE,TRUE)),"Correct","Error"),"")</f>
        <v>Correct</v>
      </c>
    </row>
    <row r="21" spans="1:28" x14ac:dyDescent="0.2">
      <c r="A21" s="7">
        <v>420402</v>
      </c>
      <c r="B21" s="7">
        <v>10</v>
      </c>
      <c r="C21" s="32" t="str">
        <f t="shared" si="3"/>
        <v>420402;10</v>
      </c>
      <c r="D21" s="7">
        <v>460401</v>
      </c>
      <c r="E21" s="8" t="s">
        <v>78</v>
      </c>
      <c r="F21" s="8" t="str">
        <f>VLOOKUP(D21,weather!A:D,4,0)</f>
        <v>薄雾</v>
      </c>
      <c r="G21" s="7" t="str">
        <f t="shared" ref="G21" si="8">H21&amp;"~"&amp;I21</f>
        <v>300~357</v>
      </c>
      <c r="H21" s="9">
        <v>300</v>
      </c>
      <c r="I21" s="9">
        <f t="shared" si="7"/>
        <v>357</v>
      </c>
      <c r="J21" s="7" t="str" cm="1">
        <f t="array" aca="1" ref="J21" ca="1">_xlfn.TEXTJOIN(";",1,_xlfn.MAP(K21:R21,S21:Z21,_xlfn.LAMBDA(_xlpm.a,_xlpm.b,IF(_xlpm.b=0,"",_xlpm.a&amp;"~"&amp;_xlpm.b))))</f>
        <v>0~100000;10~900000</v>
      </c>
      <c r="K21" s="10" cm="1">
        <f t="array" aca="1" ref="K21:R21" ca="1">_xlfn.LET(_xlpm._arr_len,COUNTIF($A:$A,$A21),_xlpm._group_row,MATCH($A21,$A:$A,0),_xlfn.MAKEARRAY(1,8,_xlfn.LAMBDA(_xlpm.x,_xlpm.y,IF(_xlpm.y&gt;_xlpm._arr_len,"",INDEX(OFFSET($A21,_xlpm._group_row-ROW(),1,_xlpm._arr_len),_xlpm.y)))))</f>
        <v>0</v>
      </c>
      <c r="L21" s="10">
        <f ca="1"/>
        <v>10</v>
      </c>
      <c r="M21" s="10" t="str">
        <f ca="1"/>
        <v/>
      </c>
      <c r="N21" s="10" t="str">
        <f ca="1"/>
        <v/>
      </c>
      <c r="O21" s="10" t="str">
        <f ca="1"/>
        <v/>
      </c>
      <c r="P21" s="10" t="str">
        <f ca="1"/>
        <v/>
      </c>
      <c r="Q21" s="10" t="str">
        <f ca="1"/>
        <v/>
      </c>
      <c r="R21" s="10" t="str">
        <f ca="1"/>
        <v/>
      </c>
      <c r="S21" s="11">
        <v>100000</v>
      </c>
      <c r="T21" s="11">
        <v>900000</v>
      </c>
      <c r="U21" s="24"/>
      <c r="V21" s="24"/>
      <c r="W21" s="24"/>
      <c r="X21" s="24"/>
      <c r="Y21" s="24"/>
      <c r="Z21" s="24"/>
      <c r="AA21" s="12" t="str">
        <f t="shared" si="4"/>
        <v>Correct</v>
      </c>
      <c r="AB21" s="12" t="str" cm="1">
        <f t="array" ref="AB21">IF(A21&lt;&gt;"",IF(AND(IF(VALUE(RIGHT($S$3:$Z$3,1))&gt;COUNTIF(A:A,A21),S21:Z21&lt;&gt;""=FALSE,TRUE)),"Correct","Error"),"")</f>
        <v>Correct</v>
      </c>
    </row>
    <row r="22" spans="1:28" x14ac:dyDescent="0.2">
      <c r="C22" s="32" t="str">
        <f t="shared" si="3"/>
        <v/>
      </c>
      <c r="AA22" s="12" t="str">
        <f t="shared" si="4"/>
        <v/>
      </c>
      <c r="AB22" s="12" t="str" cm="1">
        <f t="array" ref="AB22">IF(A22&lt;&gt;"",IF(AND(IF(VALUE(RIGHT($S$3:$Z$3,1))&gt;COUNTIF(A:A,A22),S22:Z22&lt;&gt;""=FALSE,TRUE)),"Correct","Error"),"")</f>
        <v/>
      </c>
    </row>
    <row r="23" spans="1:28" x14ac:dyDescent="0.2">
      <c r="A23" s="7">
        <v>420403</v>
      </c>
      <c r="B23" s="7">
        <v>0</v>
      </c>
      <c r="C23" s="32" t="str">
        <f t="shared" si="3"/>
        <v>420403;0</v>
      </c>
      <c r="D23" s="7">
        <v>460400</v>
      </c>
      <c r="E23" s="8" t="s">
        <v>78</v>
      </c>
      <c r="F23" s="8" t="str">
        <f>VLOOKUP(D23,weather!A:D,4,0)</f>
        <v>晴空</v>
      </c>
      <c r="G23" s="7" t="str">
        <f>H23&amp;"~"&amp;I23</f>
        <v>150~184.5</v>
      </c>
      <c r="H23" s="9">
        <v>150</v>
      </c>
      <c r="I23" s="9">
        <f t="shared" ref="I23:I25" si="9">H23*1.15+12</f>
        <v>184.5</v>
      </c>
      <c r="J23" s="7" t="str" cm="1">
        <f t="array" aca="1" ref="J23" ca="1">_xlfn.TEXTJOIN(";",1,_xlfn.MAP(K23:R23,S23:Z23,_xlfn.LAMBDA(_xlpm.a,_xlpm.b,IF(_xlpm.b=0,"",_xlpm.a&amp;"~"&amp;_xlpm.b))))</f>
        <v>0~300000;10~700000</v>
      </c>
      <c r="K23" s="10" cm="1">
        <f t="array" aca="1" ref="K23:R23" ca="1">_xlfn.LET(_xlpm._arr_len,COUNTIF($A:$A,$A23),_xlpm._group_row,MATCH($A23,$A:$A,0),_xlfn.MAKEARRAY(1,8,_xlfn.LAMBDA(_xlpm.x,_xlpm.y,IF(_xlpm.y&gt;_xlpm._arr_len,"",INDEX(OFFSET($A23,_xlpm._group_row-ROW(),1,_xlpm._arr_len),_xlpm.y)))))</f>
        <v>0</v>
      </c>
      <c r="L23" s="10">
        <f ca="1"/>
        <v>10</v>
      </c>
      <c r="M23" s="10">
        <f ca="1"/>
        <v>11</v>
      </c>
      <c r="N23" s="10" t="str">
        <f ca="1"/>
        <v/>
      </c>
      <c r="O23" s="10" t="str">
        <f ca="1"/>
        <v/>
      </c>
      <c r="P23" s="10" t="str">
        <f ca="1"/>
        <v/>
      </c>
      <c r="Q23" s="10" t="str">
        <f ca="1"/>
        <v/>
      </c>
      <c r="R23" s="10" t="str">
        <f ca="1"/>
        <v/>
      </c>
      <c r="S23" s="11">
        <v>300000</v>
      </c>
      <c r="T23" s="11">
        <v>700000</v>
      </c>
      <c r="U23" s="24"/>
      <c r="V23" s="24"/>
      <c r="W23" s="24"/>
      <c r="X23" s="24"/>
      <c r="Y23" s="24"/>
      <c r="Z23" s="24"/>
      <c r="AA23" s="12" t="str">
        <f t="shared" si="4"/>
        <v>Correct</v>
      </c>
      <c r="AB23" s="12" t="str" cm="1">
        <f t="array" ref="AB23">IF(A23&lt;&gt;"",IF(AND(IF(VALUE(RIGHT($S$3:$Z$3,1))&gt;COUNTIF(A:A,A23),S23:Z23&lt;&gt;""=FALSE,TRUE)),"Correct","Error"),"")</f>
        <v>Correct</v>
      </c>
    </row>
    <row r="24" spans="1:28" x14ac:dyDescent="0.2">
      <c r="A24" s="7">
        <v>420403</v>
      </c>
      <c r="B24" s="7">
        <v>10</v>
      </c>
      <c r="C24" s="32" t="str">
        <f t="shared" si="3"/>
        <v>420403;10</v>
      </c>
      <c r="D24" s="7">
        <v>460401</v>
      </c>
      <c r="E24" s="8" t="s">
        <v>78</v>
      </c>
      <c r="F24" s="8" t="str">
        <f>VLOOKUP(D24,weather!A:D,4,0)</f>
        <v>薄雾</v>
      </c>
      <c r="G24" s="7" t="str">
        <f t="shared" ref="G24:G25" si="10">H24&amp;"~"&amp;I24</f>
        <v>150~184.5</v>
      </c>
      <c r="H24" s="9">
        <v>150</v>
      </c>
      <c r="I24" s="9">
        <f t="shared" si="9"/>
        <v>184.5</v>
      </c>
      <c r="J24" s="7" t="str" cm="1">
        <f t="array" aca="1" ref="J24" ca="1">_xlfn.TEXTJOIN(";",1,_xlfn.MAP(K24:R24,S24:Z24,_xlfn.LAMBDA(_xlpm.a,_xlpm.b,IF(_xlpm.b=0,"",_xlpm.a&amp;"~"&amp;_xlpm.b))))</f>
        <v>0~200000;10~200000;11~600000</v>
      </c>
      <c r="K24" s="10" cm="1">
        <f t="array" aca="1" ref="K24:R24" ca="1">_xlfn.LET(_xlpm._arr_len,COUNTIF($A:$A,$A24),_xlpm._group_row,MATCH($A24,$A:$A,0),_xlfn.MAKEARRAY(1,8,_xlfn.LAMBDA(_xlpm.x,_xlpm.y,IF(_xlpm.y&gt;_xlpm._arr_len,"",INDEX(OFFSET($A24,_xlpm._group_row-ROW(),1,_xlpm._arr_len),_xlpm.y)))))</f>
        <v>0</v>
      </c>
      <c r="L24" s="10">
        <f ca="1"/>
        <v>10</v>
      </c>
      <c r="M24" s="10">
        <f ca="1"/>
        <v>11</v>
      </c>
      <c r="N24" s="10" t="str">
        <f ca="1"/>
        <v/>
      </c>
      <c r="O24" s="10" t="str">
        <f ca="1"/>
        <v/>
      </c>
      <c r="P24" s="10" t="str">
        <f ca="1"/>
        <v/>
      </c>
      <c r="Q24" s="10" t="str">
        <f ca="1"/>
        <v/>
      </c>
      <c r="R24" s="10" t="str">
        <f ca="1"/>
        <v/>
      </c>
      <c r="S24" s="11">
        <v>200000</v>
      </c>
      <c r="T24" s="11">
        <v>200000</v>
      </c>
      <c r="U24" s="11">
        <v>600000</v>
      </c>
      <c r="V24" s="24"/>
      <c r="W24" s="24"/>
      <c r="X24" s="24"/>
      <c r="Y24" s="24"/>
      <c r="Z24" s="24"/>
      <c r="AA24" s="12" t="str">
        <f t="shared" si="4"/>
        <v>Correct</v>
      </c>
      <c r="AB24" s="12" t="str" cm="1">
        <f t="array" ref="AB24">IF(A24&lt;&gt;"",IF(AND(IF(VALUE(RIGHT($S$3:$Z$3,1))&gt;COUNTIF(A:A,A24),S24:Z24&lt;&gt;""=FALSE,TRUE)),"Correct","Error"),"")</f>
        <v>Correct</v>
      </c>
    </row>
    <row r="25" spans="1:28" x14ac:dyDescent="0.2">
      <c r="A25" s="7">
        <v>420403</v>
      </c>
      <c r="B25" s="7">
        <v>11</v>
      </c>
      <c r="C25" s="32" t="str">
        <f t="shared" si="3"/>
        <v>420403;11</v>
      </c>
      <c r="D25" s="7">
        <v>460402</v>
      </c>
      <c r="E25" s="8" t="s">
        <v>78</v>
      </c>
      <c r="F25" s="8" t="str">
        <f>VLOOKUP(D25,weather!A:D,4,0)</f>
        <v>浓雾</v>
      </c>
      <c r="G25" s="7" t="str">
        <f t="shared" si="10"/>
        <v>300~357</v>
      </c>
      <c r="H25" s="9">
        <v>300</v>
      </c>
      <c r="I25" s="9">
        <f t="shared" si="9"/>
        <v>357</v>
      </c>
      <c r="J25" s="7" t="str" cm="1">
        <f t="array" aca="1" ref="J25" ca="1">_xlfn.TEXTJOIN(";",1,_xlfn.MAP(K25:R25,S25:Z25,_xlfn.LAMBDA(_xlpm.a,_xlpm.b,IF(_xlpm.b=0,"",_xlpm.a&amp;"~"&amp;_xlpm.b))))</f>
        <v>10~100000;11~900000</v>
      </c>
      <c r="K25" s="10" cm="1">
        <f t="array" aca="1" ref="K25:R25" ca="1">_xlfn.LET(_xlpm._arr_len,COUNTIF($A:$A,$A25),_xlpm._group_row,MATCH($A25,$A:$A,0),_xlfn.MAKEARRAY(1,8,_xlfn.LAMBDA(_xlpm.x,_xlpm.y,IF(_xlpm.y&gt;_xlpm._arr_len,"",INDEX(OFFSET($A25,_xlpm._group_row-ROW(),1,_xlpm._arr_len),_xlpm.y)))))</f>
        <v>0</v>
      </c>
      <c r="L25" s="10">
        <f ca="1"/>
        <v>10</v>
      </c>
      <c r="M25" s="10">
        <f ca="1"/>
        <v>11</v>
      </c>
      <c r="N25" s="10" t="str">
        <f ca="1"/>
        <v/>
      </c>
      <c r="O25" s="10" t="str">
        <f ca="1"/>
        <v/>
      </c>
      <c r="P25" s="10" t="str">
        <f ca="1"/>
        <v/>
      </c>
      <c r="Q25" s="10" t="str">
        <f ca="1"/>
        <v/>
      </c>
      <c r="R25" s="10" t="str">
        <f ca="1"/>
        <v/>
      </c>
      <c r="S25" s="24"/>
      <c r="T25" s="11">
        <v>100000</v>
      </c>
      <c r="U25" s="11">
        <v>900000</v>
      </c>
      <c r="V25" s="24"/>
      <c r="W25" s="24"/>
      <c r="X25" s="24"/>
      <c r="Y25" s="24"/>
      <c r="Z25" s="24"/>
      <c r="AA25" s="12" t="str">
        <f t="shared" si="4"/>
        <v>Correct</v>
      </c>
      <c r="AB25" s="12" t="str" cm="1">
        <f t="array" ref="AB25">IF(A25&lt;&gt;"",IF(AND(IF(VALUE(RIGHT($S$3:$Z$3,1))&gt;COUNTIF(A:A,A25),S25:Z25&lt;&gt;""=FALSE,TRUE)),"Correct","Error"),"")</f>
        <v>Correct</v>
      </c>
    </row>
    <row r="26" spans="1:28" x14ac:dyDescent="0.2">
      <c r="C26" s="32" t="str">
        <f t="shared" si="3"/>
        <v/>
      </c>
      <c r="AA26" s="12" t="str">
        <f t="shared" si="4"/>
        <v/>
      </c>
      <c r="AB26" s="12" t="str" cm="1">
        <f t="array" ref="AB26">IF(A26&lt;&gt;"",IF(AND(IF(VALUE(RIGHT($S$3:$Z$3,1))&gt;COUNTIF(A:A,A26),S26:Z26&lt;&gt;""=FALSE,TRUE)),"Correct","Error"),"")</f>
        <v/>
      </c>
    </row>
    <row r="27" spans="1:28" x14ac:dyDescent="0.2">
      <c r="A27" s="7">
        <v>420404</v>
      </c>
      <c r="B27" s="7">
        <v>0</v>
      </c>
      <c r="C27" s="32" t="str">
        <f t="shared" si="3"/>
        <v>420404;0</v>
      </c>
      <c r="D27" s="7">
        <v>460400</v>
      </c>
      <c r="E27" s="8" t="s">
        <v>78</v>
      </c>
      <c r="F27" s="8" t="str">
        <f>VLOOKUP(D27,weather!A:D,4,0)</f>
        <v>晴空</v>
      </c>
      <c r="G27" s="7" t="str">
        <f>H27&amp;"~"&amp;I27</f>
        <v>150~184.5</v>
      </c>
      <c r="H27" s="9">
        <v>150</v>
      </c>
      <c r="I27" s="9">
        <f t="shared" ref="I27:I30" si="11">H27*1.15+12</f>
        <v>184.5</v>
      </c>
      <c r="J27" s="7" t="str" cm="1">
        <f t="array" aca="1" ref="J27" ca="1">_xlfn.TEXTJOIN(";",1,_xlfn.MAP(K27:R27,S27:Z27,_xlfn.LAMBDA(_xlpm.a,_xlpm.b,IF(_xlpm.b=0,"",_xlpm.a&amp;"~"&amp;_xlpm.b))))</f>
        <v>0~200000;10~800000</v>
      </c>
      <c r="K27" s="10" cm="1">
        <f t="array" aca="1" ref="K27:R27" ca="1">_xlfn.LET(_xlpm._arr_len,COUNTIF($A:$A,$A27),_xlpm._group_row,MATCH($A27,$A:$A,0),_xlfn.MAKEARRAY(1,8,_xlfn.LAMBDA(_xlpm.x,_xlpm.y,IF(_xlpm.y&gt;_xlpm._arr_len,"",INDEX(OFFSET($A27,_xlpm._group_row-ROW(),1,_xlpm._arr_len),_xlpm.y)))))</f>
        <v>0</v>
      </c>
      <c r="L27" s="10">
        <f ca="1"/>
        <v>10</v>
      </c>
      <c r="M27" s="10">
        <f ca="1"/>
        <v>11</v>
      </c>
      <c r="N27" s="10">
        <f ca="1"/>
        <v>12</v>
      </c>
      <c r="O27" s="10" t="str">
        <f ca="1"/>
        <v/>
      </c>
      <c r="P27" s="10" t="str">
        <f ca="1"/>
        <v/>
      </c>
      <c r="Q27" s="10" t="str">
        <f ca="1"/>
        <v/>
      </c>
      <c r="R27" s="10" t="str">
        <f ca="1"/>
        <v/>
      </c>
      <c r="S27" s="11">
        <v>200000</v>
      </c>
      <c r="T27" s="11">
        <v>800000</v>
      </c>
      <c r="U27" s="24"/>
      <c r="V27" s="24"/>
      <c r="W27" s="24"/>
      <c r="X27" s="24"/>
      <c r="Y27" s="24"/>
      <c r="Z27" s="24"/>
      <c r="AA27" s="12" t="str">
        <f t="shared" si="4"/>
        <v>Correct</v>
      </c>
      <c r="AB27" s="12" t="str" cm="1">
        <f t="array" ref="AB27">IF(A27&lt;&gt;"",IF(AND(IF(VALUE(RIGHT($S$3:$Z$3,1))&gt;COUNTIF(A:A,A27),S27:Z27&lt;&gt;""=FALSE,TRUE)),"Correct","Error"),"")</f>
        <v>Correct</v>
      </c>
    </row>
    <row r="28" spans="1:28" x14ac:dyDescent="0.2">
      <c r="A28" s="7">
        <v>420404</v>
      </c>
      <c r="B28" s="7">
        <v>10</v>
      </c>
      <c r="C28" s="32" t="str">
        <f t="shared" si="3"/>
        <v>420404;10</v>
      </c>
      <c r="D28" s="7">
        <v>460401</v>
      </c>
      <c r="E28" s="8" t="s">
        <v>78</v>
      </c>
      <c r="F28" s="8" t="str">
        <f>VLOOKUP(D28,weather!A:D,4,0)</f>
        <v>薄雾</v>
      </c>
      <c r="G28" s="7" t="str">
        <f t="shared" ref="G28:G30" si="12">H28&amp;"~"&amp;I28</f>
        <v>150~184.5</v>
      </c>
      <c r="H28" s="9">
        <v>150</v>
      </c>
      <c r="I28" s="9">
        <f t="shared" si="11"/>
        <v>184.5</v>
      </c>
      <c r="J28" s="7" t="str" cm="1">
        <f t="array" aca="1" ref="J28" ca="1">_xlfn.TEXTJOIN(";",1,_xlfn.MAP(K28:R28,S28:Z28,_xlfn.LAMBDA(_xlpm.a,_xlpm.b,IF(_xlpm.b=0,"",_xlpm.a&amp;"~"&amp;_xlpm.b))))</f>
        <v>0~100000;10~200000;11~700000</v>
      </c>
      <c r="K28" s="10" cm="1">
        <f t="array" aca="1" ref="K28:R28" ca="1">_xlfn.LET(_xlpm._arr_len,COUNTIF($A:$A,$A28),_xlpm._group_row,MATCH($A28,$A:$A,0),_xlfn.MAKEARRAY(1,8,_xlfn.LAMBDA(_xlpm.x,_xlpm.y,IF(_xlpm.y&gt;_xlpm._arr_len,"",INDEX(OFFSET($A28,_xlpm._group_row-ROW(),1,_xlpm._arr_len),_xlpm.y)))))</f>
        <v>0</v>
      </c>
      <c r="L28" s="10">
        <f ca="1"/>
        <v>10</v>
      </c>
      <c r="M28" s="10">
        <f ca="1"/>
        <v>11</v>
      </c>
      <c r="N28" s="10">
        <f ca="1"/>
        <v>12</v>
      </c>
      <c r="O28" s="10" t="str">
        <f ca="1"/>
        <v/>
      </c>
      <c r="P28" s="10" t="str">
        <f ca="1"/>
        <v/>
      </c>
      <c r="Q28" s="10" t="str">
        <f ca="1"/>
        <v/>
      </c>
      <c r="R28" s="10" t="str">
        <f ca="1"/>
        <v/>
      </c>
      <c r="S28" s="11">
        <v>100000</v>
      </c>
      <c r="T28" s="11">
        <v>200000</v>
      </c>
      <c r="U28" s="11">
        <v>700000</v>
      </c>
      <c r="V28" s="24"/>
      <c r="W28" s="24"/>
      <c r="X28" s="24"/>
      <c r="Y28" s="24"/>
      <c r="Z28" s="24"/>
      <c r="AA28" s="12" t="str">
        <f t="shared" si="4"/>
        <v>Correct</v>
      </c>
      <c r="AB28" s="12" t="str" cm="1">
        <f t="array" ref="AB28">IF(A28&lt;&gt;"",IF(AND(IF(VALUE(RIGHT($S$3:$Z$3,1))&gt;COUNTIF(A:A,A28),S28:Z28&lt;&gt;""=FALSE,TRUE)),"Correct","Error"),"")</f>
        <v>Correct</v>
      </c>
    </row>
    <row r="29" spans="1:28" x14ac:dyDescent="0.2">
      <c r="A29" s="7">
        <v>420404</v>
      </c>
      <c r="B29" s="7">
        <v>11</v>
      </c>
      <c r="C29" s="32" t="str">
        <f t="shared" si="3"/>
        <v>420404;11</v>
      </c>
      <c r="D29" s="7">
        <v>460402</v>
      </c>
      <c r="E29" s="8" t="s">
        <v>78</v>
      </c>
      <c r="F29" s="8" t="str">
        <f>VLOOKUP(D29,weather!A:D,4,0)</f>
        <v>浓雾</v>
      </c>
      <c r="G29" s="7" t="str">
        <f t="shared" si="12"/>
        <v>150~184.5</v>
      </c>
      <c r="H29" s="9">
        <v>150</v>
      </c>
      <c r="I29" s="9">
        <f t="shared" si="11"/>
        <v>184.5</v>
      </c>
      <c r="J29" s="7" t="str" cm="1">
        <f t="array" aca="1" ref="J29" ca="1">_xlfn.TEXTJOIN(";",1,_xlfn.MAP(K29:R29,S29:Z29,_xlfn.LAMBDA(_xlpm.a,_xlpm.b,IF(_xlpm.b=0,"",_xlpm.a&amp;"~"&amp;_xlpm.b))))</f>
        <v>10~100000;11~300000;12~600000</v>
      </c>
      <c r="K29" s="10" cm="1">
        <f t="array" aca="1" ref="K29:R29" ca="1">_xlfn.LET(_xlpm._arr_len,COUNTIF($A:$A,$A29),_xlpm._group_row,MATCH($A29,$A:$A,0),_xlfn.MAKEARRAY(1,8,_xlfn.LAMBDA(_xlpm.x,_xlpm.y,IF(_xlpm.y&gt;_xlpm._arr_len,"",INDEX(OFFSET($A29,_xlpm._group_row-ROW(),1,_xlpm._arr_len),_xlpm.y)))))</f>
        <v>0</v>
      </c>
      <c r="L29" s="10">
        <f ca="1"/>
        <v>10</v>
      </c>
      <c r="M29" s="10">
        <f ca="1"/>
        <v>11</v>
      </c>
      <c r="N29" s="10">
        <f ca="1"/>
        <v>12</v>
      </c>
      <c r="O29" s="10" t="str">
        <f ca="1"/>
        <v/>
      </c>
      <c r="P29" s="10" t="str">
        <f ca="1"/>
        <v/>
      </c>
      <c r="Q29" s="10" t="str">
        <f ca="1"/>
        <v/>
      </c>
      <c r="R29" s="10" t="str">
        <f ca="1"/>
        <v/>
      </c>
      <c r="S29" s="24"/>
      <c r="T29" s="11">
        <v>100000</v>
      </c>
      <c r="U29" s="11">
        <v>300000</v>
      </c>
      <c r="V29" s="11">
        <v>600000</v>
      </c>
      <c r="W29" s="24"/>
      <c r="X29" s="24"/>
      <c r="Y29" s="24"/>
      <c r="Z29" s="24"/>
      <c r="AA29" s="12" t="str">
        <f t="shared" si="4"/>
        <v>Correct</v>
      </c>
      <c r="AB29" s="12" t="str" cm="1">
        <f t="array" ref="AB29">IF(A29&lt;&gt;"",IF(AND(IF(VALUE(RIGHT($S$3:$Z$3,1))&gt;COUNTIF(A:A,A29),S29:Z29&lt;&gt;""=FALSE,TRUE)),"Correct","Error"),"")</f>
        <v>Correct</v>
      </c>
    </row>
    <row r="30" spans="1:28" x14ac:dyDescent="0.2">
      <c r="A30" s="7">
        <v>420404</v>
      </c>
      <c r="B30" s="7">
        <v>12</v>
      </c>
      <c r="C30" s="32" t="str">
        <f t="shared" si="3"/>
        <v>420404;12</v>
      </c>
      <c r="D30" s="7">
        <v>460403</v>
      </c>
      <c r="E30" s="8" t="s">
        <v>78</v>
      </c>
      <c r="F30" s="8" t="str">
        <f>VLOOKUP(D30,weather!A:D,4,0)</f>
        <v>黑色妖雾</v>
      </c>
      <c r="G30" s="7" t="str">
        <f t="shared" si="12"/>
        <v>300~357</v>
      </c>
      <c r="H30" s="9">
        <v>300</v>
      </c>
      <c r="I30" s="9">
        <f t="shared" si="11"/>
        <v>357</v>
      </c>
      <c r="J30" s="7" t="str" cm="1">
        <f t="array" aca="1" ref="J30" ca="1">_xlfn.TEXTJOIN(";",1,_xlfn.MAP(K30:R30,S30:Z30,_xlfn.LAMBDA(_xlpm.a,_xlpm.b,IF(_xlpm.b=0,"",_xlpm.a&amp;"~"&amp;_xlpm.b))))</f>
        <v>11~100000;12~900000</v>
      </c>
      <c r="K30" s="10" cm="1">
        <f t="array" aca="1" ref="K30:R30" ca="1">_xlfn.LET(_xlpm._arr_len,COUNTIF($A:$A,$A30),_xlpm._group_row,MATCH($A30,$A:$A,0),_xlfn.MAKEARRAY(1,8,_xlfn.LAMBDA(_xlpm.x,_xlpm.y,IF(_xlpm.y&gt;_xlpm._arr_len,"",INDEX(OFFSET($A30,_xlpm._group_row-ROW(),1,_xlpm._arr_len),_xlpm.y)))))</f>
        <v>0</v>
      </c>
      <c r="L30" s="10">
        <f ca="1"/>
        <v>10</v>
      </c>
      <c r="M30" s="10">
        <f ca="1"/>
        <v>11</v>
      </c>
      <c r="N30" s="10">
        <f ca="1"/>
        <v>12</v>
      </c>
      <c r="O30" s="10" t="str">
        <f ca="1"/>
        <v/>
      </c>
      <c r="P30" s="10" t="str">
        <f ca="1"/>
        <v/>
      </c>
      <c r="Q30" s="10" t="str">
        <f ca="1"/>
        <v/>
      </c>
      <c r="R30" s="10" t="str">
        <f ca="1"/>
        <v/>
      </c>
      <c r="S30" s="24"/>
      <c r="T30" s="24"/>
      <c r="U30" s="11">
        <v>100000</v>
      </c>
      <c r="V30" s="11">
        <v>900000</v>
      </c>
      <c r="W30" s="24"/>
      <c r="X30" s="24"/>
      <c r="Y30" s="24"/>
      <c r="Z30" s="24"/>
      <c r="AA30" s="12" t="str">
        <f t="shared" si="4"/>
        <v>Correct</v>
      </c>
      <c r="AB30" s="12" t="str" cm="1">
        <f t="array" ref="AB30">IF(A30&lt;&gt;"",IF(AND(IF(VALUE(RIGHT($S$3:$Z$3,1))&gt;COUNTIF(A:A,A30),S30:Z30&lt;&gt;""=FALSE,TRUE)),"Correct","Error"),"")</f>
        <v>Correct</v>
      </c>
    </row>
    <row r="31" spans="1:28" x14ac:dyDescent="0.2">
      <c r="C31" s="32" t="str">
        <f t="shared" si="3"/>
        <v/>
      </c>
      <c r="AA31" s="12" t="str">
        <f t="shared" si="4"/>
        <v/>
      </c>
      <c r="AB31" s="12" t="str" cm="1">
        <f t="array" ref="AB31">IF(A31&lt;&gt;"",IF(AND(IF(VALUE(RIGHT($S$3:$Z$3,1))&gt;COUNTIF(A:A,A31),S31:Z31&lt;&gt;""=FALSE,TRUE)),"Correct","Error"),"")</f>
        <v/>
      </c>
    </row>
    <row r="32" spans="1:28" x14ac:dyDescent="0.2">
      <c r="A32" s="7">
        <v>420405</v>
      </c>
      <c r="B32" s="7">
        <v>0</v>
      </c>
      <c r="C32" s="32" t="str">
        <f t="shared" si="3"/>
        <v>420405;0</v>
      </c>
      <c r="D32" s="7">
        <v>460400</v>
      </c>
      <c r="E32" s="8" t="s">
        <v>78</v>
      </c>
      <c r="F32" s="8" t="str">
        <f>VLOOKUP(D32,weather!A:D,4,0)</f>
        <v>晴空</v>
      </c>
      <c r="G32" s="7" t="str">
        <f>H32&amp;"~"&amp;I32</f>
        <v>150~184.5</v>
      </c>
      <c r="H32" s="9">
        <v>150</v>
      </c>
      <c r="I32" s="9">
        <f t="shared" ref="I32:I36" si="13">H32*1.15+12</f>
        <v>184.5</v>
      </c>
      <c r="J32" s="7" t="str" cm="1">
        <f t="array" aca="1" ref="J32" ca="1">_xlfn.TEXTJOIN(";",1,_xlfn.MAP(K32:R32,S32:Z32,_xlfn.LAMBDA(_xlpm.a,_xlpm.b,IF(_xlpm.b=0,"",_xlpm.a&amp;"~"&amp;_xlpm.b))))</f>
        <v>0~100000;10~900000</v>
      </c>
      <c r="K32" s="10" cm="1">
        <f t="array" aca="1" ref="K32:R32" ca="1">_xlfn.LET(_xlpm._arr_len,COUNTIF($A:$A,$A32),_xlpm._group_row,MATCH($A32,$A:$A,0),_xlfn.MAKEARRAY(1,8,_xlfn.LAMBDA(_xlpm.x,_xlpm.y,IF(_xlpm.y&gt;_xlpm._arr_len,"",INDEX(OFFSET($A32,_xlpm._group_row-ROW(),1,_xlpm._arr_len),_xlpm.y)))))</f>
        <v>0</v>
      </c>
      <c r="L32" s="10">
        <f ca="1"/>
        <v>10</v>
      </c>
      <c r="M32" s="10">
        <f ca="1"/>
        <v>11</v>
      </c>
      <c r="N32" s="10">
        <f ca="1"/>
        <v>12</v>
      </c>
      <c r="O32" s="10">
        <f ca="1"/>
        <v>13</v>
      </c>
      <c r="P32" s="10" t="str">
        <f ca="1"/>
        <v/>
      </c>
      <c r="Q32" s="10" t="str">
        <f ca="1"/>
        <v/>
      </c>
      <c r="R32" s="10" t="str">
        <f ca="1"/>
        <v/>
      </c>
      <c r="S32" s="11">
        <v>100000</v>
      </c>
      <c r="T32" s="11">
        <v>900000</v>
      </c>
      <c r="U32" s="24"/>
      <c r="V32" s="24"/>
      <c r="W32" s="24"/>
      <c r="X32" s="24"/>
      <c r="Y32" s="24"/>
      <c r="Z32" s="24"/>
      <c r="AA32" s="12" t="str">
        <f t="shared" si="4"/>
        <v>Correct</v>
      </c>
      <c r="AB32" s="12" t="str" cm="1">
        <f t="array" ref="AB32">IF(A32&lt;&gt;"",IF(AND(IF(VALUE(RIGHT($S$3:$Z$3,1))&gt;COUNTIF(A:A,A32),S32:Z32&lt;&gt;""=FALSE,TRUE)),"Correct","Error"),"")</f>
        <v>Correct</v>
      </c>
    </row>
    <row r="33" spans="1:28" x14ac:dyDescent="0.2">
      <c r="A33" s="7">
        <v>420405</v>
      </c>
      <c r="B33" s="7">
        <v>10</v>
      </c>
      <c r="C33" s="32" t="str">
        <f t="shared" si="3"/>
        <v>420405;10</v>
      </c>
      <c r="D33" s="7">
        <v>460401</v>
      </c>
      <c r="E33" s="8" t="s">
        <v>78</v>
      </c>
      <c r="F33" s="8" t="str">
        <f>VLOOKUP(D33,weather!A:D,4,0)</f>
        <v>薄雾</v>
      </c>
      <c r="G33" s="7" t="str">
        <f t="shared" ref="G33:G36" si="14">H33&amp;"~"&amp;I33</f>
        <v>150~184.5</v>
      </c>
      <c r="H33" s="9">
        <v>150</v>
      </c>
      <c r="I33" s="9">
        <f t="shared" si="13"/>
        <v>184.5</v>
      </c>
      <c r="J33" s="7" t="str" cm="1">
        <f t="array" aca="1" ref="J33" ca="1">_xlfn.TEXTJOIN(";",1,_xlfn.MAP(K33:R33,S33:Z33,_xlfn.LAMBDA(_xlpm.a,_xlpm.b,IF(_xlpm.b=0,"",_xlpm.a&amp;"~"&amp;_xlpm.b))))</f>
        <v>0~50000;10~150000;11~800000</v>
      </c>
      <c r="K33" s="10" cm="1">
        <f t="array" aca="1" ref="K33:R33" ca="1">_xlfn.LET(_xlpm._arr_len,COUNTIF($A:$A,$A33),_xlpm._group_row,MATCH($A33,$A:$A,0),_xlfn.MAKEARRAY(1,8,_xlfn.LAMBDA(_xlpm.x,_xlpm.y,IF(_xlpm.y&gt;_xlpm._arr_len,"",INDEX(OFFSET($A33,_xlpm._group_row-ROW(),1,_xlpm._arr_len),_xlpm.y)))))</f>
        <v>0</v>
      </c>
      <c r="L33" s="10">
        <f ca="1"/>
        <v>10</v>
      </c>
      <c r="M33" s="10">
        <f ca="1"/>
        <v>11</v>
      </c>
      <c r="N33" s="10">
        <f ca="1"/>
        <v>12</v>
      </c>
      <c r="O33" s="10">
        <f ca="1"/>
        <v>13</v>
      </c>
      <c r="P33" s="10" t="str">
        <f ca="1"/>
        <v/>
      </c>
      <c r="Q33" s="10" t="str">
        <f ca="1"/>
        <v/>
      </c>
      <c r="R33" s="10" t="str">
        <f ca="1"/>
        <v/>
      </c>
      <c r="S33" s="11">
        <v>50000</v>
      </c>
      <c r="T33" s="11">
        <v>150000</v>
      </c>
      <c r="U33" s="11">
        <v>800000</v>
      </c>
      <c r="V33" s="24"/>
      <c r="W33" s="24"/>
      <c r="X33" s="24"/>
      <c r="Y33" s="24"/>
      <c r="Z33" s="24"/>
      <c r="AA33" s="12" t="str">
        <f t="shared" si="4"/>
        <v>Correct</v>
      </c>
      <c r="AB33" s="12" t="str" cm="1">
        <f t="array" ref="AB33">IF(A33&lt;&gt;"",IF(AND(IF(VALUE(RIGHT($S$3:$Z$3,1))&gt;COUNTIF(A:A,A33),S33:Z33&lt;&gt;""=FALSE,TRUE)),"Correct","Error"),"")</f>
        <v>Correct</v>
      </c>
    </row>
    <row r="34" spans="1:28" x14ac:dyDescent="0.2">
      <c r="A34" s="7">
        <v>420405</v>
      </c>
      <c r="B34" s="7">
        <v>11</v>
      </c>
      <c r="C34" s="32" t="str">
        <f t="shared" si="3"/>
        <v>420405;11</v>
      </c>
      <c r="D34" s="7">
        <v>460402</v>
      </c>
      <c r="E34" s="8" t="s">
        <v>78</v>
      </c>
      <c r="F34" s="8" t="str">
        <f>VLOOKUP(D34,weather!A:D,4,0)</f>
        <v>浓雾</v>
      </c>
      <c r="G34" s="7" t="str">
        <f t="shared" si="14"/>
        <v>150~184.5</v>
      </c>
      <c r="H34" s="9">
        <v>150</v>
      </c>
      <c r="I34" s="9">
        <f t="shared" si="13"/>
        <v>184.5</v>
      </c>
      <c r="J34" s="7" t="str" cm="1">
        <f t="array" aca="1" ref="J34" ca="1">_xlfn.TEXTJOIN(";",1,_xlfn.MAP(K34:R34,S34:Z34,_xlfn.LAMBDA(_xlpm.a,_xlpm.b,IF(_xlpm.b=0,"",_xlpm.a&amp;"~"&amp;_xlpm.b))))</f>
        <v>10~100000;11~200000;12~700000</v>
      </c>
      <c r="K34" s="10" cm="1">
        <f t="array" aca="1" ref="K34:R34" ca="1">_xlfn.LET(_xlpm._arr_len,COUNTIF($A:$A,$A34),_xlpm._group_row,MATCH($A34,$A:$A,0),_xlfn.MAKEARRAY(1,8,_xlfn.LAMBDA(_xlpm.x,_xlpm.y,IF(_xlpm.y&gt;_xlpm._arr_len,"",INDEX(OFFSET($A34,_xlpm._group_row-ROW(),1,_xlpm._arr_len),_xlpm.y)))))</f>
        <v>0</v>
      </c>
      <c r="L34" s="10">
        <f ca="1"/>
        <v>10</v>
      </c>
      <c r="M34" s="10">
        <f ca="1"/>
        <v>11</v>
      </c>
      <c r="N34" s="10">
        <f ca="1"/>
        <v>12</v>
      </c>
      <c r="O34" s="10">
        <f ca="1"/>
        <v>13</v>
      </c>
      <c r="P34" s="10" t="str">
        <f ca="1"/>
        <v/>
      </c>
      <c r="Q34" s="10" t="str">
        <f ca="1"/>
        <v/>
      </c>
      <c r="R34" s="10" t="str">
        <f ca="1"/>
        <v/>
      </c>
      <c r="S34" s="24"/>
      <c r="T34" s="11">
        <v>100000</v>
      </c>
      <c r="U34" s="11">
        <v>200000</v>
      </c>
      <c r="V34" s="11">
        <v>700000</v>
      </c>
      <c r="W34" s="24"/>
      <c r="X34" s="24"/>
      <c r="Y34" s="24"/>
      <c r="Z34" s="24"/>
      <c r="AA34" s="12" t="str">
        <f t="shared" si="4"/>
        <v>Correct</v>
      </c>
      <c r="AB34" s="12" t="str" cm="1">
        <f t="array" ref="AB34">IF(A34&lt;&gt;"",IF(AND(IF(VALUE(RIGHT($S$3:$Z$3,1))&gt;COUNTIF(A:A,A34),S34:Z34&lt;&gt;""=FALSE,TRUE)),"Correct","Error"),"")</f>
        <v>Correct</v>
      </c>
    </row>
    <row r="35" spans="1:28" x14ac:dyDescent="0.2">
      <c r="A35" s="7">
        <v>420405</v>
      </c>
      <c r="B35" s="7">
        <v>12</v>
      </c>
      <c r="C35" s="32" t="str">
        <f t="shared" si="3"/>
        <v>420405;12</v>
      </c>
      <c r="D35" s="7">
        <v>460403</v>
      </c>
      <c r="E35" s="8" t="s">
        <v>78</v>
      </c>
      <c r="F35" s="8" t="str">
        <f>VLOOKUP(D35,weather!A:D,4,0)</f>
        <v>黑色妖雾</v>
      </c>
      <c r="G35" s="7" t="str">
        <f t="shared" si="14"/>
        <v>150~184.5</v>
      </c>
      <c r="H35" s="9">
        <v>150</v>
      </c>
      <c r="I35" s="9">
        <f t="shared" si="13"/>
        <v>184.5</v>
      </c>
      <c r="J35" s="7" t="str" cm="1">
        <f t="array" aca="1" ref="J35" ca="1">_xlfn.TEXTJOIN(";",1,_xlfn.MAP(K35:R35,S35:Z35,_xlfn.LAMBDA(_xlpm.a,_xlpm.b,IF(_xlpm.b=0,"",_xlpm.a&amp;"~"&amp;_xlpm.b))))</f>
        <v>11~100000;12~300000;13~600000</v>
      </c>
      <c r="K35" s="10" cm="1">
        <f t="array" aca="1" ref="K35:R35" ca="1">_xlfn.LET(_xlpm._arr_len,COUNTIF($A:$A,$A35),_xlpm._group_row,MATCH($A35,$A:$A,0),_xlfn.MAKEARRAY(1,8,_xlfn.LAMBDA(_xlpm.x,_xlpm.y,IF(_xlpm.y&gt;_xlpm._arr_len,"",INDEX(OFFSET($A35,_xlpm._group_row-ROW(),1,_xlpm._arr_len),_xlpm.y)))))</f>
        <v>0</v>
      </c>
      <c r="L35" s="10">
        <f ca="1"/>
        <v>10</v>
      </c>
      <c r="M35" s="10">
        <f ca="1"/>
        <v>11</v>
      </c>
      <c r="N35" s="10">
        <f ca="1"/>
        <v>12</v>
      </c>
      <c r="O35" s="10">
        <f ca="1"/>
        <v>13</v>
      </c>
      <c r="P35" s="10" t="str">
        <f ca="1"/>
        <v/>
      </c>
      <c r="Q35" s="10" t="str">
        <f ca="1"/>
        <v/>
      </c>
      <c r="R35" s="10" t="str">
        <f ca="1"/>
        <v/>
      </c>
      <c r="S35" s="24"/>
      <c r="T35" s="24"/>
      <c r="U35" s="11">
        <v>100000</v>
      </c>
      <c r="V35" s="11">
        <v>300000</v>
      </c>
      <c r="W35" s="11">
        <v>600000</v>
      </c>
      <c r="X35" s="24"/>
      <c r="Y35" s="24"/>
      <c r="Z35" s="24"/>
      <c r="AA35" s="12" t="str">
        <f t="shared" si="4"/>
        <v>Correct</v>
      </c>
      <c r="AB35" s="12" t="str" cm="1">
        <f t="array" ref="AB35">IF(A35&lt;&gt;"",IF(AND(IF(VALUE(RIGHT($S$3:$Z$3,1))&gt;COUNTIF(A:A,A35),S35:Z35&lt;&gt;""=FALSE,TRUE)),"Correct","Error"),"")</f>
        <v>Correct</v>
      </c>
    </row>
    <row r="36" spans="1:28" x14ac:dyDescent="0.2">
      <c r="A36" s="7">
        <v>420405</v>
      </c>
      <c r="B36" s="7">
        <v>13</v>
      </c>
      <c r="C36" s="32" t="str">
        <f t="shared" si="3"/>
        <v>420405;13</v>
      </c>
      <c r="D36" s="7">
        <v>460404</v>
      </c>
      <c r="E36" s="8" t="s">
        <v>78</v>
      </c>
      <c r="F36" s="8" t="str">
        <f>VLOOKUP(D36,weather!A:D,4,0)</f>
        <v>浓厚妖雾</v>
      </c>
      <c r="G36" s="7" t="str">
        <f t="shared" si="14"/>
        <v>300~357</v>
      </c>
      <c r="H36" s="9">
        <v>300</v>
      </c>
      <c r="I36" s="9">
        <f t="shared" si="13"/>
        <v>357</v>
      </c>
      <c r="J36" s="7" t="str" cm="1">
        <f t="array" aca="1" ref="J36" ca="1">_xlfn.TEXTJOIN(";",1,_xlfn.MAP(K36:R36,S36:Z36,_xlfn.LAMBDA(_xlpm.a,_xlpm.b,IF(_xlpm.b=0,"",_xlpm.a&amp;"~"&amp;_xlpm.b))))</f>
        <v>12~100000;13~900000</v>
      </c>
      <c r="K36" s="10" cm="1">
        <f t="array" aca="1" ref="K36:R36" ca="1">_xlfn.LET(_xlpm._arr_len,COUNTIF($A:$A,$A36),_xlpm._group_row,MATCH($A36,$A:$A,0),_xlfn.MAKEARRAY(1,8,_xlfn.LAMBDA(_xlpm.x,_xlpm.y,IF(_xlpm.y&gt;_xlpm._arr_len,"",INDEX(OFFSET($A36,_xlpm._group_row-ROW(),1,_xlpm._arr_len),_xlpm.y)))))</f>
        <v>0</v>
      </c>
      <c r="L36" s="10">
        <f ca="1"/>
        <v>10</v>
      </c>
      <c r="M36" s="10">
        <f ca="1"/>
        <v>11</v>
      </c>
      <c r="N36" s="10">
        <f ca="1"/>
        <v>12</v>
      </c>
      <c r="O36" s="10">
        <f ca="1"/>
        <v>13</v>
      </c>
      <c r="P36" s="10" t="str">
        <f ca="1"/>
        <v/>
      </c>
      <c r="Q36" s="10" t="str">
        <f ca="1"/>
        <v/>
      </c>
      <c r="R36" s="10" t="str">
        <f ca="1"/>
        <v/>
      </c>
      <c r="S36" s="24"/>
      <c r="T36" s="24"/>
      <c r="U36" s="24"/>
      <c r="V36" s="11">
        <v>100000</v>
      </c>
      <c r="W36" s="11">
        <v>900000</v>
      </c>
      <c r="X36" s="24"/>
      <c r="Y36" s="24"/>
      <c r="Z36" s="24"/>
      <c r="AA36" s="12" t="str">
        <f t="shared" si="4"/>
        <v>Correct</v>
      </c>
      <c r="AB36" s="12" t="str" cm="1">
        <f t="array" ref="AB36">IF(A36&lt;&gt;"",IF(AND(IF(VALUE(RIGHT($S$3:$Z$3,1))&gt;COUNTIF(A:A,A36),S36:Z36&lt;&gt;""=FALSE,TRUE)),"Correct","Error"),"")</f>
        <v>Correct</v>
      </c>
    </row>
    <row r="37" spans="1:28" x14ac:dyDescent="0.2">
      <c r="C37" s="32" t="str">
        <f t="shared" si="3"/>
        <v/>
      </c>
      <c r="AA37" s="12" t="str">
        <f t="shared" si="4"/>
        <v/>
      </c>
      <c r="AB37" s="12" t="str" cm="1">
        <f t="array" ref="AB37">IF(A37&lt;&gt;"",IF(AND(IF(VALUE(RIGHT($S$3:$Z$3,1))&gt;COUNTIF(A:A,A37),S37:Z37&lt;&gt;""=FALSE,TRUE)),"Correct","Error"),"")</f>
        <v/>
      </c>
    </row>
    <row r="38" spans="1:28" x14ac:dyDescent="0.2">
      <c r="A38" s="7">
        <v>420406</v>
      </c>
      <c r="B38" s="7">
        <v>10</v>
      </c>
      <c r="C38" s="32" t="str">
        <f t="shared" si="3"/>
        <v>420406;10</v>
      </c>
      <c r="D38" s="7">
        <v>460401</v>
      </c>
      <c r="E38" s="8" t="s">
        <v>78</v>
      </c>
      <c r="F38" s="8" t="str">
        <f>VLOOKUP(D38,weather!A:D,4,0)</f>
        <v>薄雾</v>
      </c>
      <c r="G38" s="7" t="str">
        <f t="shared" ref="G38:G41" si="15">H38&amp;"~"&amp;I38</f>
        <v>150~184.5</v>
      </c>
      <c r="H38" s="9">
        <v>150</v>
      </c>
      <c r="I38" s="9">
        <f t="shared" ref="I38:I41" si="16">H38*1.15+12</f>
        <v>184.5</v>
      </c>
      <c r="J38" s="7" t="str" cm="1">
        <f t="array" aca="1" ref="J38" ca="1">_xlfn.TEXTJOIN(";",1,_xlfn.MAP(K38:R38,S38:Z38,_xlfn.LAMBDA(_xlpm.a,_xlpm.b,IF(_xlpm.b=0,"",_xlpm.a&amp;"~"&amp;_xlpm.b))))</f>
        <v>10~200000;11~800000</v>
      </c>
      <c r="K38" s="10" cm="1">
        <f t="array" aca="1" ref="K38:R38" ca="1">_xlfn.LET(_xlpm._arr_len,COUNTIF($A:$A,$A38),_xlpm._group_row,MATCH($A38,$A:$A,0),_xlfn.MAKEARRAY(1,8,_xlfn.LAMBDA(_xlpm.x,_xlpm.y,IF(_xlpm.y&gt;_xlpm._arr_len,"",INDEX(OFFSET($A38,_xlpm._group_row-ROW(),1,_xlpm._arr_len),_xlpm.y)))))</f>
        <v>10</v>
      </c>
      <c r="L38" s="10">
        <f ca="1"/>
        <v>11</v>
      </c>
      <c r="M38" s="10">
        <f ca="1"/>
        <v>12</v>
      </c>
      <c r="N38" s="10">
        <f ca="1"/>
        <v>13</v>
      </c>
      <c r="O38" s="10" t="str">
        <f ca="1"/>
        <v/>
      </c>
      <c r="P38" s="10" t="str">
        <f ca="1"/>
        <v/>
      </c>
      <c r="Q38" s="10" t="str">
        <f ca="1"/>
        <v/>
      </c>
      <c r="R38" s="10" t="str">
        <f ca="1"/>
        <v/>
      </c>
      <c r="S38" s="11">
        <v>200000</v>
      </c>
      <c r="T38" s="11">
        <v>800000</v>
      </c>
      <c r="U38" s="24"/>
      <c r="V38" s="24"/>
      <c r="W38" s="24"/>
      <c r="X38" s="24"/>
      <c r="Y38" s="24"/>
      <c r="Z38" s="24"/>
      <c r="AA38" s="12" t="str">
        <f t="shared" si="4"/>
        <v>Correct</v>
      </c>
      <c r="AB38" s="12" t="str" cm="1">
        <f t="array" ref="AB38">IF(A38&lt;&gt;"",IF(AND(IF(VALUE(RIGHT($S$3:$Z$3,1))&gt;COUNTIF(A:A,A38),S38:Z38&lt;&gt;""=FALSE,TRUE)),"Correct","Error"),"")</f>
        <v>Correct</v>
      </c>
    </row>
    <row r="39" spans="1:28" x14ac:dyDescent="0.2">
      <c r="A39" s="7">
        <v>420406</v>
      </c>
      <c r="B39" s="7">
        <v>11</v>
      </c>
      <c r="C39" s="32" t="str">
        <f t="shared" si="3"/>
        <v>420406;11</v>
      </c>
      <c r="D39" s="7">
        <v>460402</v>
      </c>
      <c r="E39" s="8" t="s">
        <v>78</v>
      </c>
      <c r="F39" s="8" t="str">
        <f>VLOOKUP(D39,weather!A:D,4,0)</f>
        <v>浓雾</v>
      </c>
      <c r="G39" s="7" t="str">
        <f t="shared" si="15"/>
        <v>150~184.5</v>
      </c>
      <c r="H39" s="9">
        <v>150</v>
      </c>
      <c r="I39" s="9">
        <f t="shared" si="16"/>
        <v>184.5</v>
      </c>
      <c r="J39" s="7" t="str" cm="1">
        <f t="array" aca="1" ref="J39" ca="1">_xlfn.TEXTJOIN(";",1,_xlfn.MAP(K39:R39,S39:Z39,_xlfn.LAMBDA(_xlpm.a,_xlpm.b,IF(_xlpm.b=0,"",_xlpm.a&amp;"~"&amp;_xlpm.b))))</f>
        <v>10~100000;11~200000;12~700000</v>
      </c>
      <c r="K39" s="10" cm="1">
        <f t="array" aca="1" ref="K39:R39" ca="1">_xlfn.LET(_xlpm._arr_len,COUNTIF($A:$A,$A39),_xlpm._group_row,MATCH($A39,$A:$A,0),_xlfn.MAKEARRAY(1,8,_xlfn.LAMBDA(_xlpm.x,_xlpm.y,IF(_xlpm.y&gt;_xlpm._arr_len,"",INDEX(OFFSET($A39,_xlpm._group_row-ROW(),1,_xlpm._arr_len),_xlpm.y)))))</f>
        <v>10</v>
      </c>
      <c r="L39" s="10">
        <f ca="1"/>
        <v>11</v>
      </c>
      <c r="M39" s="10">
        <f ca="1"/>
        <v>12</v>
      </c>
      <c r="N39" s="10">
        <f ca="1"/>
        <v>13</v>
      </c>
      <c r="O39" s="10" t="str">
        <f ca="1"/>
        <v/>
      </c>
      <c r="P39" s="10" t="str">
        <f ca="1"/>
        <v/>
      </c>
      <c r="Q39" s="10" t="str">
        <f ca="1"/>
        <v/>
      </c>
      <c r="R39" s="10" t="str">
        <f ca="1"/>
        <v/>
      </c>
      <c r="S39" s="11">
        <v>100000</v>
      </c>
      <c r="T39" s="11">
        <v>200000</v>
      </c>
      <c r="U39" s="11">
        <v>700000</v>
      </c>
      <c r="V39" s="24"/>
      <c r="W39" s="24"/>
      <c r="X39" s="24"/>
      <c r="Y39" s="24"/>
      <c r="Z39" s="24"/>
      <c r="AA39" s="12" t="str">
        <f t="shared" si="4"/>
        <v>Correct</v>
      </c>
      <c r="AB39" s="12" t="str" cm="1">
        <f t="array" ref="AB39">IF(A39&lt;&gt;"",IF(AND(IF(VALUE(RIGHT($S$3:$Z$3,1))&gt;COUNTIF(A:A,A39),S39:Z39&lt;&gt;""=FALSE,TRUE)),"Correct","Error"),"")</f>
        <v>Correct</v>
      </c>
    </row>
    <row r="40" spans="1:28" x14ac:dyDescent="0.2">
      <c r="A40" s="7">
        <v>420406</v>
      </c>
      <c r="B40" s="7">
        <v>12</v>
      </c>
      <c r="C40" s="32" t="str">
        <f t="shared" si="3"/>
        <v>420406;12</v>
      </c>
      <c r="D40" s="7">
        <v>460403</v>
      </c>
      <c r="E40" s="8" t="s">
        <v>78</v>
      </c>
      <c r="F40" s="8" t="str">
        <f>VLOOKUP(D40,weather!A:D,4,0)</f>
        <v>黑色妖雾</v>
      </c>
      <c r="G40" s="7" t="str">
        <f t="shared" si="15"/>
        <v>150~184.5</v>
      </c>
      <c r="H40" s="9">
        <v>150</v>
      </c>
      <c r="I40" s="9">
        <f t="shared" si="16"/>
        <v>184.5</v>
      </c>
      <c r="J40" s="7" t="str" cm="1">
        <f t="array" aca="1" ref="J40" ca="1">_xlfn.TEXTJOIN(";",1,_xlfn.MAP(K40:R40,S40:Z40,_xlfn.LAMBDA(_xlpm.a,_xlpm.b,IF(_xlpm.b=0,"",_xlpm.a&amp;"~"&amp;_xlpm.b))))</f>
        <v>11~100000;12~300000;13~600000</v>
      </c>
      <c r="K40" s="10" cm="1">
        <f t="array" aca="1" ref="K40:R40" ca="1">_xlfn.LET(_xlpm._arr_len,COUNTIF($A:$A,$A40),_xlpm._group_row,MATCH($A40,$A:$A,0),_xlfn.MAKEARRAY(1,8,_xlfn.LAMBDA(_xlpm.x,_xlpm.y,IF(_xlpm.y&gt;_xlpm._arr_len,"",INDEX(OFFSET($A40,_xlpm._group_row-ROW(),1,_xlpm._arr_len),_xlpm.y)))))</f>
        <v>10</v>
      </c>
      <c r="L40" s="10">
        <f ca="1"/>
        <v>11</v>
      </c>
      <c r="M40" s="10">
        <f ca="1"/>
        <v>12</v>
      </c>
      <c r="N40" s="10">
        <f ca="1"/>
        <v>13</v>
      </c>
      <c r="O40" s="10" t="str">
        <f ca="1"/>
        <v/>
      </c>
      <c r="P40" s="10" t="str">
        <f ca="1"/>
        <v/>
      </c>
      <c r="Q40" s="10" t="str">
        <f ca="1"/>
        <v/>
      </c>
      <c r="R40" s="10" t="str">
        <f ca="1"/>
        <v/>
      </c>
      <c r="S40" s="24"/>
      <c r="T40" s="11">
        <v>100000</v>
      </c>
      <c r="U40" s="11">
        <v>300000</v>
      </c>
      <c r="V40" s="11">
        <v>600000</v>
      </c>
      <c r="W40" s="24"/>
      <c r="X40" s="24"/>
      <c r="Y40" s="24"/>
      <c r="Z40" s="24"/>
      <c r="AA40" s="12" t="str">
        <f t="shared" si="4"/>
        <v>Correct</v>
      </c>
      <c r="AB40" s="12" t="str" cm="1">
        <f t="array" ref="AB40">IF(A40&lt;&gt;"",IF(AND(IF(VALUE(RIGHT($S$3:$Z$3,1))&gt;COUNTIF(A:A,A40),S40:Z40&lt;&gt;""=FALSE,TRUE)),"Correct","Error"),"")</f>
        <v>Correct</v>
      </c>
    </row>
    <row r="41" spans="1:28" x14ac:dyDescent="0.2">
      <c r="A41" s="7">
        <v>420406</v>
      </c>
      <c r="B41" s="7">
        <v>13</v>
      </c>
      <c r="C41" s="32" t="str">
        <f t="shared" si="3"/>
        <v>420406;13</v>
      </c>
      <c r="D41" s="7">
        <v>460404</v>
      </c>
      <c r="E41" s="8" t="s">
        <v>78</v>
      </c>
      <c r="F41" s="8" t="str">
        <f>VLOOKUP(D41,weather!A:D,4,0)</f>
        <v>浓厚妖雾</v>
      </c>
      <c r="G41" s="7" t="str">
        <f t="shared" si="15"/>
        <v>300~357</v>
      </c>
      <c r="H41" s="9">
        <v>300</v>
      </c>
      <c r="I41" s="9">
        <f t="shared" si="16"/>
        <v>357</v>
      </c>
      <c r="J41" s="7" t="str" cm="1">
        <f t="array" aca="1" ref="J41" ca="1">_xlfn.TEXTJOIN(";",1,_xlfn.MAP(K41:R41,S41:Z41,_xlfn.LAMBDA(_xlpm.a,_xlpm.b,IF(_xlpm.b=0,"",_xlpm.a&amp;"~"&amp;_xlpm.b))))</f>
        <v>12~100000;13~900000</v>
      </c>
      <c r="K41" s="10" cm="1">
        <f t="array" aca="1" ref="K41:R41" ca="1">_xlfn.LET(_xlpm._arr_len,COUNTIF($A:$A,$A41),_xlpm._group_row,MATCH($A41,$A:$A,0),_xlfn.MAKEARRAY(1,8,_xlfn.LAMBDA(_xlpm.x,_xlpm.y,IF(_xlpm.y&gt;_xlpm._arr_len,"",INDEX(OFFSET($A41,_xlpm._group_row-ROW(),1,_xlpm._arr_len),_xlpm.y)))))</f>
        <v>10</v>
      </c>
      <c r="L41" s="10">
        <f ca="1"/>
        <v>11</v>
      </c>
      <c r="M41" s="10">
        <f ca="1"/>
        <v>12</v>
      </c>
      <c r="N41" s="10">
        <f ca="1"/>
        <v>13</v>
      </c>
      <c r="O41" s="10" t="str">
        <f ca="1"/>
        <v/>
      </c>
      <c r="P41" s="10" t="str">
        <f ca="1"/>
        <v/>
      </c>
      <c r="Q41" s="10" t="str">
        <f ca="1"/>
        <v/>
      </c>
      <c r="R41" s="10" t="str">
        <f ca="1"/>
        <v/>
      </c>
      <c r="S41" s="24"/>
      <c r="T41" s="24"/>
      <c r="U41" s="11">
        <v>100000</v>
      </c>
      <c r="V41" s="11">
        <v>900000</v>
      </c>
      <c r="W41" s="24"/>
      <c r="X41" s="24"/>
      <c r="Y41" s="24"/>
      <c r="Z41" s="24"/>
      <c r="AA41" s="12" t="str">
        <f t="shared" si="4"/>
        <v>Correct</v>
      </c>
      <c r="AB41" s="12" t="str" cm="1">
        <f t="array" ref="AB41">IF(A41&lt;&gt;"",IF(AND(IF(VALUE(RIGHT($S$3:$Z$3,1))&gt;COUNTIF(A:A,A41),S41:Z41&lt;&gt;""=FALSE,TRUE)),"Correct","Error"),"")</f>
        <v>Correct</v>
      </c>
    </row>
    <row r="42" spans="1:28" x14ac:dyDescent="0.2">
      <c r="C42" s="32" t="str">
        <f t="shared" si="3"/>
        <v/>
      </c>
      <c r="AA42" s="12" t="str">
        <f t="shared" si="4"/>
        <v/>
      </c>
      <c r="AB42" s="12" t="str" cm="1">
        <f t="array" ref="AB42">IF(A42&lt;&gt;"",IF(AND(IF(VALUE(RIGHT($S$3:$Z$3,1))&gt;COUNTIF(A:A,A42),S42:Z42&lt;&gt;""=FALSE,TRUE)),"Correct","Error"),"")</f>
        <v/>
      </c>
    </row>
    <row r="43" spans="1:28" x14ac:dyDescent="0.2">
      <c r="A43" s="7">
        <v>420407</v>
      </c>
      <c r="B43" s="7">
        <v>11</v>
      </c>
      <c r="C43" s="32" t="str">
        <f t="shared" si="3"/>
        <v>420407;11</v>
      </c>
      <c r="D43" s="7">
        <v>460402</v>
      </c>
      <c r="E43" s="8" t="s">
        <v>78</v>
      </c>
      <c r="F43" s="8" t="str">
        <f>VLOOKUP(D43,weather!A:D,4,0)</f>
        <v>浓雾</v>
      </c>
      <c r="G43" s="7" t="str">
        <f t="shared" ref="G43:G45" si="17">H43&amp;"~"&amp;I43</f>
        <v>150~184.5</v>
      </c>
      <c r="H43" s="9">
        <v>150</v>
      </c>
      <c r="I43" s="9">
        <f t="shared" ref="I43:I45" si="18">H43*1.15+12</f>
        <v>184.5</v>
      </c>
      <c r="J43" s="7" t="str" cm="1">
        <f t="array" aca="1" ref="J43" ca="1">_xlfn.TEXTJOIN(";",1,_xlfn.MAP(K43:R43,S43:Z43,_xlfn.LAMBDA(_xlpm.a,_xlpm.b,IF(_xlpm.b=0,"",_xlpm.a&amp;"~"&amp;_xlpm.b))))</f>
        <v>11~300000;12~700000</v>
      </c>
      <c r="K43" s="10" cm="1">
        <f t="array" aca="1" ref="K43:R43" ca="1">_xlfn.LET(_xlpm._arr_len,COUNTIF($A:$A,$A43),_xlpm._group_row,MATCH($A43,$A:$A,0),_xlfn.MAKEARRAY(1,8,_xlfn.LAMBDA(_xlpm.x,_xlpm.y,IF(_xlpm.y&gt;_xlpm._arr_len,"",INDEX(OFFSET($A43,_xlpm._group_row-ROW(),1,_xlpm._arr_len),_xlpm.y)))))</f>
        <v>11</v>
      </c>
      <c r="L43" s="10">
        <f ca="1"/>
        <v>12</v>
      </c>
      <c r="M43" s="10">
        <f ca="1"/>
        <v>13</v>
      </c>
      <c r="N43" s="10" t="str">
        <f ca="1"/>
        <v/>
      </c>
      <c r="O43" s="10" t="str">
        <f ca="1"/>
        <v/>
      </c>
      <c r="P43" s="10" t="str">
        <f ca="1"/>
        <v/>
      </c>
      <c r="Q43" s="10" t="str">
        <f ca="1"/>
        <v/>
      </c>
      <c r="R43" s="10" t="str">
        <f ca="1"/>
        <v/>
      </c>
      <c r="S43" s="11">
        <v>300000</v>
      </c>
      <c r="T43" s="11">
        <v>700000</v>
      </c>
      <c r="U43" s="24"/>
      <c r="V43" s="24"/>
      <c r="W43" s="24"/>
      <c r="X43" s="24"/>
      <c r="Y43" s="24"/>
      <c r="Z43" s="24"/>
      <c r="AA43" s="12" t="str">
        <f t="shared" si="4"/>
        <v>Correct</v>
      </c>
      <c r="AB43" s="12" t="str" cm="1">
        <f t="array" ref="AB43">IF(A43&lt;&gt;"",IF(AND(IF(VALUE(RIGHT($S$3:$Z$3,1))&gt;COUNTIF(A:A,A43),S43:Z43&lt;&gt;""=FALSE,TRUE)),"Correct","Error"),"")</f>
        <v>Correct</v>
      </c>
    </row>
    <row r="44" spans="1:28" x14ac:dyDescent="0.2">
      <c r="A44" s="7">
        <v>420407</v>
      </c>
      <c r="B44" s="7">
        <v>12</v>
      </c>
      <c r="C44" s="32" t="str">
        <f t="shared" si="3"/>
        <v>420407;12</v>
      </c>
      <c r="D44" s="7">
        <v>460403</v>
      </c>
      <c r="E44" s="8" t="s">
        <v>78</v>
      </c>
      <c r="F44" s="8" t="str">
        <f>VLOOKUP(D44,weather!A:D,4,0)</f>
        <v>黑色妖雾</v>
      </c>
      <c r="G44" s="7" t="str">
        <f t="shared" si="17"/>
        <v>150~184.5</v>
      </c>
      <c r="H44" s="9">
        <v>150</v>
      </c>
      <c r="I44" s="9">
        <f t="shared" si="18"/>
        <v>184.5</v>
      </c>
      <c r="J44" s="7" t="str" cm="1">
        <f t="array" aca="1" ref="J44" ca="1">_xlfn.TEXTJOIN(";",1,_xlfn.MAP(K44:R44,S44:Z44,_xlfn.LAMBDA(_xlpm.a,_xlpm.b,IF(_xlpm.b=0,"",_xlpm.a&amp;"~"&amp;_xlpm.b))))</f>
        <v>11~200000;12~200000;13~600000</v>
      </c>
      <c r="K44" s="10" cm="1">
        <f t="array" aca="1" ref="K44:R44" ca="1">_xlfn.LET(_xlpm._arr_len,COUNTIF($A:$A,$A44),_xlpm._group_row,MATCH($A44,$A:$A,0),_xlfn.MAKEARRAY(1,8,_xlfn.LAMBDA(_xlpm.x,_xlpm.y,IF(_xlpm.y&gt;_xlpm._arr_len,"",INDEX(OFFSET($A44,_xlpm._group_row-ROW(),1,_xlpm._arr_len),_xlpm.y)))))</f>
        <v>11</v>
      </c>
      <c r="L44" s="10">
        <f ca="1"/>
        <v>12</v>
      </c>
      <c r="M44" s="10">
        <f ca="1"/>
        <v>13</v>
      </c>
      <c r="N44" s="10" t="str">
        <f ca="1"/>
        <v/>
      </c>
      <c r="O44" s="10" t="str">
        <f ca="1"/>
        <v/>
      </c>
      <c r="P44" s="10" t="str">
        <f ca="1"/>
        <v/>
      </c>
      <c r="Q44" s="10" t="str">
        <f ca="1"/>
        <v/>
      </c>
      <c r="R44" s="10" t="str">
        <f ca="1"/>
        <v/>
      </c>
      <c r="S44" s="11">
        <v>200000</v>
      </c>
      <c r="T44" s="11">
        <v>200000</v>
      </c>
      <c r="U44" s="11">
        <v>600000</v>
      </c>
      <c r="V44" s="24"/>
      <c r="W44" s="24"/>
      <c r="X44" s="24"/>
      <c r="Y44" s="24"/>
      <c r="Z44" s="24"/>
      <c r="AA44" s="12" t="str">
        <f t="shared" si="4"/>
        <v>Correct</v>
      </c>
      <c r="AB44" s="12" t="str" cm="1">
        <f t="array" ref="AB44">IF(A44&lt;&gt;"",IF(AND(IF(VALUE(RIGHT($S$3:$Z$3,1))&gt;COUNTIF(A:A,A44),S44:Z44&lt;&gt;""=FALSE,TRUE)),"Correct","Error"),"")</f>
        <v>Correct</v>
      </c>
    </row>
    <row r="45" spans="1:28" x14ac:dyDescent="0.2">
      <c r="A45" s="7">
        <v>420407</v>
      </c>
      <c r="B45" s="7">
        <v>13</v>
      </c>
      <c r="C45" s="32" t="str">
        <f t="shared" si="3"/>
        <v>420407;13</v>
      </c>
      <c r="D45" s="7">
        <v>460404</v>
      </c>
      <c r="E45" s="8" t="s">
        <v>78</v>
      </c>
      <c r="F45" s="8" t="str">
        <f>VLOOKUP(D45,weather!A:D,4,0)</f>
        <v>浓厚妖雾</v>
      </c>
      <c r="G45" s="7" t="str">
        <f t="shared" si="17"/>
        <v>300~357</v>
      </c>
      <c r="H45" s="9">
        <v>300</v>
      </c>
      <c r="I45" s="9">
        <f t="shared" si="18"/>
        <v>357</v>
      </c>
      <c r="J45" s="7" t="str" cm="1">
        <f t="array" aca="1" ref="J45" ca="1">_xlfn.TEXTJOIN(";",1,_xlfn.MAP(K45:R45,S45:Z45,_xlfn.LAMBDA(_xlpm.a,_xlpm.b,IF(_xlpm.b=0,"",_xlpm.a&amp;"~"&amp;_xlpm.b))))</f>
        <v>12~100000;13~900000</v>
      </c>
      <c r="K45" s="10" cm="1">
        <f t="array" aca="1" ref="K45:R45" ca="1">_xlfn.LET(_xlpm._arr_len,COUNTIF($A:$A,$A45),_xlpm._group_row,MATCH($A45,$A:$A,0),_xlfn.MAKEARRAY(1,8,_xlfn.LAMBDA(_xlpm.x,_xlpm.y,IF(_xlpm.y&gt;_xlpm._arr_len,"",INDEX(OFFSET($A45,_xlpm._group_row-ROW(),1,_xlpm._arr_len),_xlpm.y)))))</f>
        <v>11</v>
      </c>
      <c r="L45" s="10">
        <f ca="1"/>
        <v>12</v>
      </c>
      <c r="M45" s="10">
        <f ca="1"/>
        <v>13</v>
      </c>
      <c r="N45" s="10" t="str">
        <f ca="1"/>
        <v/>
      </c>
      <c r="O45" s="10" t="str">
        <f ca="1"/>
        <v/>
      </c>
      <c r="P45" s="10" t="str">
        <f ca="1"/>
        <v/>
      </c>
      <c r="Q45" s="10" t="str">
        <f ca="1"/>
        <v/>
      </c>
      <c r="R45" s="10" t="str">
        <f ca="1"/>
        <v/>
      </c>
      <c r="S45" s="24"/>
      <c r="T45" s="11">
        <v>100000</v>
      </c>
      <c r="U45" s="11">
        <v>900000</v>
      </c>
      <c r="V45" s="24"/>
      <c r="W45" s="24"/>
      <c r="X45" s="24"/>
      <c r="Y45" s="24"/>
      <c r="Z45" s="24"/>
      <c r="AA45" s="12" t="str">
        <f t="shared" si="4"/>
        <v>Correct</v>
      </c>
      <c r="AB45" s="12" t="str" cm="1">
        <f t="array" ref="AB45">IF(A45&lt;&gt;"",IF(AND(IF(VALUE(RIGHT($S$3:$Z$3,1))&gt;COUNTIF(A:A,A45),S45:Z45&lt;&gt;""=FALSE,TRUE)),"Correct","Error"),"")</f>
        <v>Correct</v>
      </c>
    </row>
    <row r="46" spans="1:28" x14ac:dyDescent="0.2">
      <c r="C46" s="32" t="str">
        <f t="shared" si="3"/>
        <v/>
      </c>
      <c r="AA46" s="12" t="str">
        <f t="shared" si="4"/>
        <v/>
      </c>
      <c r="AB46" s="12" t="str" cm="1">
        <f t="array" ref="AB46">IF(A46&lt;&gt;"",IF(AND(IF(VALUE(RIGHT($S$3:$Z$3,1))&gt;COUNTIF(A:A,A46),S46:Z46&lt;&gt;""=FALSE,TRUE)),"Correct","Error"),"")</f>
        <v/>
      </c>
    </row>
    <row r="47" spans="1:28" x14ac:dyDescent="0.2">
      <c r="A47" s="7">
        <v>420408</v>
      </c>
      <c r="B47" s="7">
        <v>12</v>
      </c>
      <c r="C47" s="32" t="str">
        <f t="shared" si="3"/>
        <v>420408;12</v>
      </c>
      <c r="D47" s="7">
        <v>460403</v>
      </c>
      <c r="E47" s="8" t="s">
        <v>78</v>
      </c>
      <c r="F47" s="8" t="str">
        <f>VLOOKUP(D47,weather!A:D,4,0)</f>
        <v>黑色妖雾</v>
      </c>
      <c r="G47" s="7" t="str">
        <f t="shared" ref="G47:G48" si="19">H47&amp;"~"&amp;I47</f>
        <v>150~184.5</v>
      </c>
      <c r="H47" s="9">
        <v>150</v>
      </c>
      <c r="I47" s="9">
        <f t="shared" ref="I47:I48" si="20">H47*1.15+12</f>
        <v>184.5</v>
      </c>
      <c r="J47" s="7" t="str" cm="1">
        <f t="array" aca="1" ref="J47" ca="1">_xlfn.TEXTJOIN(";",1,_xlfn.MAP(K47:R47,S47:Z47,_xlfn.LAMBDA(_xlpm.a,_xlpm.b,IF(_xlpm.b=0,"",_xlpm.a&amp;"~"&amp;_xlpm.b))))</f>
        <v>12~400000;13~600000</v>
      </c>
      <c r="K47" s="10" cm="1">
        <f t="array" aca="1" ref="K47:R47" ca="1">_xlfn.LET(_xlpm._arr_len,COUNTIF($A:$A,$A47),_xlpm._group_row,MATCH($A47,$A:$A,0),_xlfn.MAKEARRAY(1,8,_xlfn.LAMBDA(_xlpm.x,_xlpm.y,IF(_xlpm.y&gt;_xlpm._arr_len,"",INDEX(OFFSET($A47,_xlpm._group_row-ROW(),1,_xlpm._arr_len),_xlpm.y)))))</f>
        <v>12</v>
      </c>
      <c r="L47" s="10">
        <f ca="1"/>
        <v>13</v>
      </c>
      <c r="M47" s="10" t="str">
        <f ca="1"/>
        <v/>
      </c>
      <c r="N47" s="10" t="str">
        <f ca="1"/>
        <v/>
      </c>
      <c r="O47" s="10" t="str">
        <f ca="1"/>
        <v/>
      </c>
      <c r="P47" s="10" t="str">
        <f ca="1"/>
        <v/>
      </c>
      <c r="Q47" s="10" t="str">
        <f ca="1"/>
        <v/>
      </c>
      <c r="R47" s="10" t="str">
        <f ca="1"/>
        <v/>
      </c>
      <c r="S47" s="11">
        <v>400000</v>
      </c>
      <c r="T47" s="11">
        <v>600000</v>
      </c>
      <c r="U47" s="24"/>
      <c r="V47" s="24"/>
      <c r="W47" s="24"/>
      <c r="X47" s="24"/>
      <c r="Y47" s="24"/>
      <c r="Z47" s="24"/>
      <c r="AA47" s="12" t="str">
        <f t="shared" si="4"/>
        <v>Correct</v>
      </c>
      <c r="AB47" s="12" t="str" cm="1">
        <f t="array" ref="AB47">IF(A47&lt;&gt;"",IF(AND(IF(VALUE(RIGHT($S$3:$Z$3,1))&gt;COUNTIF(A:A,A47),S47:Z47&lt;&gt;""=FALSE,TRUE)),"Correct","Error"),"")</f>
        <v>Correct</v>
      </c>
    </row>
    <row r="48" spans="1:28" x14ac:dyDescent="0.2">
      <c r="A48" s="7">
        <v>420408</v>
      </c>
      <c r="B48" s="7">
        <v>13</v>
      </c>
      <c r="C48" s="32" t="str">
        <f t="shared" si="3"/>
        <v>420408;13</v>
      </c>
      <c r="D48" s="7">
        <v>460404</v>
      </c>
      <c r="E48" s="8" t="s">
        <v>78</v>
      </c>
      <c r="F48" s="8" t="str">
        <f>VLOOKUP(D48,weather!A:D,4,0)</f>
        <v>浓厚妖雾</v>
      </c>
      <c r="G48" s="7" t="str">
        <f t="shared" si="19"/>
        <v>300~357</v>
      </c>
      <c r="H48" s="9">
        <v>300</v>
      </c>
      <c r="I48" s="9">
        <f t="shared" si="20"/>
        <v>357</v>
      </c>
      <c r="J48" s="7" t="str" cm="1">
        <f t="array" aca="1" ref="J48" ca="1">_xlfn.TEXTJOIN(";",1,_xlfn.MAP(K48:R48,S48:Z48,_xlfn.LAMBDA(_xlpm.a,_xlpm.b,IF(_xlpm.b=0,"",_xlpm.a&amp;"~"&amp;_xlpm.b))))</f>
        <v>12~100000;13~900000</v>
      </c>
      <c r="K48" s="10" cm="1">
        <f t="array" aca="1" ref="K48:R48" ca="1">_xlfn.LET(_xlpm._arr_len,COUNTIF($A:$A,$A48),_xlpm._group_row,MATCH($A48,$A:$A,0),_xlfn.MAKEARRAY(1,8,_xlfn.LAMBDA(_xlpm.x,_xlpm.y,IF(_xlpm.y&gt;_xlpm._arr_len,"",INDEX(OFFSET($A48,_xlpm._group_row-ROW(),1,_xlpm._arr_len),_xlpm.y)))))</f>
        <v>12</v>
      </c>
      <c r="L48" s="10">
        <f ca="1"/>
        <v>13</v>
      </c>
      <c r="M48" s="10" t="str">
        <f ca="1"/>
        <v/>
      </c>
      <c r="N48" s="10" t="str">
        <f ca="1"/>
        <v/>
      </c>
      <c r="O48" s="10" t="str">
        <f ca="1"/>
        <v/>
      </c>
      <c r="P48" s="10" t="str">
        <f ca="1"/>
        <v/>
      </c>
      <c r="Q48" s="10" t="str">
        <f ca="1"/>
        <v/>
      </c>
      <c r="R48" s="10" t="str">
        <f ca="1"/>
        <v/>
      </c>
      <c r="S48" s="11">
        <v>100000</v>
      </c>
      <c r="T48" s="11">
        <v>900000</v>
      </c>
      <c r="U48" s="24"/>
      <c r="V48" s="24"/>
      <c r="W48" s="24"/>
      <c r="X48" s="24"/>
      <c r="Y48" s="24"/>
      <c r="Z48" s="24"/>
      <c r="AA48" s="12" t="str">
        <f t="shared" si="4"/>
        <v>Correct</v>
      </c>
      <c r="AB48" s="12" t="str" cm="1">
        <f t="array" ref="AB48">IF(A48&lt;&gt;"",IF(AND(IF(VALUE(RIGHT($S$3:$Z$3,1))&gt;COUNTIF(A:A,A48),S48:Z48&lt;&gt;""=FALSE,TRUE)),"Correct","Error"),"")</f>
        <v>Correct</v>
      </c>
    </row>
    <row r="49" spans="1:28" x14ac:dyDescent="0.2">
      <c r="C49" s="32" t="str">
        <f t="shared" si="3"/>
        <v/>
      </c>
      <c r="AA49" s="12" t="str">
        <f t="shared" si="4"/>
        <v/>
      </c>
      <c r="AB49" s="12" t="str" cm="1">
        <f t="array" ref="AB49">IF(A49&lt;&gt;"",IF(AND(IF(VALUE(RIGHT($S$3:$Z$3,1))&gt;COUNTIF(A:A,A49),S49:Z49&lt;&gt;""=FALSE,TRUE)),"Correct","Error"),"")</f>
        <v/>
      </c>
    </row>
    <row r="50" spans="1:28" x14ac:dyDescent="0.2">
      <c r="A50" s="7">
        <v>420409</v>
      </c>
      <c r="B50" s="7">
        <v>13</v>
      </c>
      <c r="C50" s="32" t="str">
        <f t="shared" si="3"/>
        <v>420409;13</v>
      </c>
      <c r="D50" s="7">
        <v>460404</v>
      </c>
      <c r="E50" s="8" t="s">
        <v>78</v>
      </c>
      <c r="F50" s="8" t="str">
        <f>VLOOKUP(D50,weather!A:D,4,0)</f>
        <v>浓厚妖雾</v>
      </c>
      <c r="G50" s="7" t="str">
        <f t="shared" ref="G50" si="21">H50&amp;"~"&amp;I50</f>
        <v>8680~9994</v>
      </c>
      <c r="H50" s="9">
        <v>8680</v>
      </c>
      <c r="I50" s="9">
        <f t="shared" ref="I50" si="22">H50*1.15+12</f>
        <v>9994</v>
      </c>
      <c r="J50" s="7" t="str" cm="1">
        <f t="array" aca="1" ref="J50" ca="1">_xlfn.TEXTJOIN(";",1,_xlfn.MAP(K50:R50,S50:Z50,_xlfn.LAMBDA(_xlpm.a,_xlpm.b,IF(_xlpm.b=0,"",_xlpm.a&amp;"~"&amp;_xlpm.b))))</f>
        <v>13~1000000</v>
      </c>
      <c r="K50" s="10" cm="1">
        <f t="array" aca="1" ref="K50:R50" ca="1">_xlfn.LET(_xlpm._arr_len,COUNTIF($A:$A,$A50),_xlpm._group_row,MATCH($A50,$A:$A,0),_xlfn.MAKEARRAY(1,8,_xlfn.LAMBDA(_xlpm.x,_xlpm.y,IF(_xlpm.y&gt;_xlpm._arr_len,"",INDEX(OFFSET($A50,_xlpm._group_row-ROW(),1,_xlpm._arr_len),_xlpm.y)))))</f>
        <v>13</v>
      </c>
      <c r="L50" s="10" t="str">
        <f ca="1"/>
        <v/>
      </c>
      <c r="M50" s="10" t="str">
        <f ca="1"/>
        <v/>
      </c>
      <c r="N50" s="10" t="str">
        <f ca="1"/>
        <v/>
      </c>
      <c r="O50" s="10" t="str">
        <f ca="1"/>
        <v/>
      </c>
      <c r="P50" s="10" t="str">
        <f ca="1"/>
        <v/>
      </c>
      <c r="Q50" s="10" t="str">
        <f ca="1"/>
        <v/>
      </c>
      <c r="R50" s="10" t="str">
        <f ca="1"/>
        <v/>
      </c>
      <c r="S50" s="11">
        <v>1000000</v>
      </c>
      <c r="T50" s="24"/>
      <c r="U50" s="24"/>
      <c r="V50" s="24"/>
      <c r="W50" s="24"/>
      <c r="X50" s="24"/>
      <c r="Y50" s="24"/>
      <c r="Z50" s="24"/>
      <c r="AA50" s="12" t="str">
        <f t="shared" si="4"/>
        <v>Correct</v>
      </c>
      <c r="AB50" s="12" t="str" cm="1">
        <f t="array" ref="AB50">IF(A50&lt;&gt;"",IF(AND(IF(VALUE(RIGHT($S$3:$Z$3,1))&gt;COUNTIF(A:A,A50),S50:Z50&lt;&gt;""=FALSE,TRUE)),"Correct","Error"),"")</f>
        <v>Correct</v>
      </c>
    </row>
    <row r="54" spans="1:28" s="33" customFormat="1" x14ac:dyDescent="0.2">
      <c r="C54" s="34" t="str">
        <f>_xlfn.TEXTJOIN(";",1,A54,B54)</f>
        <v/>
      </c>
      <c r="E54" s="35"/>
      <c r="F54" s="35"/>
      <c r="H54" s="36"/>
      <c r="I54" s="36"/>
      <c r="K54" s="37"/>
      <c r="L54" s="37"/>
      <c r="M54" s="37"/>
      <c r="N54" s="37"/>
      <c r="O54" s="37"/>
      <c r="P54" s="37"/>
      <c r="Q54" s="37"/>
      <c r="R54" s="37"/>
      <c r="S54" s="38"/>
      <c r="T54" s="38"/>
      <c r="U54" s="38"/>
      <c r="V54" s="38"/>
      <c r="W54" s="38"/>
      <c r="X54" s="38"/>
      <c r="Y54" s="38"/>
      <c r="Z54" s="38"/>
      <c r="AA54" s="39"/>
      <c r="AB54" s="39"/>
    </row>
    <row r="55" spans="1:28" x14ac:dyDescent="0.2">
      <c r="C55" s="32" t="str">
        <f t="shared" si="0"/>
        <v/>
      </c>
    </row>
    <row r="56" spans="1:28" x14ac:dyDescent="0.2">
      <c r="A56" s="7">
        <v>420701</v>
      </c>
      <c r="B56" s="7">
        <v>0</v>
      </c>
      <c r="C56" s="32" t="str">
        <f t="shared" si="0"/>
        <v>420701;0</v>
      </c>
      <c r="D56" s="7">
        <v>460700</v>
      </c>
      <c r="E56" s="8" t="s">
        <v>78</v>
      </c>
      <c r="F56" s="8" t="str">
        <f>VLOOKUP(D56,weather!A:D,4,0)</f>
        <v>曝晒</v>
      </c>
      <c r="G56" s="7" t="str">
        <f t="shared" ref="G56" si="23">H56&amp;"~"&amp;I56</f>
        <v>8680~9994</v>
      </c>
      <c r="H56" s="9">
        <v>8680</v>
      </c>
      <c r="I56" s="9">
        <f t="shared" ref="I56" si="24">H56*1.15+12</f>
        <v>9994</v>
      </c>
      <c r="J56" s="7" t="str" cm="1">
        <f t="array" aca="1" ref="J56" ca="1">_xlfn.TEXTJOIN(";",1,_xlfn.MAP(K56:R56,S56:Z56,_xlfn.LAMBDA(_xlpm.a,_xlpm.b,IF(_xlpm.b=0,"",_xlpm.a&amp;"~"&amp;_xlpm.b))))</f>
        <v>0~1000000</v>
      </c>
      <c r="K56" s="10" cm="1">
        <f t="array" aca="1" ref="K56:R56" ca="1">_xlfn.LET(_xlpm._arr_len,COUNTIF($A:$A,$A56),_xlpm._group_row,MATCH($A56,$A:$A,0),_xlfn.MAKEARRAY(1,8,_xlfn.LAMBDA(_xlpm.x,_xlpm.y,IF(_xlpm.y&gt;_xlpm._arr_len,"",INDEX(OFFSET($A56,_xlpm._group_row-ROW(),1,_xlpm._arr_len),_xlpm.y)))))</f>
        <v>0</v>
      </c>
      <c r="L56" s="10" t="str">
        <f ca="1"/>
        <v/>
      </c>
      <c r="M56" s="10" t="str">
        <f ca="1"/>
        <v/>
      </c>
      <c r="N56" s="10" t="str">
        <f ca="1"/>
        <v/>
      </c>
      <c r="O56" s="10" t="str">
        <f ca="1"/>
        <v/>
      </c>
      <c r="P56" s="10" t="str">
        <f ca="1"/>
        <v/>
      </c>
      <c r="Q56" s="10" t="str">
        <f ca="1"/>
        <v/>
      </c>
      <c r="R56" s="10" t="str">
        <f ca="1"/>
        <v/>
      </c>
      <c r="S56" s="11">
        <v>1000000</v>
      </c>
      <c r="T56" s="24"/>
      <c r="U56" s="24"/>
      <c r="V56" s="24"/>
      <c r="W56" s="24"/>
      <c r="X56" s="24"/>
      <c r="Y56" s="24"/>
      <c r="Z56" s="24"/>
      <c r="AA56" s="12" t="str">
        <f t="shared" ref="AA56:AA88" si="25">IF(A56&lt;&gt;"",IF(SUM(S56:Z56)&gt;=1000000,"Correct","Error"),"")</f>
        <v>Correct</v>
      </c>
      <c r="AB56" s="12" t="str" cm="1">
        <f t="array" ref="AB56">IF(A56&lt;&gt;"",IF(AND(IF(VALUE(RIGHT($S$3:$Z$3,1))&gt;COUNTIF(A:A,A56),S56:Z56&lt;&gt;""=FALSE,TRUE)),"Correct","Error"),"")</f>
        <v>Correct</v>
      </c>
    </row>
    <row r="57" spans="1:28" x14ac:dyDescent="0.2">
      <c r="C57" s="32" t="str">
        <f t="shared" si="0"/>
        <v/>
      </c>
      <c r="AA57" s="12" t="str">
        <f t="shared" si="25"/>
        <v/>
      </c>
      <c r="AB57" s="12" t="str" cm="1">
        <f t="array" ref="AB57">IF(A57&lt;&gt;"",IF(AND(IF(VALUE(RIGHT($S$3:$Z$3,1))&gt;COUNTIF(A:A,A57),S57:Z57&lt;&gt;""=FALSE,TRUE)),"Correct","Error"),"")</f>
        <v/>
      </c>
    </row>
    <row r="58" spans="1:28" x14ac:dyDescent="0.2">
      <c r="A58" s="7">
        <v>420702</v>
      </c>
      <c r="B58" s="7">
        <v>0</v>
      </c>
      <c r="C58" s="32" t="str">
        <f t="shared" si="0"/>
        <v>420702;0</v>
      </c>
      <c r="D58" s="7">
        <v>460700</v>
      </c>
      <c r="E58" s="8" t="s">
        <v>78</v>
      </c>
      <c r="F58" s="8" t="str">
        <f>VLOOKUP(D58,weather!A:D,4,0)</f>
        <v>曝晒</v>
      </c>
      <c r="G58" s="7" t="str">
        <f>H58&amp;"~"&amp;I58</f>
        <v>150~184.5</v>
      </c>
      <c r="H58" s="9">
        <v>150</v>
      </c>
      <c r="I58" s="9">
        <f t="shared" ref="I58:I59" si="26">H58*1.15+12</f>
        <v>184.5</v>
      </c>
      <c r="J58" s="7" t="str" cm="1">
        <f t="array" aca="1" ref="J58" ca="1">_xlfn.TEXTJOIN(";",1,_xlfn.MAP(K58:R58,S58:Z58,_xlfn.LAMBDA(_xlpm.a,_xlpm.b,IF(_xlpm.b=0,"",_xlpm.a&amp;"~"&amp;_xlpm.b))))</f>
        <v>0~400000;10~600000</v>
      </c>
      <c r="K58" s="10" cm="1">
        <f t="array" aca="1" ref="K58:R58" ca="1">_xlfn.LET(_xlpm._arr_len,COUNTIF($A:$A,$A58),_xlpm._group_row,MATCH($A58,$A:$A,0),_xlfn.MAKEARRAY(1,8,_xlfn.LAMBDA(_xlpm.x,_xlpm.y,IF(_xlpm.y&gt;_xlpm._arr_len,"",INDEX(OFFSET($A58,_xlpm._group_row-ROW(),1,_xlpm._arr_len),_xlpm.y)))))</f>
        <v>0</v>
      </c>
      <c r="L58" s="10">
        <f ca="1"/>
        <v>10</v>
      </c>
      <c r="M58" s="10" t="str">
        <f ca="1"/>
        <v/>
      </c>
      <c r="N58" s="10" t="str">
        <f ca="1"/>
        <v/>
      </c>
      <c r="O58" s="10" t="str">
        <f ca="1"/>
        <v/>
      </c>
      <c r="P58" s="10" t="str">
        <f ca="1"/>
        <v/>
      </c>
      <c r="Q58" s="10" t="str">
        <f ca="1"/>
        <v/>
      </c>
      <c r="R58" s="10" t="str">
        <f ca="1"/>
        <v/>
      </c>
      <c r="S58" s="11">
        <v>400000</v>
      </c>
      <c r="T58" s="11">
        <v>600000</v>
      </c>
      <c r="U58" s="24"/>
      <c r="V58" s="24"/>
      <c r="W58" s="24"/>
      <c r="X58" s="24"/>
      <c r="Y58" s="24"/>
      <c r="Z58" s="24"/>
      <c r="AA58" s="12" t="str">
        <f t="shared" si="25"/>
        <v>Correct</v>
      </c>
      <c r="AB58" s="12" t="str" cm="1">
        <f t="array" ref="AB58">IF(A58&lt;&gt;"",IF(AND(IF(VALUE(RIGHT($S$3:$Z$3,1))&gt;COUNTIF(A:A,A58),S58:Z58&lt;&gt;""=FALSE,TRUE)),"Correct","Error"),"")</f>
        <v>Correct</v>
      </c>
    </row>
    <row r="59" spans="1:28" x14ac:dyDescent="0.2">
      <c r="A59" s="7">
        <v>420702</v>
      </c>
      <c r="B59" s="7">
        <v>10</v>
      </c>
      <c r="C59" s="32" t="str">
        <f t="shared" si="0"/>
        <v>420702;10</v>
      </c>
      <c r="D59" s="7">
        <v>460701</v>
      </c>
      <c r="E59" s="8" t="s">
        <v>78</v>
      </c>
      <c r="F59" s="8" t="str">
        <f>VLOOKUP(D59,weather!A:D,4,0)</f>
        <v>扬尘</v>
      </c>
      <c r="G59" s="7" t="str">
        <f t="shared" ref="G59" si="27">H59&amp;"~"&amp;I59</f>
        <v>300~357</v>
      </c>
      <c r="H59" s="9">
        <v>300</v>
      </c>
      <c r="I59" s="9">
        <f t="shared" si="26"/>
        <v>357</v>
      </c>
      <c r="J59" s="7" t="str" cm="1">
        <f t="array" aca="1" ref="J59" ca="1">_xlfn.TEXTJOIN(";",1,_xlfn.MAP(K59:R59,S59:Z59,_xlfn.LAMBDA(_xlpm.a,_xlpm.b,IF(_xlpm.b=0,"",_xlpm.a&amp;"~"&amp;_xlpm.b))))</f>
        <v>0~100000;10~900000</v>
      </c>
      <c r="K59" s="10" cm="1">
        <f t="array" aca="1" ref="K59:R59" ca="1">_xlfn.LET(_xlpm._arr_len,COUNTIF($A:$A,$A59),_xlpm._group_row,MATCH($A59,$A:$A,0),_xlfn.MAKEARRAY(1,8,_xlfn.LAMBDA(_xlpm.x,_xlpm.y,IF(_xlpm.y&gt;_xlpm._arr_len,"",INDEX(OFFSET($A59,_xlpm._group_row-ROW(),1,_xlpm._arr_len),_xlpm.y)))))</f>
        <v>0</v>
      </c>
      <c r="L59" s="10">
        <f ca="1"/>
        <v>10</v>
      </c>
      <c r="M59" s="10" t="str">
        <f ca="1"/>
        <v/>
      </c>
      <c r="N59" s="10" t="str">
        <f ca="1"/>
        <v/>
      </c>
      <c r="O59" s="10" t="str">
        <f ca="1"/>
        <v/>
      </c>
      <c r="P59" s="10" t="str">
        <f ca="1"/>
        <v/>
      </c>
      <c r="Q59" s="10" t="str">
        <f ca="1"/>
        <v/>
      </c>
      <c r="R59" s="10" t="str">
        <f ca="1"/>
        <v/>
      </c>
      <c r="S59" s="11">
        <v>100000</v>
      </c>
      <c r="T59" s="11">
        <v>900000</v>
      </c>
      <c r="U59" s="24"/>
      <c r="V59" s="24"/>
      <c r="W59" s="24"/>
      <c r="X59" s="24"/>
      <c r="Y59" s="24"/>
      <c r="Z59" s="24"/>
      <c r="AA59" s="12" t="str">
        <f t="shared" si="25"/>
        <v>Correct</v>
      </c>
      <c r="AB59" s="12" t="str" cm="1">
        <f t="array" ref="AB59">IF(A59&lt;&gt;"",IF(AND(IF(VALUE(RIGHT($S$3:$Z$3,1))&gt;COUNTIF(A:A,A59),S59:Z59&lt;&gt;""=FALSE,TRUE)),"Correct","Error"),"")</f>
        <v>Correct</v>
      </c>
    </row>
    <row r="60" spans="1:28" x14ac:dyDescent="0.2">
      <c r="C60" s="32" t="str">
        <f t="shared" si="0"/>
        <v/>
      </c>
      <c r="AA60" s="12" t="str">
        <f t="shared" si="25"/>
        <v/>
      </c>
      <c r="AB60" s="12" t="str" cm="1">
        <f t="array" ref="AB60">IF(A60&lt;&gt;"",IF(AND(IF(VALUE(RIGHT($S$3:$Z$3,1))&gt;COUNTIF(A:A,A60),S60:Z60&lt;&gt;""=FALSE,TRUE)),"Correct","Error"),"")</f>
        <v/>
      </c>
    </row>
    <row r="61" spans="1:28" x14ac:dyDescent="0.2">
      <c r="A61" s="7">
        <v>420703</v>
      </c>
      <c r="B61" s="7">
        <v>0</v>
      </c>
      <c r="C61" s="32" t="str">
        <f t="shared" si="0"/>
        <v>420703;0</v>
      </c>
      <c r="D61" s="7">
        <v>460700</v>
      </c>
      <c r="E61" s="8" t="s">
        <v>78</v>
      </c>
      <c r="F61" s="8" t="str">
        <f>VLOOKUP(D61,weather!A:D,4,0)</f>
        <v>曝晒</v>
      </c>
      <c r="G61" s="7" t="str">
        <f>H61&amp;"~"&amp;I61</f>
        <v>150~184.5</v>
      </c>
      <c r="H61" s="9">
        <v>150</v>
      </c>
      <c r="I61" s="9">
        <f t="shared" ref="I61:I63" si="28">H61*1.15+12</f>
        <v>184.5</v>
      </c>
      <c r="J61" s="7" t="str" cm="1">
        <f t="array" aca="1" ref="J61" ca="1">_xlfn.TEXTJOIN(";",1,_xlfn.MAP(K61:R61,S61:Z61,_xlfn.LAMBDA(_xlpm.a,_xlpm.b,IF(_xlpm.b=0,"",_xlpm.a&amp;"~"&amp;_xlpm.b))))</f>
        <v>0~300000;10~700000</v>
      </c>
      <c r="K61" s="10" cm="1">
        <f t="array" aca="1" ref="K61:R61" ca="1">_xlfn.LET(_xlpm._arr_len,COUNTIF($A:$A,$A61),_xlpm._group_row,MATCH($A61,$A:$A,0),_xlfn.MAKEARRAY(1,8,_xlfn.LAMBDA(_xlpm.x,_xlpm.y,IF(_xlpm.y&gt;_xlpm._arr_len,"",INDEX(OFFSET($A61,_xlpm._group_row-ROW(),1,_xlpm._arr_len),_xlpm.y)))))</f>
        <v>0</v>
      </c>
      <c r="L61" s="10">
        <f ca="1"/>
        <v>10</v>
      </c>
      <c r="M61" s="10">
        <f ca="1"/>
        <v>11</v>
      </c>
      <c r="N61" s="10" t="str">
        <f ca="1"/>
        <v/>
      </c>
      <c r="O61" s="10" t="str">
        <f ca="1"/>
        <v/>
      </c>
      <c r="P61" s="10" t="str">
        <f ca="1"/>
        <v/>
      </c>
      <c r="Q61" s="10" t="str">
        <f ca="1"/>
        <v/>
      </c>
      <c r="R61" s="10" t="str">
        <f ca="1"/>
        <v/>
      </c>
      <c r="S61" s="11">
        <v>300000</v>
      </c>
      <c r="T61" s="11">
        <v>700000</v>
      </c>
      <c r="U61" s="24"/>
      <c r="V61" s="24"/>
      <c r="W61" s="24"/>
      <c r="X61" s="24"/>
      <c r="Y61" s="24"/>
      <c r="Z61" s="24"/>
      <c r="AA61" s="12" t="str">
        <f t="shared" si="25"/>
        <v>Correct</v>
      </c>
      <c r="AB61" s="12" t="str" cm="1">
        <f t="array" ref="AB61">IF(A61&lt;&gt;"",IF(AND(IF(VALUE(RIGHT($S$3:$Z$3,1))&gt;COUNTIF(A:A,A61),S61:Z61&lt;&gt;""=FALSE,TRUE)),"Correct","Error"),"")</f>
        <v>Correct</v>
      </c>
    </row>
    <row r="62" spans="1:28" x14ac:dyDescent="0.2">
      <c r="A62" s="7">
        <v>420703</v>
      </c>
      <c r="B62" s="7">
        <v>10</v>
      </c>
      <c r="C62" s="32" t="str">
        <f t="shared" si="0"/>
        <v>420703;10</v>
      </c>
      <c r="D62" s="7">
        <v>460701</v>
      </c>
      <c r="E62" s="8" t="s">
        <v>78</v>
      </c>
      <c r="F62" s="8" t="str">
        <f>VLOOKUP(D62,weather!A:D,4,0)</f>
        <v>扬尘</v>
      </c>
      <c r="G62" s="7" t="str">
        <f t="shared" ref="G62:G63" si="29">H62&amp;"~"&amp;I62</f>
        <v>150~184.5</v>
      </c>
      <c r="H62" s="9">
        <v>150</v>
      </c>
      <c r="I62" s="9">
        <f t="shared" si="28"/>
        <v>184.5</v>
      </c>
      <c r="J62" s="7" t="str" cm="1">
        <f t="array" aca="1" ref="J62" ca="1">_xlfn.TEXTJOIN(";",1,_xlfn.MAP(K62:R62,S62:Z62,_xlfn.LAMBDA(_xlpm.a,_xlpm.b,IF(_xlpm.b=0,"",_xlpm.a&amp;"~"&amp;_xlpm.b))))</f>
        <v>0~200000;10~200000;11~600000</v>
      </c>
      <c r="K62" s="10" cm="1">
        <f t="array" aca="1" ref="K62:R62" ca="1">_xlfn.LET(_xlpm._arr_len,COUNTIF($A:$A,$A62),_xlpm._group_row,MATCH($A62,$A:$A,0),_xlfn.MAKEARRAY(1,8,_xlfn.LAMBDA(_xlpm.x,_xlpm.y,IF(_xlpm.y&gt;_xlpm._arr_len,"",INDEX(OFFSET($A62,_xlpm._group_row-ROW(),1,_xlpm._arr_len),_xlpm.y)))))</f>
        <v>0</v>
      </c>
      <c r="L62" s="10">
        <f ca="1"/>
        <v>10</v>
      </c>
      <c r="M62" s="10">
        <f ca="1"/>
        <v>11</v>
      </c>
      <c r="N62" s="10" t="str">
        <f ca="1"/>
        <v/>
      </c>
      <c r="O62" s="10" t="str">
        <f ca="1"/>
        <v/>
      </c>
      <c r="P62" s="10" t="str">
        <f ca="1"/>
        <v/>
      </c>
      <c r="Q62" s="10" t="str">
        <f ca="1"/>
        <v/>
      </c>
      <c r="R62" s="10" t="str">
        <f ca="1"/>
        <v/>
      </c>
      <c r="S62" s="11">
        <v>200000</v>
      </c>
      <c r="T62" s="11">
        <v>200000</v>
      </c>
      <c r="U62" s="11">
        <v>600000</v>
      </c>
      <c r="V62" s="24"/>
      <c r="W62" s="24"/>
      <c r="X62" s="24"/>
      <c r="Y62" s="24"/>
      <c r="Z62" s="24"/>
      <c r="AA62" s="12" t="str">
        <f t="shared" si="25"/>
        <v>Correct</v>
      </c>
      <c r="AB62" s="12" t="str" cm="1">
        <f t="array" ref="AB62">IF(A62&lt;&gt;"",IF(AND(IF(VALUE(RIGHT($S$3:$Z$3,1))&gt;COUNTIF(A:A,A62),S62:Z62&lt;&gt;""=FALSE,TRUE)),"Correct","Error"),"")</f>
        <v>Correct</v>
      </c>
    </row>
    <row r="63" spans="1:28" x14ac:dyDescent="0.2">
      <c r="A63" s="7">
        <v>420703</v>
      </c>
      <c r="B63" s="7">
        <v>11</v>
      </c>
      <c r="C63" s="32" t="str">
        <f t="shared" si="0"/>
        <v>420703;11</v>
      </c>
      <c r="D63" s="7">
        <v>460702</v>
      </c>
      <c r="E63" s="8" t="s">
        <v>78</v>
      </c>
      <c r="F63" s="8" t="str">
        <f>VLOOKUP(D63,weather!A:D,4,0)</f>
        <v>沙暴</v>
      </c>
      <c r="G63" s="7" t="str">
        <f t="shared" si="29"/>
        <v>300~357</v>
      </c>
      <c r="H63" s="9">
        <v>300</v>
      </c>
      <c r="I63" s="9">
        <f t="shared" si="28"/>
        <v>357</v>
      </c>
      <c r="J63" s="7" t="str" cm="1">
        <f t="array" aca="1" ref="J63" ca="1">_xlfn.TEXTJOIN(";",1,_xlfn.MAP(K63:R63,S63:Z63,_xlfn.LAMBDA(_xlpm.a,_xlpm.b,IF(_xlpm.b=0,"",_xlpm.a&amp;"~"&amp;_xlpm.b))))</f>
        <v>10~100000;11~900000</v>
      </c>
      <c r="K63" s="10" cm="1">
        <f t="array" aca="1" ref="K63:R63" ca="1">_xlfn.LET(_xlpm._arr_len,COUNTIF($A:$A,$A63),_xlpm._group_row,MATCH($A63,$A:$A,0),_xlfn.MAKEARRAY(1,8,_xlfn.LAMBDA(_xlpm.x,_xlpm.y,IF(_xlpm.y&gt;_xlpm._arr_len,"",INDEX(OFFSET($A63,_xlpm._group_row-ROW(),1,_xlpm._arr_len),_xlpm.y)))))</f>
        <v>0</v>
      </c>
      <c r="L63" s="10">
        <f ca="1"/>
        <v>10</v>
      </c>
      <c r="M63" s="10">
        <f ca="1"/>
        <v>11</v>
      </c>
      <c r="N63" s="10" t="str">
        <f ca="1"/>
        <v/>
      </c>
      <c r="O63" s="10" t="str">
        <f ca="1"/>
        <v/>
      </c>
      <c r="P63" s="10" t="str">
        <f ca="1"/>
        <v/>
      </c>
      <c r="Q63" s="10" t="str">
        <f ca="1"/>
        <v/>
      </c>
      <c r="R63" s="10" t="str">
        <f ca="1"/>
        <v/>
      </c>
      <c r="S63" s="24"/>
      <c r="T63" s="11">
        <v>100000</v>
      </c>
      <c r="U63" s="11">
        <v>900000</v>
      </c>
      <c r="V63" s="24"/>
      <c r="W63" s="24"/>
      <c r="X63" s="24"/>
      <c r="Y63" s="24"/>
      <c r="Z63" s="24"/>
      <c r="AA63" s="12" t="str">
        <f t="shared" si="25"/>
        <v>Correct</v>
      </c>
      <c r="AB63" s="12" t="str" cm="1">
        <f t="array" ref="AB63">IF(A63&lt;&gt;"",IF(AND(IF(VALUE(RIGHT($S$3:$Z$3,1))&gt;COUNTIF(A:A,A63),S63:Z63&lt;&gt;""=FALSE,TRUE)),"Correct","Error"),"")</f>
        <v>Correct</v>
      </c>
    </row>
    <row r="64" spans="1:28" x14ac:dyDescent="0.2">
      <c r="C64" s="32" t="str">
        <f t="shared" si="0"/>
        <v/>
      </c>
      <c r="AA64" s="12" t="str">
        <f t="shared" si="25"/>
        <v/>
      </c>
      <c r="AB64" s="12" t="str" cm="1">
        <f t="array" ref="AB64">IF(A64&lt;&gt;"",IF(AND(IF(VALUE(RIGHT($S$3:$Z$3,1))&gt;COUNTIF(A:A,A64),S64:Z64&lt;&gt;""=FALSE,TRUE)),"Correct","Error"),"")</f>
        <v/>
      </c>
    </row>
    <row r="65" spans="1:28" x14ac:dyDescent="0.2">
      <c r="A65" s="7">
        <v>420704</v>
      </c>
      <c r="B65" s="7">
        <v>0</v>
      </c>
      <c r="C65" s="32" t="str">
        <f t="shared" si="0"/>
        <v>420704;0</v>
      </c>
      <c r="D65" s="7">
        <v>460700</v>
      </c>
      <c r="E65" s="8" t="s">
        <v>78</v>
      </c>
      <c r="F65" s="8" t="str">
        <f>VLOOKUP(D65,weather!A:D,4,0)</f>
        <v>曝晒</v>
      </c>
      <c r="G65" s="7" t="str">
        <f>H65&amp;"~"&amp;I65</f>
        <v>150~184.5</v>
      </c>
      <c r="H65" s="9">
        <v>150</v>
      </c>
      <c r="I65" s="9">
        <f t="shared" ref="I65:I68" si="30">H65*1.15+12</f>
        <v>184.5</v>
      </c>
      <c r="J65" s="7" t="str" cm="1">
        <f t="array" aca="1" ref="J65" ca="1">_xlfn.TEXTJOIN(";",1,_xlfn.MAP(K65:R65,S65:Z65,_xlfn.LAMBDA(_xlpm.a,_xlpm.b,IF(_xlpm.b=0,"",_xlpm.a&amp;"~"&amp;_xlpm.b))))</f>
        <v>0~200000;10~800000</v>
      </c>
      <c r="K65" s="10" cm="1">
        <f t="array" aca="1" ref="K65:R65" ca="1">_xlfn.LET(_xlpm._arr_len,COUNTIF($A:$A,$A65),_xlpm._group_row,MATCH($A65,$A:$A,0),_xlfn.MAKEARRAY(1,8,_xlfn.LAMBDA(_xlpm.x,_xlpm.y,IF(_xlpm.y&gt;_xlpm._arr_len,"",INDEX(OFFSET($A65,_xlpm._group_row-ROW(),1,_xlpm._arr_len),_xlpm.y)))))</f>
        <v>0</v>
      </c>
      <c r="L65" s="10">
        <f ca="1"/>
        <v>10</v>
      </c>
      <c r="M65" s="10">
        <f ca="1"/>
        <v>11</v>
      </c>
      <c r="N65" s="10">
        <f ca="1"/>
        <v>12</v>
      </c>
      <c r="O65" s="10" t="str">
        <f ca="1"/>
        <v/>
      </c>
      <c r="P65" s="10" t="str">
        <f ca="1"/>
        <v/>
      </c>
      <c r="Q65" s="10" t="str">
        <f ca="1"/>
        <v/>
      </c>
      <c r="R65" s="10" t="str">
        <f ca="1"/>
        <v/>
      </c>
      <c r="S65" s="11">
        <v>200000</v>
      </c>
      <c r="T65" s="11">
        <v>800000</v>
      </c>
      <c r="U65" s="24"/>
      <c r="V65" s="24"/>
      <c r="W65" s="24"/>
      <c r="X65" s="24"/>
      <c r="Y65" s="24"/>
      <c r="Z65" s="24"/>
      <c r="AA65" s="12" t="str">
        <f t="shared" si="25"/>
        <v>Correct</v>
      </c>
      <c r="AB65" s="12" t="str" cm="1">
        <f t="array" ref="AB65">IF(A65&lt;&gt;"",IF(AND(IF(VALUE(RIGHT($S$3:$Z$3,1))&gt;COUNTIF(A:A,A65),S65:Z65&lt;&gt;""=FALSE,TRUE)),"Correct","Error"),"")</f>
        <v>Correct</v>
      </c>
    </row>
    <row r="66" spans="1:28" x14ac:dyDescent="0.2">
      <c r="A66" s="7">
        <v>420704</v>
      </c>
      <c r="B66" s="7">
        <v>10</v>
      </c>
      <c r="C66" s="32" t="str">
        <f t="shared" si="0"/>
        <v>420704;10</v>
      </c>
      <c r="D66" s="7">
        <v>460701</v>
      </c>
      <c r="E66" s="8" t="s">
        <v>78</v>
      </c>
      <c r="F66" s="8" t="str">
        <f>VLOOKUP(D66,weather!A:D,4,0)</f>
        <v>扬尘</v>
      </c>
      <c r="G66" s="7" t="str">
        <f t="shared" ref="G66:G68" si="31">H66&amp;"~"&amp;I66</f>
        <v>150~184.5</v>
      </c>
      <c r="H66" s="9">
        <v>150</v>
      </c>
      <c r="I66" s="9">
        <f t="shared" si="30"/>
        <v>184.5</v>
      </c>
      <c r="J66" s="7" t="str" cm="1">
        <f t="array" aca="1" ref="J66" ca="1">_xlfn.TEXTJOIN(";",1,_xlfn.MAP(K66:R66,S66:Z66,_xlfn.LAMBDA(_xlpm.a,_xlpm.b,IF(_xlpm.b=0,"",_xlpm.a&amp;"~"&amp;_xlpm.b))))</f>
        <v>0~100000;10~200000;11~700000</v>
      </c>
      <c r="K66" s="10" cm="1">
        <f t="array" aca="1" ref="K66:R66" ca="1">_xlfn.LET(_xlpm._arr_len,COUNTIF($A:$A,$A66),_xlpm._group_row,MATCH($A66,$A:$A,0),_xlfn.MAKEARRAY(1,8,_xlfn.LAMBDA(_xlpm.x,_xlpm.y,IF(_xlpm.y&gt;_xlpm._arr_len,"",INDEX(OFFSET($A66,_xlpm._group_row-ROW(),1,_xlpm._arr_len),_xlpm.y)))))</f>
        <v>0</v>
      </c>
      <c r="L66" s="10">
        <f ca="1"/>
        <v>10</v>
      </c>
      <c r="M66" s="10">
        <f ca="1"/>
        <v>11</v>
      </c>
      <c r="N66" s="10">
        <f ca="1"/>
        <v>12</v>
      </c>
      <c r="O66" s="10" t="str">
        <f ca="1"/>
        <v/>
      </c>
      <c r="P66" s="10" t="str">
        <f ca="1"/>
        <v/>
      </c>
      <c r="Q66" s="10" t="str">
        <f ca="1"/>
        <v/>
      </c>
      <c r="R66" s="10" t="str">
        <f ca="1"/>
        <v/>
      </c>
      <c r="S66" s="11">
        <v>100000</v>
      </c>
      <c r="T66" s="11">
        <v>200000</v>
      </c>
      <c r="U66" s="11">
        <v>700000</v>
      </c>
      <c r="V66" s="24"/>
      <c r="W66" s="24"/>
      <c r="X66" s="24"/>
      <c r="Y66" s="24"/>
      <c r="Z66" s="24"/>
      <c r="AA66" s="12" t="str">
        <f t="shared" si="25"/>
        <v>Correct</v>
      </c>
      <c r="AB66" s="12" t="str" cm="1">
        <f t="array" ref="AB66">IF(A66&lt;&gt;"",IF(AND(IF(VALUE(RIGHT($S$3:$Z$3,1))&gt;COUNTIF(A:A,A66),S66:Z66&lt;&gt;""=FALSE,TRUE)),"Correct","Error"),"")</f>
        <v>Correct</v>
      </c>
    </row>
    <row r="67" spans="1:28" x14ac:dyDescent="0.2">
      <c r="A67" s="7">
        <v>420704</v>
      </c>
      <c r="B67" s="7">
        <v>11</v>
      </c>
      <c r="C67" s="32" t="str">
        <f t="shared" si="0"/>
        <v>420704;11</v>
      </c>
      <c r="D67" s="7">
        <v>460702</v>
      </c>
      <c r="E67" s="8" t="s">
        <v>78</v>
      </c>
      <c r="F67" s="8" t="str">
        <f>VLOOKUP(D67,weather!A:D,4,0)</f>
        <v>沙暴</v>
      </c>
      <c r="G67" s="7" t="str">
        <f t="shared" si="31"/>
        <v>150~184.5</v>
      </c>
      <c r="H67" s="9">
        <v>150</v>
      </c>
      <c r="I67" s="9">
        <f t="shared" si="30"/>
        <v>184.5</v>
      </c>
      <c r="J67" s="7" t="str" cm="1">
        <f t="array" aca="1" ref="J67" ca="1">_xlfn.TEXTJOIN(";",1,_xlfn.MAP(K67:R67,S67:Z67,_xlfn.LAMBDA(_xlpm.a,_xlpm.b,IF(_xlpm.b=0,"",_xlpm.a&amp;"~"&amp;_xlpm.b))))</f>
        <v>10~100000;11~300000;12~600000</v>
      </c>
      <c r="K67" s="10" cm="1">
        <f t="array" aca="1" ref="K67:R67" ca="1">_xlfn.LET(_xlpm._arr_len,COUNTIF($A:$A,$A67),_xlpm._group_row,MATCH($A67,$A:$A,0),_xlfn.MAKEARRAY(1,8,_xlfn.LAMBDA(_xlpm.x,_xlpm.y,IF(_xlpm.y&gt;_xlpm._arr_len,"",INDEX(OFFSET($A67,_xlpm._group_row-ROW(),1,_xlpm._arr_len),_xlpm.y)))))</f>
        <v>0</v>
      </c>
      <c r="L67" s="10">
        <f ca="1"/>
        <v>10</v>
      </c>
      <c r="M67" s="10">
        <f ca="1"/>
        <v>11</v>
      </c>
      <c r="N67" s="10">
        <f ca="1"/>
        <v>12</v>
      </c>
      <c r="O67" s="10" t="str">
        <f ca="1"/>
        <v/>
      </c>
      <c r="P67" s="10" t="str">
        <f ca="1"/>
        <v/>
      </c>
      <c r="Q67" s="10" t="str">
        <f ca="1"/>
        <v/>
      </c>
      <c r="R67" s="10" t="str">
        <f ca="1"/>
        <v/>
      </c>
      <c r="S67" s="24"/>
      <c r="T67" s="11">
        <v>100000</v>
      </c>
      <c r="U67" s="11">
        <v>300000</v>
      </c>
      <c r="V67" s="11">
        <v>600000</v>
      </c>
      <c r="W67" s="24"/>
      <c r="X67" s="24"/>
      <c r="Y67" s="24"/>
      <c r="Z67" s="24"/>
      <c r="AA67" s="12" t="str">
        <f t="shared" si="25"/>
        <v>Correct</v>
      </c>
      <c r="AB67" s="12" t="str" cm="1">
        <f t="array" ref="AB67">IF(A67&lt;&gt;"",IF(AND(IF(VALUE(RIGHT($S$3:$Z$3,1))&gt;COUNTIF(A:A,A67),S67:Z67&lt;&gt;""=FALSE,TRUE)),"Correct","Error"),"")</f>
        <v>Correct</v>
      </c>
    </row>
    <row r="68" spans="1:28" x14ac:dyDescent="0.2">
      <c r="A68" s="7">
        <v>420704</v>
      </c>
      <c r="B68" s="7">
        <v>12</v>
      </c>
      <c r="C68" s="32" t="str">
        <f t="shared" si="0"/>
        <v>420704;12</v>
      </c>
      <c r="D68" s="7">
        <v>460703</v>
      </c>
      <c r="E68" s="8" t="s">
        <v>78</v>
      </c>
      <c r="F68" s="8" t="str">
        <f>VLOOKUP(D68,weather!A:D,4,0)</f>
        <v>积沙</v>
      </c>
      <c r="G68" s="7" t="str">
        <f t="shared" si="31"/>
        <v>300~357</v>
      </c>
      <c r="H68" s="9">
        <v>300</v>
      </c>
      <c r="I68" s="9">
        <f t="shared" si="30"/>
        <v>357</v>
      </c>
      <c r="J68" s="7" t="str" cm="1">
        <f t="array" aca="1" ref="J68" ca="1">_xlfn.TEXTJOIN(";",1,_xlfn.MAP(K68:R68,S68:Z68,_xlfn.LAMBDA(_xlpm.a,_xlpm.b,IF(_xlpm.b=0,"",_xlpm.a&amp;"~"&amp;_xlpm.b))))</f>
        <v>11~100000;12~900000</v>
      </c>
      <c r="K68" s="10" cm="1">
        <f t="array" aca="1" ref="K68:R68" ca="1">_xlfn.LET(_xlpm._arr_len,COUNTIF($A:$A,$A68),_xlpm._group_row,MATCH($A68,$A:$A,0),_xlfn.MAKEARRAY(1,8,_xlfn.LAMBDA(_xlpm.x,_xlpm.y,IF(_xlpm.y&gt;_xlpm._arr_len,"",INDEX(OFFSET($A68,_xlpm._group_row-ROW(),1,_xlpm._arr_len),_xlpm.y)))))</f>
        <v>0</v>
      </c>
      <c r="L68" s="10">
        <f ca="1"/>
        <v>10</v>
      </c>
      <c r="M68" s="10">
        <f ca="1"/>
        <v>11</v>
      </c>
      <c r="N68" s="10">
        <f ca="1"/>
        <v>12</v>
      </c>
      <c r="O68" s="10" t="str">
        <f ca="1"/>
        <v/>
      </c>
      <c r="P68" s="10" t="str">
        <f ca="1"/>
        <v/>
      </c>
      <c r="Q68" s="10" t="str">
        <f ca="1"/>
        <v/>
      </c>
      <c r="R68" s="10" t="str">
        <f ca="1"/>
        <v/>
      </c>
      <c r="S68" s="24"/>
      <c r="T68" s="24"/>
      <c r="U68" s="11">
        <v>100000</v>
      </c>
      <c r="V68" s="11">
        <v>900000</v>
      </c>
      <c r="W68" s="24"/>
      <c r="X68" s="24"/>
      <c r="Y68" s="24"/>
      <c r="Z68" s="24"/>
      <c r="AA68" s="12" t="str">
        <f t="shared" si="25"/>
        <v>Correct</v>
      </c>
      <c r="AB68" s="12" t="str" cm="1">
        <f t="array" ref="AB68">IF(A68&lt;&gt;"",IF(AND(IF(VALUE(RIGHT($S$3:$Z$3,1))&gt;COUNTIF(A:A,A68),S68:Z68&lt;&gt;""=FALSE,TRUE)),"Correct","Error"),"")</f>
        <v>Correct</v>
      </c>
    </row>
    <row r="69" spans="1:28" x14ac:dyDescent="0.2">
      <c r="C69" s="32" t="str">
        <f t="shared" si="0"/>
        <v/>
      </c>
      <c r="AA69" s="12" t="str">
        <f t="shared" si="25"/>
        <v/>
      </c>
      <c r="AB69" s="12" t="str" cm="1">
        <f t="array" ref="AB69">IF(A69&lt;&gt;"",IF(AND(IF(VALUE(RIGHT($S$3:$Z$3,1))&gt;COUNTIF(A:A,A69),S69:Z69&lt;&gt;""=FALSE,TRUE)),"Correct","Error"),"")</f>
        <v/>
      </c>
    </row>
    <row r="70" spans="1:28" x14ac:dyDescent="0.2">
      <c r="A70" s="7">
        <v>420705</v>
      </c>
      <c r="B70" s="7">
        <v>0</v>
      </c>
      <c r="C70" s="32" t="str">
        <f t="shared" si="0"/>
        <v>420705;0</v>
      </c>
      <c r="D70" s="7">
        <v>460700</v>
      </c>
      <c r="E70" s="8" t="s">
        <v>78</v>
      </c>
      <c r="F70" s="8" t="str">
        <f>VLOOKUP(D70,weather!A:D,4,0)</f>
        <v>曝晒</v>
      </c>
      <c r="G70" s="7" t="str">
        <f>H70&amp;"~"&amp;I70</f>
        <v>150~184.5</v>
      </c>
      <c r="H70" s="9">
        <v>150</v>
      </c>
      <c r="I70" s="9">
        <f t="shared" ref="I70:I74" si="32">H70*1.15+12</f>
        <v>184.5</v>
      </c>
      <c r="J70" s="7" t="str" cm="1">
        <f t="array" aca="1" ref="J70" ca="1">_xlfn.TEXTJOIN(";",1,_xlfn.MAP(K70:R70,S70:Z70,_xlfn.LAMBDA(_xlpm.a,_xlpm.b,IF(_xlpm.b=0,"",_xlpm.a&amp;"~"&amp;_xlpm.b))))</f>
        <v>0~100000;10~900000</v>
      </c>
      <c r="K70" s="10" cm="1">
        <f t="array" aca="1" ref="K70:R70" ca="1">_xlfn.LET(_xlpm._arr_len,COUNTIF($A:$A,$A70),_xlpm._group_row,MATCH($A70,$A:$A,0),_xlfn.MAKEARRAY(1,8,_xlfn.LAMBDA(_xlpm.x,_xlpm.y,IF(_xlpm.y&gt;_xlpm._arr_len,"",INDEX(OFFSET($A70,_xlpm._group_row-ROW(),1,_xlpm._arr_len),_xlpm.y)))))</f>
        <v>0</v>
      </c>
      <c r="L70" s="10">
        <f ca="1"/>
        <v>10</v>
      </c>
      <c r="M70" s="10">
        <f ca="1"/>
        <v>11</v>
      </c>
      <c r="N70" s="10">
        <f ca="1"/>
        <v>12</v>
      </c>
      <c r="O70" s="10">
        <f ca="1"/>
        <v>13</v>
      </c>
      <c r="P70" s="10" t="str">
        <f ca="1"/>
        <v/>
      </c>
      <c r="Q70" s="10" t="str">
        <f ca="1"/>
        <v/>
      </c>
      <c r="R70" s="10" t="str">
        <f ca="1"/>
        <v/>
      </c>
      <c r="S70" s="11">
        <v>100000</v>
      </c>
      <c r="T70" s="11">
        <v>900000</v>
      </c>
      <c r="U70" s="24"/>
      <c r="V70" s="24"/>
      <c r="W70" s="24"/>
      <c r="X70" s="24"/>
      <c r="Y70" s="24"/>
      <c r="Z70" s="24"/>
      <c r="AA70" s="12" t="str">
        <f t="shared" si="25"/>
        <v>Correct</v>
      </c>
      <c r="AB70" s="12" t="str" cm="1">
        <f t="array" ref="AB70">IF(A70&lt;&gt;"",IF(AND(IF(VALUE(RIGHT($S$3:$Z$3,1))&gt;COUNTIF(A:A,A70),S70:Z70&lt;&gt;""=FALSE,TRUE)),"Correct","Error"),"")</f>
        <v>Correct</v>
      </c>
    </row>
    <row r="71" spans="1:28" x14ac:dyDescent="0.2">
      <c r="A71" s="7">
        <v>420705</v>
      </c>
      <c r="B71" s="7">
        <v>10</v>
      </c>
      <c r="C71" s="32" t="str">
        <f t="shared" si="0"/>
        <v>420705;10</v>
      </c>
      <c r="D71" s="7">
        <v>460701</v>
      </c>
      <c r="E71" s="8" t="s">
        <v>78</v>
      </c>
      <c r="F71" s="8" t="str">
        <f>VLOOKUP(D71,weather!A:D,4,0)</f>
        <v>扬尘</v>
      </c>
      <c r="G71" s="7" t="str">
        <f t="shared" ref="G71:G74" si="33">H71&amp;"~"&amp;I71</f>
        <v>150~184.5</v>
      </c>
      <c r="H71" s="9">
        <v>150</v>
      </c>
      <c r="I71" s="9">
        <f t="shared" si="32"/>
        <v>184.5</v>
      </c>
      <c r="J71" s="7" t="str" cm="1">
        <f t="array" aca="1" ref="J71" ca="1">_xlfn.TEXTJOIN(";",1,_xlfn.MAP(K71:R71,S71:Z71,_xlfn.LAMBDA(_xlpm.a,_xlpm.b,IF(_xlpm.b=0,"",_xlpm.a&amp;"~"&amp;_xlpm.b))))</f>
        <v>0~50000;10~150000;11~800000</v>
      </c>
      <c r="K71" s="10" cm="1">
        <f t="array" aca="1" ref="K71:R71" ca="1">_xlfn.LET(_xlpm._arr_len,COUNTIF($A:$A,$A71),_xlpm._group_row,MATCH($A71,$A:$A,0),_xlfn.MAKEARRAY(1,8,_xlfn.LAMBDA(_xlpm.x,_xlpm.y,IF(_xlpm.y&gt;_xlpm._arr_len,"",INDEX(OFFSET($A71,_xlpm._group_row-ROW(),1,_xlpm._arr_len),_xlpm.y)))))</f>
        <v>0</v>
      </c>
      <c r="L71" s="10">
        <f ca="1"/>
        <v>10</v>
      </c>
      <c r="M71" s="10">
        <f ca="1"/>
        <v>11</v>
      </c>
      <c r="N71" s="10">
        <f ca="1"/>
        <v>12</v>
      </c>
      <c r="O71" s="10">
        <f ca="1"/>
        <v>13</v>
      </c>
      <c r="P71" s="10" t="str">
        <f ca="1"/>
        <v/>
      </c>
      <c r="Q71" s="10" t="str">
        <f ca="1"/>
        <v/>
      </c>
      <c r="R71" s="10" t="str">
        <f ca="1"/>
        <v/>
      </c>
      <c r="S71" s="11">
        <v>50000</v>
      </c>
      <c r="T71" s="11">
        <v>150000</v>
      </c>
      <c r="U71" s="11">
        <v>800000</v>
      </c>
      <c r="V71" s="24"/>
      <c r="W71" s="24"/>
      <c r="X71" s="24"/>
      <c r="Y71" s="24"/>
      <c r="Z71" s="24"/>
      <c r="AA71" s="12" t="str">
        <f t="shared" si="25"/>
        <v>Correct</v>
      </c>
      <c r="AB71" s="12" t="str" cm="1">
        <f t="array" ref="AB71">IF(A71&lt;&gt;"",IF(AND(IF(VALUE(RIGHT($S$3:$Z$3,1))&gt;COUNTIF(A:A,A71),S71:Z71&lt;&gt;""=FALSE,TRUE)),"Correct","Error"),"")</f>
        <v>Correct</v>
      </c>
    </row>
    <row r="72" spans="1:28" x14ac:dyDescent="0.2">
      <c r="A72" s="7">
        <v>420705</v>
      </c>
      <c r="B72" s="7">
        <v>11</v>
      </c>
      <c r="C72" s="32" t="str">
        <f t="shared" si="0"/>
        <v>420705;11</v>
      </c>
      <c r="D72" s="7">
        <v>460702</v>
      </c>
      <c r="E72" s="8" t="s">
        <v>78</v>
      </c>
      <c r="F72" s="8" t="str">
        <f>VLOOKUP(D72,weather!A:D,4,0)</f>
        <v>沙暴</v>
      </c>
      <c r="G72" s="7" t="str">
        <f t="shared" si="33"/>
        <v>150~184.5</v>
      </c>
      <c r="H72" s="9">
        <v>150</v>
      </c>
      <c r="I72" s="9">
        <f t="shared" si="32"/>
        <v>184.5</v>
      </c>
      <c r="J72" s="7" t="str" cm="1">
        <f t="array" aca="1" ref="J72" ca="1">_xlfn.TEXTJOIN(";",1,_xlfn.MAP(K72:R72,S72:Z72,_xlfn.LAMBDA(_xlpm.a,_xlpm.b,IF(_xlpm.b=0,"",_xlpm.a&amp;"~"&amp;_xlpm.b))))</f>
        <v>10~100000;11~200000;12~700000</v>
      </c>
      <c r="K72" s="10" cm="1">
        <f t="array" aca="1" ref="K72:R72" ca="1">_xlfn.LET(_xlpm._arr_len,COUNTIF($A:$A,$A72),_xlpm._group_row,MATCH($A72,$A:$A,0),_xlfn.MAKEARRAY(1,8,_xlfn.LAMBDA(_xlpm.x,_xlpm.y,IF(_xlpm.y&gt;_xlpm._arr_len,"",INDEX(OFFSET($A72,_xlpm._group_row-ROW(),1,_xlpm._arr_len),_xlpm.y)))))</f>
        <v>0</v>
      </c>
      <c r="L72" s="10">
        <f ca="1"/>
        <v>10</v>
      </c>
      <c r="M72" s="10">
        <f ca="1"/>
        <v>11</v>
      </c>
      <c r="N72" s="10">
        <f ca="1"/>
        <v>12</v>
      </c>
      <c r="O72" s="10">
        <f ca="1"/>
        <v>13</v>
      </c>
      <c r="P72" s="10" t="str">
        <f ca="1"/>
        <v/>
      </c>
      <c r="Q72" s="10" t="str">
        <f ca="1"/>
        <v/>
      </c>
      <c r="R72" s="10" t="str">
        <f ca="1"/>
        <v/>
      </c>
      <c r="S72" s="24"/>
      <c r="T72" s="11">
        <v>100000</v>
      </c>
      <c r="U72" s="11">
        <v>200000</v>
      </c>
      <c r="V72" s="11">
        <v>700000</v>
      </c>
      <c r="W72" s="24"/>
      <c r="X72" s="24"/>
      <c r="Y72" s="24"/>
      <c r="Z72" s="24"/>
      <c r="AA72" s="12" t="str">
        <f t="shared" si="25"/>
        <v>Correct</v>
      </c>
      <c r="AB72" s="12" t="str" cm="1">
        <f t="array" ref="AB72">IF(A72&lt;&gt;"",IF(AND(IF(VALUE(RIGHT($S$3:$Z$3,1))&gt;COUNTIF(A:A,A72),S72:Z72&lt;&gt;""=FALSE,TRUE)),"Correct","Error"),"")</f>
        <v>Correct</v>
      </c>
    </row>
    <row r="73" spans="1:28" x14ac:dyDescent="0.2">
      <c r="A73" s="7">
        <v>420705</v>
      </c>
      <c r="B73" s="7">
        <v>12</v>
      </c>
      <c r="C73" s="32" t="str">
        <f t="shared" si="0"/>
        <v>420705;12</v>
      </c>
      <c r="D73" s="7">
        <v>460704</v>
      </c>
      <c r="E73" s="8" t="s">
        <v>78</v>
      </c>
      <c r="F73" s="8" t="str">
        <f>VLOOKUP(D73,weather!A:D,4,0)</f>
        <v>积沙，扬尘</v>
      </c>
      <c r="G73" s="7" t="str">
        <f t="shared" si="33"/>
        <v>150~184.5</v>
      </c>
      <c r="H73" s="9">
        <v>150</v>
      </c>
      <c r="I73" s="9">
        <f t="shared" si="32"/>
        <v>184.5</v>
      </c>
      <c r="J73" s="7" t="str" cm="1">
        <f t="array" aca="1" ref="J73" ca="1">_xlfn.TEXTJOIN(";",1,_xlfn.MAP(K73:R73,S73:Z73,_xlfn.LAMBDA(_xlpm.a,_xlpm.b,IF(_xlpm.b=0,"",_xlpm.a&amp;"~"&amp;_xlpm.b))))</f>
        <v>11~100000;12~300000;13~600000</v>
      </c>
      <c r="K73" s="10" cm="1">
        <f t="array" aca="1" ref="K73:R73" ca="1">_xlfn.LET(_xlpm._arr_len,COUNTIF($A:$A,$A73),_xlpm._group_row,MATCH($A73,$A:$A,0),_xlfn.MAKEARRAY(1,8,_xlfn.LAMBDA(_xlpm.x,_xlpm.y,IF(_xlpm.y&gt;_xlpm._arr_len,"",INDEX(OFFSET($A73,_xlpm._group_row-ROW(),1,_xlpm._arr_len),_xlpm.y)))))</f>
        <v>0</v>
      </c>
      <c r="L73" s="10">
        <f ca="1"/>
        <v>10</v>
      </c>
      <c r="M73" s="10">
        <f ca="1"/>
        <v>11</v>
      </c>
      <c r="N73" s="10">
        <f ca="1"/>
        <v>12</v>
      </c>
      <c r="O73" s="10">
        <f ca="1"/>
        <v>13</v>
      </c>
      <c r="P73" s="10" t="str">
        <f ca="1"/>
        <v/>
      </c>
      <c r="Q73" s="10" t="str">
        <f ca="1"/>
        <v/>
      </c>
      <c r="R73" s="10" t="str">
        <f ca="1"/>
        <v/>
      </c>
      <c r="S73" s="24"/>
      <c r="T73" s="24"/>
      <c r="U73" s="11">
        <v>100000</v>
      </c>
      <c r="V73" s="11">
        <v>300000</v>
      </c>
      <c r="W73" s="11">
        <v>600000</v>
      </c>
      <c r="X73" s="24"/>
      <c r="Y73" s="24"/>
      <c r="Z73" s="24"/>
      <c r="AA73" s="12" t="str">
        <f t="shared" si="25"/>
        <v>Correct</v>
      </c>
      <c r="AB73" s="12" t="str" cm="1">
        <f t="array" ref="AB73">IF(A73&lt;&gt;"",IF(AND(IF(VALUE(RIGHT($S$3:$Z$3,1))&gt;COUNTIF(A:A,A73),S73:Z73&lt;&gt;""=FALSE,TRUE)),"Correct","Error"),"")</f>
        <v>Correct</v>
      </c>
    </row>
    <row r="74" spans="1:28" x14ac:dyDescent="0.2">
      <c r="A74" s="7">
        <v>420705</v>
      </c>
      <c r="B74" s="7">
        <v>13</v>
      </c>
      <c r="C74" s="32" t="str">
        <f t="shared" si="0"/>
        <v>420705;13</v>
      </c>
      <c r="D74" s="7">
        <v>460705</v>
      </c>
      <c r="E74" s="8" t="s">
        <v>78</v>
      </c>
      <c r="F74" s="8" t="str">
        <f>VLOOKUP(D74,weather!A:D,4,0)</f>
        <v>积沙，沙暴</v>
      </c>
      <c r="G74" s="7" t="str">
        <f t="shared" si="33"/>
        <v>300~357</v>
      </c>
      <c r="H74" s="9">
        <v>300</v>
      </c>
      <c r="I74" s="9">
        <f t="shared" si="32"/>
        <v>357</v>
      </c>
      <c r="J74" s="7" t="str" cm="1">
        <f t="array" aca="1" ref="J74" ca="1">_xlfn.TEXTJOIN(";",1,_xlfn.MAP(K74:R74,S74:Z74,_xlfn.LAMBDA(_xlpm.a,_xlpm.b,IF(_xlpm.b=0,"",_xlpm.a&amp;"~"&amp;_xlpm.b))))</f>
        <v>12~100000;13~900000</v>
      </c>
      <c r="K74" s="10" cm="1">
        <f t="array" aca="1" ref="K74:R74" ca="1">_xlfn.LET(_xlpm._arr_len,COUNTIF($A:$A,$A74),_xlpm._group_row,MATCH($A74,$A:$A,0),_xlfn.MAKEARRAY(1,8,_xlfn.LAMBDA(_xlpm.x,_xlpm.y,IF(_xlpm.y&gt;_xlpm._arr_len,"",INDEX(OFFSET($A74,_xlpm._group_row-ROW(),1,_xlpm._arr_len),_xlpm.y)))))</f>
        <v>0</v>
      </c>
      <c r="L74" s="10">
        <f ca="1"/>
        <v>10</v>
      </c>
      <c r="M74" s="10">
        <f ca="1"/>
        <v>11</v>
      </c>
      <c r="N74" s="10">
        <f ca="1"/>
        <v>12</v>
      </c>
      <c r="O74" s="10">
        <f ca="1"/>
        <v>13</v>
      </c>
      <c r="P74" s="10" t="str">
        <f ca="1"/>
        <v/>
      </c>
      <c r="Q74" s="10" t="str">
        <f ca="1"/>
        <v/>
      </c>
      <c r="R74" s="10" t="str">
        <f ca="1"/>
        <v/>
      </c>
      <c r="S74" s="24"/>
      <c r="T74" s="24"/>
      <c r="U74" s="24"/>
      <c r="V74" s="11">
        <v>100000</v>
      </c>
      <c r="W74" s="11">
        <v>900000</v>
      </c>
      <c r="X74" s="24"/>
      <c r="Y74" s="24"/>
      <c r="Z74" s="24"/>
      <c r="AA74" s="12" t="str">
        <f t="shared" si="25"/>
        <v>Correct</v>
      </c>
      <c r="AB74" s="12" t="str" cm="1">
        <f t="array" ref="AB74">IF(A74&lt;&gt;"",IF(AND(IF(VALUE(RIGHT($S$3:$Z$3,1))&gt;COUNTIF(A:A,A74),S74:Z74&lt;&gt;""=FALSE,TRUE)),"Correct","Error"),"")</f>
        <v>Correct</v>
      </c>
    </row>
    <row r="75" spans="1:28" x14ac:dyDescent="0.2">
      <c r="C75" s="32" t="str">
        <f t="shared" si="0"/>
        <v/>
      </c>
      <c r="AA75" s="12" t="str">
        <f t="shared" si="25"/>
        <v/>
      </c>
      <c r="AB75" s="12" t="str" cm="1">
        <f t="array" ref="AB75">IF(A75&lt;&gt;"",IF(AND(IF(VALUE(RIGHT($S$3:$Z$3,1))&gt;COUNTIF(A:A,A75),S75:Z75&lt;&gt;""=FALSE,TRUE)),"Correct","Error"),"")</f>
        <v/>
      </c>
    </row>
    <row r="76" spans="1:28" x14ac:dyDescent="0.2">
      <c r="A76" s="7">
        <v>420706</v>
      </c>
      <c r="B76" s="7">
        <v>10</v>
      </c>
      <c r="C76" s="32" t="str">
        <f t="shared" si="0"/>
        <v>420706;10</v>
      </c>
      <c r="D76" s="7">
        <v>460701</v>
      </c>
      <c r="E76" s="8" t="s">
        <v>78</v>
      </c>
      <c r="F76" s="8" t="str">
        <f>VLOOKUP(D76,weather!A:D,4,0)</f>
        <v>扬尘</v>
      </c>
      <c r="G76" s="7" t="str">
        <f t="shared" ref="G76:G79" si="34">H76&amp;"~"&amp;I76</f>
        <v>150~184.5</v>
      </c>
      <c r="H76" s="9">
        <v>150</v>
      </c>
      <c r="I76" s="9">
        <f t="shared" ref="I76:I79" si="35">H76*1.15+12</f>
        <v>184.5</v>
      </c>
      <c r="J76" s="7" t="str" cm="1">
        <f t="array" aca="1" ref="J76" ca="1">_xlfn.TEXTJOIN(";",1,_xlfn.MAP(K76:R76,S76:Z76,_xlfn.LAMBDA(_xlpm.a,_xlpm.b,IF(_xlpm.b=0,"",_xlpm.a&amp;"~"&amp;_xlpm.b))))</f>
        <v>10~200000;11~800000</v>
      </c>
      <c r="K76" s="10" cm="1">
        <f t="array" aca="1" ref="K76:R76" ca="1">_xlfn.LET(_xlpm._arr_len,COUNTIF($A:$A,$A76),_xlpm._group_row,MATCH($A76,$A:$A,0),_xlfn.MAKEARRAY(1,8,_xlfn.LAMBDA(_xlpm.x,_xlpm.y,IF(_xlpm.y&gt;_xlpm._arr_len,"",INDEX(OFFSET($A76,_xlpm._group_row-ROW(),1,_xlpm._arr_len),_xlpm.y)))))</f>
        <v>10</v>
      </c>
      <c r="L76" s="10">
        <f ca="1"/>
        <v>11</v>
      </c>
      <c r="M76" s="10">
        <f ca="1"/>
        <v>12</v>
      </c>
      <c r="N76" s="10">
        <f ca="1"/>
        <v>13</v>
      </c>
      <c r="O76" s="10" t="str">
        <f ca="1"/>
        <v/>
      </c>
      <c r="P76" s="10" t="str">
        <f ca="1"/>
        <v/>
      </c>
      <c r="Q76" s="10" t="str">
        <f ca="1"/>
        <v/>
      </c>
      <c r="R76" s="10" t="str">
        <f ca="1"/>
        <v/>
      </c>
      <c r="S76" s="11">
        <v>200000</v>
      </c>
      <c r="T76" s="11">
        <v>800000</v>
      </c>
      <c r="U76" s="24"/>
      <c r="V76" s="24"/>
      <c r="W76" s="24"/>
      <c r="X76" s="24"/>
      <c r="Y76" s="24"/>
      <c r="Z76" s="24"/>
      <c r="AA76" s="12" t="str">
        <f t="shared" si="25"/>
        <v>Correct</v>
      </c>
      <c r="AB76" s="12" t="str" cm="1">
        <f t="array" ref="AB76">IF(A76&lt;&gt;"",IF(AND(IF(VALUE(RIGHT($S$3:$Z$3,1))&gt;COUNTIF(A:A,A76),S76:Z76&lt;&gt;""=FALSE,TRUE)),"Correct","Error"),"")</f>
        <v>Correct</v>
      </c>
    </row>
    <row r="77" spans="1:28" x14ac:dyDescent="0.2">
      <c r="A77" s="7">
        <v>420706</v>
      </c>
      <c r="B77" s="7">
        <v>11</v>
      </c>
      <c r="C77" s="32" t="str">
        <f t="shared" si="0"/>
        <v>420706;11</v>
      </c>
      <c r="D77" s="7">
        <v>460702</v>
      </c>
      <c r="E77" s="8" t="s">
        <v>78</v>
      </c>
      <c r="F77" s="8" t="str">
        <f>VLOOKUP(D77,weather!A:D,4,0)</f>
        <v>沙暴</v>
      </c>
      <c r="G77" s="7" t="str">
        <f t="shared" si="34"/>
        <v>150~184.5</v>
      </c>
      <c r="H77" s="9">
        <v>150</v>
      </c>
      <c r="I77" s="9">
        <f t="shared" si="35"/>
        <v>184.5</v>
      </c>
      <c r="J77" s="7" t="str" cm="1">
        <f t="array" aca="1" ref="J77" ca="1">_xlfn.TEXTJOIN(";",1,_xlfn.MAP(K77:R77,S77:Z77,_xlfn.LAMBDA(_xlpm.a,_xlpm.b,IF(_xlpm.b=0,"",_xlpm.a&amp;"~"&amp;_xlpm.b))))</f>
        <v>10~100000;11~200000;12~700000</v>
      </c>
      <c r="K77" s="10" cm="1">
        <f t="array" aca="1" ref="K77:R77" ca="1">_xlfn.LET(_xlpm._arr_len,COUNTIF($A:$A,$A77),_xlpm._group_row,MATCH($A77,$A:$A,0),_xlfn.MAKEARRAY(1,8,_xlfn.LAMBDA(_xlpm.x,_xlpm.y,IF(_xlpm.y&gt;_xlpm._arr_len,"",INDEX(OFFSET($A77,_xlpm._group_row-ROW(),1,_xlpm._arr_len),_xlpm.y)))))</f>
        <v>10</v>
      </c>
      <c r="L77" s="10">
        <f ca="1"/>
        <v>11</v>
      </c>
      <c r="M77" s="10">
        <f ca="1"/>
        <v>12</v>
      </c>
      <c r="N77" s="10">
        <f ca="1"/>
        <v>13</v>
      </c>
      <c r="O77" s="10" t="str">
        <f ca="1"/>
        <v/>
      </c>
      <c r="P77" s="10" t="str">
        <f ca="1"/>
        <v/>
      </c>
      <c r="Q77" s="10" t="str">
        <f ca="1"/>
        <v/>
      </c>
      <c r="R77" s="10" t="str">
        <f ca="1"/>
        <v/>
      </c>
      <c r="S77" s="11">
        <v>100000</v>
      </c>
      <c r="T77" s="11">
        <v>200000</v>
      </c>
      <c r="U77" s="11">
        <v>700000</v>
      </c>
      <c r="V77" s="24"/>
      <c r="W77" s="24"/>
      <c r="X77" s="24"/>
      <c r="Y77" s="24"/>
      <c r="Z77" s="24"/>
      <c r="AA77" s="12" t="str">
        <f t="shared" si="25"/>
        <v>Correct</v>
      </c>
      <c r="AB77" s="12" t="str" cm="1">
        <f t="array" ref="AB77">IF(A77&lt;&gt;"",IF(AND(IF(VALUE(RIGHT($S$3:$Z$3,1))&gt;COUNTIF(A:A,A77),S77:Z77&lt;&gt;""=FALSE,TRUE)),"Correct","Error"),"")</f>
        <v>Correct</v>
      </c>
    </row>
    <row r="78" spans="1:28" x14ac:dyDescent="0.2">
      <c r="A78" s="7">
        <v>420706</v>
      </c>
      <c r="B78" s="7">
        <v>12</v>
      </c>
      <c r="C78" s="32" t="str">
        <f t="shared" si="0"/>
        <v>420706;12</v>
      </c>
      <c r="D78" s="7">
        <v>460704</v>
      </c>
      <c r="E78" s="8" t="s">
        <v>78</v>
      </c>
      <c r="F78" s="8" t="str">
        <f>VLOOKUP(D78,weather!A:D,4,0)</f>
        <v>积沙，扬尘</v>
      </c>
      <c r="G78" s="7" t="str">
        <f t="shared" si="34"/>
        <v>150~184.5</v>
      </c>
      <c r="H78" s="9">
        <v>150</v>
      </c>
      <c r="I78" s="9">
        <f t="shared" si="35"/>
        <v>184.5</v>
      </c>
      <c r="J78" s="7" t="str" cm="1">
        <f t="array" aca="1" ref="J78" ca="1">_xlfn.TEXTJOIN(";",1,_xlfn.MAP(K78:R78,S78:Z78,_xlfn.LAMBDA(_xlpm.a,_xlpm.b,IF(_xlpm.b=0,"",_xlpm.a&amp;"~"&amp;_xlpm.b))))</f>
        <v>11~100000;12~300000;13~600000</v>
      </c>
      <c r="K78" s="10" cm="1">
        <f t="array" aca="1" ref="K78:R78" ca="1">_xlfn.LET(_xlpm._arr_len,COUNTIF($A:$A,$A78),_xlpm._group_row,MATCH($A78,$A:$A,0),_xlfn.MAKEARRAY(1,8,_xlfn.LAMBDA(_xlpm.x,_xlpm.y,IF(_xlpm.y&gt;_xlpm._arr_len,"",INDEX(OFFSET($A78,_xlpm._group_row-ROW(),1,_xlpm._arr_len),_xlpm.y)))))</f>
        <v>10</v>
      </c>
      <c r="L78" s="10">
        <f ca="1"/>
        <v>11</v>
      </c>
      <c r="M78" s="10">
        <f ca="1"/>
        <v>12</v>
      </c>
      <c r="N78" s="10">
        <f ca="1"/>
        <v>13</v>
      </c>
      <c r="O78" s="10" t="str">
        <f ca="1"/>
        <v/>
      </c>
      <c r="P78" s="10" t="str">
        <f ca="1"/>
        <v/>
      </c>
      <c r="Q78" s="10" t="str">
        <f ca="1"/>
        <v/>
      </c>
      <c r="R78" s="10" t="str">
        <f ca="1"/>
        <v/>
      </c>
      <c r="S78" s="24"/>
      <c r="T78" s="11">
        <v>100000</v>
      </c>
      <c r="U78" s="11">
        <v>300000</v>
      </c>
      <c r="V78" s="11">
        <v>600000</v>
      </c>
      <c r="W78" s="24"/>
      <c r="X78" s="24"/>
      <c r="Y78" s="24"/>
      <c r="Z78" s="24"/>
      <c r="AA78" s="12" t="str">
        <f t="shared" si="25"/>
        <v>Correct</v>
      </c>
      <c r="AB78" s="12" t="str" cm="1">
        <f t="array" ref="AB78">IF(A78&lt;&gt;"",IF(AND(IF(VALUE(RIGHT($S$3:$Z$3,1))&gt;COUNTIF(A:A,A78),S78:Z78&lt;&gt;""=FALSE,TRUE)),"Correct","Error"),"")</f>
        <v>Correct</v>
      </c>
    </row>
    <row r="79" spans="1:28" x14ac:dyDescent="0.2">
      <c r="A79" s="7">
        <v>420706</v>
      </c>
      <c r="B79" s="7">
        <v>13</v>
      </c>
      <c r="C79" s="32" t="str">
        <f t="shared" si="0"/>
        <v>420706;13</v>
      </c>
      <c r="D79" s="7">
        <v>460705</v>
      </c>
      <c r="E79" s="8" t="s">
        <v>78</v>
      </c>
      <c r="F79" s="8" t="str">
        <f>VLOOKUP(D79,weather!A:D,4,0)</f>
        <v>积沙，沙暴</v>
      </c>
      <c r="G79" s="7" t="str">
        <f t="shared" si="34"/>
        <v>300~357</v>
      </c>
      <c r="H79" s="9">
        <v>300</v>
      </c>
      <c r="I79" s="9">
        <f t="shared" si="35"/>
        <v>357</v>
      </c>
      <c r="J79" s="7" t="str" cm="1">
        <f t="array" aca="1" ref="J79" ca="1">_xlfn.TEXTJOIN(";",1,_xlfn.MAP(K79:R79,S79:Z79,_xlfn.LAMBDA(_xlpm.a,_xlpm.b,IF(_xlpm.b=0,"",_xlpm.a&amp;"~"&amp;_xlpm.b))))</f>
        <v>12~100000;13~900000</v>
      </c>
      <c r="K79" s="10" cm="1">
        <f t="array" aca="1" ref="K79:R79" ca="1">_xlfn.LET(_xlpm._arr_len,COUNTIF($A:$A,$A79),_xlpm._group_row,MATCH($A79,$A:$A,0),_xlfn.MAKEARRAY(1,8,_xlfn.LAMBDA(_xlpm.x,_xlpm.y,IF(_xlpm.y&gt;_xlpm._arr_len,"",INDEX(OFFSET($A79,_xlpm._group_row-ROW(),1,_xlpm._arr_len),_xlpm.y)))))</f>
        <v>10</v>
      </c>
      <c r="L79" s="10">
        <f ca="1"/>
        <v>11</v>
      </c>
      <c r="M79" s="10">
        <f ca="1"/>
        <v>12</v>
      </c>
      <c r="N79" s="10">
        <f ca="1"/>
        <v>13</v>
      </c>
      <c r="O79" s="10" t="str">
        <f ca="1"/>
        <v/>
      </c>
      <c r="P79" s="10" t="str">
        <f ca="1"/>
        <v/>
      </c>
      <c r="Q79" s="10" t="str">
        <f ca="1"/>
        <v/>
      </c>
      <c r="R79" s="10" t="str">
        <f ca="1"/>
        <v/>
      </c>
      <c r="S79" s="24"/>
      <c r="T79" s="24"/>
      <c r="U79" s="11">
        <v>100000</v>
      </c>
      <c r="V79" s="11">
        <v>900000</v>
      </c>
      <c r="W79" s="24"/>
      <c r="X79" s="24"/>
      <c r="Y79" s="24"/>
      <c r="Z79" s="24"/>
      <c r="AA79" s="12" t="str">
        <f t="shared" si="25"/>
        <v>Correct</v>
      </c>
      <c r="AB79" s="12" t="str" cm="1">
        <f t="array" ref="AB79">IF(A79&lt;&gt;"",IF(AND(IF(VALUE(RIGHT($S$3:$Z$3,1))&gt;COUNTIF(A:A,A79),S79:Z79&lt;&gt;""=FALSE,TRUE)),"Correct","Error"),"")</f>
        <v>Correct</v>
      </c>
    </row>
    <row r="80" spans="1:28" x14ac:dyDescent="0.2">
      <c r="C80" s="32" t="str">
        <f t="shared" si="0"/>
        <v/>
      </c>
      <c r="AA80" s="12" t="str">
        <f t="shared" si="25"/>
        <v/>
      </c>
      <c r="AB80" s="12" t="str" cm="1">
        <f t="array" ref="AB80">IF(A80&lt;&gt;"",IF(AND(IF(VALUE(RIGHT($S$3:$Z$3,1))&gt;COUNTIF(A:A,A80),S80:Z80&lt;&gt;""=FALSE,TRUE)),"Correct","Error"),"")</f>
        <v/>
      </c>
    </row>
    <row r="81" spans="1:28" x14ac:dyDescent="0.2">
      <c r="A81" s="7">
        <v>420707</v>
      </c>
      <c r="B81" s="7">
        <v>11</v>
      </c>
      <c r="C81" s="32" t="str">
        <f t="shared" si="0"/>
        <v>420707;11</v>
      </c>
      <c r="D81" s="7">
        <v>460702</v>
      </c>
      <c r="E81" s="8" t="s">
        <v>78</v>
      </c>
      <c r="F81" s="8" t="str">
        <f>VLOOKUP(D81,weather!A:D,4,0)</f>
        <v>沙暴</v>
      </c>
      <c r="G81" s="7" t="str">
        <f t="shared" ref="G81:G83" si="36">H81&amp;"~"&amp;I81</f>
        <v>150~184.5</v>
      </c>
      <c r="H81" s="9">
        <v>150</v>
      </c>
      <c r="I81" s="9">
        <f t="shared" ref="I81:I83" si="37">H81*1.15+12</f>
        <v>184.5</v>
      </c>
      <c r="J81" s="7" t="str" cm="1">
        <f t="array" aca="1" ref="J81" ca="1">_xlfn.TEXTJOIN(";",1,_xlfn.MAP(K81:R81,S81:Z81,_xlfn.LAMBDA(_xlpm.a,_xlpm.b,IF(_xlpm.b=0,"",_xlpm.a&amp;"~"&amp;_xlpm.b))))</f>
        <v>11~300000;12~700000</v>
      </c>
      <c r="K81" s="10" cm="1">
        <f t="array" aca="1" ref="K81:R81" ca="1">_xlfn.LET(_xlpm._arr_len,COUNTIF($A:$A,$A81),_xlpm._group_row,MATCH($A81,$A:$A,0),_xlfn.MAKEARRAY(1,8,_xlfn.LAMBDA(_xlpm.x,_xlpm.y,IF(_xlpm.y&gt;_xlpm._arr_len,"",INDEX(OFFSET($A81,_xlpm._group_row-ROW(),1,_xlpm._arr_len),_xlpm.y)))))</f>
        <v>11</v>
      </c>
      <c r="L81" s="10">
        <f ca="1"/>
        <v>12</v>
      </c>
      <c r="M81" s="10">
        <f ca="1"/>
        <v>13</v>
      </c>
      <c r="N81" s="10" t="str">
        <f ca="1"/>
        <v/>
      </c>
      <c r="O81" s="10" t="str">
        <f ca="1"/>
        <v/>
      </c>
      <c r="P81" s="10" t="str">
        <f ca="1"/>
        <v/>
      </c>
      <c r="Q81" s="10" t="str">
        <f ca="1"/>
        <v/>
      </c>
      <c r="R81" s="10" t="str">
        <f ca="1"/>
        <v/>
      </c>
      <c r="S81" s="11">
        <v>300000</v>
      </c>
      <c r="T81" s="11">
        <v>700000</v>
      </c>
      <c r="U81" s="24"/>
      <c r="V81" s="24"/>
      <c r="W81" s="24"/>
      <c r="X81" s="24"/>
      <c r="Y81" s="24"/>
      <c r="Z81" s="24"/>
      <c r="AA81" s="12" t="str">
        <f t="shared" si="25"/>
        <v>Correct</v>
      </c>
      <c r="AB81" s="12" t="str" cm="1">
        <f t="array" ref="AB81">IF(A81&lt;&gt;"",IF(AND(IF(VALUE(RIGHT($S$3:$Z$3,1))&gt;COUNTIF(A:A,A81),S81:Z81&lt;&gt;""=FALSE,TRUE)),"Correct","Error"),"")</f>
        <v>Correct</v>
      </c>
    </row>
    <row r="82" spans="1:28" x14ac:dyDescent="0.2">
      <c r="A82" s="7">
        <v>420707</v>
      </c>
      <c r="B82" s="7">
        <v>12</v>
      </c>
      <c r="C82" s="32" t="str">
        <f t="shared" si="0"/>
        <v>420707;12</v>
      </c>
      <c r="D82" s="7">
        <v>460704</v>
      </c>
      <c r="E82" s="8" t="s">
        <v>78</v>
      </c>
      <c r="F82" s="8" t="str">
        <f>VLOOKUP(D82,weather!A:D,4,0)</f>
        <v>积沙，扬尘</v>
      </c>
      <c r="G82" s="7" t="str">
        <f t="shared" si="36"/>
        <v>150~184.5</v>
      </c>
      <c r="H82" s="9">
        <v>150</v>
      </c>
      <c r="I82" s="9">
        <f t="shared" si="37"/>
        <v>184.5</v>
      </c>
      <c r="J82" s="7" t="str" cm="1">
        <f t="array" aca="1" ref="J82" ca="1">_xlfn.TEXTJOIN(";",1,_xlfn.MAP(K82:R82,S82:Z82,_xlfn.LAMBDA(_xlpm.a,_xlpm.b,IF(_xlpm.b=0,"",_xlpm.a&amp;"~"&amp;_xlpm.b))))</f>
        <v>11~200000;12~200000;13~600000</v>
      </c>
      <c r="K82" s="10" cm="1">
        <f t="array" aca="1" ref="K82:R82" ca="1">_xlfn.LET(_xlpm._arr_len,COUNTIF($A:$A,$A82),_xlpm._group_row,MATCH($A82,$A:$A,0),_xlfn.MAKEARRAY(1,8,_xlfn.LAMBDA(_xlpm.x,_xlpm.y,IF(_xlpm.y&gt;_xlpm._arr_len,"",INDEX(OFFSET($A82,_xlpm._group_row-ROW(),1,_xlpm._arr_len),_xlpm.y)))))</f>
        <v>11</v>
      </c>
      <c r="L82" s="10">
        <f ca="1"/>
        <v>12</v>
      </c>
      <c r="M82" s="10">
        <f ca="1"/>
        <v>13</v>
      </c>
      <c r="N82" s="10" t="str">
        <f ca="1"/>
        <v/>
      </c>
      <c r="O82" s="10" t="str">
        <f ca="1"/>
        <v/>
      </c>
      <c r="P82" s="10" t="str">
        <f ca="1"/>
        <v/>
      </c>
      <c r="Q82" s="10" t="str">
        <f ca="1"/>
        <v/>
      </c>
      <c r="R82" s="10" t="str">
        <f ca="1"/>
        <v/>
      </c>
      <c r="S82" s="11">
        <v>200000</v>
      </c>
      <c r="T82" s="11">
        <v>200000</v>
      </c>
      <c r="U82" s="11">
        <v>600000</v>
      </c>
      <c r="V82" s="24"/>
      <c r="W82" s="24"/>
      <c r="X82" s="24"/>
      <c r="Y82" s="24"/>
      <c r="Z82" s="24"/>
      <c r="AA82" s="12" t="str">
        <f t="shared" si="25"/>
        <v>Correct</v>
      </c>
      <c r="AB82" s="12" t="str" cm="1">
        <f t="array" ref="AB82">IF(A82&lt;&gt;"",IF(AND(IF(VALUE(RIGHT($S$3:$Z$3,1))&gt;COUNTIF(A:A,A82),S82:Z82&lt;&gt;""=FALSE,TRUE)),"Correct","Error"),"")</f>
        <v>Correct</v>
      </c>
    </row>
    <row r="83" spans="1:28" x14ac:dyDescent="0.2">
      <c r="A83" s="7">
        <v>420707</v>
      </c>
      <c r="B83" s="7">
        <v>13</v>
      </c>
      <c r="C83" s="32" t="str">
        <f t="shared" si="0"/>
        <v>420707;13</v>
      </c>
      <c r="D83" s="7">
        <v>460705</v>
      </c>
      <c r="E83" s="8" t="s">
        <v>78</v>
      </c>
      <c r="F83" s="8" t="str">
        <f>VLOOKUP(D83,weather!A:D,4,0)</f>
        <v>积沙，沙暴</v>
      </c>
      <c r="G83" s="7" t="str">
        <f t="shared" si="36"/>
        <v>300~357</v>
      </c>
      <c r="H83" s="9">
        <v>300</v>
      </c>
      <c r="I83" s="9">
        <f t="shared" si="37"/>
        <v>357</v>
      </c>
      <c r="J83" s="7" t="str" cm="1">
        <f t="array" aca="1" ref="J83" ca="1">_xlfn.TEXTJOIN(";",1,_xlfn.MAP(K83:R83,S83:Z83,_xlfn.LAMBDA(_xlpm.a,_xlpm.b,IF(_xlpm.b=0,"",_xlpm.a&amp;"~"&amp;_xlpm.b))))</f>
        <v>12~100000;13~900000</v>
      </c>
      <c r="K83" s="10" cm="1">
        <f t="array" aca="1" ref="K83:R83" ca="1">_xlfn.LET(_xlpm._arr_len,COUNTIF($A:$A,$A83),_xlpm._group_row,MATCH($A83,$A:$A,0),_xlfn.MAKEARRAY(1,8,_xlfn.LAMBDA(_xlpm.x,_xlpm.y,IF(_xlpm.y&gt;_xlpm._arr_len,"",INDEX(OFFSET($A83,_xlpm._group_row-ROW(),1,_xlpm._arr_len),_xlpm.y)))))</f>
        <v>11</v>
      </c>
      <c r="L83" s="10">
        <f ca="1"/>
        <v>12</v>
      </c>
      <c r="M83" s="10">
        <f ca="1"/>
        <v>13</v>
      </c>
      <c r="N83" s="10" t="str">
        <f ca="1"/>
        <v/>
      </c>
      <c r="O83" s="10" t="str">
        <f ca="1"/>
        <v/>
      </c>
      <c r="P83" s="10" t="str">
        <f ca="1"/>
        <v/>
      </c>
      <c r="Q83" s="10" t="str">
        <f ca="1"/>
        <v/>
      </c>
      <c r="R83" s="10" t="str">
        <f ca="1"/>
        <v/>
      </c>
      <c r="S83" s="24"/>
      <c r="T83" s="11">
        <v>100000</v>
      </c>
      <c r="U83" s="11">
        <v>900000</v>
      </c>
      <c r="V83" s="24"/>
      <c r="W83" s="24"/>
      <c r="X83" s="24"/>
      <c r="Y83" s="24"/>
      <c r="Z83" s="24"/>
      <c r="AA83" s="12" t="str">
        <f t="shared" si="25"/>
        <v>Correct</v>
      </c>
      <c r="AB83" s="12" t="str" cm="1">
        <f t="array" ref="AB83">IF(A83&lt;&gt;"",IF(AND(IF(VALUE(RIGHT($S$3:$Z$3,1))&gt;COUNTIF(A:A,A83),S83:Z83&lt;&gt;""=FALSE,TRUE)),"Correct","Error"),"")</f>
        <v>Correct</v>
      </c>
    </row>
    <row r="84" spans="1:28" x14ac:dyDescent="0.2">
      <c r="C84" s="32" t="str">
        <f t="shared" si="0"/>
        <v/>
      </c>
      <c r="AA84" s="12" t="str">
        <f t="shared" si="25"/>
        <v/>
      </c>
      <c r="AB84" s="12" t="str" cm="1">
        <f t="array" ref="AB84">IF(A84&lt;&gt;"",IF(AND(IF(VALUE(RIGHT($S$3:$Z$3,1))&gt;COUNTIF(A:A,A84),S84:Z84&lt;&gt;""=FALSE,TRUE)),"Correct","Error"),"")</f>
        <v/>
      </c>
    </row>
    <row r="85" spans="1:28" x14ac:dyDescent="0.2">
      <c r="A85" s="7">
        <v>420708</v>
      </c>
      <c r="B85" s="7">
        <v>12</v>
      </c>
      <c r="C85" s="32" t="str">
        <f t="shared" si="0"/>
        <v>420708;12</v>
      </c>
      <c r="D85" s="7">
        <v>460704</v>
      </c>
      <c r="E85" s="8" t="s">
        <v>78</v>
      </c>
      <c r="F85" s="8" t="str">
        <f>VLOOKUP(D85,weather!A:D,4,0)</f>
        <v>积沙，扬尘</v>
      </c>
      <c r="G85" s="7" t="str">
        <f t="shared" ref="G85:G86" si="38">H85&amp;"~"&amp;I85</f>
        <v>150~184.5</v>
      </c>
      <c r="H85" s="9">
        <v>150</v>
      </c>
      <c r="I85" s="9">
        <f t="shared" ref="I85:I86" si="39">H85*1.15+12</f>
        <v>184.5</v>
      </c>
      <c r="J85" s="7" t="str" cm="1">
        <f t="array" aca="1" ref="J85" ca="1">_xlfn.TEXTJOIN(";",1,_xlfn.MAP(K85:R85,S85:Z85,_xlfn.LAMBDA(_xlpm.a,_xlpm.b,IF(_xlpm.b=0,"",_xlpm.a&amp;"~"&amp;_xlpm.b))))</f>
        <v>12~400000;13~600000</v>
      </c>
      <c r="K85" s="10" cm="1">
        <f t="array" aca="1" ref="K85:R85" ca="1">_xlfn.LET(_xlpm._arr_len,COUNTIF($A:$A,$A85),_xlpm._group_row,MATCH($A85,$A:$A,0),_xlfn.MAKEARRAY(1,8,_xlfn.LAMBDA(_xlpm.x,_xlpm.y,IF(_xlpm.y&gt;_xlpm._arr_len,"",INDEX(OFFSET($A85,_xlpm._group_row-ROW(),1,_xlpm._arr_len),_xlpm.y)))))</f>
        <v>12</v>
      </c>
      <c r="L85" s="10">
        <f ca="1"/>
        <v>13</v>
      </c>
      <c r="M85" s="10" t="str">
        <f ca="1"/>
        <v/>
      </c>
      <c r="N85" s="10" t="str">
        <f ca="1"/>
        <v/>
      </c>
      <c r="O85" s="10" t="str">
        <f ca="1"/>
        <v/>
      </c>
      <c r="P85" s="10" t="str">
        <f ca="1"/>
        <v/>
      </c>
      <c r="Q85" s="10" t="str">
        <f ca="1"/>
        <v/>
      </c>
      <c r="R85" s="10" t="str">
        <f ca="1"/>
        <v/>
      </c>
      <c r="S85" s="11">
        <v>400000</v>
      </c>
      <c r="T85" s="11">
        <v>600000</v>
      </c>
      <c r="U85" s="24"/>
      <c r="V85" s="24"/>
      <c r="W85" s="24"/>
      <c r="X85" s="24"/>
      <c r="Y85" s="24"/>
      <c r="Z85" s="24"/>
      <c r="AA85" s="12" t="str">
        <f t="shared" si="25"/>
        <v>Correct</v>
      </c>
      <c r="AB85" s="12" t="str" cm="1">
        <f t="array" ref="AB85">IF(A85&lt;&gt;"",IF(AND(IF(VALUE(RIGHT($S$3:$Z$3,1))&gt;COUNTIF(A:A,A85),S85:Z85&lt;&gt;""=FALSE,TRUE)),"Correct","Error"),"")</f>
        <v>Correct</v>
      </c>
    </row>
    <row r="86" spans="1:28" x14ac:dyDescent="0.2">
      <c r="A86" s="7">
        <v>420708</v>
      </c>
      <c r="B86" s="7">
        <v>13</v>
      </c>
      <c r="C86" s="32" t="str">
        <f t="shared" si="0"/>
        <v>420708;13</v>
      </c>
      <c r="D86" s="7">
        <v>460705</v>
      </c>
      <c r="E86" s="8" t="s">
        <v>78</v>
      </c>
      <c r="F86" s="8" t="str">
        <f>VLOOKUP(D86,weather!A:D,4,0)</f>
        <v>积沙，沙暴</v>
      </c>
      <c r="G86" s="7" t="str">
        <f t="shared" si="38"/>
        <v>300~357</v>
      </c>
      <c r="H86" s="9">
        <v>300</v>
      </c>
      <c r="I86" s="9">
        <f t="shared" si="39"/>
        <v>357</v>
      </c>
      <c r="J86" s="7" t="str" cm="1">
        <f t="array" aca="1" ref="J86" ca="1">_xlfn.TEXTJOIN(";",1,_xlfn.MAP(K86:R86,S86:Z86,_xlfn.LAMBDA(_xlpm.a,_xlpm.b,IF(_xlpm.b=0,"",_xlpm.a&amp;"~"&amp;_xlpm.b))))</f>
        <v>12~100000;13~900000</v>
      </c>
      <c r="K86" s="10" cm="1">
        <f t="array" aca="1" ref="K86:R86" ca="1">_xlfn.LET(_xlpm._arr_len,COUNTIF($A:$A,$A86),_xlpm._group_row,MATCH($A86,$A:$A,0),_xlfn.MAKEARRAY(1,8,_xlfn.LAMBDA(_xlpm.x,_xlpm.y,IF(_xlpm.y&gt;_xlpm._arr_len,"",INDEX(OFFSET($A86,_xlpm._group_row-ROW(),1,_xlpm._arr_len),_xlpm.y)))))</f>
        <v>12</v>
      </c>
      <c r="L86" s="10">
        <f ca="1"/>
        <v>13</v>
      </c>
      <c r="M86" s="10" t="str">
        <f ca="1"/>
        <v/>
      </c>
      <c r="N86" s="10" t="str">
        <f ca="1"/>
        <v/>
      </c>
      <c r="O86" s="10" t="str">
        <f ca="1"/>
        <v/>
      </c>
      <c r="P86" s="10" t="str">
        <f ca="1"/>
        <v/>
      </c>
      <c r="Q86" s="10" t="str">
        <f ca="1"/>
        <v/>
      </c>
      <c r="R86" s="10" t="str">
        <f ca="1"/>
        <v/>
      </c>
      <c r="S86" s="11">
        <v>100000</v>
      </c>
      <c r="T86" s="11">
        <v>900000</v>
      </c>
      <c r="U86" s="24"/>
      <c r="V86" s="24"/>
      <c r="W86" s="24"/>
      <c r="X86" s="24"/>
      <c r="Y86" s="24"/>
      <c r="Z86" s="24"/>
      <c r="AA86" s="12" t="str">
        <f t="shared" si="25"/>
        <v>Correct</v>
      </c>
      <c r="AB86" s="12" t="str" cm="1">
        <f t="array" ref="AB86">IF(A86&lt;&gt;"",IF(AND(IF(VALUE(RIGHT($S$3:$Z$3,1))&gt;COUNTIF(A:A,A86),S86:Z86&lt;&gt;""=FALSE,TRUE)),"Correct","Error"),"")</f>
        <v>Correct</v>
      </c>
    </row>
    <row r="87" spans="1:28" x14ac:dyDescent="0.2">
      <c r="C87" s="32" t="str">
        <f t="shared" si="0"/>
        <v/>
      </c>
      <c r="AA87" s="12" t="str">
        <f t="shared" si="25"/>
        <v/>
      </c>
      <c r="AB87" s="12" t="str" cm="1">
        <f t="array" ref="AB87">IF(A87&lt;&gt;"",IF(AND(IF(VALUE(RIGHT($S$3:$Z$3,1))&gt;COUNTIF(A:A,A87),S87:Z87&lt;&gt;""=FALSE,TRUE)),"Correct","Error"),"")</f>
        <v/>
      </c>
    </row>
    <row r="88" spans="1:28" x14ac:dyDescent="0.2">
      <c r="A88" s="7">
        <v>420709</v>
      </c>
      <c r="B88" s="7">
        <v>13</v>
      </c>
      <c r="C88" s="32" t="str">
        <f t="shared" si="0"/>
        <v>420709;13</v>
      </c>
      <c r="D88" s="7">
        <v>460705</v>
      </c>
      <c r="E88" s="8" t="s">
        <v>78</v>
      </c>
      <c r="F88" s="8" t="str">
        <f>VLOOKUP(D88,weather!A:D,4,0)</f>
        <v>积沙，沙暴</v>
      </c>
      <c r="G88" s="7" t="str">
        <f t="shared" ref="G88" si="40">H88&amp;"~"&amp;I88</f>
        <v>8680~9994</v>
      </c>
      <c r="H88" s="9">
        <v>8680</v>
      </c>
      <c r="I88" s="9">
        <f t="shared" ref="I88" si="41">H88*1.15+12</f>
        <v>9994</v>
      </c>
      <c r="J88" s="7" t="str" cm="1">
        <f t="array" aca="1" ref="J88" ca="1">_xlfn.TEXTJOIN(";",1,_xlfn.MAP(K88:R88,S88:Z88,_xlfn.LAMBDA(_xlpm.a,_xlpm.b,IF(_xlpm.b=0,"",_xlpm.a&amp;"~"&amp;_xlpm.b))))</f>
        <v>13~1000000</v>
      </c>
      <c r="K88" s="10" cm="1">
        <f t="array" aca="1" ref="K88:R88" ca="1">_xlfn.LET(_xlpm._arr_len,COUNTIF($A:$A,$A88),_xlpm._group_row,MATCH($A88,$A:$A,0),_xlfn.MAKEARRAY(1,8,_xlfn.LAMBDA(_xlpm.x,_xlpm.y,IF(_xlpm.y&gt;_xlpm._arr_len,"",INDEX(OFFSET($A88,_xlpm._group_row-ROW(),1,_xlpm._arr_len),_xlpm.y)))))</f>
        <v>13</v>
      </c>
      <c r="L88" s="10" t="str">
        <f ca="1"/>
        <v/>
      </c>
      <c r="M88" s="10" t="str">
        <f ca="1"/>
        <v/>
      </c>
      <c r="N88" s="10" t="str">
        <f ca="1"/>
        <v/>
      </c>
      <c r="O88" s="10" t="str">
        <f ca="1"/>
        <v/>
      </c>
      <c r="P88" s="10" t="str">
        <f ca="1"/>
        <v/>
      </c>
      <c r="Q88" s="10" t="str">
        <f ca="1"/>
        <v/>
      </c>
      <c r="R88" s="10" t="str">
        <f ca="1"/>
        <v/>
      </c>
      <c r="S88" s="11">
        <v>1000000</v>
      </c>
      <c r="T88" s="24"/>
      <c r="U88" s="24"/>
      <c r="V88" s="24"/>
      <c r="W88" s="24"/>
      <c r="X88" s="24"/>
      <c r="Y88" s="24"/>
      <c r="Z88" s="24"/>
      <c r="AA88" s="12" t="str">
        <f t="shared" si="25"/>
        <v>Correct</v>
      </c>
      <c r="AB88" s="12" t="str" cm="1">
        <f t="array" ref="AB88">IF(A88&lt;&gt;"",IF(AND(IF(VALUE(RIGHT($S$3:$Z$3,1))&gt;COUNTIF(A:A,A88),S88:Z88&lt;&gt;""=FALSE,TRUE)),"Correct","Error"),"")</f>
        <v>Correct</v>
      </c>
    </row>
    <row r="92" spans="1:28" s="40" customFormat="1" x14ac:dyDescent="0.2">
      <c r="C92" s="41"/>
      <c r="E92" s="42"/>
      <c r="F92" s="42"/>
      <c r="H92" s="43"/>
      <c r="I92" s="43"/>
      <c r="K92" s="44"/>
      <c r="L92" s="44"/>
      <c r="M92" s="44"/>
      <c r="N92" s="44"/>
      <c r="O92" s="44"/>
      <c r="P92" s="44"/>
      <c r="Q92" s="44"/>
      <c r="R92" s="44"/>
      <c r="S92" s="45"/>
      <c r="T92" s="45"/>
      <c r="U92" s="45"/>
      <c r="V92" s="45"/>
      <c r="W92" s="45"/>
      <c r="X92" s="45"/>
      <c r="Y92" s="45"/>
      <c r="Z92" s="45"/>
      <c r="AA92" s="46"/>
      <c r="AB92" s="46"/>
    </row>
    <row r="93" spans="1:28" x14ac:dyDescent="0.2">
      <c r="C93" s="32" t="str">
        <f t="shared" si="0"/>
        <v/>
      </c>
      <c r="AA93" s="12" t="str">
        <f t="shared" ref="AA93:AA126" si="42">IF(A93&lt;&gt;"",IF(SUM(S93:Z93)&gt;=1000000,"Correct","Error"),"")</f>
        <v/>
      </c>
      <c r="AB93" s="12" t="str" cm="1">
        <f t="array" ref="AB93">IF(A93&lt;&gt;"",IF(AND(IF(VALUE(RIGHT($S$3:$Z$3,1))&gt;COUNTIF(A:A,A93),S93:Z93&lt;&gt;""=FALSE,TRUE)),"Correct","Error"),"")</f>
        <v/>
      </c>
    </row>
    <row r="94" spans="1:28" x14ac:dyDescent="0.2">
      <c r="A94" s="7">
        <v>420801</v>
      </c>
      <c r="B94" s="7">
        <v>0</v>
      </c>
      <c r="C94" s="32" t="str">
        <f t="shared" ref="C94" si="43">_xlfn.TEXTJOIN(";",1,A94,B94)</f>
        <v>420801;0</v>
      </c>
      <c r="D94" s="7">
        <v>460800</v>
      </c>
      <c r="E94" s="8" t="s">
        <v>78</v>
      </c>
      <c r="F94" s="8" t="str">
        <f>VLOOKUP(D94,weather!A:D,4,0)</f>
        <v>暖阳</v>
      </c>
      <c r="G94" s="7" t="str">
        <f t="shared" ref="G94" si="44">H94&amp;"~"&amp;I94</f>
        <v>8680~9994</v>
      </c>
      <c r="H94" s="9">
        <v>8680</v>
      </c>
      <c r="I94" s="9">
        <f t="shared" ref="I94" si="45">H94*1.15+12</f>
        <v>9994</v>
      </c>
      <c r="J94" s="7" t="str" cm="1">
        <f t="array" aca="1" ref="J94" ca="1">_xlfn.TEXTJOIN(";",1,_xlfn.MAP(K94:R94,S94:Z94,_xlfn.LAMBDA(_xlpm.a,_xlpm.b,IF(_xlpm.b=0,"",_xlpm.a&amp;"~"&amp;_xlpm.b))))</f>
        <v>0~1000000</v>
      </c>
      <c r="K94" s="10" cm="1">
        <f t="array" aca="1" ref="K94:R94" ca="1">_xlfn.LET(_xlpm._arr_len,COUNTIF($A:$A,$A94),_xlpm._group_row,MATCH($A94,$A:$A,0),_xlfn.MAKEARRAY(1,8,_xlfn.LAMBDA(_xlpm.x,_xlpm.y,IF(_xlpm.y&gt;_xlpm._arr_len,"",INDEX(OFFSET($A94,_xlpm._group_row-ROW(),1,_xlpm._arr_len),_xlpm.y)))))</f>
        <v>0</v>
      </c>
      <c r="L94" s="10" t="str">
        <f ca="1"/>
        <v/>
      </c>
      <c r="M94" s="10" t="str">
        <f ca="1"/>
        <v/>
      </c>
      <c r="N94" s="10" t="str">
        <f ca="1"/>
        <v/>
      </c>
      <c r="O94" s="10" t="str">
        <f ca="1"/>
        <v/>
      </c>
      <c r="P94" s="10" t="str">
        <f ca="1"/>
        <v/>
      </c>
      <c r="Q94" s="10" t="str">
        <f ca="1"/>
        <v/>
      </c>
      <c r="R94" s="10" t="str">
        <f ca="1"/>
        <v/>
      </c>
      <c r="S94" s="11">
        <v>1000000</v>
      </c>
      <c r="T94" s="24"/>
      <c r="U94" s="24"/>
      <c r="V94" s="24"/>
      <c r="W94" s="24"/>
      <c r="X94" s="24"/>
      <c r="Y94" s="24"/>
      <c r="Z94" s="24"/>
      <c r="AA94" s="12" t="str">
        <f t="shared" si="42"/>
        <v>Correct</v>
      </c>
      <c r="AB94" s="12" t="str" cm="1">
        <f t="array" ref="AB94">IF(A94&lt;&gt;"",IF(AND(IF(VALUE(RIGHT($S$3:$Z$3,1))&gt;COUNTIF(A:A,A94),S94:Z94&lt;&gt;""=FALSE,TRUE)),"Correct","Error"),"")</f>
        <v>Correct</v>
      </c>
    </row>
    <row r="95" spans="1:28" x14ac:dyDescent="0.2">
      <c r="C95" s="32" t="str">
        <f t="shared" ref="C95:C101" si="46">_xlfn.TEXTJOIN(";",1,A95,B95)</f>
        <v/>
      </c>
      <c r="AA95" s="12" t="str">
        <f t="shared" si="42"/>
        <v/>
      </c>
      <c r="AB95" s="12" t="str" cm="1">
        <f t="array" ref="AB95">IF(A95&lt;&gt;"",IF(AND(IF(VALUE(RIGHT($S$3:$Z$3,1))&gt;COUNTIF(A:A,A95),S95:Z95&lt;&gt;""=FALSE,TRUE)),"Correct","Error"),"")</f>
        <v/>
      </c>
    </row>
    <row r="96" spans="1:28" x14ac:dyDescent="0.2">
      <c r="A96" s="7">
        <v>420802</v>
      </c>
      <c r="B96" s="7">
        <v>0</v>
      </c>
      <c r="C96" s="32" t="str">
        <f t="shared" si="46"/>
        <v>420802;0</v>
      </c>
      <c r="D96" s="7">
        <v>460800</v>
      </c>
      <c r="E96" s="8" t="s">
        <v>78</v>
      </c>
      <c r="F96" s="8" t="str">
        <f>VLOOKUP(D96,weather!A:D,4,0)</f>
        <v>暖阳</v>
      </c>
      <c r="G96" s="7" t="str">
        <f>H96&amp;"~"&amp;I96</f>
        <v>150~184.5</v>
      </c>
      <c r="H96" s="9">
        <v>150</v>
      </c>
      <c r="I96" s="9">
        <f t="shared" ref="I96:I97" si="47">H96*1.15+12</f>
        <v>184.5</v>
      </c>
      <c r="J96" s="7" t="str" cm="1">
        <f t="array" aca="1" ref="J96" ca="1">_xlfn.TEXTJOIN(";",1,_xlfn.MAP(K96:R96,S96:Z96,_xlfn.LAMBDA(_xlpm.a,_xlpm.b,IF(_xlpm.b=0,"",_xlpm.a&amp;"~"&amp;_xlpm.b))))</f>
        <v>0~500000;10~500000</v>
      </c>
      <c r="K96" s="10" cm="1">
        <f t="array" aca="1" ref="K96:R96" ca="1">_xlfn.LET(_xlpm._arr_len,COUNTIF($A:$A,$A96),_xlpm._group_row,MATCH($A96,$A:$A,0),_xlfn.MAKEARRAY(1,8,_xlfn.LAMBDA(_xlpm.x,_xlpm.y,IF(_xlpm.y&gt;_xlpm._arr_len,"",INDEX(OFFSET($A96,_xlpm._group_row-ROW(),1,_xlpm._arr_len),_xlpm.y)))))</f>
        <v>0</v>
      </c>
      <c r="L96" s="10">
        <f ca="1"/>
        <v>10</v>
      </c>
      <c r="M96" s="10" t="str">
        <f ca="1"/>
        <v/>
      </c>
      <c r="N96" s="10" t="str">
        <f ca="1"/>
        <v/>
      </c>
      <c r="O96" s="10" t="str">
        <f ca="1"/>
        <v/>
      </c>
      <c r="P96" s="10" t="str">
        <f ca="1"/>
        <v/>
      </c>
      <c r="Q96" s="10" t="str">
        <f ca="1"/>
        <v/>
      </c>
      <c r="R96" s="10" t="str">
        <f ca="1"/>
        <v/>
      </c>
      <c r="S96" s="11">
        <v>500000</v>
      </c>
      <c r="T96" s="11">
        <v>500000</v>
      </c>
      <c r="U96" s="24"/>
      <c r="V96" s="24"/>
      <c r="W96" s="24"/>
      <c r="X96" s="24"/>
      <c r="Y96" s="24"/>
      <c r="Z96" s="24"/>
      <c r="AA96" s="12" t="str">
        <f t="shared" si="42"/>
        <v>Correct</v>
      </c>
      <c r="AB96" s="12" t="str" cm="1">
        <f t="array" ref="AB96">IF(A96&lt;&gt;"",IF(AND(IF(VALUE(RIGHT($S$3:$Z$3,1))&gt;COUNTIF(A:A,A96),S96:Z96&lt;&gt;""=FALSE,TRUE)),"Correct","Error"),"")</f>
        <v>Correct</v>
      </c>
    </row>
    <row r="97" spans="1:28" x14ac:dyDescent="0.2">
      <c r="A97" s="7">
        <v>420802</v>
      </c>
      <c r="B97" s="7">
        <v>10</v>
      </c>
      <c r="C97" s="32" t="str">
        <f t="shared" si="46"/>
        <v>420802;10</v>
      </c>
      <c r="D97" s="7">
        <v>460801</v>
      </c>
      <c r="E97" s="8" t="s">
        <v>78</v>
      </c>
      <c r="F97" s="8" t="str">
        <f>VLOOKUP(D97,weather!A:D,4,0)</f>
        <v>阴天</v>
      </c>
      <c r="G97" s="7" t="str">
        <f t="shared" ref="G97" si="48">H97&amp;"~"&amp;I97</f>
        <v>300~357</v>
      </c>
      <c r="H97" s="9">
        <v>300</v>
      </c>
      <c r="I97" s="9">
        <f t="shared" si="47"/>
        <v>357</v>
      </c>
      <c r="J97" s="7" t="str" cm="1">
        <f t="array" aca="1" ref="J97" ca="1">_xlfn.TEXTJOIN(";",1,_xlfn.MAP(K97:R97,S97:Z97,_xlfn.LAMBDA(_xlpm.a,_xlpm.b,IF(_xlpm.b=0,"",_xlpm.a&amp;"~"&amp;_xlpm.b))))</f>
        <v>0~100000;10~900000</v>
      </c>
      <c r="K97" s="10" cm="1">
        <f t="array" aca="1" ref="K97:R97" ca="1">_xlfn.LET(_xlpm._arr_len,COUNTIF($A:$A,$A97),_xlpm._group_row,MATCH($A97,$A:$A,0),_xlfn.MAKEARRAY(1,8,_xlfn.LAMBDA(_xlpm.x,_xlpm.y,IF(_xlpm.y&gt;_xlpm._arr_len,"",INDEX(OFFSET($A97,_xlpm._group_row-ROW(),1,_xlpm._arr_len),_xlpm.y)))))</f>
        <v>0</v>
      </c>
      <c r="L97" s="10">
        <f ca="1"/>
        <v>10</v>
      </c>
      <c r="M97" s="10" t="str">
        <f ca="1"/>
        <v/>
      </c>
      <c r="N97" s="10" t="str">
        <f ca="1"/>
        <v/>
      </c>
      <c r="O97" s="10" t="str">
        <f ca="1"/>
        <v/>
      </c>
      <c r="P97" s="10" t="str">
        <f ca="1"/>
        <v/>
      </c>
      <c r="Q97" s="10" t="str">
        <f ca="1"/>
        <v/>
      </c>
      <c r="R97" s="10" t="str">
        <f ca="1"/>
        <v/>
      </c>
      <c r="S97" s="11">
        <v>100000</v>
      </c>
      <c r="T97" s="11">
        <v>900000</v>
      </c>
      <c r="U97" s="24"/>
      <c r="V97" s="24"/>
      <c r="W97" s="24"/>
      <c r="X97" s="24"/>
      <c r="Y97" s="24"/>
      <c r="Z97" s="24"/>
      <c r="AA97" s="12" t="str">
        <f t="shared" si="42"/>
        <v>Correct</v>
      </c>
      <c r="AB97" s="12" t="str" cm="1">
        <f t="array" ref="AB97">IF(A97&lt;&gt;"",IF(AND(IF(VALUE(RIGHT($S$3:$Z$3,1))&gt;COUNTIF(A:A,A97),S97:Z97&lt;&gt;""=FALSE,TRUE)),"Correct","Error"),"")</f>
        <v>Correct</v>
      </c>
    </row>
    <row r="98" spans="1:28" x14ac:dyDescent="0.2">
      <c r="C98" s="32" t="str">
        <f t="shared" si="46"/>
        <v/>
      </c>
      <c r="AA98" s="12" t="str">
        <f t="shared" si="42"/>
        <v/>
      </c>
      <c r="AB98" s="12" t="str" cm="1">
        <f t="array" ref="AB98">IF(A98&lt;&gt;"",IF(AND(IF(VALUE(RIGHT($S$3:$Z$3,1))&gt;COUNTIF(A:A,A98),S98:Z98&lt;&gt;""=FALSE,TRUE)),"Correct","Error"),"")</f>
        <v/>
      </c>
    </row>
    <row r="99" spans="1:28" x14ac:dyDescent="0.2">
      <c r="A99" s="7">
        <v>420803</v>
      </c>
      <c r="B99" s="7">
        <v>0</v>
      </c>
      <c r="C99" s="32" t="str">
        <f t="shared" si="46"/>
        <v>420803;0</v>
      </c>
      <c r="D99" s="7">
        <v>460800</v>
      </c>
      <c r="E99" s="8" t="s">
        <v>78</v>
      </c>
      <c r="F99" s="8" t="str">
        <f>VLOOKUP(D99,weather!A:D,4,0)</f>
        <v>暖阳</v>
      </c>
      <c r="G99" s="7" t="str">
        <f>H99&amp;"~"&amp;I99</f>
        <v>150~184.5</v>
      </c>
      <c r="H99" s="9">
        <v>150</v>
      </c>
      <c r="I99" s="9">
        <f t="shared" ref="I99:I101" si="49">H99*1.15+12</f>
        <v>184.5</v>
      </c>
      <c r="J99" s="7" t="str" cm="1">
        <f t="array" aca="1" ref="J99" ca="1">_xlfn.TEXTJOIN(";",1,_xlfn.MAP(K99:R99,S99:Z99,_xlfn.LAMBDA(_xlpm.a,_xlpm.b,IF(_xlpm.b=0,"",_xlpm.a&amp;"~"&amp;_xlpm.b))))</f>
        <v>0~300000;10~700000</v>
      </c>
      <c r="K99" s="10" cm="1">
        <f t="array" aca="1" ref="K99:R99" ca="1">_xlfn.LET(_xlpm._arr_len,COUNTIF($A:$A,$A99),_xlpm._group_row,MATCH($A99,$A:$A,0),_xlfn.MAKEARRAY(1,8,_xlfn.LAMBDA(_xlpm.x,_xlpm.y,IF(_xlpm.y&gt;_xlpm._arr_len,"",INDEX(OFFSET($A99,_xlpm._group_row-ROW(),1,_xlpm._arr_len),_xlpm.y)))))</f>
        <v>0</v>
      </c>
      <c r="L99" s="10">
        <f ca="1"/>
        <v>10</v>
      </c>
      <c r="M99" s="10">
        <f ca="1"/>
        <v>11</v>
      </c>
      <c r="N99" s="10" t="str">
        <f ca="1"/>
        <v/>
      </c>
      <c r="O99" s="10" t="str">
        <f ca="1"/>
        <v/>
      </c>
      <c r="P99" s="10" t="str">
        <f ca="1"/>
        <v/>
      </c>
      <c r="Q99" s="10" t="str">
        <f ca="1"/>
        <v/>
      </c>
      <c r="R99" s="10" t="str">
        <f ca="1"/>
        <v/>
      </c>
      <c r="S99" s="11">
        <v>300000</v>
      </c>
      <c r="T99" s="11">
        <v>700000</v>
      </c>
      <c r="U99" s="24"/>
      <c r="V99" s="24"/>
      <c r="W99" s="24"/>
      <c r="X99" s="24"/>
      <c r="Y99" s="24"/>
      <c r="Z99" s="24"/>
      <c r="AA99" s="12" t="str">
        <f t="shared" si="42"/>
        <v>Correct</v>
      </c>
      <c r="AB99" s="12" t="str" cm="1">
        <f t="array" ref="AB99">IF(A99&lt;&gt;"",IF(AND(IF(VALUE(RIGHT($S$3:$Z$3,1))&gt;COUNTIF(A:A,A99),S99:Z99&lt;&gt;""=FALSE,TRUE)),"Correct","Error"),"")</f>
        <v>Correct</v>
      </c>
    </row>
    <row r="100" spans="1:28" x14ac:dyDescent="0.2">
      <c r="A100" s="7">
        <v>420803</v>
      </c>
      <c r="B100" s="7">
        <v>10</v>
      </c>
      <c r="C100" s="32" t="str">
        <f t="shared" si="46"/>
        <v>420803;10</v>
      </c>
      <c r="D100" s="7">
        <v>460801</v>
      </c>
      <c r="E100" s="8" t="s">
        <v>78</v>
      </c>
      <c r="F100" s="8" t="str">
        <f>VLOOKUP(D100,weather!A:D,4,0)</f>
        <v>阴天</v>
      </c>
      <c r="G100" s="7" t="str">
        <f t="shared" ref="G100:G101" si="50">H100&amp;"~"&amp;I100</f>
        <v>150~184.5</v>
      </c>
      <c r="H100" s="9">
        <v>150</v>
      </c>
      <c r="I100" s="9">
        <f t="shared" si="49"/>
        <v>184.5</v>
      </c>
      <c r="J100" s="7" t="str" cm="1">
        <f t="array" aca="1" ref="J100" ca="1">_xlfn.TEXTJOIN(";",1,_xlfn.MAP(K100:R100,S100:Z100,_xlfn.LAMBDA(_xlpm.a,_xlpm.b,IF(_xlpm.b=0,"",_xlpm.a&amp;"~"&amp;_xlpm.b))))</f>
        <v>0~200000;10~200000;11~600000</v>
      </c>
      <c r="K100" s="10" cm="1">
        <f t="array" aca="1" ref="K100:R100" ca="1">_xlfn.LET(_xlpm._arr_len,COUNTIF($A:$A,$A100),_xlpm._group_row,MATCH($A100,$A:$A,0),_xlfn.MAKEARRAY(1,8,_xlfn.LAMBDA(_xlpm.x,_xlpm.y,IF(_xlpm.y&gt;_xlpm._arr_len,"",INDEX(OFFSET($A100,_xlpm._group_row-ROW(),1,_xlpm._arr_len),_xlpm.y)))))</f>
        <v>0</v>
      </c>
      <c r="L100" s="10">
        <f ca="1"/>
        <v>10</v>
      </c>
      <c r="M100" s="10">
        <f ca="1"/>
        <v>11</v>
      </c>
      <c r="N100" s="10" t="str">
        <f ca="1"/>
        <v/>
      </c>
      <c r="O100" s="10" t="str">
        <f ca="1"/>
        <v/>
      </c>
      <c r="P100" s="10" t="str">
        <f ca="1"/>
        <v/>
      </c>
      <c r="Q100" s="10" t="str">
        <f ca="1"/>
        <v/>
      </c>
      <c r="R100" s="10" t="str">
        <f ca="1"/>
        <v/>
      </c>
      <c r="S100" s="11">
        <v>200000</v>
      </c>
      <c r="T100" s="11">
        <v>200000</v>
      </c>
      <c r="U100" s="11">
        <v>600000</v>
      </c>
      <c r="V100" s="24"/>
      <c r="W100" s="24"/>
      <c r="X100" s="24"/>
      <c r="Y100" s="24"/>
      <c r="Z100" s="24"/>
      <c r="AA100" s="12" t="str">
        <f t="shared" si="42"/>
        <v>Correct</v>
      </c>
      <c r="AB100" s="12" t="str" cm="1">
        <f t="array" ref="AB100">IF(A100&lt;&gt;"",IF(AND(IF(VALUE(RIGHT($S$3:$Z$3,1))&gt;COUNTIF(A:A,A100),S100:Z100&lt;&gt;""=FALSE,TRUE)),"Correct","Error"),"")</f>
        <v>Correct</v>
      </c>
    </row>
    <row r="101" spans="1:28" x14ac:dyDescent="0.2">
      <c r="A101" s="7">
        <v>420803</v>
      </c>
      <c r="B101" s="7">
        <v>11</v>
      </c>
      <c r="C101" s="32" t="str">
        <f t="shared" si="46"/>
        <v>420803;11</v>
      </c>
      <c r="D101" s="7">
        <v>460802</v>
      </c>
      <c r="E101" s="8" t="s">
        <v>78</v>
      </c>
      <c r="F101" s="8" t="str">
        <f>VLOOKUP(D101,weather!A:D,4,0)</f>
        <v>下雨</v>
      </c>
      <c r="G101" s="7" t="str">
        <f t="shared" si="50"/>
        <v>300~357</v>
      </c>
      <c r="H101" s="9">
        <v>300</v>
      </c>
      <c r="I101" s="9">
        <f t="shared" si="49"/>
        <v>357</v>
      </c>
      <c r="J101" s="7" t="str" cm="1">
        <f t="array" aca="1" ref="J101" ca="1">_xlfn.TEXTJOIN(";",1,_xlfn.MAP(K101:R101,S101:Z101,_xlfn.LAMBDA(_xlpm.a,_xlpm.b,IF(_xlpm.b=0,"",_xlpm.a&amp;"~"&amp;_xlpm.b))))</f>
        <v>10~100000;11~900000</v>
      </c>
      <c r="K101" s="10" cm="1">
        <f t="array" aca="1" ref="K101:R101" ca="1">_xlfn.LET(_xlpm._arr_len,COUNTIF($A:$A,$A101),_xlpm._group_row,MATCH($A101,$A:$A,0),_xlfn.MAKEARRAY(1,8,_xlfn.LAMBDA(_xlpm.x,_xlpm.y,IF(_xlpm.y&gt;_xlpm._arr_len,"",INDEX(OFFSET($A101,_xlpm._group_row-ROW(),1,_xlpm._arr_len),_xlpm.y)))))</f>
        <v>0</v>
      </c>
      <c r="L101" s="10">
        <f ca="1"/>
        <v>10</v>
      </c>
      <c r="M101" s="10">
        <f ca="1"/>
        <v>11</v>
      </c>
      <c r="N101" s="10" t="str">
        <f ca="1"/>
        <v/>
      </c>
      <c r="O101" s="10" t="str">
        <f ca="1"/>
        <v/>
      </c>
      <c r="P101" s="10" t="str">
        <f ca="1"/>
        <v/>
      </c>
      <c r="Q101" s="10" t="str">
        <f ca="1"/>
        <v/>
      </c>
      <c r="R101" s="10" t="str">
        <f ca="1"/>
        <v/>
      </c>
      <c r="S101" s="24"/>
      <c r="T101" s="11">
        <v>100000</v>
      </c>
      <c r="U101" s="11">
        <v>900000</v>
      </c>
      <c r="V101" s="24"/>
      <c r="W101" s="24"/>
      <c r="X101" s="24"/>
      <c r="Y101" s="24"/>
      <c r="Z101" s="24"/>
      <c r="AA101" s="12" t="str">
        <f t="shared" si="42"/>
        <v>Correct</v>
      </c>
      <c r="AB101" s="12" t="str" cm="1">
        <f t="array" ref="AB101">IF(A101&lt;&gt;"",IF(AND(IF(VALUE(RIGHT($S$3:$Z$3,1))&gt;COUNTIF(A:A,A101),S101:Z101&lt;&gt;""=FALSE,TRUE)),"Correct","Error"),"")</f>
        <v>Correct</v>
      </c>
    </row>
    <row r="102" spans="1:28" x14ac:dyDescent="0.2">
      <c r="C102" s="32" t="str">
        <f t="shared" ref="C102:C105" si="51">_xlfn.TEXTJOIN(";",1,A102,B102)</f>
        <v/>
      </c>
      <c r="AA102" s="12" t="str">
        <f t="shared" si="42"/>
        <v/>
      </c>
      <c r="AB102" s="12" t="str" cm="1">
        <f t="array" ref="AB102">IF(A102&lt;&gt;"",IF(AND(IF(VALUE(RIGHT($S$3:$Z$3,1))&gt;COUNTIF(A:A,A102),S102:Z102&lt;&gt;""=FALSE,TRUE)),"Correct","Error"),"")</f>
        <v/>
      </c>
    </row>
    <row r="103" spans="1:28" x14ac:dyDescent="0.2">
      <c r="A103" s="7">
        <v>420804</v>
      </c>
      <c r="B103" s="7">
        <v>0</v>
      </c>
      <c r="C103" s="32" t="str">
        <f t="shared" si="51"/>
        <v>420804;0</v>
      </c>
      <c r="D103" s="7">
        <v>460800</v>
      </c>
      <c r="E103" s="8" t="s">
        <v>78</v>
      </c>
      <c r="F103" s="8" t="str">
        <f>VLOOKUP(D103,weather!A:D,4,0)</f>
        <v>暖阳</v>
      </c>
      <c r="G103" s="7" t="str">
        <f>H103&amp;"~"&amp;I103</f>
        <v>150~184.5</v>
      </c>
      <c r="H103" s="9">
        <v>150</v>
      </c>
      <c r="I103" s="9">
        <f t="shared" ref="I103:I105" si="52">H103*1.15+12</f>
        <v>184.5</v>
      </c>
      <c r="J103" s="7" t="str" cm="1">
        <f t="array" aca="1" ref="J103" ca="1">_xlfn.TEXTJOIN(";",1,_xlfn.MAP(K103:R103,S103:Z103,_xlfn.LAMBDA(_xlpm.a,_xlpm.b,IF(_xlpm.b=0,"",_xlpm.a&amp;"~"&amp;_xlpm.b))))</f>
        <v>0~200000;10~800000</v>
      </c>
      <c r="K103" s="10" cm="1">
        <f t="array" aca="1" ref="K103:R103" ca="1">_xlfn.LET(_xlpm._arr_len,COUNTIF($A:$A,$A103),_xlpm._group_row,MATCH($A103,$A:$A,0),_xlfn.MAKEARRAY(1,8,_xlfn.LAMBDA(_xlpm.x,_xlpm.y,IF(_xlpm.y&gt;_xlpm._arr_len,"",INDEX(OFFSET($A103,_xlpm._group_row-ROW(),1,_xlpm._arr_len),_xlpm.y)))))</f>
        <v>0</v>
      </c>
      <c r="L103" s="10">
        <f ca="1"/>
        <v>10</v>
      </c>
      <c r="M103" s="10">
        <f ca="1"/>
        <v>11</v>
      </c>
      <c r="N103" s="10">
        <f ca="1"/>
        <v>12</v>
      </c>
      <c r="O103" s="10" t="str">
        <f ca="1"/>
        <v/>
      </c>
      <c r="P103" s="10" t="str">
        <f ca="1"/>
        <v/>
      </c>
      <c r="Q103" s="10" t="str">
        <f ca="1"/>
        <v/>
      </c>
      <c r="R103" s="10" t="str">
        <f ca="1"/>
        <v/>
      </c>
      <c r="S103" s="11">
        <v>200000</v>
      </c>
      <c r="T103" s="11">
        <v>800000</v>
      </c>
      <c r="U103" s="24"/>
      <c r="V103" s="24"/>
      <c r="W103" s="24"/>
      <c r="X103" s="24"/>
      <c r="Y103" s="24"/>
      <c r="Z103" s="24"/>
      <c r="AA103" s="12" t="str">
        <f t="shared" si="42"/>
        <v>Correct</v>
      </c>
      <c r="AB103" s="12" t="str" cm="1">
        <f t="array" ref="AB103">IF(A103&lt;&gt;"",IF(AND(IF(VALUE(RIGHT($S$3:$Z$3,1))&gt;COUNTIF(A:A,A103),S103:Z103&lt;&gt;""=FALSE,TRUE)),"Correct","Error"),"")</f>
        <v>Correct</v>
      </c>
    </row>
    <row r="104" spans="1:28" x14ac:dyDescent="0.2">
      <c r="A104" s="7">
        <v>420804</v>
      </c>
      <c r="B104" s="7">
        <v>10</v>
      </c>
      <c r="C104" s="32" t="str">
        <f t="shared" si="51"/>
        <v>420804;10</v>
      </c>
      <c r="D104" s="7">
        <v>460801</v>
      </c>
      <c r="E104" s="8" t="s">
        <v>78</v>
      </c>
      <c r="F104" s="8" t="str">
        <f>VLOOKUP(D104,weather!A:D,4,0)</f>
        <v>阴天</v>
      </c>
      <c r="G104" s="7" t="str">
        <f t="shared" ref="G104:G105" si="53">H104&amp;"~"&amp;I104</f>
        <v>150~184.5</v>
      </c>
      <c r="H104" s="9">
        <v>150</v>
      </c>
      <c r="I104" s="9">
        <f t="shared" si="52"/>
        <v>184.5</v>
      </c>
      <c r="J104" s="7" t="str" cm="1">
        <f t="array" aca="1" ref="J104" ca="1">_xlfn.TEXTJOIN(";",1,_xlfn.MAP(K104:R104,S104:Z104,_xlfn.LAMBDA(_xlpm.a,_xlpm.b,IF(_xlpm.b=0,"",_xlpm.a&amp;"~"&amp;_xlpm.b))))</f>
        <v>0~100000;10~200000;11~700000</v>
      </c>
      <c r="K104" s="10" cm="1">
        <f t="array" aca="1" ref="K104:R104" ca="1">_xlfn.LET(_xlpm._arr_len,COUNTIF($A:$A,$A104),_xlpm._group_row,MATCH($A104,$A:$A,0),_xlfn.MAKEARRAY(1,8,_xlfn.LAMBDA(_xlpm.x,_xlpm.y,IF(_xlpm.y&gt;_xlpm._arr_len,"",INDEX(OFFSET($A104,_xlpm._group_row-ROW(),1,_xlpm._arr_len),_xlpm.y)))))</f>
        <v>0</v>
      </c>
      <c r="L104" s="10">
        <f ca="1"/>
        <v>10</v>
      </c>
      <c r="M104" s="10">
        <f ca="1"/>
        <v>11</v>
      </c>
      <c r="N104" s="10">
        <f ca="1"/>
        <v>12</v>
      </c>
      <c r="O104" s="10" t="str">
        <f ca="1"/>
        <v/>
      </c>
      <c r="P104" s="10" t="str">
        <f ca="1"/>
        <v/>
      </c>
      <c r="Q104" s="10" t="str">
        <f ca="1"/>
        <v/>
      </c>
      <c r="R104" s="10" t="str">
        <f ca="1"/>
        <v/>
      </c>
      <c r="S104" s="11">
        <v>100000</v>
      </c>
      <c r="T104" s="11">
        <v>200000</v>
      </c>
      <c r="U104" s="11">
        <v>700000</v>
      </c>
      <c r="V104" s="24"/>
      <c r="W104" s="24"/>
      <c r="X104" s="24"/>
      <c r="Y104" s="24"/>
      <c r="Z104" s="24"/>
      <c r="AA104" s="12" t="str">
        <f t="shared" si="42"/>
        <v>Correct</v>
      </c>
      <c r="AB104" s="12" t="str" cm="1">
        <f t="array" ref="AB104">IF(A104&lt;&gt;"",IF(AND(IF(VALUE(RIGHT($S$3:$Z$3,1))&gt;COUNTIF(A:A,A104),S104:Z104&lt;&gt;""=FALSE,TRUE)),"Correct","Error"),"")</f>
        <v>Correct</v>
      </c>
    </row>
    <row r="105" spans="1:28" x14ac:dyDescent="0.2">
      <c r="A105" s="7">
        <v>420804</v>
      </c>
      <c r="B105" s="7">
        <v>11</v>
      </c>
      <c r="C105" s="32" t="str">
        <f t="shared" si="51"/>
        <v>420804;11</v>
      </c>
      <c r="D105" s="7">
        <v>460802</v>
      </c>
      <c r="E105" s="8" t="s">
        <v>78</v>
      </c>
      <c r="F105" s="8" t="str">
        <f>VLOOKUP(D105,weather!A:D,4,0)</f>
        <v>下雨</v>
      </c>
      <c r="G105" s="7" t="str">
        <f t="shared" si="53"/>
        <v>150~184.5</v>
      </c>
      <c r="H105" s="9">
        <v>150</v>
      </c>
      <c r="I105" s="9">
        <f t="shared" si="52"/>
        <v>184.5</v>
      </c>
      <c r="J105" s="7" t="str" cm="1">
        <f t="array" aca="1" ref="J105" ca="1">_xlfn.TEXTJOIN(";",1,_xlfn.MAP(K105:R105,S105:Z105,_xlfn.LAMBDA(_xlpm.a,_xlpm.b,IF(_xlpm.b=0,"",_xlpm.a&amp;"~"&amp;_xlpm.b))))</f>
        <v>10~100000;11~300000;12~600000</v>
      </c>
      <c r="K105" s="10" cm="1">
        <f t="array" aca="1" ref="K105:R105" ca="1">_xlfn.LET(_xlpm._arr_len,COUNTIF($A:$A,$A105),_xlpm._group_row,MATCH($A105,$A:$A,0),_xlfn.MAKEARRAY(1,8,_xlfn.LAMBDA(_xlpm.x,_xlpm.y,IF(_xlpm.y&gt;_xlpm._arr_len,"",INDEX(OFFSET($A105,_xlpm._group_row-ROW(),1,_xlpm._arr_len),_xlpm.y)))))</f>
        <v>0</v>
      </c>
      <c r="L105" s="10">
        <f ca="1"/>
        <v>10</v>
      </c>
      <c r="M105" s="10">
        <f ca="1"/>
        <v>11</v>
      </c>
      <c r="N105" s="10">
        <f ca="1"/>
        <v>12</v>
      </c>
      <c r="O105" s="10" t="str">
        <f ca="1"/>
        <v/>
      </c>
      <c r="P105" s="10" t="str">
        <f ca="1"/>
        <v/>
      </c>
      <c r="Q105" s="10" t="str">
        <f ca="1"/>
        <v/>
      </c>
      <c r="R105" s="10" t="str">
        <f ca="1"/>
        <v/>
      </c>
      <c r="S105" s="24"/>
      <c r="T105" s="11">
        <v>100000</v>
      </c>
      <c r="U105" s="11">
        <v>300000</v>
      </c>
      <c r="V105" s="11">
        <v>600000</v>
      </c>
      <c r="W105" s="24"/>
      <c r="X105" s="24"/>
      <c r="Y105" s="24"/>
      <c r="Z105" s="24"/>
      <c r="AA105" s="12" t="str">
        <f t="shared" si="42"/>
        <v>Correct</v>
      </c>
      <c r="AB105" s="12" t="str" cm="1">
        <f t="array" ref="AB105">IF(A105&lt;&gt;"",IF(AND(IF(VALUE(RIGHT($S$3:$Z$3,1))&gt;COUNTIF(A:A,A105),S105:Z105&lt;&gt;""=FALSE,TRUE)),"Correct","Error"),"")</f>
        <v>Correct</v>
      </c>
    </row>
    <row r="106" spans="1:28" x14ac:dyDescent="0.2">
      <c r="A106" s="7">
        <v>420804</v>
      </c>
      <c r="B106" s="7">
        <v>12</v>
      </c>
      <c r="C106" s="32" t="str">
        <f t="shared" ref="C106:C110" si="54">_xlfn.TEXTJOIN(";",1,A106,B106)</f>
        <v>420804;12</v>
      </c>
      <c r="D106" s="7">
        <v>460803</v>
      </c>
      <c r="E106" s="8" t="s">
        <v>78</v>
      </c>
      <c r="F106" s="8" t="str">
        <f>VLOOKUP(D106,weather!A:D,4,0)</f>
        <v>暴雨</v>
      </c>
      <c r="G106" s="7" t="str">
        <f t="shared" ref="G106" si="55">H106&amp;"~"&amp;I106</f>
        <v>300~357</v>
      </c>
      <c r="H106" s="9">
        <v>300</v>
      </c>
      <c r="I106" s="9">
        <f t="shared" ref="I106" si="56">H106*1.15+12</f>
        <v>357</v>
      </c>
      <c r="J106" s="7" t="str" cm="1">
        <f t="array" aca="1" ref="J106" ca="1">_xlfn.TEXTJOIN(";",1,_xlfn.MAP(K106:R106,S106:Z106,_xlfn.LAMBDA(_xlpm.a,_xlpm.b,IF(_xlpm.b=0,"",_xlpm.a&amp;"~"&amp;_xlpm.b))))</f>
        <v>11~100000;12~900000</v>
      </c>
      <c r="K106" s="10" cm="1">
        <f t="array" aca="1" ref="K106:R106" ca="1">_xlfn.LET(_xlpm._arr_len,COUNTIF($A:$A,$A106),_xlpm._group_row,MATCH($A106,$A:$A,0),_xlfn.MAKEARRAY(1,8,_xlfn.LAMBDA(_xlpm.x,_xlpm.y,IF(_xlpm.y&gt;_xlpm._arr_len,"",INDEX(OFFSET($A106,_xlpm._group_row-ROW(),1,_xlpm._arr_len),_xlpm.y)))))</f>
        <v>0</v>
      </c>
      <c r="L106" s="10">
        <f ca="1"/>
        <v>10</v>
      </c>
      <c r="M106" s="10">
        <f ca="1"/>
        <v>11</v>
      </c>
      <c r="N106" s="10">
        <f ca="1"/>
        <v>12</v>
      </c>
      <c r="O106" s="10" t="str">
        <f ca="1"/>
        <v/>
      </c>
      <c r="P106" s="10" t="str">
        <f ca="1"/>
        <v/>
      </c>
      <c r="Q106" s="10" t="str">
        <f ca="1"/>
        <v/>
      </c>
      <c r="R106" s="10" t="str">
        <f ca="1"/>
        <v/>
      </c>
      <c r="S106" s="24"/>
      <c r="T106" s="24"/>
      <c r="U106" s="11">
        <v>100000</v>
      </c>
      <c r="V106" s="11">
        <v>900000</v>
      </c>
      <c r="W106" s="24"/>
      <c r="X106" s="24"/>
      <c r="Y106" s="24"/>
      <c r="Z106" s="24"/>
      <c r="AA106" s="12" t="str">
        <f t="shared" si="42"/>
        <v>Correct</v>
      </c>
      <c r="AB106" s="12" t="str" cm="1">
        <f t="array" ref="AB106">IF(A106&lt;&gt;"",IF(AND(IF(VALUE(RIGHT($S$3:$Z$3,1))&gt;COUNTIF(A:A,A106),S106:Z106&lt;&gt;""=FALSE,TRUE)),"Correct","Error"),"")</f>
        <v>Correct</v>
      </c>
    </row>
    <row r="107" spans="1:28" x14ac:dyDescent="0.2">
      <c r="C107" s="32" t="str">
        <f t="shared" si="54"/>
        <v/>
      </c>
      <c r="AA107" s="12" t="str">
        <f t="shared" si="42"/>
        <v/>
      </c>
      <c r="AB107" s="12" t="str" cm="1">
        <f t="array" ref="AB107">IF(A107&lt;&gt;"",IF(AND(IF(VALUE(RIGHT($S$3:$Z$3,1))&gt;COUNTIF(A:A,A107),S107:Z107&lt;&gt;""=FALSE,TRUE)),"Correct","Error"),"")</f>
        <v/>
      </c>
    </row>
    <row r="108" spans="1:28" x14ac:dyDescent="0.2">
      <c r="A108" s="7">
        <v>420805</v>
      </c>
      <c r="B108" s="7">
        <v>0</v>
      </c>
      <c r="C108" s="32" t="str">
        <f t="shared" si="54"/>
        <v>420805;0</v>
      </c>
      <c r="D108" s="7">
        <v>460800</v>
      </c>
      <c r="E108" s="8" t="s">
        <v>78</v>
      </c>
      <c r="F108" s="8" t="str">
        <f>VLOOKUP(D108,weather!A:D,4,0)</f>
        <v>暖阳</v>
      </c>
      <c r="G108" s="7" t="str">
        <f>H108&amp;"~"&amp;I108</f>
        <v>150~184.5</v>
      </c>
      <c r="H108" s="9">
        <v>150</v>
      </c>
      <c r="I108" s="9">
        <f t="shared" ref="I108:I111" si="57">H108*1.15+12</f>
        <v>184.5</v>
      </c>
      <c r="J108" s="7" t="str" cm="1">
        <f t="array" aca="1" ref="J108" ca="1">_xlfn.TEXTJOIN(";",1,_xlfn.MAP(K108:R108,S108:Z108,_xlfn.LAMBDA(_xlpm.a,_xlpm.b,IF(_xlpm.b=0,"",_xlpm.a&amp;"~"&amp;_xlpm.b))))</f>
        <v>0~100000;10~900000</v>
      </c>
      <c r="K108" s="10" cm="1">
        <f t="array" aca="1" ref="K108:R108" ca="1">_xlfn.LET(_xlpm._arr_len,COUNTIF($A:$A,$A108),_xlpm._group_row,MATCH($A108,$A:$A,0),_xlfn.MAKEARRAY(1,8,_xlfn.LAMBDA(_xlpm.x,_xlpm.y,IF(_xlpm.y&gt;_xlpm._arr_len,"",INDEX(OFFSET($A108,_xlpm._group_row-ROW(),1,_xlpm._arr_len),_xlpm.y)))))</f>
        <v>0</v>
      </c>
      <c r="L108" s="10">
        <f ca="1"/>
        <v>10</v>
      </c>
      <c r="M108" s="10">
        <f ca="1"/>
        <v>11</v>
      </c>
      <c r="N108" s="10">
        <f ca="1"/>
        <v>12</v>
      </c>
      <c r="O108" s="10">
        <f ca="1"/>
        <v>13</v>
      </c>
      <c r="P108" s="10" t="str">
        <f ca="1"/>
        <v/>
      </c>
      <c r="Q108" s="10" t="str">
        <f ca="1"/>
        <v/>
      </c>
      <c r="R108" s="10" t="str">
        <f ca="1"/>
        <v/>
      </c>
      <c r="S108" s="11">
        <v>100000</v>
      </c>
      <c r="T108" s="11">
        <v>900000</v>
      </c>
      <c r="U108" s="24"/>
      <c r="V108" s="24"/>
      <c r="W108" s="24"/>
      <c r="X108" s="24"/>
      <c r="Y108" s="24"/>
      <c r="Z108" s="24"/>
      <c r="AA108" s="12" t="str">
        <f t="shared" si="42"/>
        <v>Correct</v>
      </c>
      <c r="AB108" s="12" t="str" cm="1">
        <f t="array" ref="AB108">IF(A108&lt;&gt;"",IF(AND(IF(VALUE(RIGHT($S$3:$Z$3,1))&gt;COUNTIF(A:A,A108),S108:Z108&lt;&gt;""=FALSE,TRUE)),"Correct","Error"),"")</f>
        <v>Correct</v>
      </c>
    </row>
    <row r="109" spans="1:28" x14ac:dyDescent="0.2">
      <c r="A109" s="7">
        <v>420805</v>
      </c>
      <c r="B109" s="7">
        <v>10</v>
      </c>
      <c r="C109" s="32" t="str">
        <f t="shared" si="54"/>
        <v>420805;10</v>
      </c>
      <c r="D109" s="7">
        <v>460801</v>
      </c>
      <c r="E109" s="8" t="s">
        <v>78</v>
      </c>
      <c r="F109" s="8" t="str">
        <f>VLOOKUP(D109,weather!A:D,4,0)</f>
        <v>阴天</v>
      </c>
      <c r="G109" s="7" t="str">
        <f t="shared" ref="G109:G111" si="58">H109&amp;"~"&amp;I109</f>
        <v>150~184.5</v>
      </c>
      <c r="H109" s="9">
        <v>150</v>
      </c>
      <c r="I109" s="9">
        <f t="shared" si="57"/>
        <v>184.5</v>
      </c>
      <c r="J109" s="7" t="str" cm="1">
        <f t="array" aca="1" ref="J109" ca="1">_xlfn.TEXTJOIN(";",1,_xlfn.MAP(K109:R109,S109:Z109,_xlfn.LAMBDA(_xlpm.a,_xlpm.b,IF(_xlpm.b=0,"",_xlpm.a&amp;"~"&amp;_xlpm.b))))</f>
        <v>0~50000;10~150000;11~800000</v>
      </c>
      <c r="K109" s="10" cm="1">
        <f t="array" aca="1" ref="K109:R109" ca="1">_xlfn.LET(_xlpm._arr_len,COUNTIF($A:$A,$A109),_xlpm._group_row,MATCH($A109,$A:$A,0),_xlfn.MAKEARRAY(1,8,_xlfn.LAMBDA(_xlpm.x,_xlpm.y,IF(_xlpm.y&gt;_xlpm._arr_len,"",INDEX(OFFSET($A109,_xlpm._group_row-ROW(),1,_xlpm._arr_len),_xlpm.y)))))</f>
        <v>0</v>
      </c>
      <c r="L109" s="10">
        <f ca="1"/>
        <v>10</v>
      </c>
      <c r="M109" s="10">
        <f ca="1"/>
        <v>11</v>
      </c>
      <c r="N109" s="10">
        <f ca="1"/>
        <v>12</v>
      </c>
      <c r="O109" s="10">
        <f ca="1"/>
        <v>13</v>
      </c>
      <c r="P109" s="10" t="str">
        <f ca="1"/>
        <v/>
      </c>
      <c r="Q109" s="10" t="str">
        <f ca="1"/>
        <v/>
      </c>
      <c r="R109" s="10" t="str">
        <f ca="1"/>
        <v/>
      </c>
      <c r="S109" s="11">
        <v>50000</v>
      </c>
      <c r="T109" s="11">
        <v>150000</v>
      </c>
      <c r="U109" s="11">
        <v>800000</v>
      </c>
      <c r="V109" s="24"/>
      <c r="W109" s="24"/>
      <c r="X109" s="24"/>
      <c r="Y109" s="24"/>
      <c r="Z109" s="24"/>
      <c r="AA109" s="12" t="str">
        <f t="shared" si="42"/>
        <v>Correct</v>
      </c>
      <c r="AB109" s="12" t="str" cm="1">
        <f t="array" ref="AB109">IF(A109&lt;&gt;"",IF(AND(IF(VALUE(RIGHT($S$3:$Z$3,1))&gt;COUNTIF(A:A,A109),S109:Z109&lt;&gt;""=FALSE,TRUE)),"Correct","Error"),"")</f>
        <v>Correct</v>
      </c>
    </row>
    <row r="110" spans="1:28" x14ac:dyDescent="0.2">
      <c r="A110" s="7">
        <v>420805</v>
      </c>
      <c r="B110" s="7">
        <v>11</v>
      </c>
      <c r="C110" s="32" t="str">
        <f t="shared" si="54"/>
        <v>420805;11</v>
      </c>
      <c r="D110" s="7">
        <v>460802</v>
      </c>
      <c r="E110" s="8" t="s">
        <v>78</v>
      </c>
      <c r="F110" s="8" t="str">
        <f>VLOOKUP(D110,weather!A:D,4,0)</f>
        <v>下雨</v>
      </c>
      <c r="G110" s="7" t="str">
        <f t="shared" si="58"/>
        <v>150~184.5</v>
      </c>
      <c r="H110" s="9">
        <v>150</v>
      </c>
      <c r="I110" s="9">
        <f t="shared" si="57"/>
        <v>184.5</v>
      </c>
      <c r="J110" s="7" t="str" cm="1">
        <f t="array" aca="1" ref="J110" ca="1">_xlfn.TEXTJOIN(";",1,_xlfn.MAP(K110:R110,S110:Z110,_xlfn.LAMBDA(_xlpm.a,_xlpm.b,IF(_xlpm.b=0,"",_xlpm.a&amp;"~"&amp;_xlpm.b))))</f>
        <v>10~100000;11~200000;12~700000</v>
      </c>
      <c r="K110" s="10" cm="1">
        <f t="array" aca="1" ref="K110:R110" ca="1">_xlfn.LET(_xlpm._arr_len,COUNTIF($A:$A,$A110),_xlpm._group_row,MATCH($A110,$A:$A,0),_xlfn.MAKEARRAY(1,8,_xlfn.LAMBDA(_xlpm.x,_xlpm.y,IF(_xlpm.y&gt;_xlpm._arr_len,"",INDEX(OFFSET($A110,_xlpm._group_row-ROW(),1,_xlpm._arr_len),_xlpm.y)))))</f>
        <v>0</v>
      </c>
      <c r="L110" s="10">
        <f ca="1"/>
        <v>10</v>
      </c>
      <c r="M110" s="10">
        <f ca="1"/>
        <v>11</v>
      </c>
      <c r="N110" s="10">
        <f ca="1"/>
        <v>12</v>
      </c>
      <c r="O110" s="10">
        <f ca="1"/>
        <v>13</v>
      </c>
      <c r="P110" s="10" t="str">
        <f ca="1"/>
        <v/>
      </c>
      <c r="Q110" s="10" t="str">
        <f ca="1"/>
        <v/>
      </c>
      <c r="R110" s="10" t="str">
        <f ca="1"/>
        <v/>
      </c>
      <c r="S110" s="24"/>
      <c r="T110" s="11">
        <v>100000</v>
      </c>
      <c r="U110" s="11">
        <v>200000</v>
      </c>
      <c r="V110" s="11">
        <v>700000</v>
      </c>
      <c r="W110" s="24"/>
      <c r="X110" s="24"/>
      <c r="Y110" s="24"/>
      <c r="Z110" s="24"/>
      <c r="AA110" s="12" t="str">
        <f t="shared" si="42"/>
        <v>Correct</v>
      </c>
      <c r="AB110" s="12" t="str" cm="1">
        <f t="array" ref="AB110">IF(A110&lt;&gt;"",IF(AND(IF(VALUE(RIGHT($S$3:$Z$3,1))&gt;COUNTIF(A:A,A110),S110:Z110&lt;&gt;""=FALSE,TRUE)),"Correct","Error"),"")</f>
        <v>Correct</v>
      </c>
    </row>
    <row r="111" spans="1:28" x14ac:dyDescent="0.2">
      <c r="A111" s="7">
        <v>420805</v>
      </c>
      <c r="B111" s="7">
        <v>12</v>
      </c>
      <c r="C111" s="32" t="str">
        <f t="shared" ref="C111" si="59">_xlfn.TEXTJOIN(";",1,A111,B111)</f>
        <v>420805;12</v>
      </c>
      <c r="D111" s="7">
        <v>460803</v>
      </c>
      <c r="E111" s="8" t="s">
        <v>78</v>
      </c>
      <c r="F111" s="8" t="str">
        <f>VLOOKUP(D111,weather!A:D,4,0)</f>
        <v>暴雨</v>
      </c>
      <c r="G111" s="7" t="str">
        <f t="shared" si="58"/>
        <v>150~184.5</v>
      </c>
      <c r="H111" s="9">
        <v>150</v>
      </c>
      <c r="I111" s="9">
        <f t="shared" si="57"/>
        <v>184.5</v>
      </c>
      <c r="J111" s="7" t="str" cm="1">
        <f t="array" aca="1" ref="J111" ca="1">_xlfn.TEXTJOIN(";",1,_xlfn.MAP(K111:R111,S111:Z111,_xlfn.LAMBDA(_xlpm.a,_xlpm.b,IF(_xlpm.b=0,"",_xlpm.a&amp;"~"&amp;_xlpm.b))))</f>
        <v>11~100000;12~300000;13~600000</v>
      </c>
      <c r="K111" s="10" cm="1">
        <f t="array" aca="1" ref="K111:R111" ca="1">_xlfn.LET(_xlpm._arr_len,COUNTIF($A:$A,$A111),_xlpm._group_row,MATCH($A111,$A:$A,0),_xlfn.MAKEARRAY(1,8,_xlfn.LAMBDA(_xlpm.x,_xlpm.y,IF(_xlpm.y&gt;_xlpm._arr_len,"",INDEX(OFFSET($A111,_xlpm._group_row-ROW(),1,_xlpm._arr_len),_xlpm.y)))))</f>
        <v>0</v>
      </c>
      <c r="L111" s="10">
        <f ca="1"/>
        <v>10</v>
      </c>
      <c r="M111" s="10">
        <f ca="1"/>
        <v>11</v>
      </c>
      <c r="N111" s="10">
        <f ca="1"/>
        <v>12</v>
      </c>
      <c r="O111" s="10">
        <f ca="1"/>
        <v>13</v>
      </c>
      <c r="P111" s="10" t="str">
        <f ca="1"/>
        <v/>
      </c>
      <c r="Q111" s="10" t="str">
        <f ca="1"/>
        <v/>
      </c>
      <c r="R111" s="10" t="str">
        <f ca="1"/>
        <v/>
      </c>
      <c r="S111" s="24"/>
      <c r="T111" s="24"/>
      <c r="U111" s="11">
        <v>100000</v>
      </c>
      <c r="V111" s="11">
        <v>300000</v>
      </c>
      <c r="W111" s="11">
        <v>600000</v>
      </c>
      <c r="X111" s="24"/>
      <c r="Y111" s="24"/>
      <c r="Z111" s="24"/>
      <c r="AA111" s="12" t="str">
        <f t="shared" si="42"/>
        <v>Correct</v>
      </c>
      <c r="AB111" s="12" t="str" cm="1">
        <f t="array" ref="AB111">IF(A111&lt;&gt;"",IF(AND(IF(VALUE(RIGHT($S$3:$Z$3,1))&gt;COUNTIF(A:A,A111),S111:Z111&lt;&gt;""=FALSE,TRUE)),"Correct","Error"),"")</f>
        <v>Correct</v>
      </c>
    </row>
    <row r="112" spans="1:28" x14ac:dyDescent="0.2">
      <c r="A112" s="7">
        <v>420805</v>
      </c>
      <c r="B112" s="7">
        <v>13</v>
      </c>
      <c r="C112" s="32" t="str">
        <f t="shared" ref="C112:C116" si="60">_xlfn.TEXTJOIN(";",1,A112,B112)</f>
        <v>420805;13</v>
      </c>
      <c r="D112" s="7">
        <v>460804</v>
      </c>
      <c r="E112" s="8" t="s">
        <v>78</v>
      </c>
      <c r="F112" s="8" t="str">
        <f>VLOOKUP(D112,weather!A:D,4,0)</f>
        <v>雷暴</v>
      </c>
      <c r="G112" s="7" t="str">
        <f t="shared" ref="G112" si="61">H112&amp;"~"&amp;I112</f>
        <v>300~357</v>
      </c>
      <c r="H112" s="9">
        <v>300</v>
      </c>
      <c r="I112" s="9">
        <f t="shared" ref="I112" si="62">H112*1.15+12</f>
        <v>357</v>
      </c>
      <c r="J112" s="7" t="str" cm="1">
        <f t="array" aca="1" ref="J112" ca="1">_xlfn.TEXTJOIN(";",1,_xlfn.MAP(K112:R112,S112:Z112,_xlfn.LAMBDA(_xlpm.a,_xlpm.b,IF(_xlpm.b=0,"",_xlpm.a&amp;"~"&amp;_xlpm.b))))</f>
        <v>12~100000;13~900000</v>
      </c>
      <c r="K112" s="10" cm="1">
        <f t="array" aca="1" ref="K112:R112" ca="1">_xlfn.LET(_xlpm._arr_len,COUNTIF($A:$A,$A112),_xlpm._group_row,MATCH($A112,$A:$A,0),_xlfn.MAKEARRAY(1,8,_xlfn.LAMBDA(_xlpm.x,_xlpm.y,IF(_xlpm.y&gt;_xlpm._arr_len,"",INDEX(OFFSET($A112,_xlpm._group_row-ROW(),1,_xlpm._arr_len),_xlpm.y)))))</f>
        <v>0</v>
      </c>
      <c r="L112" s="10">
        <f ca="1"/>
        <v>10</v>
      </c>
      <c r="M112" s="10">
        <f ca="1"/>
        <v>11</v>
      </c>
      <c r="N112" s="10">
        <f ca="1"/>
        <v>12</v>
      </c>
      <c r="O112" s="10">
        <f ca="1"/>
        <v>13</v>
      </c>
      <c r="P112" s="10" t="str">
        <f ca="1"/>
        <v/>
      </c>
      <c r="Q112" s="10" t="str">
        <f ca="1"/>
        <v/>
      </c>
      <c r="R112" s="10" t="str">
        <f ca="1"/>
        <v/>
      </c>
      <c r="S112" s="24"/>
      <c r="T112" s="24"/>
      <c r="U112" s="24"/>
      <c r="V112" s="11">
        <v>100000</v>
      </c>
      <c r="W112" s="11">
        <v>900000</v>
      </c>
      <c r="X112" s="24"/>
      <c r="Y112" s="24"/>
      <c r="Z112" s="24"/>
      <c r="AA112" s="12" t="str">
        <f t="shared" si="42"/>
        <v>Correct</v>
      </c>
      <c r="AB112" s="12" t="str" cm="1">
        <f t="array" ref="AB112">IF(A112&lt;&gt;"",IF(AND(IF(VALUE(RIGHT($S$3:$Z$3,1))&gt;COUNTIF(A:A,A112),S112:Z112&lt;&gt;""=FALSE,TRUE)),"Correct","Error"),"")</f>
        <v>Correct</v>
      </c>
    </row>
    <row r="113" spans="1:28" x14ac:dyDescent="0.2">
      <c r="C113" s="32" t="str">
        <f t="shared" si="60"/>
        <v/>
      </c>
      <c r="AA113" s="12" t="str">
        <f t="shared" si="42"/>
        <v/>
      </c>
      <c r="AB113" s="12" t="str" cm="1">
        <f t="array" ref="AB113">IF(A113&lt;&gt;"",IF(AND(IF(VALUE(RIGHT($S$3:$Z$3,1))&gt;COUNTIF(A:A,A113),S113:Z113&lt;&gt;""=FALSE,TRUE)),"Correct","Error"),"")</f>
        <v/>
      </c>
    </row>
    <row r="114" spans="1:28" x14ac:dyDescent="0.2">
      <c r="A114" s="7">
        <v>420806</v>
      </c>
      <c r="B114" s="7">
        <v>10</v>
      </c>
      <c r="C114" s="32" t="str">
        <f t="shared" si="60"/>
        <v>420806;10</v>
      </c>
      <c r="D114" s="7">
        <v>460801</v>
      </c>
      <c r="E114" s="8" t="s">
        <v>78</v>
      </c>
      <c r="F114" s="8" t="str">
        <f>VLOOKUP(D114,weather!A:D,4,0)</f>
        <v>阴天</v>
      </c>
      <c r="G114" s="7" t="str">
        <f t="shared" ref="G114:G117" si="63">H114&amp;"~"&amp;I114</f>
        <v>150~184.5</v>
      </c>
      <c r="H114" s="9">
        <v>150</v>
      </c>
      <c r="I114" s="9">
        <f t="shared" ref="I114:I117" si="64">H114*1.15+12</f>
        <v>184.5</v>
      </c>
      <c r="J114" s="7" t="str" cm="1">
        <f t="array" aca="1" ref="J114" ca="1">_xlfn.TEXTJOIN(";",1,_xlfn.MAP(K114:R114,S114:Z114,_xlfn.LAMBDA(_xlpm.a,_xlpm.b,IF(_xlpm.b=0,"",_xlpm.a&amp;"~"&amp;_xlpm.b))))</f>
        <v>10~200000;11~800000</v>
      </c>
      <c r="K114" s="10" cm="1">
        <f t="array" aca="1" ref="K114:R114" ca="1">_xlfn.LET(_xlpm._arr_len,COUNTIF($A:$A,$A114),_xlpm._group_row,MATCH($A114,$A:$A,0),_xlfn.MAKEARRAY(1,8,_xlfn.LAMBDA(_xlpm.x,_xlpm.y,IF(_xlpm.y&gt;_xlpm._arr_len,"",INDEX(OFFSET($A114,_xlpm._group_row-ROW(),1,_xlpm._arr_len),_xlpm.y)))))</f>
        <v>10</v>
      </c>
      <c r="L114" s="10">
        <f ca="1"/>
        <v>11</v>
      </c>
      <c r="M114" s="10">
        <f ca="1"/>
        <v>12</v>
      </c>
      <c r="N114" s="10">
        <f ca="1"/>
        <v>13</v>
      </c>
      <c r="O114" s="10" t="str">
        <f ca="1"/>
        <v/>
      </c>
      <c r="P114" s="10" t="str">
        <f ca="1"/>
        <v/>
      </c>
      <c r="Q114" s="10" t="str">
        <f ca="1"/>
        <v/>
      </c>
      <c r="R114" s="10" t="str">
        <f ca="1"/>
        <v/>
      </c>
      <c r="S114" s="11">
        <v>200000</v>
      </c>
      <c r="T114" s="11">
        <v>800000</v>
      </c>
      <c r="U114" s="24"/>
      <c r="V114" s="24"/>
      <c r="W114" s="24"/>
      <c r="X114" s="24"/>
      <c r="Y114" s="24"/>
      <c r="Z114" s="24"/>
      <c r="AA114" s="12" t="str">
        <f t="shared" si="42"/>
        <v>Correct</v>
      </c>
      <c r="AB114" s="12" t="str" cm="1">
        <f t="array" ref="AB114">IF(A114&lt;&gt;"",IF(AND(IF(VALUE(RIGHT($S$3:$Z$3,1))&gt;COUNTIF(A:A,A114),S114:Z114&lt;&gt;""=FALSE,TRUE)),"Correct","Error"),"")</f>
        <v>Correct</v>
      </c>
    </row>
    <row r="115" spans="1:28" x14ac:dyDescent="0.2">
      <c r="A115" s="7">
        <v>420806</v>
      </c>
      <c r="B115" s="7">
        <v>11</v>
      </c>
      <c r="C115" s="32" t="str">
        <f t="shared" si="60"/>
        <v>420806;11</v>
      </c>
      <c r="D115" s="7">
        <v>460802</v>
      </c>
      <c r="E115" s="8" t="s">
        <v>78</v>
      </c>
      <c r="F115" s="8" t="str">
        <f>VLOOKUP(D115,weather!A:D,4,0)</f>
        <v>下雨</v>
      </c>
      <c r="G115" s="7" t="str">
        <f t="shared" si="63"/>
        <v>150~184.5</v>
      </c>
      <c r="H115" s="9">
        <v>150</v>
      </c>
      <c r="I115" s="9">
        <f t="shared" si="64"/>
        <v>184.5</v>
      </c>
      <c r="J115" s="7" t="str" cm="1">
        <f t="array" aca="1" ref="J115" ca="1">_xlfn.TEXTJOIN(";",1,_xlfn.MAP(K115:R115,S115:Z115,_xlfn.LAMBDA(_xlpm.a,_xlpm.b,IF(_xlpm.b=0,"",_xlpm.a&amp;"~"&amp;_xlpm.b))))</f>
        <v>10~100000;11~200000;12~700000</v>
      </c>
      <c r="K115" s="10" cm="1">
        <f t="array" aca="1" ref="K115:R115" ca="1">_xlfn.LET(_xlpm._arr_len,COUNTIF($A:$A,$A115),_xlpm._group_row,MATCH($A115,$A:$A,0),_xlfn.MAKEARRAY(1,8,_xlfn.LAMBDA(_xlpm.x,_xlpm.y,IF(_xlpm.y&gt;_xlpm._arr_len,"",INDEX(OFFSET($A115,_xlpm._group_row-ROW(),1,_xlpm._arr_len),_xlpm.y)))))</f>
        <v>10</v>
      </c>
      <c r="L115" s="10">
        <f ca="1"/>
        <v>11</v>
      </c>
      <c r="M115" s="10">
        <f ca="1"/>
        <v>12</v>
      </c>
      <c r="N115" s="10">
        <f ca="1"/>
        <v>13</v>
      </c>
      <c r="O115" s="10" t="str">
        <f ca="1"/>
        <v/>
      </c>
      <c r="P115" s="10" t="str">
        <f ca="1"/>
        <v/>
      </c>
      <c r="Q115" s="10" t="str">
        <f ca="1"/>
        <v/>
      </c>
      <c r="R115" s="10" t="str">
        <f ca="1"/>
        <v/>
      </c>
      <c r="S115" s="11">
        <v>100000</v>
      </c>
      <c r="T115" s="11">
        <v>200000</v>
      </c>
      <c r="U115" s="11">
        <v>700000</v>
      </c>
      <c r="V115" s="24"/>
      <c r="W115" s="24"/>
      <c r="X115" s="24"/>
      <c r="Y115" s="24"/>
      <c r="Z115" s="24"/>
      <c r="AA115" s="12" t="str">
        <f t="shared" si="42"/>
        <v>Correct</v>
      </c>
      <c r="AB115" s="12" t="str" cm="1">
        <f t="array" ref="AB115">IF(A115&lt;&gt;"",IF(AND(IF(VALUE(RIGHT($S$3:$Z$3,1))&gt;COUNTIF(A:A,A115),S115:Z115&lt;&gt;""=FALSE,TRUE)),"Correct","Error"),"")</f>
        <v>Correct</v>
      </c>
    </row>
    <row r="116" spans="1:28" x14ac:dyDescent="0.2">
      <c r="A116" s="7">
        <v>420806</v>
      </c>
      <c r="B116" s="7">
        <v>12</v>
      </c>
      <c r="C116" s="32" t="str">
        <f t="shared" si="60"/>
        <v>420806;12</v>
      </c>
      <c r="D116" s="7">
        <v>460803</v>
      </c>
      <c r="E116" s="8" t="s">
        <v>78</v>
      </c>
      <c r="F116" s="8" t="str">
        <f>VLOOKUP(D116,weather!A:D,4,0)</f>
        <v>暴雨</v>
      </c>
      <c r="G116" s="7" t="str">
        <f t="shared" si="63"/>
        <v>150~184.5</v>
      </c>
      <c r="H116" s="9">
        <v>150</v>
      </c>
      <c r="I116" s="9">
        <f t="shared" si="64"/>
        <v>184.5</v>
      </c>
      <c r="J116" s="7" t="str" cm="1">
        <f t="array" aca="1" ref="J116" ca="1">_xlfn.TEXTJOIN(";",1,_xlfn.MAP(K116:R116,S116:Z116,_xlfn.LAMBDA(_xlpm.a,_xlpm.b,IF(_xlpm.b=0,"",_xlpm.a&amp;"~"&amp;_xlpm.b))))</f>
        <v>11~100000;12~300000;13~600000</v>
      </c>
      <c r="K116" s="10" cm="1">
        <f t="array" aca="1" ref="K116:R116" ca="1">_xlfn.LET(_xlpm._arr_len,COUNTIF($A:$A,$A116),_xlpm._group_row,MATCH($A116,$A:$A,0),_xlfn.MAKEARRAY(1,8,_xlfn.LAMBDA(_xlpm.x,_xlpm.y,IF(_xlpm.y&gt;_xlpm._arr_len,"",INDEX(OFFSET($A116,_xlpm._group_row-ROW(),1,_xlpm._arr_len),_xlpm.y)))))</f>
        <v>10</v>
      </c>
      <c r="L116" s="10">
        <f ca="1"/>
        <v>11</v>
      </c>
      <c r="M116" s="10">
        <f ca="1"/>
        <v>12</v>
      </c>
      <c r="N116" s="10">
        <f ca="1"/>
        <v>13</v>
      </c>
      <c r="O116" s="10" t="str">
        <f ca="1"/>
        <v/>
      </c>
      <c r="P116" s="10" t="str">
        <f ca="1"/>
        <v/>
      </c>
      <c r="Q116" s="10" t="str">
        <f ca="1"/>
        <v/>
      </c>
      <c r="R116" s="10" t="str">
        <f ca="1"/>
        <v/>
      </c>
      <c r="S116" s="24"/>
      <c r="T116" s="11">
        <v>100000</v>
      </c>
      <c r="U116" s="11">
        <v>300000</v>
      </c>
      <c r="V116" s="11">
        <v>600000</v>
      </c>
      <c r="W116" s="24"/>
      <c r="X116" s="24"/>
      <c r="Y116" s="24"/>
      <c r="Z116" s="24"/>
      <c r="AA116" s="12" t="str">
        <f t="shared" si="42"/>
        <v>Correct</v>
      </c>
      <c r="AB116" s="12" t="str" cm="1">
        <f t="array" ref="AB116">IF(A116&lt;&gt;"",IF(AND(IF(VALUE(RIGHT($S$3:$Z$3,1))&gt;COUNTIF(A:A,A116),S116:Z116&lt;&gt;""=FALSE,TRUE)),"Correct","Error"),"")</f>
        <v>Correct</v>
      </c>
    </row>
    <row r="117" spans="1:28" x14ac:dyDescent="0.2">
      <c r="A117" s="7">
        <v>420806</v>
      </c>
      <c r="B117" s="7">
        <v>13</v>
      </c>
      <c r="C117" s="32" t="str">
        <f t="shared" ref="C117:C120" si="65">_xlfn.TEXTJOIN(";",1,A117,B117)</f>
        <v>420806;13</v>
      </c>
      <c r="D117" s="7">
        <v>460804</v>
      </c>
      <c r="E117" s="8" t="s">
        <v>78</v>
      </c>
      <c r="F117" s="8" t="str">
        <f>VLOOKUP(D117,weather!A:D,4,0)</f>
        <v>雷暴</v>
      </c>
      <c r="G117" s="7" t="str">
        <f t="shared" si="63"/>
        <v>300~357</v>
      </c>
      <c r="H117" s="9">
        <v>300</v>
      </c>
      <c r="I117" s="9">
        <f t="shared" si="64"/>
        <v>357</v>
      </c>
      <c r="J117" s="7" t="str" cm="1">
        <f t="array" aca="1" ref="J117" ca="1">_xlfn.TEXTJOIN(";",1,_xlfn.MAP(K117:R117,S117:Z117,_xlfn.LAMBDA(_xlpm.a,_xlpm.b,IF(_xlpm.b=0,"",_xlpm.a&amp;"~"&amp;_xlpm.b))))</f>
        <v>12~100000;13~900000</v>
      </c>
      <c r="K117" s="10" cm="1">
        <f t="array" aca="1" ref="K117:R117" ca="1">_xlfn.LET(_xlpm._arr_len,COUNTIF($A:$A,$A117),_xlpm._group_row,MATCH($A117,$A:$A,0),_xlfn.MAKEARRAY(1,8,_xlfn.LAMBDA(_xlpm.x,_xlpm.y,IF(_xlpm.y&gt;_xlpm._arr_len,"",INDEX(OFFSET($A117,_xlpm._group_row-ROW(),1,_xlpm._arr_len),_xlpm.y)))))</f>
        <v>10</v>
      </c>
      <c r="L117" s="10">
        <f ca="1"/>
        <v>11</v>
      </c>
      <c r="M117" s="10">
        <f ca="1"/>
        <v>12</v>
      </c>
      <c r="N117" s="10">
        <f ca="1"/>
        <v>13</v>
      </c>
      <c r="O117" s="10" t="str">
        <f ca="1"/>
        <v/>
      </c>
      <c r="P117" s="10" t="str">
        <f ca="1"/>
        <v/>
      </c>
      <c r="Q117" s="10" t="str">
        <f ca="1"/>
        <v/>
      </c>
      <c r="R117" s="10" t="str">
        <f ca="1"/>
        <v/>
      </c>
      <c r="S117" s="24"/>
      <c r="T117" s="24"/>
      <c r="U117" s="11">
        <v>100000</v>
      </c>
      <c r="V117" s="11">
        <v>900000</v>
      </c>
      <c r="W117" s="24"/>
      <c r="X117" s="24"/>
      <c r="Y117" s="24"/>
      <c r="Z117" s="24"/>
      <c r="AA117" s="12" t="str">
        <f t="shared" si="42"/>
        <v>Correct</v>
      </c>
      <c r="AB117" s="12" t="str" cm="1">
        <f t="array" ref="AB117">IF(A117&lt;&gt;"",IF(AND(IF(VALUE(RIGHT($S$3:$Z$3,1))&gt;COUNTIF(A:A,A117),S117:Z117&lt;&gt;""=FALSE,TRUE)),"Correct","Error"),"")</f>
        <v>Correct</v>
      </c>
    </row>
    <row r="118" spans="1:28" x14ac:dyDescent="0.2">
      <c r="C118" s="32" t="str">
        <f t="shared" si="65"/>
        <v/>
      </c>
      <c r="AA118" s="12" t="str">
        <f t="shared" si="42"/>
        <v/>
      </c>
      <c r="AB118" s="12" t="str" cm="1">
        <f t="array" ref="AB118">IF(A118&lt;&gt;"",IF(AND(IF(VALUE(RIGHT($S$3:$Z$3,1))&gt;COUNTIF(A:A,A118),S118:Z118&lt;&gt;""=FALSE,TRUE)),"Correct","Error"),"")</f>
        <v/>
      </c>
    </row>
    <row r="119" spans="1:28" x14ac:dyDescent="0.2">
      <c r="A119" s="7">
        <v>420807</v>
      </c>
      <c r="B119" s="7">
        <v>11</v>
      </c>
      <c r="C119" s="32" t="str">
        <f t="shared" si="65"/>
        <v>420807;11</v>
      </c>
      <c r="D119" s="7">
        <v>460802</v>
      </c>
      <c r="E119" s="8" t="s">
        <v>78</v>
      </c>
      <c r="F119" s="8" t="str">
        <f>VLOOKUP(D119,weather!A:D,4,0)</f>
        <v>下雨</v>
      </c>
      <c r="G119" s="7" t="str">
        <f t="shared" ref="G119:G121" si="66">H119&amp;"~"&amp;I119</f>
        <v>150~184.5</v>
      </c>
      <c r="H119" s="9">
        <v>150</v>
      </c>
      <c r="I119" s="9">
        <f t="shared" ref="I119:I121" si="67">H119*1.15+12</f>
        <v>184.5</v>
      </c>
      <c r="J119" s="7" t="str" cm="1">
        <f t="array" aca="1" ref="J119" ca="1">_xlfn.TEXTJOIN(";",1,_xlfn.MAP(K119:R119,S119:Z119,_xlfn.LAMBDA(_xlpm.a,_xlpm.b,IF(_xlpm.b=0,"",_xlpm.a&amp;"~"&amp;_xlpm.b))))</f>
        <v>11~300000;12~700000</v>
      </c>
      <c r="K119" s="10" cm="1">
        <f t="array" aca="1" ref="K119:R119" ca="1">_xlfn.LET(_xlpm._arr_len,COUNTIF($A:$A,$A119),_xlpm._group_row,MATCH($A119,$A:$A,0),_xlfn.MAKEARRAY(1,8,_xlfn.LAMBDA(_xlpm.x,_xlpm.y,IF(_xlpm.y&gt;_xlpm._arr_len,"",INDEX(OFFSET($A119,_xlpm._group_row-ROW(),1,_xlpm._arr_len),_xlpm.y)))))</f>
        <v>11</v>
      </c>
      <c r="L119" s="10">
        <f ca="1"/>
        <v>12</v>
      </c>
      <c r="M119" s="10">
        <f ca="1"/>
        <v>13</v>
      </c>
      <c r="N119" s="10" t="str">
        <f ca="1"/>
        <v/>
      </c>
      <c r="O119" s="10" t="str">
        <f ca="1"/>
        <v/>
      </c>
      <c r="P119" s="10" t="str">
        <f ca="1"/>
        <v/>
      </c>
      <c r="Q119" s="10" t="str">
        <f ca="1"/>
        <v/>
      </c>
      <c r="R119" s="10" t="str">
        <f ca="1"/>
        <v/>
      </c>
      <c r="S119" s="11">
        <v>300000</v>
      </c>
      <c r="T119" s="11">
        <v>700000</v>
      </c>
      <c r="U119" s="24"/>
      <c r="V119" s="24"/>
      <c r="W119" s="24"/>
      <c r="X119" s="24"/>
      <c r="Y119" s="24"/>
      <c r="Z119" s="24"/>
      <c r="AA119" s="12" t="str">
        <f t="shared" si="42"/>
        <v>Correct</v>
      </c>
      <c r="AB119" s="12" t="str" cm="1">
        <f t="array" ref="AB119">IF(A119&lt;&gt;"",IF(AND(IF(VALUE(RIGHT($S$3:$Z$3,1))&gt;COUNTIF(A:A,A119),S119:Z119&lt;&gt;""=FALSE,TRUE)),"Correct","Error"),"")</f>
        <v>Correct</v>
      </c>
    </row>
    <row r="120" spans="1:28" x14ac:dyDescent="0.2">
      <c r="A120" s="7">
        <v>420807</v>
      </c>
      <c r="B120" s="7">
        <v>12</v>
      </c>
      <c r="C120" s="32" t="str">
        <f t="shared" si="65"/>
        <v>420807;12</v>
      </c>
      <c r="D120" s="7">
        <v>460803</v>
      </c>
      <c r="E120" s="8" t="s">
        <v>78</v>
      </c>
      <c r="F120" s="8" t="str">
        <f>VLOOKUP(D120,weather!A:D,4,0)</f>
        <v>暴雨</v>
      </c>
      <c r="G120" s="7" t="str">
        <f t="shared" si="66"/>
        <v>150~184.5</v>
      </c>
      <c r="H120" s="9">
        <v>150</v>
      </c>
      <c r="I120" s="9">
        <f t="shared" si="67"/>
        <v>184.5</v>
      </c>
      <c r="J120" s="7" t="str" cm="1">
        <f t="array" aca="1" ref="J120" ca="1">_xlfn.TEXTJOIN(";",1,_xlfn.MAP(K120:R120,S120:Z120,_xlfn.LAMBDA(_xlpm.a,_xlpm.b,IF(_xlpm.b=0,"",_xlpm.a&amp;"~"&amp;_xlpm.b))))</f>
        <v>11~200000;12~200000;13~600000</v>
      </c>
      <c r="K120" s="10" cm="1">
        <f t="array" aca="1" ref="K120:R120" ca="1">_xlfn.LET(_xlpm._arr_len,COUNTIF($A:$A,$A120),_xlpm._group_row,MATCH($A120,$A:$A,0),_xlfn.MAKEARRAY(1,8,_xlfn.LAMBDA(_xlpm.x,_xlpm.y,IF(_xlpm.y&gt;_xlpm._arr_len,"",INDEX(OFFSET($A120,_xlpm._group_row-ROW(),1,_xlpm._arr_len),_xlpm.y)))))</f>
        <v>11</v>
      </c>
      <c r="L120" s="10">
        <f ca="1"/>
        <v>12</v>
      </c>
      <c r="M120" s="10">
        <f ca="1"/>
        <v>13</v>
      </c>
      <c r="N120" s="10" t="str">
        <f ca="1"/>
        <v/>
      </c>
      <c r="O120" s="10" t="str">
        <f ca="1"/>
        <v/>
      </c>
      <c r="P120" s="10" t="str">
        <f ca="1"/>
        <v/>
      </c>
      <c r="Q120" s="10" t="str">
        <f ca="1"/>
        <v/>
      </c>
      <c r="R120" s="10" t="str">
        <f ca="1"/>
        <v/>
      </c>
      <c r="S120" s="11">
        <v>200000</v>
      </c>
      <c r="T120" s="11">
        <v>200000</v>
      </c>
      <c r="U120" s="11">
        <v>600000</v>
      </c>
      <c r="V120" s="24"/>
      <c r="W120" s="24"/>
      <c r="X120" s="24"/>
      <c r="Y120" s="24"/>
      <c r="Z120" s="24"/>
      <c r="AA120" s="12" t="str">
        <f t="shared" si="42"/>
        <v>Correct</v>
      </c>
      <c r="AB120" s="12" t="str" cm="1">
        <f t="array" ref="AB120">IF(A120&lt;&gt;"",IF(AND(IF(VALUE(RIGHT($S$3:$Z$3,1))&gt;COUNTIF(A:A,A120),S120:Z120&lt;&gt;""=FALSE,TRUE)),"Correct","Error"),"")</f>
        <v>Correct</v>
      </c>
    </row>
    <row r="121" spans="1:28" x14ac:dyDescent="0.2">
      <c r="A121" s="7">
        <v>420807</v>
      </c>
      <c r="B121" s="7">
        <v>13</v>
      </c>
      <c r="C121" s="32" t="str">
        <f t="shared" ref="C121:C123" si="68">_xlfn.TEXTJOIN(";",1,A121,B121)</f>
        <v>420807;13</v>
      </c>
      <c r="D121" s="7">
        <v>460804</v>
      </c>
      <c r="E121" s="8" t="s">
        <v>78</v>
      </c>
      <c r="F121" s="8" t="str">
        <f>VLOOKUP(D121,weather!A:D,4,0)</f>
        <v>雷暴</v>
      </c>
      <c r="G121" s="7" t="str">
        <f t="shared" si="66"/>
        <v>300~357</v>
      </c>
      <c r="H121" s="9">
        <v>300</v>
      </c>
      <c r="I121" s="9">
        <f t="shared" si="67"/>
        <v>357</v>
      </c>
      <c r="J121" s="7" t="str" cm="1">
        <f t="array" aca="1" ref="J121" ca="1">_xlfn.TEXTJOIN(";",1,_xlfn.MAP(K121:R121,S121:Z121,_xlfn.LAMBDA(_xlpm.a,_xlpm.b,IF(_xlpm.b=0,"",_xlpm.a&amp;"~"&amp;_xlpm.b))))</f>
        <v>12~100000;13~900000</v>
      </c>
      <c r="K121" s="10" cm="1">
        <f t="array" aca="1" ref="K121:R121" ca="1">_xlfn.LET(_xlpm._arr_len,COUNTIF($A:$A,$A121),_xlpm._group_row,MATCH($A121,$A:$A,0),_xlfn.MAKEARRAY(1,8,_xlfn.LAMBDA(_xlpm.x,_xlpm.y,IF(_xlpm.y&gt;_xlpm._arr_len,"",INDEX(OFFSET($A121,_xlpm._group_row-ROW(),1,_xlpm._arr_len),_xlpm.y)))))</f>
        <v>11</v>
      </c>
      <c r="L121" s="10">
        <f ca="1"/>
        <v>12</v>
      </c>
      <c r="M121" s="10">
        <f ca="1"/>
        <v>13</v>
      </c>
      <c r="N121" s="10" t="str">
        <f ca="1"/>
        <v/>
      </c>
      <c r="O121" s="10" t="str">
        <f ca="1"/>
        <v/>
      </c>
      <c r="P121" s="10" t="str">
        <f ca="1"/>
        <v/>
      </c>
      <c r="Q121" s="10" t="str">
        <f ca="1"/>
        <v/>
      </c>
      <c r="R121" s="10" t="str">
        <f ca="1"/>
        <v/>
      </c>
      <c r="S121" s="24"/>
      <c r="T121" s="11">
        <v>100000</v>
      </c>
      <c r="U121" s="11">
        <v>900000</v>
      </c>
      <c r="V121" s="24"/>
      <c r="W121" s="24"/>
      <c r="X121" s="24"/>
      <c r="Y121" s="24"/>
      <c r="Z121" s="24"/>
      <c r="AA121" s="12" t="str">
        <f t="shared" si="42"/>
        <v>Correct</v>
      </c>
      <c r="AB121" s="12" t="str" cm="1">
        <f t="array" ref="AB121">IF(A121&lt;&gt;"",IF(AND(IF(VALUE(RIGHT($S$3:$Z$3,1))&gt;COUNTIF(A:A,A121),S121:Z121&lt;&gt;""=FALSE,TRUE)),"Correct","Error"),"")</f>
        <v>Correct</v>
      </c>
    </row>
    <row r="122" spans="1:28" x14ac:dyDescent="0.2">
      <c r="C122" s="32" t="str">
        <f t="shared" si="68"/>
        <v/>
      </c>
      <c r="AA122" s="12" t="str">
        <f t="shared" si="42"/>
        <v/>
      </c>
      <c r="AB122" s="12" t="str" cm="1">
        <f t="array" ref="AB122">IF(A122&lt;&gt;"",IF(AND(IF(VALUE(RIGHT($S$3:$Z$3,1))&gt;COUNTIF(A:A,A122),S122:Z122&lt;&gt;""=FALSE,TRUE)),"Correct","Error"),"")</f>
        <v/>
      </c>
    </row>
    <row r="123" spans="1:28" x14ac:dyDescent="0.2">
      <c r="A123" s="7">
        <v>420808</v>
      </c>
      <c r="B123" s="7">
        <v>12</v>
      </c>
      <c r="C123" s="32" t="str">
        <f t="shared" si="68"/>
        <v>420808;12</v>
      </c>
      <c r="D123" s="7">
        <v>460803</v>
      </c>
      <c r="E123" s="8" t="s">
        <v>78</v>
      </c>
      <c r="F123" s="8" t="str">
        <f>VLOOKUP(D123,weather!A:D,4,0)</f>
        <v>暴雨</v>
      </c>
      <c r="G123" s="7" t="str">
        <f t="shared" ref="G123:G124" si="69">H123&amp;"~"&amp;I123</f>
        <v>150~184.5</v>
      </c>
      <c r="H123" s="9">
        <v>150</v>
      </c>
      <c r="I123" s="9">
        <f t="shared" ref="I123:I124" si="70">H123*1.15+12</f>
        <v>184.5</v>
      </c>
      <c r="J123" s="7" t="str" cm="1">
        <f t="array" aca="1" ref="J123" ca="1">_xlfn.TEXTJOIN(";",1,_xlfn.MAP(K123:R123,S123:Z123,_xlfn.LAMBDA(_xlpm.a,_xlpm.b,IF(_xlpm.b=0,"",_xlpm.a&amp;"~"&amp;_xlpm.b))))</f>
        <v>12~400000;13~600000</v>
      </c>
      <c r="K123" s="10" cm="1">
        <f t="array" aca="1" ref="K123:R123" ca="1">_xlfn.LET(_xlpm._arr_len,COUNTIF($A:$A,$A123),_xlpm._group_row,MATCH($A123,$A:$A,0),_xlfn.MAKEARRAY(1,8,_xlfn.LAMBDA(_xlpm.x,_xlpm.y,IF(_xlpm.y&gt;_xlpm._arr_len,"",INDEX(OFFSET($A123,_xlpm._group_row-ROW(),1,_xlpm._arr_len),_xlpm.y)))))</f>
        <v>12</v>
      </c>
      <c r="L123" s="10">
        <f ca="1"/>
        <v>13</v>
      </c>
      <c r="M123" s="10" t="str">
        <f ca="1"/>
        <v/>
      </c>
      <c r="N123" s="10" t="str">
        <f ca="1"/>
        <v/>
      </c>
      <c r="O123" s="10" t="str">
        <f ca="1"/>
        <v/>
      </c>
      <c r="P123" s="10" t="str">
        <f ca="1"/>
        <v/>
      </c>
      <c r="Q123" s="10" t="str">
        <f ca="1"/>
        <v/>
      </c>
      <c r="R123" s="10" t="str">
        <f ca="1"/>
        <v/>
      </c>
      <c r="S123" s="11">
        <v>400000</v>
      </c>
      <c r="T123" s="11">
        <v>600000</v>
      </c>
      <c r="U123" s="24"/>
      <c r="V123" s="24"/>
      <c r="W123" s="24"/>
      <c r="X123" s="24"/>
      <c r="Y123" s="24"/>
      <c r="Z123" s="24"/>
      <c r="AA123" s="12" t="str">
        <f t="shared" si="42"/>
        <v>Correct</v>
      </c>
      <c r="AB123" s="12" t="str" cm="1">
        <f t="array" ref="AB123">IF(A123&lt;&gt;"",IF(AND(IF(VALUE(RIGHT($S$3:$Z$3,1))&gt;COUNTIF(A:A,A123),S123:Z123&lt;&gt;""=FALSE,TRUE)),"Correct","Error"),"")</f>
        <v>Correct</v>
      </c>
    </row>
    <row r="124" spans="1:28" x14ac:dyDescent="0.2">
      <c r="A124" s="7">
        <v>420808</v>
      </c>
      <c r="B124" s="7">
        <v>13</v>
      </c>
      <c r="C124" s="32" t="str">
        <f t="shared" ref="C124:C125" si="71">_xlfn.TEXTJOIN(";",1,A124,B124)</f>
        <v>420808;13</v>
      </c>
      <c r="D124" s="7">
        <v>460804</v>
      </c>
      <c r="E124" s="8" t="s">
        <v>78</v>
      </c>
      <c r="F124" s="8" t="str">
        <f>VLOOKUP(D124,weather!A:D,4,0)</f>
        <v>雷暴</v>
      </c>
      <c r="G124" s="7" t="str">
        <f t="shared" si="69"/>
        <v>300~357</v>
      </c>
      <c r="H124" s="9">
        <v>300</v>
      </c>
      <c r="I124" s="9">
        <f t="shared" si="70"/>
        <v>357</v>
      </c>
      <c r="J124" s="7" t="str" cm="1">
        <f t="array" aca="1" ref="J124" ca="1">_xlfn.TEXTJOIN(";",1,_xlfn.MAP(K124:R124,S124:Z124,_xlfn.LAMBDA(_xlpm.a,_xlpm.b,IF(_xlpm.b=0,"",_xlpm.a&amp;"~"&amp;_xlpm.b))))</f>
        <v>12~100000;13~900000</v>
      </c>
      <c r="K124" s="10" cm="1">
        <f t="array" aca="1" ref="K124:R124" ca="1">_xlfn.LET(_xlpm._arr_len,COUNTIF($A:$A,$A124),_xlpm._group_row,MATCH($A124,$A:$A,0),_xlfn.MAKEARRAY(1,8,_xlfn.LAMBDA(_xlpm.x,_xlpm.y,IF(_xlpm.y&gt;_xlpm._arr_len,"",INDEX(OFFSET($A124,_xlpm._group_row-ROW(),1,_xlpm._arr_len),_xlpm.y)))))</f>
        <v>12</v>
      </c>
      <c r="L124" s="10">
        <f ca="1"/>
        <v>13</v>
      </c>
      <c r="M124" s="10" t="str">
        <f ca="1"/>
        <v/>
      </c>
      <c r="N124" s="10" t="str">
        <f ca="1"/>
        <v/>
      </c>
      <c r="O124" s="10" t="str">
        <f ca="1"/>
        <v/>
      </c>
      <c r="P124" s="10" t="str">
        <f ca="1"/>
        <v/>
      </c>
      <c r="Q124" s="10" t="str">
        <f ca="1"/>
        <v/>
      </c>
      <c r="R124" s="10" t="str">
        <f ca="1"/>
        <v/>
      </c>
      <c r="S124" s="11">
        <v>100000</v>
      </c>
      <c r="T124" s="11">
        <v>900000</v>
      </c>
      <c r="U124" s="24"/>
      <c r="V124" s="24"/>
      <c r="W124" s="24"/>
      <c r="X124" s="24"/>
      <c r="Y124" s="24"/>
      <c r="Z124" s="24"/>
      <c r="AA124" s="12" t="str">
        <f t="shared" si="42"/>
        <v>Correct</v>
      </c>
      <c r="AB124" s="12" t="str" cm="1">
        <f t="array" ref="AB124">IF(A124&lt;&gt;"",IF(AND(IF(VALUE(RIGHT($S$3:$Z$3,1))&gt;COUNTIF(A:A,A124),S124:Z124&lt;&gt;""=FALSE,TRUE)),"Correct","Error"),"")</f>
        <v>Correct</v>
      </c>
    </row>
    <row r="125" spans="1:28" x14ac:dyDescent="0.2">
      <c r="C125" s="32" t="str">
        <f t="shared" si="71"/>
        <v/>
      </c>
      <c r="AA125" s="12" t="str">
        <f t="shared" si="42"/>
        <v/>
      </c>
      <c r="AB125" s="12" t="str" cm="1">
        <f t="array" ref="AB125">IF(A125&lt;&gt;"",IF(AND(IF(VALUE(RIGHT($S$3:$Z$3,1))&gt;COUNTIF(A:A,A125),S125:Z125&lt;&gt;""=FALSE,TRUE)),"Correct","Error"),"")</f>
        <v/>
      </c>
    </row>
    <row r="126" spans="1:28" x14ac:dyDescent="0.2">
      <c r="A126" s="7">
        <v>420809</v>
      </c>
      <c r="B126" s="7">
        <v>13</v>
      </c>
      <c r="C126" s="32" t="str">
        <f t="shared" ref="C126" si="72">_xlfn.TEXTJOIN(";",1,A126,B126)</f>
        <v>420809;13</v>
      </c>
      <c r="D126" s="7">
        <v>460804</v>
      </c>
      <c r="E126" s="8" t="s">
        <v>78</v>
      </c>
      <c r="F126" s="8" t="str">
        <f>VLOOKUP(D126,weather!A:D,4,0)</f>
        <v>雷暴</v>
      </c>
      <c r="G126" s="7" t="str">
        <f t="shared" ref="G126" si="73">H126&amp;"~"&amp;I126</f>
        <v>8680~9994</v>
      </c>
      <c r="H126" s="9">
        <v>8680</v>
      </c>
      <c r="I126" s="9">
        <f t="shared" ref="I126" si="74">H126*1.15+12</f>
        <v>9994</v>
      </c>
      <c r="J126" s="7" t="str" cm="1">
        <f t="array" aca="1" ref="J126" ca="1">_xlfn.TEXTJOIN(";",1,_xlfn.MAP(K126:R126,S126:Z126,_xlfn.LAMBDA(_xlpm.a,_xlpm.b,IF(_xlpm.b=0,"",_xlpm.a&amp;"~"&amp;_xlpm.b))))</f>
        <v>13~1000000</v>
      </c>
      <c r="K126" s="10" cm="1">
        <f t="array" aca="1" ref="K126:R126" ca="1">_xlfn.LET(_xlpm._arr_len,COUNTIF($A:$A,$A126),_xlpm._group_row,MATCH($A126,$A:$A,0),_xlfn.MAKEARRAY(1,8,_xlfn.LAMBDA(_xlpm.x,_xlpm.y,IF(_xlpm.y&gt;_xlpm._arr_len,"",INDEX(OFFSET($A126,_xlpm._group_row-ROW(),1,_xlpm._arr_len),_xlpm.y)))))</f>
        <v>13</v>
      </c>
      <c r="L126" s="10" t="str">
        <f ca="1"/>
        <v/>
      </c>
      <c r="M126" s="10" t="str">
        <f ca="1"/>
        <v/>
      </c>
      <c r="N126" s="10" t="str">
        <f ca="1"/>
        <v/>
      </c>
      <c r="O126" s="10" t="str">
        <f ca="1"/>
        <v/>
      </c>
      <c r="P126" s="10" t="str">
        <f ca="1"/>
        <v/>
      </c>
      <c r="Q126" s="10" t="str">
        <f ca="1"/>
        <v/>
      </c>
      <c r="R126" s="10" t="str">
        <f ca="1"/>
        <v/>
      </c>
      <c r="S126" s="11">
        <v>1000000</v>
      </c>
      <c r="T126" s="24"/>
      <c r="U126" s="24"/>
      <c r="V126" s="24"/>
      <c r="W126" s="24"/>
      <c r="X126" s="24"/>
      <c r="Y126" s="24"/>
      <c r="Z126" s="24"/>
      <c r="AA126" s="12" t="str">
        <f t="shared" si="42"/>
        <v>Correct</v>
      </c>
      <c r="AB126" s="12" t="str" cm="1">
        <f t="array" ref="AB126">IF(A126&lt;&gt;"",IF(AND(IF(VALUE(RIGHT($S$3:$Z$3,1))&gt;COUNTIF(A:A,A126),S126:Z126&lt;&gt;""=FALSE,TRUE)),"Correct","Error"),"")</f>
        <v>Correct</v>
      </c>
    </row>
  </sheetData>
  <phoneticPr fontId="14" type="noConversion"/>
  <conditionalFormatting sqref="C1:C1048576">
    <cfRule type="containsBlanks" priority="1" stopIfTrue="1">
      <formula>LEN(TRIM(C1))=0</formula>
    </cfRule>
    <cfRule type="duplicateValues" dxfId="1" priority="2"/>
  </conditionalFormatting>
  <conditionalFormatting sqref="S1:Z1048576">
    <cfRule type="dataBar" priority="4">
      <dataBar>
        <cfvo type="min"/>
        <cfvo type="max"/>
        <color rgb="FFA5E8F1"/>
      </dataBar>
      <extLst>
        <ext xmlns:x14="http://schemas.microsoft.com/office/spreadsheetml/2009/9/main" uri="{B025F937-C7B1-47D3-B67F-A62EFF666E3E}">
          <x14:id>{A8921A1A-5D36-479E-B4A9-F1C2D1F9823A}</x14:id>
        </ext>
      </extLst>
    </cfRule>
  </conditionalFormatting>
  <conditionalFormatting sqref="AA1:AB1048576">
    <cfRule type="cellIs" dxfId="0" priority="3" operator="equal">
      <formula>"Error"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921A1A-5D36-479E-B4A9-F1C2D1F982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S1:Z1048576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I33" sqref="I33"/>
    </sheetView>
  </sheetViews>
  <sheetFormatPr defaultColWidth="12.5" defaultRowHeight="14.25" x14ac:dyDescent="0.2"/>
  <cols>
    <col min="1" max="16384" width="12.5" style="2"/>
  </cols>
  <sheetData>
    <row r="1" spans="1:8" s="1" customFormat="1" x14ac:dyDescent="0.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3"/>
      <c r="H1" s="3"/>
    </row>
    <row r="2" spans="1:8" x14ac:dyDescent="0.2">
      <c r="A2" s="70" t="s">
        <v>71</v>
      </c>
      <c r="B2" s="70"/>
      <c r="C2" s="70" t="s">
        <v>72</v>
      </c>
      <c r="D2" s="70"/>
      <c r="E2" s="70" t="s">
        <v>73</v>
      </c>
      <c r="F2" s="70"/>
    </row>
    <row r="3" spans="1:8" x14ac:dyDescent="0.2">
      <c r="C3" s="70" t="s">
        <v>74</v>
      </c>
      <c r="D3" s="70"/>
    </row>
    <row r="4" spans="1:8" x14ac:dyDescent="0.2">
      <c r="C4" s="70" t="s">
        <v>75</v>
      </c>
      <c r="D4" s="70"/>
    </row>
  </sheetData>
  <mergeCells count="5">
    <mergeCell ref="A2:B2"/>
    <mergeCell ref="C2:D2"/>
    <mergeCell ref="E2:F2"/>
    <mergeCell ref="C3:D3"/>
    <mergeCell ref="C4:D4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weather</vt:lpstr>
      <vt:lpstr>weather_group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2025-12-31T03:28:21Z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2052-12.1.0.22529</vt:lpwstr>
  </property>
</Properties>
</file>