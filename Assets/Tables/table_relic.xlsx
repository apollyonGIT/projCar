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C2D9F500-5B2D-4394-8502-4A6CC0E6DABD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relic" sheetId="3" r:id="rId1"/>
    <sheet name="relic_pool" sheetId="6" r:id="rId2"/>
    <sheet name="relic_rank" sheetId="8" r:id="rId3"/>
    <sheet name="-投放筛选及l10n配置辅助" sheetId="9" r:id="rId4"/>
    <sheet name="-id 配置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E20" i="3"/>
  <c r="E19" i="3"/>
  <c r="E18" i="3"/>
  <c r="D20" i="3" a="1"/>
  <c r="D20" i="3" s="1"/>
  <c r="B20" i="3"/>
  <c r="D19" i="3" a="1"/>
  <c r="D19" i="3" s="1"/>
  <c r="B19" i="3"/>
  <c r="D18" i="3" a="1"/>
  <c r="D18" i="3" s="1"/>
  <c r="B18" i="3"/>
  <c r="U20" i="3"/>
  <c r="U19" i="3"/>
  <c r="U18" i="3"/>
  <c r="N20" i="3" l="1"/>
  <c r="N19" i="3"/>
  <c r="N18" i="3"/>
  <c r="B192" i="3"/>
  <c r="N193" i="3"/>
  <c r="N192" i="3"/>
  <c r="N191" i="3"/>
  <c r="U193" i="3"/>
  <c r="U191" i="3"/>
  <c r="U192" i="3"/>
  <c r="B201" i="9"/>
  <c r="C201" i="9"/>
  <c r="C202" i="9"/>
  <c r="C203" i="9"/>
  <c r="C204" i="9"/>
  <c r="C205" i="9"/>
  <c r="C206" i="9"/>
  <c r="C207" i="9"/>
  <c r="C208" i="9"/>
  <c r="E201" i="9"/>
  <c r="F201" i="9"/>
  <c r="U219" i="3" l="1"/>
  <c r="N219" i="3"/>
  <c r="U218" i="3"/>
  <c r="U217" i="3"/>
  <c r="U216" i="3"/>
  <c r="N218" i="3"/>
  <c r="N217" i="3"/>
  <c r="N216" i="3"/>
  <c r="H218" i="3" a="1"/>
  <c r="H218" i="3" s="1"/>
  <c r="F207" i="9" s="1"/>
  <c r="G218" i="3"/>
  <c r="E207" i="9" s="1"/>
  <c r="E218" i="3"/>
  <c r="B218" i="3"/>
  <c r="B207" i="9" s="1"/>
  <c r="U215" i="3"/>
  <c r="N215" i="3"/>
  <c r="H215" i="3" a="1"/>
  <c r="H215" i="3" s="1"/>
  <c r="F204" i="9" s="1"/>
  <c r="G215" i="3"/>
  <c r="E204" i="9" s="1"/>
  <c r="E215" i="3"/>
  <c r="B215" i="3"/>
  <c r="B204" i="9" s="1"/>
  <c r="U214" i="3"/>
  <c r="U213" i="3"/>
  <c r="N214" i="3"/>
  <c r="N213" i="3"/>
  <c r="H217" i="3" a="1"/>
  <c r="H217" i="3" s="1"/>
  <c r="F206" i="9" s="1"/>
  <c r="G217" i="3"/>
  <c r="E206" i="9" s="1"/>
  <c r="E217" i="3"/>
  <c r="B217" i="3"/>
  <c r="B206" i="9" s="1"/>
  <c r="H214" i="3" a="1"/>
  <c r="H214" i="3" s="1"/>
  <c r="F203" i="9" s="1"/>
  <c r="G214" i="3"/>
  <c r="E203" i="9" s="1"/>
  <c r="E214" i="3"/>
  <c r="B214" i="3"/>
  <c r="B203" i="9" s="1"/>
  <c r="H219" i="3" a="1"/>
  <c r="H219" i="3" s="1"/>
  <c r="F208" i="9" s="1"/>
  <c r="H216" i="3" a="1"/>
  <c r="H216" i="3" s="1"/>
  <c r="F205" i="9" s="1"/>
  <c r="H213" i="3" a="1"/>
  <c r="H213" i="3" s="1"/>
  <c r="F202" i="9" s="1"/>
  <c r="H210" i="3" a="1"/>
  <c r="H210" i="3" s="1"/>
  <c r="H211" i="3" a="1"/>
  <c r="H211" i="3" s="1"/>
  <c r="H209" i="3" a="1"/>
  <c r="H209" i="3" s="1"/>
  <c r="H203" i="3" a="1"/>
  <c r="H203" i="3" s="1"/>
  <c r="H204" i="3" a="1"/>
  <c r="H204" i="3" s="1"/>
  <c r="H205" i="3" a="1"/>
  <c r="H205" i="3" s="1"/>
  <c r="H206" i="3" a="1"/>
  <c r="H206" i="3" s="1"/>
  <c r="H207" i="3" a="1"/>
  <c r="H207" i="3" s="1"/>
  <c r="H202" i="3" a="1"/>
  <c r="H202" i="3" s="1"/>
  <c r="G219" i="3" l="1"/>
  <c r="E208" i="9" s="1"/>
  <c r="E219" i="3"/>
  <c r="G216" i="3"/>
  <c r="E205" i="9" s="1"/>
  <c r="E216" i="3"/>
  <c r="G213" i="3"/>
  <c r="E202" i="9" s="1"/>
  <c r="E213" i="3"/>
  <c r="B219" i="3"/>
  <c r="B208" i="9" s="1"/>
  <c r="B216" i="3"/>
  <c r="B205" i="9" s="1"/>
  <c r="B213" i="3"/>
  <c r="B202" i="9" s="1"/>
  <c r="B211" i="3" l="1"/>
  <c r="B210" i="3"/>
  <c r="B209" i="3"/>
  <c r="B191" i="3"/>
  <c r="B193" i="3"/>
  <c r="B200" i="3"/>
  <c r="B189" i="9" s="1"/>
  <c r="B199" i="3"/>
  <c r="B188" i="9" s="1"/>
  <c r="B198" i="3"/>
  <c r="B180" i="3"/>
  <c r="B179" i="3"/>
  <c r="B178" i="3"/>
  <c r="B176" i="3"/>
  <c r="B174" i="3"/>
  <c r="B175" i="3"/>
  <c r="B164" i="9" s="1"/>
  <c r="B182" i="3"/>
  <c r="B171" i="9" s="1"/>
  <c r="F6" i="9"/>
  <c r="F10" i="9"/>
  <c r="F15" i="9"/>
  <c r="F20" i="9"/>
  <c r="F24" i="9"/>
  <c r="F28" i="9"/>
  <c r="F33" i="9"/>
  <c r="F38" i="9"/>
  <c r="F42" i="9"/>
  <c r="F47" i="9"/>
  <c r="F51" i="9"/>
  <c r="F56" i="9"/>
  <c r="F61" i="9"/>
  <c r="F66" i="9"/>
  <c r="F70" i="9"/>
  <c r="F74" i="9"/>
  <c r="F78" i="9"/>
  <c r="F82" i="9"/>
  <c r="F87" i="9"/>
  <c r="F91" i="9"/>
  <c r="F96" i="9"/>
  <c r="F101" i="9"/>
  <c r="F105" i="9"/>
  <c r="F109" i="9"/>
  <c r="F113" i="9"/>
  <c r="F117" i="9"/>
  <c r="F121" i="9"/>
  <c r="F125" i="9"/>
  <c r="F129" i="9"/>
  <c r="F133" i="9"/>
  <c r="F137" i="9"/>
  <c r="F141" i="9"/>
  <c r="F145" i="9"/>
  <c r="F149" i="9"/>
  <c r="F153" i="9"/>
  <c r="F157" i="9"/>
  <c r="F158" i="9"/>
  <c r="F159" i="9"/>
  <c r="F162" i="9"/>
  <c r="F166" i="9"/>
  <c r="F170" i="9"/>
  <c r="F174" i="9"/>
  <c r="F186" i="9"/>
  <c r="F190" i="9"/>
  <c r="F191" i="9"/>
  <c r="F192" i="9"/>
  <c r="F193" i="9"/>
  <c r="F194" i="9"/>
  <c r="F195" i="9"/>
  <c r="F196" i="9"/>
  <c r="F197" i="9"/>
  <c r="F198" i="9"/>
  <c r="F199" i="9"/>
  <c r="F200" i="9"/>
  <c r="E6" i="9"/>
  <c r="E10" i="9"/>
  <c r="E15" i="9"/>
  <c r="E20" i="9"/>
  <c r="E24" i="9"/>
  <c r="E28" i="9"/>
  <c r="E33" i="9"/>
  <c r="E38" i="9"/>
  <c r="E42" i="9"/>
  <c r="E47" i="9"/>
  <c r="E51" i="9"/>
  <c r="E56" i="9"/>
  <c r="E61" i="9"/>
  <c r="E66" i="9"/>
  <c r="E70" i="9"/>
  <c r="E74" i="9"/>
  <c r="E78" i="9"/>
  <c r="E82" i="9"/>
  <c r="E87" i="9"/>
  <c r="E91" i="9"/>
  <c r="E96" i="9"/>
  <c r="E101" i="9"/>
  <c r="E105" i="9"/>
  <c r="E109" i="9"/>
  <c r="E113" i="9"/>
  <c r="E117" i="9"/>
  <c r="E121" i="9"/>
  <c r="E125" i="9"/>
  <c r="E129" i="9"/>
  <c r="E133" i="9"/>
  <c r="E137" i="9"/>
  <c r="E141" i="9"/>
  <c r="E145" i="9"/>
  <c r="E149" i="9"/>
  <c r="E153" i="9"/>
  <c r="E157" i="9"/>
  <c r="E158" i="9"/>
  <c r="E159" i="9"/>
  <c r="E162" i="9"/>
  <c r="E166" i="9"/>
  <c r="E170" i="9"/>
  <c r="E174" i="9"/>
  <c r="E186" i="9"/>
  <c r="E190" i="9"/>
  <c r="E197" i="9"/>
  <c r="C6" i="9"/>
  <c r="C10" i="9"/>
  <c r="C15" i="9"/>
  <c r="C20" i="9"/>
  <c r="C24" i="9"/>
  <c r="C28" i="9"/>
  <c r="C33" i="9"/>
  <c r="C38" i="9"/>
  <c r="C42" i="9"/>
  <c r="C47" i="9"/>
  <c r="C51" i="9"/>
  <c r="C56" i="9"/>
  <c r="C61" i="9"/>
  <c r="C66" i="9"/>
  <c r="C70" i="9"/>
  <c r="C74" i="9"/>
  <c r="C78" i="9"/>
  <c r="C82" i="9"/>
  <c r="C87" i="9"/>
  <c r="C91" i="9"/>
  <c r="C96" i="9"/>
  <c r="C101" i="9"/>
  <c r="C105" i="9"/>
  <c r="C109" i="9"/>
  <c r="C113" i="9"/>
  <c r="C117" i="9"/>
  <c r="C121" i="9"/>
  <c r="C125" i="9"/>
  <c r="C129" i="9"/>
  <c r="C133" i="9"/>
  <c r="C137" i="9"/>
  <c r="C141" i="9"/>
  <c r="C145" i="9"/>
  <c r="C149" i="9"/>
  <c r="C153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B6" i="9"/>
  <c r="B10" i="9"/>
  <c r="B15" i="9"/>
  <c r="B20" i="9"/>
  <c r="B24" i="9"/>
  <c r="B28" i="9"/>
  <c r="B33" i="9"/>
  <c r="B38" i="9"/>
  <c r="B42" i="9"/>
  <c r="B47" i="9"/>
  <c r="B51" i="9"/>
  <c r="B56" i="9"/>
  <c r="B61" i="9"/>
  <c r="B66" i="9"/>
  <c r="B70" i="9"/>
  <c r="B74" i="9"/>
  <c r="B78" i="9"/>
  <c r="B82" i="9"/>
  <c r="B87" i="9"/>
  <c r="B91" i="9"/>
  <c r="B96" i="9"/>
  <c r="B101" i="9"/>
  <c r="B105" i="9"/>
  <c r="B109" i="9"/>
  <c r="B113" i="9"/>
  <c r="B117" i="9"/>
  <c r="B121" i="9"/>
  <c r="B125" i="9"/>
  <c r="B129" i="9"/>
  <c r="B133" i="9"/>
  <c r="B137" i="9"/>
  <c r="B141" i="9"/>
  <c r="B145" i="9"/>
  <c r="B149" i="9"/>
  <c r="B153" i="9"/>
  <c r="B157" i="9"/>
  <c r="B158" i="9"/>
  <c r="B159" i="9"/>
  <c r="B162" i="9"/>
  <c r="B163" i="9"/>
  <c r="B165" i="9"/>
  <c r="B166" i="9"/>
  <c r="B167" i="9"/>
  <c r="B168" i="9"/>
  <c r="B169" i="9"/>
  <c r="B170" i="9"/>
  <c r="B174" i="9"/>
  <c r="B180" i="9"/>
  <c r="B182" i="9"/>
  <c r="B186" i="9"/>
  <c r="B187" i="9"/>
  <c r="B190" i="9"/>
  <c r="B197" i="9"/>
  <c r="B198" i="9"/>
  <c r="B199" i="9"/>
  <c r="B200" i="9"/>
  <c r="U97" i="3"/>
  <c r="U96" i="3"/>
  <c r="U95" i="3"/>
  <c r="U94" i="3"/>
  <c r="N97" i="3"/>
  <c r="N96" i="3"/>
  <c r="N95" i="3"/>
  <c r="N94" i="3"/>
  <c r="H94" i="3" a="1"/>
  <c r="F86" i="9" s="1"/>
  <c r="B97" i="3"/>
  <c r="B86" i="9" s="1"/>
  <c r="B96" i="3"/>
  <c r="B85" i="9" s="1"/>
  <c r="B95" i="3"/>
  <c r="B84" i="9" s="1"/>
  <c r="B94" i="3"/>
  <c r="B83" i="9" s="1"/>
  <c r="G97" i="3"/>
  <c r="E86" i="9" s="1"/>
  <c r="E97" i="3"/>
  <c r="D97" i="3" a="1"/>
  <c r="D97" i="3" s="1"/>
  <c r="N52" i="3"/>
  <c r="N51" i="3"/>
  <c r="N50" i="3"/>
  <c r="U57" i="3"/>
  <c r="U56" i="3"/>
  <c r="U55" i="3"/>
  <c r="U54" i="3"/>
  <c r="N57" i="3"/>
  <c r="N56" i="3"/>
  <c r="N55" i="3"/>
  <c r="N54" i="3"/>
  <c r="H54" i="3" a="1"/>
  <c r="B57" i="3"/>
  <c r="B46" i="9" s="1"/>
  <c r="B56" i="3"/>
  <c r="B45" i="9" s="1"/>
  <c r="B55" i="3"/>
  <c r="B44" i="9" s="1"/>
  <c r="B54" i="3"/>
  <c r="B43" i="9" s="1"/>
  <c r="P57" i="3"/>
  <c r="G57" i="3"/>
  <c r="E46" i="9" s="1"/>
  <c r="E57" i="3"/>
  <c r="D57" i="3" a="1"/>
  <c r="D57" i="3" s="1"/>
  <c r="U76" i="3"/>
  <c r="U75" i="3"/>
  <c r="U74" i="3"/>
  <c r="U73" i="3"/>
  <c r="N76" i="3"/>
  <c r="N75" i="3"/>
  <c r="N74" i="3"/>
  <c r="N73" i="3"/>
  <c r="H73" i="3" a="1"/>
  <c r="F63" i="9" s="1"/>
  <c r="B76" i="3"/>
  <c r="B65" i="9" s="1"/>
  <c r="B75" i="3"/>
  <c r="B64" i="9" s="1"/>
  <c r="B74" i="3"/>
  <c r="B63" i="9" s="1"/>
  <c r="B73" i="3"/>
  <c r="B62" i="9" s="1"/>
  <c r="G76" i="3"/>
  <c r="E65" i="9" s="1"/>
  <c r="E76" i="3"/>
  <c r="D76" i="3" a="1"/>
  <c r="D76" i="3" s="1"/>
  <c r="B139" i="3"/>
  <c r="B128" i="9" s="1"/>
  <c r="B138" i="3"/>
  <c r="B127" i="9" s="1"/>
  <c r="B137" i="3"/>
  <c r="B126" i="9" s="1"/>
  <c r="B131" i="3"/>
  <c r="B120" i="9" s="1"/>
  <c r="B130" i="3"/>
  <c r="B119" i="9" s="1"/>
  <c r="B129" i="3"/>
  <c r="B118" i="9" s="1"/>
  <c r="B111" i="3"/>
  <c r="B100" i="9" s="1"/>
  <c r="B110" i="3"/>
  <c r="B99" i="9" s="1"/>
  <c r="B109" i="3"/>
  <c r="B98" i="9" s="1"/>
  <c r="B108" i="3"/>
  <c r="B97" i="9" s="1"/>
  <c r="B106" i="3"/>
  <c r="B95" i="9" s="1"/>
  <c r="B105" i="3"/>
  <c r="B94" i="9" s="1"/>
  <c r="B104" i="3"/>
  <c r="B93" i="9" s="1"/>
  <c r="B103" i="3"/>
  <c r="B92" i="9" s="1"/>
  <c r="B71" i="3"/>
  <c r="B60" i="9" s="1"/>
  <c r="B70" i="3"/>
  <c r="B59" i="9" s="1"/>
  <c r="B69" i="3"/>
  <c r="B58" i="9" s="1"/>
  <c r="B68" i="3"/>
  <c r="B57" i="9" s="1"/>
  <c r="B66" i="3"/>
  <c r="B55" i="9" s="1"/>
  <c r="B65" i="3"/>
  <c r="B54" i="9" s="1"/>
  <c r="B64" i="3"/>
  <c r="B53" i="9" s="1"/>
  <c r="B63" i="3"/>
  <c r="B52" i="9" s="1"/>
  <c r="B48" i="3"/>
  <c r="B37" i="9" s="1"/>
  <c r="B47" i="3"/>
  <c r="B36" i="9" s="1"/>
  <c r="B46" i="3"/>
  <c r="B35" i="9" s="1"/>
  <c r="B45" i="3"/>
  <c r="B34" i="9" s="1"/>
  <c r="B43" i="3"/>
  <c r="B32" i="9" s="1"/>
  <c r="B42" i="3"/>
  <c r="B31" i="9" s="1"/>
  <c r="B41" i="3"/>
  <c r="B30" i="9" s="1"/>
  <c r="B40" i="3"/>
  <c r="B29" i="9" s="1"/>
  <c r="B30" i="3"/>
  <c r="B19" i="9" s="1"/>
  <c r="B29" i="3"/>
  <c r="B18" i="9" s="1"/>
  <c r="B28" i="3"/>
  <c r="B17" i="9" s="1"/>
  <c r="B27" i="3"/>
  <c r="B16" i="9" s="1"/>
  <c r="B25" i="3"/>
  <c r="B14" i="9" s="1"/>
  <c r="B24" i="3"/>
  <c r="B13" i="9" s="1"/>
  <c r="B23" i="3"/>
  <c r="B12" i="9" s="1"/>
  <c r="B22" i="3"/>
  <c r="B11" i="9" s="1"/>
  <c r="B16" i="3"/>
  <c r="B5" i="9" s="1"/>
  <c r="B15" i="3"/>
  <c r="B4" i="9" s="1"/>
  <c r="B14" i="3"/>
  <c r="B3" i="9" s="1"/>
  <c r="B13" i="3"/>
  <c r="B2" i="9" s="1"/>
  <c r="H68" i="3" a="1"/>
  <c r="F58" i="9" s="1"/>
  <c r="H63" i="3" a="1"/>
  <c r="N71" i="3"/>
  <c r="N70" i="3"/>
  <c r="N69" i="3"/>
  <c r="N68" i="3"/>
  <c r="P67" i="3"/>
  <c r="N66" i="3"/>
  <c r="N65" i="3"/>
  <c r="N64" i="3"/>
  <c r="N63" i="3"/>
  <c r="U71" i="3"/>
  <c r="U70" i="3"/>
  <c r="U69" i="3"/>
  <c r="U68" i="3"/>
  <c r="U66" i="3"/>
  <c r="U65" i="3"/>
  <c r="U64" i="3"/>
  <c r="U63" i="3"/>
  <c r="G71" i="3"/>
  <c r="E60" i="9" s="1"/>
  <c r="E71" i="3"/>
  <c r="D71" i="3" a="1"/>
  <c r="D71" i="3" s="1"/>
  <c r="G66" i="3"/>
  <c r="E55" i="9" s="1"/>
  <c r="E66" i="3"/>
  <c r="D66" i="3" a="1"/>
  <c r="D66" i="3" s="1"/>
  <c r="N111" i="3"/>
  <c r="N110" i="3"/>
  <c r="N109" i="3"/>
  <c r="N108" i="3"/>
  <c r="N106" i="3"/>
  <c r="N105" i="3"/>
  <c r="N104" i="3"/>
  <c r="N103" i="3"/>
  <c r="P107" i="3"/>
  <c r="U111" i="3"/>
  <c r="U110" i="3"/>
  <c r="U109" i="3"/>
  <c r="U108" i="3"/>
  <c r="U106" i="3"/>
  <c r="U105" i="3"/>
  <c r="U104" i="3"/>
  <c r="U103" i="3"/>
  <c r="H108" i="3" a="1"/>
  <c r="F98" i="9" s="1"/>
  <c r="H103" i="3" a="1"/>
  <c r="F93" i="9" s="1"/>
  <c r="G111" i="3"/>
  <c r="E100" i="9" s="1"/>
  <c r="E111" i="3"/>
  <c r="D111" i="3" a="1"/>
  <c r="D111" i="3" s="1"/>
  <c r="G106" i="3"/>
  <c r="E95" i="9" s="1"/>
  <c r="E106" i="3"/>
  <c r="D106" i="3" a="1"/>
  <c r="D106" i="3" s="1"/>
  <c r="U176" i="3"/>
  <c r="U175" i="3"/>
  <c r="U174" i="3"/>
  <c r="U180" i="3"/>
  <c r="U179" i="3"/>
  <c r="U178" i="3"/>
  <c r="N180" i="3"/>
  <c r="N179" i="3"/>
  <c r="N178" i="3"/>
  <c r="N211" i="3"/>
  <c r="N210" i="3"/>
  <c r="N209" i="3"/>
  <c r="U211" i="3"/>
  <c r="U210" i="3"/>
  <c r="U209" i="3"/>
  <c r="N176" i="3"/>
  <c r="N175" i="3"/>
  <c r="N174" i="3"/>
  <c r="N200" i="3"/>
  <c r="N199" i="3"/>
  <c r="N198" i="3"/>
  <c r="U200" i="3"/>
  <c r="U199" i="3"/>
  <c r="U198" i="3"/>
  <c r="H200" i="3" a="1"/>
  <c r="H200" i="3" s="1"/>
  <c r="G200" i="3"/>
  <c r="E189" i="9" s="1"/>
  <c r="E200" i="3"/>
  <c r="H199" i="3" a="1"/>
  <c r="H199" i="3" s="1"/>
  <c r="G199" i="3"/>
  <c r="E188" i="9" s="1"/>
  <c r="E199" i="3"/>
  <c r="H198" i="3" a="1"/>
  <c r="H198" i="3" s="1"/>
  <c r="G198" i="3"/>
  <c r="E187" i="9" s="1"/>
  <c r="E198" i="3"/>
  <c r="C65" i="9" l="1"/>
  <c r="F94" i="9"/>
  <c r="C95" i="9"/>
  <c r="C55" i="9"/>
  <c r="C86" i="9"/>
  <c r="C46" i="9"/>
  <c r="C100" i="9"/>
  <c r="C60" i="9"/>
  <c r="H54" i="3"/>
  <c r="F43" i="9" s="1"/>
  <c r="F189" i="9"/>
  <c r="H68" i="3"/>
  <c r="F57" i="9" s="1"/>
  <c r="F188" i="9"/>
  <c r="F65" i="9"/>
  <c r="H63" i="3"/>
  <c r="F52" i="9" s="1"/>
  <c r="H103" i="3"/>
  <c r="F92" i="9" s="1"/>
  <c r="F187" i="9"/>
  <c r="F64" i="9"/>
  <c r="H108" i="3"/>
  <c r="F97" i="9" s="1"/>
  <c r="H94" i="3"/>
  <c r="F83" i="9" s="1"/>
  <c r="F95" i="9"/>
  <c r="F55" i="9"/>
  <c r="F54" i="9"/>
  <c r="F46" i="9"/>
  <c r="F53" i="9"/>
  <c r="F45" i="9"/>
  <c r="F85" i="9"/>
  <c r="F100" i="9"/>
  <c r="F84" i="9"/>
  <c r="F60" i="9"/>
  <c r="F44" i="9"/>
  <c r="H73" i="3"/>
  <c r="F62" i="9" s="1"/>
  <c r="F99" i="9"/>
  <c r="F59" i="9"/>
  <c r="U139" i="3" l="1"/>
  <c r="U138" i="3"/>
  <c r="U137" i="3"/>
  <c r="N139" i="3"/>
  <c r="N138" i="3"/>
  <c r="N137" i="3"/>
  <c r="U131" i="3"/>
  <c r="U130" i="3"/>
  <c r="U129" i="3"/>
  <c r="N131" i="3"/>
  <c r="N130" i="3"/>
  <c r="N129" i="3"/>
  <c r="U43" i="3"/>
  <c r="U42" i="3"/>
  <c r="U41" i="3"/>
  <c r="U40" i="3"/>
  <c r="H40" i="3" a="1"/>
  <c r="N43" i="3"/>
  <c r="G43" i="3"/>
  <c r="E32" i="9" s="1"/>
  <c r="E43" i="3"/>
  <c r="D43" i="3" a="1"/>
  <c r="D43" i="3" s="1"/>
  <c r="U48" i="3"/>
  <c r="U47" i="3"/>
  <c r="U46" i="3"/>
  <c r="U45" i="3"/>
  <c r="H45" i="3" a="1"/>
  <c r="N48" i="3"/>
  <c r="G48" i="3"/>
  <c r="E37" i="9" s="1"/>
  <c r="E48" i="3"/>
  <c r="D48" i="3" a="1"/>
  <c r="D48" i="3" s="1"/>
  <c r="H27" i="3" a="1"/>
  <c r="U30" i="3"/>
  <c r="N30" i="3"/>
  <c r="G30" i="3"/>
  <c r="E19" i="9" s="1"/>
  <c r="E30" i="3"/>
  <c r="D30" i="3" a="1"/>
  <c r="D30" i="3" s="1"/>
  <c r="H22" i="3" a="1"/>
  <c r="U25" i="3"/>
  <c r="N25" i="3"/>
  <c r="G25" i="3"/>
  <c r="E14" i="9" s="1"/>
  <c r="E25" i="3"/>
  <c r="D25" i="3" a="1"/>
  <c r="D25" i="3" s="1"/>
  <c r="H13" i="3" a="1"/>
  <c r="U16" i="3"/>
  <c r="N16" i="3"/>
  <c r="G16" i="3"/>
  <c r="E5" i="9" s="1"/>
  <c r="E16" i="3"/>
  <c r="D16" i="3" a="1"/>
  <c r="D16" i="3" s="1"/>
  <c r="N47" i="3"/>
  <c r="N46" i="3"/>
  <c r="N45" i="3"/>
  <c r="N42" i="3"/>
  <c r="N41" i="3"/>
  <c r="N40" i="3"/>
  <c r="N29" i="3"/>
  <c r="N28" i="3"/>
  <c r="N27" i="3"/>
  <c r="N24" i="3"/>
  <c r="N23" i="3"/>
  <c r="N22" i="3"/>
  <c r="N15" i="3"/>
  <c r="N14" i="3"/>
  <c r="N13" i="3"/>
  <c r="U29" i="3"/>
  <c r="U28" i="3"/>
  <c r="U27" i="3"/>
  <c r="U24" i="3"/>
  <c r="U23" i="3"/>
  <c r="U22" i="3"/>
  <c r="U15" i="3"/>
  <c r="U14" i="3"/>
  <c r="U13" i="3"/>
  <c r="C5" i="9" l="1"/>
  <c r="C37" i="9"/>
  <c r="C14" i="9"/>
  <c r="C32" i="9"/>
  <c r="C19" i="9"/>
  <c r="H22" i="3"/>
  <c r="F11" i="9" s="1"/>
  <c r="F12" i="9"/>
  <c r="F13" i="9"/>
  <c r="F14" i="9"/>
  <c r="H27" i="3"/>
  <c r="F16" i="9" s="1"/>
  <c r="F19" i="9"/>
  <c r="F17" i="9"/>
  <c r="F18" i="9"/>
  <c r="H13" i="3"/>
  <c r="F2" i="9" s="1"/>
  <c r="F3" i="9"/>
  <c r="F4" i="9"/>
  <c r="F5" i="9"/>
  <c r="H45" i="3"/>
  <c r="F34" i="9" s="1"/>
  <c r="F35" i="9"/>
  <c r="F36" i="9"/>
  <c r="F37" i="9"/>
  <c r="H40" i="3"/>
  <c r="F29" i="9" s="1"/>
  <c r="F30" i="9"/>
  <c r="F31" i="9"/>
  <c r="F32" i="9"/>
  <c r="E210" i="3"/>
  <c r="E211" i="3"/>
  <c r="E209" i="3"/>
  <c r="E207" i="3"/>
  <c r="E206" i="3"/>
  <c r="E205" i="3"/>
  <c r="E204" i="3"/>
  <c r="E203" i="3"/>
  <c r="E202" i="3"/>
  <c r="E175" i="3"/>
  <c r="E176" i="3"/>
  <c r="E178" i="3"/>
  <c r="E179" i="3"/>
  <c r="E180" i="3"/>
  <c r="E182" i="3"/>
  <c r="E183" i="3"/>
  <c r="E184" i="3"/>
  <c r="E186" i="3"/>
  <c r="E187" i="3"/>
  <c r="E188" i="3"/>
  <c r="E189" i="3"/>
  <c r="E190" i="3"/>
  <c r="E191" i="3"/>
  <c r="E192" i="3"/>
  <c r="E193" i="3"/>
  <c r="E194" i="3"/>
  <c r="E195" i="3"/>
  <c r="E196" i="3"/>
  <c r="E174" i="3"/>
  <c r="E172" i="3"/>
  <c r="E171" i="3"/>
  <c r="E139" i="3"/>
  <c r="E138" i="3"/>
  <c r="E137" i="3"/>
  <c r="E131" i="3"/>
  <c r="E130" i="3"/>
  <c r="E129" i="3"/>
  <c r="E110" i="3"/>
  <c r="E109" i="3"/>
  <c r="E108" i="3"/>
  <c r="E105" i="3"/>
  <c r="E104" i="3"/>
  <c r="E103" i="3"/>
  <c r="E96" i="3"/>
  <c r="E95" i="3"/>
  <c r="E94" i="3"/>
  <c r="E75" i="3"/>
  <c r="E74" i="3"/>
  <c r="E73" i="3"/>
  <c r="E70" i="3"/>
  <c r="E69" i="3"/>
  <c r="E68" i="3"/>
  <c r="E65" i="3"/>
  <c r="E64" i="3"/>
  <c r="E63" i="3"/>
  <c r="E56" i="3"/>
  <c r="E55" i="3"/>
  <c r="E54" i="3"/>
  <c r="E52" i="3"/>
  <c r="E51" i="3"/>
  <c r="E50" i="3"/>
  <c r="E47" i="3"/>
  <c r="E46" i="3"/>
  <c r="E45" i="3"/>
  <c r="E42" i="3"/>
  <c r="E41" i="3"/>
  <c r="E40" i="3"/>
  <c r="E29" i="3"/>
  <c r="E28" i="3"/>
  <c r="E27" i="3"/>
  <c r="E163" i="3"/>
  <c r="E162" i="3"/>
  <c r="E161" i="3"/>
  <c r="E159" i="3"/>
  <c r="E158" i="3"/>
  <c r="E157" i="3"/>
  <c r="E155" i="3"/>
  <c r="E154" i="3"/>
  <c r="E153" i="3"/>
  <c r="E151" i="3"/>
  <c r="E150" i="3"/>
  <c r="E149" i="3"/>
  <c r="E147" i="3"/>
  <c r="E146" i="3"/>
  <c r="E145" i="3"/>
  <c r="E143" i="3"/>
  <c r="E142" i="3"/>
  <c r="E141" i="3"/>
  <c r="E135" i="3"/>
  <c r="E134" i="3"/>
  <c r="E133" i="3"/>
  <c r="E127" i="3"/>
  <c r="E126" i="3"/>
  <c r="E125" i="3"/>
  <c r="E123" i="3"/>
  <c r="E122" i="3"/>
  <c r="E121" i="3"/>
  <c r="E119" i="3"/>
  <c r="E118" i="3"/>
  <c r="E117" i="3"/>
  <c r="E115" i="3"/>
  <c r="E114" i="3"/>
  <c r="E113" i="3"/>
  <c r="E101" i="3"/>
  <c r="E100" i="3"/>
  <c r="E99" i="3"/>
  <c r="E92" i="3"/>
  <c r="E91" i="3"/>
  <c r="E90" i="3"/>
  <c r="E88" i="3"/>
  <c r="E87" i="3"/>
  <c r="E86" i="3"/>
  <c r="E84" i="3"/>
  <c r="E83" i="3"/>
  <c r="E82" i="3"/>
  <c r="E80" i="3"/>
  <c r="E79" i="3"/>
  <c r="E78" i="3"/>
  <c r="E59" i="3"/>
  <c r="E60" i="3"/>
  <c r="E61" i="3"/>
  <c r="E24" i="3"/>
  <c r="E23" i="3"/>
  <c r="E22" i="3"/>
  <c r="E15" i="3"/>
  <c r="E14" i="3"/>
  <c r="E13" i="3"/>
  <c r="P31" i="3" l="1"/>
  <c r="P32" i="3"/>
  <c r="P33" i="3"/>
  <c r="P34" i="3"/>
  <c r="P35" i="3"/>
  <c r="P36" i="3"/>
  <c r="P37" i="3"/>
  <c r="P38" i="3"/>
  <c r="P39" i="3"/>
  <c r="P44" i="3"/>
  <c r="P49" i="3"/>
  <c r="P50" i="3"/>
  <c r="P51" i="3"/>
  <c r="P52" i="3"/>
  <c r="P53" i="3"/>
  <c r="P54" i="3"/>
  <c r="P55" i="3"/>
  <c r="P56" i="3"/>
  <c r="P58" i="3"/>
  <c r="P59" i="3"/>
  <c r="P60" i="3"/>
  <c r="P61" i="3"/>
  <c r="P62" i="3"/>
  <c r="P72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8" i="3"/>
  <c r="P99" i="3"/>
  <c r="P100" i="3"/>
  <c r="P101" i="3"/>
  <c r="P102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32" i="3"/>
  <c r="P133" i="3"/>
  <c r="P134" i="3"/>
  <c r="P135" i="3"/>
  <c r="P136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N136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98" i="3"/>
  <c r="N99" i="3"/>
  <c r="N100" i="3"/>
  <c r="N101" i="3"/>
  <c r="N102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32" i="3"/>
  <c r="N133" i="3"/>
  <c r="N134" i="3"/>
  <c r="N135" i="3"/>
  <c r="N33" i="3"/>
  <c r="N34" i="3"/>
  <c r="N35" i="3"/>
  <c r="N36" i="3"/>
  <c r="N37" i="3"/>
  <c r="N38" i="3"/>
  <c r="N39" i="3"/>
  <c r="N58" i="3"/>
  <c r="N59" i="3"/>
  <c r="N60" i="3"/>
  <c r="N61" i="3"/>
  <c r="N62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31" i="3"/>
  <c r="N32" i="3"/>
  <c r="H165" i="3" l="1" a="1"/>
  <c r="H161" i="3" a="1"/>
  <c r="H157" i="3" a="1"/>
  <c r="H153" i="3" a="1"/>
  <c r="H149" i="3" a="1"/>
  <c r="H145" i="3" a="1"/>
  <c r="H141" i="3" a="1"/>
  <c r="H137" i="3" a="1"/>
  <c r="H133" i="3" a="1"/>
  <c r="H129" i="3" a="1"/>
  <c r="H125" i="3" a="1"/>
  <c r="H121" i="3" a="1"/>
  <c r="H117" i="3" a="1"/>
  <c r="H113" i="3" a="1"/>
  <c r="H99" i="3" a="1"/>
  <c r="H90" i="3" a="1"/>
  <c r="H86" i="3" a="1"/>
  <c r="H82" i="3" a="1"/>
  <c r="H78" i="3" a="1"/>
  <c r="H59" i="3" a="1"/>
  <c r="H50" i="3" a="1"/>
  <c r="H36" i="3" a="1"/>
  <c r="H32" i="3" a="1"/>
  <c r="H18" i="3" a="1"/>
  <c r="C134" i="6"/>
  <c r="C135" i="6"/>
  <c r="C136" i="6"/>
  <c r="C137" i="6"/>
  <c r="C138" i="6"/>
  <c r="C139" i="6"/>
  <c r="C140" i="6"/>
  <c r="C141" i="6"/>
  <c r="C142" i="6"/>
  <c r="C143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22" i="3"/>
  <c r="U123" i="3"/>
  <c r="U124" i="3"/>
  <c r="U125" i="3"/>
  <c r="U126" i="3"/>
  <c r="U127" i="3"/>
  <c r="U128" i="3"/>
  <c r="U132" i="3"/>
  <c r="U133" i="3"/>
  <c r="U134" i="3"/>
  <c r="U135" i="3"/>
  <c r="U136" i="3"/>
  <c r="U140" i="3"/>
  <c r="U141" i="3"/>
  <c r="U142" i="3"/>
  <c r="U143" i="3"/>
  <c r="U144" i="3"/>
  <c r="U145" i="3"/>
  <c r="U146" i="3"/>
  <c r="U147" i="3"/>
  <c r="U148" i="3"/>
  <c r="U149" i="3"/>
  <c r="U87" i="3"/>
  <c r="U88" i="3"/>
  <c r="U89" i="3"/>
  <c r="U90" i="3"/>
  <c r="U91" i="3"/>
  <c r="U92" i="3"/>
  <c r="U93" i="3"/>
  <c r="U98" i="3"/>
  <c r="U99" i="3"/>
  <c r="U100" i="3"/>
  <c r="U101" i="3"/>
  <c r="U102" i="3"/>
  <c r="U112" i="3"/>
  <c r="U113" i="3"/>
  <c r="U114" i="3"/>
  <c r="U115" i="3"/>
  <c r="U116" i="3"/>
  <c r="U117" i="3"/>
  <c r="U118" i="3"/>
  <c r="U119" i="3"/>
  <c r="U120" i="3"/>
  <c r="U121" i="3"/>
  <c r="U58" i="3"/>
  <c r="U59" i="3"/>
  <c r="U60" i="3"/>
  <c r="U61" i="3"/>
  <c r="U62" i="3"/>
  <c r="U77" i="3"/>
  <c r="U78" i="3"/>
  <c r="U79" i="3"/>
  <c r="U80" i="3"/>
  <c r="U81" i="3"/>
  <c r="U82" i="3"/>
  <c r="U83" i="3"/>
  <c r="U84" i="3"/>
  <c r="U85" i="3"/>
  <c r="U86" i="3"/>
  <c r="U32" i="3"/>
  <c r="U33" i="3"/>
  <c r="U34" i="3"/>
  <c r="U35" i="3"/>
  <c r="U36" i="3"/>
  <c r="U37" i="3"/>
  <c r="U38" i="3"/>
  <c r="U39" i="3"/>
  <c r="U49" i="3"/>
  <c r="U50" i="3"/>
  <c r="U51" i="3"/>
  <c r="U52" i="3"/>
  <c r="U53" i="3"/>
  <c r="U31" i="3"/>
  <c r="K4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F76" i="9" l="1"/>
  <c r="F77" i="9"/>
  <c r="H82" i="3"/>
  <c r="F72" i="9"/>
  <c r="F73" i="9"/>
  <c r="H117" i="3"/>
  <c r="F107" i="9"/>
  <c r="F108" i="9"/>
  <c r="F139" i="9"/>
  <c r="F140" i="9"/>
  <c r="H157" i="3"/>
  <c r="F147" i="9"/>
  <c r="F148" i="9"/>
  <c r="F115" i="9"/>
  <c r="F116" i="9"/>
  <c r="H59" i="3"/>
  <c r="F49" i="9"/>
  <c r="F50" i="9"/>
  <c r="F119" i="9"/>
  <c r="F120" i="9"/>
  <c r="H161" i="3"/>
  <c r="F151" i="9"/>
  <c r="F152" i="9"/>
  <c r="H121" i="3"/>
  <c r="F111" i="9"/>
  <c r="F112" i="9"/>
  <c r="H99" i="3"/>
  <c r="F89" i="9"/>
  <c r="F90" i="9"/>
  <c r="H133" i="3"/>
  <c r="F123" i="9"/>
  <c r="F124" i="9"/>
  <c r="H165" i="3"/>
  <c r="F155" i="9"/>
  <c r="F156" i="9"/>
  <c r="H50" i="3"/>
  <c r="F40" i="9"/>
  <c r="F41" i="9"/>
  <c r="H90" i="3"/>
  <c r="F80" i="9"/>
  <c r="F81" i="9"/>
  <c r="H32" i="3"/>
  <c r="F22" i="9"/>
  <c r="F23" i="9"/>
  <c r="H137" i="3"/>
  <c r="F127" i="9"/>
  <c r="F128" i="9"/>
  <c r="H18" i="3"/>
  <c r="F7" i="9" s="1"/>
  <c r="F8" i="9"/>
  <c r="F9" i="9"/>
  <c r="H36" i="3"/>
  <c r="F27" i="9"/>
  <c r="F26" i="9"/>
  <c r="H141" i="3"/>
  <c r="F131" i="9"/>
  <c r="F132" i="9"/>
  <c r="H153" i="3"/>
  <c r="F143" i="9"/>
  <c r="F144" i="9"/>
  <c r="H78" i="3"/>
  <c r="F68" i="9"/>
  <c r="F69" i="9"/>
  <c r="H113" i="3"/>
  <c r="F103" i="9"/>
  <c r="F104" i="9"/>
  <c r="F135" i="9"/>
  <c r="F136" i="9"/>
  <c r="H145" i="3"/>
  <c r="H125" i="3"/>
  <c r="H149" i="3"/>
  <c r="H129" i="3"/>
  <c r="H86" i="3"/>
  <c r="G211" i="3"/>
  <c r="G210" i="3"/>
  <c r="G209" i="3"/>
  <c r="G207" i="3"/>
  <c r="B207" i="3"/>
  <c r="B196" i="9" s="1"/>
  <c r="G206" i="3"/>
  <c r="B206" i="3"/>
  <c r="B195" i="9" s="1"/>
  <c r="G205" i="3"/>
  <c r="B205" i="3"/>
  <c r="B194" i="9" s="1"/>
  <c r="G204" i="3"/>
  <c r="B204" i="3"/>
  <c r="B193" i="9" s="1"/>
  <c r="G203" i="3"/>
  <c r="B203" i="3"/>
  <c r="B192" i="9" s="1"/>
  <c r="G202" i="3"/>
  <c r="B202" i="3"/>
  <c r="B191" i="9" s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4" i="6"/>
  <c r="D142" i="6" l="1"/>
  <c r="E199" i="9"/>
  <c r="D143" i="6"/>
  <c r="E200" i="9"/>
  <c r="D138" i="6"/>
  <c r="E194" i="9"/>
  <c r="D137" i="6"/>
  <c r="E193" i="9"/>
  <c r="D135" i="6"/>
  <c r="E191" i="9"/>
  <c r="D139" i="6"/>
  <c r="E195" i="9"/>
  <c r="D136" i="6"/>
  <c r="E192" i="9"/>
  <c r="D140" i="6"/>
  <c r="E196" i="9"/>
  <c r="D141" i="6"/>
  <c r="E198" i="9"/>
  <c r="F75" i="9"/>
  <c r="F25" i="9"/>
  <c r="F88" i="9"/>
  <c r="F142" i="9"/>
  <c r="F154" i="9"/>
  <c r="F146" i="9"/>
  <c r="F106" i="9"/>
  <c r="F110" i="9"/>
  <c r="F102" i="9"/>
  <c r="F79" i="9"/>
  <c r="F48" i="9"/>
  <c r="F71" i="9"/>
  <c r="F21" i="9"/>
  <c r="F130" i="9"/>
  <c r="F122" i="9"/>
  <c r="F118" i="9"/>
  <c r="F114" i="9"/>
  <c r="F134" i="9"/>
  <c r="F126" i="9"/>
  <c r="F150" i="9"/>
  <c r="F138" i="9"/>
  <c r="F67" i="9"/>
  <c r="F39" i="9"/>
  <c r="H178" i="3" a="1"/>
  <c r="H178" i="3" s="1"/>
  <c r="F167" i="9" s="1"/>
  <c r="H179" i="3" a="1"/>
  <c r="H179" i="3" s="1"/>
  <c r="F168" i="9" s="1"/>
  <c r="H180" i="3" a="1"/>
  <c r="H180" i="3" s="1"/>
  <c r="F169" i="9" s="1"/>
  <c r="H172" i="3" a="1"/>
  <c r="H172" i="3" s="1"/>
  <c r="F161" i="9" s="1"/>
  <c r="H174" i="3" a="1"/>
  <c r="H174" i="3" s="1"/>
  <c r="F163" i="9" s="1"/>
  <c r="H175" i="3" a="1"/>
  <c r="H175" i="3" s="1"/>
  <c r="H176" i="3" a="1"/>
  <c r="H176" i="3" s="1"/>
  <c r="F165" i="9" s="1"/>
  <c r="H182" i="3" a="1"/>
  <c r="H182" i="3" s="1"/>
  <c r="F171" i="9" s="1"/>
  <c r="H183" i="3" a="1"/>
  <c r="H183" i="3" s="1"/>
  <c r="F172" i="9" s="1"/>
  <c r="H184" i="3" a="1"/>
  <c r="H184" i="3" s="1"/>
  <c r="F173" i="9" s="1"/>
  <c r="H186" i="3" a="1"/>
  <c r="H186" i="3" s="1"/>
  <c r="F175" i="9" s="1"/>
  <c r="H187" i="3" a="1"/>
  <c r="H187" i="3" s="1"/>
  <c r="F176" i="9" s="1"/>
  <c r="H188" i="3" a="1"/>
  <c r="H188" i="3" s="1"/>
  <c r="F177" i="9" s="1"/>
  <c r="H189" i="3" a="1"/>
  <c r="H189" i="3" s="1"/>
  <c r="F178" i="9" s="1"/>
  <c r="H190" i="3" a="1"/>
  <c r="H190" i="3" s="1"/>
  <c r="F179" i="9" s="1"/>
  <c r="H191" i="3" a="1"/>
  <c r="H191" i="3" s="1"/>
  <c r="F180" i="9" s="1"/>
  <c r="H192" i="3" a="1"/>
  <c r="H192" i="3" s="1"/>
  <c r="F181" i="9" s="1"/>
  <c r="H193" i="3" a="1"/>
  <c r="H193" i="3" s="1"/>
  <c r="F182" i="9" s="1"/>
  <c r="H194" i="3" a="1"/>
  <c r="H194" i="3" s="1"/>
  <c r="F183" i="9" s="1"/>
  <c r="H195" i="3" a="1"/>
  <c r="H195" i="3" s="1"/>
  <c r="F184" i="9" s="1"/>
  <c r="H196" i="3" a="1"/>
  <c r="H196" i="3" s="1"/>
  <c r="F185" i="9" s="1"/>
  <c r="H171" i="3" a="1"/>
  <c r="H171" i="3" s="1"/>
  <c r="F160" i="9" s="1"/>
  <c r="G172" i="3"/>
  <c r="E161" i="9" s="1"/>
  <c r="G174" i="3"/>
  <c r="E163" i="9" s="1"/>
  <c r="G175" i="3"/>
  <c r="E164" i="9" s="1"/>
  <c r="G176" i="3"/>
  <c r="E165" i="9" s="1"/>
  <c r="G178" i="3"/>
  <c r="E167" i="9" s="1"/>
  <c r="G179" i="3"/>
  <c r="E168" i="9" s="1"/>
  <c r="G180" i="3"/>
  <c r="E169" i="9" s="1"/>
  <c r="G182" i="3"/>
  <c r="E171" i="9" s="1"/>
  <c r="G183" i="3"/>
  <c r="E172" i="9" s="1"/>
  <c r="G184" i="3"/>
  <c r="E173" i="9" s="1"/>
  <c r="G186" i="3"/>
  <c r="E175" i="9" s="1"/>
  <c r="G187" i="3"/>
  <c r="E176" i="9" s="1"/>
  <c r="G188" i="3"/>
  <c r="E177" i="9" s="1"/>
  <c r="G189" i="3"/>
  <c r="E178" i="9" s="1"/>
  <c r="G190" i="3"/>
  <c r="E179" i="9" s="1"/>
  <c r="G191" i="3"/>
  <c r="E180" i="9" s="1"/>
  <c r="G192" i="3"/>
  <c r="E181" i="9" s="1"/>
  <c r="G193" i="3"/>
  <c r="E182" i="9" s="1"/>
  <c r="G194" i="3"/>
  <c r="E183" i="9" s="1"/>
  <c r="G195" i="3"/>
  <c r="E184" i="9" s="1"/>
  <c r="G196" i="3"/>
  <c r="E185" i="9" s="1"/>
  <c r="G171" i="3"/>
  <c r="E160" i="9" s="1"/>
  <c r="B189" i="3"/>
  <c r="B178" i="9" s="1"/>
  <c r="B190" i="3"/>
  <c r="B179" i="9" s="1"/>
  <c r="B181" i="9"/>
  <c r="B194" i="3"/>
  <c r="B183" i="9" s="1"/>
  <c r="B195" i="3"/>
  <c r="B184" i="9" s="1"/>
  <c r="B196" i="3"/>
  <c r="B185" i="9" s="1"/>
  <c r="B172" i="3"/>
  <c r="B161" i="9" s="1"/>
  <c r="B183" i="3"/>
  <c r="B172" i="9" s="1"/>
  <c r="B184" i="3"/>
  <c r="B173" i="9" s="1"/>
  <c r="B186" i="3"/>
  <c r="B175" i="9" s="1"/>
  <c r="B187" i="3"/>
  <c r="B176" i="9" s="1"/>
  <c r="B188" i="3"/>
  <c r="B177" i="9" s="1"/>
  <c r="B171" i="3"/>
  <c r="B160" i="9" s="1"/>
  <c r="F164" i="9" l="1"/>
  <c r="D130" i="6"/>
  <c r="D129" i="6"/>
  <c r="D132" i="6"/>
  <c r="D124" i="6"/>
  <c r="D113" i="6"/>
  <c r="D131" i="6"/>
  <c r="D122" i="6"/>
  <c r="D121" i="6"/>
  <c r="D128" i="6"/>
  <c r="D120" i="6"/>
  <c r="D123" i="6"/>
  <c r="D127" i="6"/>
  <c r="D116" i="6"/>
  <c r="D119" i="6"/>
  <c r="D112" i="6"/>
  <c r="D126" i="6"/>
  <c r="D115" i="6"/>
  <c r="D118" i="6"/>
  <c r="D133" i="6"/>
  <c r="D125" i="6"/>
  <c r="D114" i="6"/>
  <c r="D117" i="6"/>
  <c r="S32" i="3"/>
  <c r="S33" i="3"/>
  <c r="S34" i="3"/>
  <c r="S35" i="3"/>
  <c r="S36" i="3"/>
  <c r="S37" i="3"/>
  <c r="S38" i="3"/>
  <c r="S39" i="3"/>
  <c r="S50" i="3"/>
  <c r="S51" i="3"/>
  <c r="S52" i="3"/>
  <c r="S53" i="3"/>
  <c r="S58" i="3"/>
  <c r="S59" i="3"/>
  <c r="S60" i="3"/>
  <c r="S61" i="3"/>
  <c r="S62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8" i="3"/>
  <c r="S99" i="3"/>
  <c r="S100" i="3"/>
  <c r="S101" i="3"/>
  <c r="S10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32" i="3"/>
  <c r="S133" i="3"/>
  <c r="S134" i="3"/>
  <c r="S135" i="3"/>
  <c r="S136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E32" i="3" l="1"/>
  <c r="E33" i="3"/>
  <c r="E34" i="3"/>
  <c r="E36" i="3"/>
  <c r="E37" i="3"/>
  <c r="E38" i="3"/>
  <c r="E165" i="3"/>
  <c r="E166" i="3"/>
  <c r="E167" i="3"/>
  <c r="D14" i="3" l="1" a="1"/>
  <c r="D14" i="3" s="1"/>
  <c r="C3" i="9" s="1"/>
  <c r="D15" i="3" a="1"/>
  <c r="D15" i="3" s="1"/>
  <c r="C4" i="9" s="1"/>
  <c r="D17" i="3" a="1"/>
  <c r="D17" i="3" s="1"/>
  <c r="C7" i="9"/>
  <c r="C8" i="9"/>
  <c r="C9" i="9"/>
  <c r="D21" i="3" a="1"/>
  <c r="D21" i="3" s="1"/>
  <c r="D22" i="3" a="1"/>
  <c r="D22" i="3" s="1"/>
  <c r="C11" i="9" s="1"/>
  <c r="D23" i="3" a="1"/>
  <c r="D23" i="3" s="1"/>
  <c r="C12" i="9" s="1"/>
  <c r="D24" i="3" a="1"/>
  <c r="D24" i="3" s="1"/>
  <c r="C13" i="9" s="1"/>
  <c r="D26" i="3" a="1"/>
  <c r="D26" i="3" s="1"/>
  <c r="D27" i="3" a="1"/>
  <c r="D27" i="3" s="1"/>
  <c r="C16" i="9" s="1"/>
  <c r="D28" i="3" a="1"/>
  <c r="D28" i="3" s="1"/>
  <c r="C17" i="9" s="1"/>
  <c r="D29" i="3" a="1"/>
  <c r="D29" i="3" s="1"/>
  <c r="C18" i="9" s="1"/>
  <c r="D31" i="3" a="1"/>
  <c r="D31" i="3" s="1"/>
  <c r="D32" i="3" a="1"/>
  <c r="D32" i="3" s="1"/>
  <c r="C21" i="9" s="1"/>
  <c r="D33" i="3" a="1"/>
  <c r="D33" i="3" s="1"/>
  <c r="C22" i="9" s="1"/>
  <c r="D34" i="3" a="1"/>
  <c r="D34" i="3" s="1"/>
  <c r="C23" i="9" s="1"/>
  <c r="D35" i="3" a="1"/>
  <c r="D35" i="3" s="1"/>
  <c r="D36" i="3" a="1"/>
  <c r="D36" i="3" s="1"/>
  <c r="C25" i="9" s="1"/>
  <c r="D37" i="3" a="1"/>
  <c r="D37" i="3" s="1"/>
  <c r="C26" i="9" s="1"/>
  <c r="D38" i="3" a="1"/>
  <c r="D38" i="3" s="1"/>
  <c r="C27" i="9" s="1"/>
  <c r="D39" i="3" a="1"/>
  <c r="D39" i="3" s="1"/>
  <c r="D40" i="3" a="1"/>
  <c r="D40" i="3" s="1"/>
  <c r="C29" i="9" s="1"/>
  <c r="D41" i="3" a="1"/>
  <c r="D41" i="3" s="1"/>
  <c r="C30" i="9" s="1"/>
  <c r="D42" i="3" a="1"/>
  <c r="D42" i="3" s="1"/>
  <c r="C31" i="9" s="1"/>
  <c r="D44" i="3" a="1"/>
  <c r="D44" i="3" s="1"/>
  <c r="D45" i="3" a="1"/>
  <c r="D45" i="3" s="1"/>
  <c r="C34" i="9" s="1"/>
  <c r="D46" i="3" a="1"/>
  <c r="D46" i="3" s="1"/>
  <c r="C35" i="9" s="1"/>
  <c r="D47" i="3" a="1"/>
  <c r="D47" i="3" s="1"/>
  <c r="C36" i="9" s="1"/>
  <c r="D49" i="3" a="1"/>
  <c r="D49" i="3" s="1"/>
  <c r="D50" i="3" a="1"/>
  <c r="D50" i="3" s="1"/>
  <c r="C39" i="9" s="1"/>
  <c r="D51" i="3" a="1"/>
  <c r="D51" i="3" s="1"/>
  <c r="C40" i="9" s="1"/>
  <c r="D52" i="3" a="1"/>
  <c r="D52" i="3" s="1"/>
  <c r="C41" i="9" s="1"/>
  <c r="D53" i="3" a="1"/>
  <c r="D53" i="3" s="1"/>
  <c r="D54" i="3" a="1"/>
  <c r="D54" i="3" s="1"/>
  <c r="C43" i="9" s="1"/>
  <c r="D55" i="3" a="1"/>
  <c r="D55" i="3" s="1"/>
  <c r="C44" i="9" s="1"/>
  <c r="D56" i="3" a="1"/>
  <c r="D56" i="3" s="1"/>
  <c r="C45" i="9" s="1"/>
  <c r="D58" i="3" a="1"/>
  <c r="D58" i="3" s="1"/>
  <c r="D59" i="3" a="1"/>
  <c r="D59" i="3" s="1"/>
  <c r="C48" i="9" s="1"/>
  <c r="D60" i="3" a="1"/>
  <c r="D60" i="3" s="1"/>
  <c r="C49" i="9" s="1"/>
  <c r="D61" i="3" a="1"/>
  <c r="D61" i="3" s="1"/>
  <c r="C50" i="9" s="1"/>
  <c r="D62" i="3" a="1"/>
  <c r="D62" i="3" s="1"/>
  <c r="D63" i="3" a="1"/>
  <c r="D63" i="3" s="1"/>
  <c r="C52" i="9" s="1"/>
  <c r="D64" i="3" a="1"/>
  <c r="D64" i="3" s="1"/>
  <c r="C53" i="9" s="1"/>
  <c r="D65" i="3" a="1"/>
  <c r="D65" i="3" s="1"/>
  <c r="C54" i="9" s="1"/>
  <c r="D67" i="3" a="1"/>
  <c r="D67" i="3" s="1"/>
  <c r="D68" i="3" a="1"/>
  <c r="D68" i="3" s="1"/>
  <c r="C57" i="9" s="1"/>
  <c r="D69" i="3" a="1"/>
  <c r="D69" i="3" s="1"/>
  <c r="C58" i="9" s="1"/>
  <c r="D70" i="3" a="1"/>
  <c r="D70" i="3" s="1"/>
  <c r="C59" i="9" s="1"/>
  <c r="D72" i="3" a="1"/>
  <c r="D72" i="3" s="1"/>
  <c r="D73" i="3" a="1"/>
  <c r="D73" i="3" s="1"/>
  <c r="C62" i="9" s="1"/>
  <c r="D74" i="3" a="1"/>
  <c r="D74" i="3" s="1"/>
  <c r="C63" i="9" s="1"/>
  <c r="D75" i="3" a="1"/>
  <c r="D75" i="3" s="1"/>
  <c r="C64" i="9" s="1"/>
  <c r="D77" i="3" a="1"/>
  <c r="D77" i="3" s="1"/>
  <c r="D78" i="3" a="1"/>
  <c r="D78" i="3" s="1"/>
  <c r="C67" i="9" s="1"/>
  <c r="D79" i="3" a="1"/>
  <c r="D79" i="3" s="1"/>
  <c r="C68" i="9" s="1"/>
  <c r="D80" i="3" a="1"/>
  <c r="D80" i="3" s="1"/>
  <c r="C69" i="9" s="1"/>
  <c r="D81" i="3" a="1"/>
  <c r="D81" i="3" s="1"/>
  <c r="D82" i="3" a="1"/>
  <c r="D82" i="3" s="1"/>
  <c r="C71" i="9" s="1"/>
  <c r="D83" i="3" a="1"/>
  <c r="D83" i="3" s="1"/>
  <c r="C72" i="9" s="1"/>
  <c r="D84" i="3" a="1"/>
  <c r="D84" i="3" s="1"/>
  <c r="C73" i="9" s="1"/>
  <c r="D85" i="3" a="1"/>
  <c r="D85" i="3" s="1"/>
  <c r="D86" i="3" a="1"/>
  <c r="D86" i="3" s="1"/>
  <c r="C75" i="9" s="1"/>
  <c r="D87" i="3" a="1"/>
  <c r="D87" i="3" s="1"/>
  <c r="C76" i="9" s="1"/>
  <c r="D88" i="3" a="1"/>
  <c r="D88" i="3" s="1"/>
  <c r="C77" i="9" s="1"/>
  <c r="D89" i="3" a="1"/>
  <c r="D89" i="3" s="1"/>
  <c r="D90" i="3" a="1"/>
  <c r="D90" i="3" s="1"/>
  <c r="C79" i="9" s="1"/>
  <c r="D91" i="3" a="1"/>
  <c r="D91" i="3" s="1"/>
  <c r="C80" i="9" s="1"/>
  <c r="D92" i="3" a="1"/>
  <c r="D92" i="3" s="1"/>
  <c r="C81" i="9" s="1"/>
  <c r="D93" i="3" a="1"/>
  <c r="D93" i="3" s="1"/>
  <c r="D94" i="3" a="1"/>
  <c r="D94" i="3" s="1"/>
  <c r="C83" i="9" s="1"/>
  <c r="D95" i="3" a="1"/>
  <c r="D95" i="3" s="1"/>
  <c r="C84" i="9" s="1"/>
  <c r="D96" i="3" a="1"/>
  <c r="D96" i="3" s="1"/>
  <c r="C85" i="9" s="1"/>
  <c r="D98" i="3" a="1"/>
  <c r="D98" i="3" s="1"/>
  <c r="D99" i="3" a="1"/>
  <c r="D99" i="3" s="1"/>
  <c r="C88" i="9" s="1"/>
  <c r="D100" i="3" a="1"/>
  <c r="D100" i="3" s="1"/>
  <c r="C89" i="9" s="1"/>
  <c r="D101" i="3" a="1"/>
  <c r="D101" i="3" s="1"/>
  <c r="C90" i="9" s="1"/>
  <c r="D102" i="3" a="1"/>
  <c r="D102" i="3" s="1"/>
  <c r="D103" i="3" a="1"/>
  <c r="D103" i="3" s="1"/>
  <c r="C92" i="9" s="1"/>
  <c r="D104" i="3" a="1"/>
  <c r="D104" i="3" s="1"/>
  <c r="C93" i="9" s="1"/>
  <c r="D105" i="3" a="1"/>
  <c r="D105" i="3" s="1"/>
  <c r="C94" i="9" s="1"/>
  <c r="D107" i="3" a="1"/>
  <c r="D107" i="3" s="1"/>
  <c r="D108" i="3" a="1"/>
  <c r="D108" i="3" s="1"/>
  <c r="C97" i="9" s="1"/>
  <c r="D109" i="3" a="1"/>
  <c r="D109" i="3" s="1"/>
  <c r="C98" i="9" s="1"/>
  <c r="D110" i="3" a="1"/>
  <c r="D110" i="3" s="1"/>
  <c r="C99" i="9" s="1"/>
  <c r="D112" i="3" a="1"/>
  <c r="D112" i="3" s="1"/>
  <c r="D113" i="3" a="1"/>
  <c r="D113" i="3" s="1"/>
  <c r="C102" i="9" s="1"/>
  <c r="D114" i="3" a="1"/>
  <c r="D114" i="3" s="1"/>
  <c r="C103" i="9" s="1"/>
  <c r="D115" i="3" a="1"/>
  <c r="D115" i="3" s="1"/>
  <c r="C104" i="9" s="1"/>
  <c r="D116" i="3" a="1"/>
  <c r="D116" i="3" s="1"/>
  <c r="D117" i="3" a="1"/>
  <c r="D117" i="3" s="1"/>
  <c r="C106" i="9" s="1"/>
  <c r="D118" i="3" a="1"/>
  <c r="D118" i="3" s="1"/>
  <c r="C107" i="9" s="1"/>
  <c r="D119" i="3" a="1"/>
  <c r="D119" i="3" s="1"/>
  <c r="C108" i="9" s="1"/>
  <c r="D120" i="3" a="1"/>
  <c r="D120" i="3" s="1"/>
  <c r="D121" i="3" a="1"/>
  <c r="D121" i="3" s="1"/>
  <c r="C110" i="9" s="1"/>
  <c r="D122" i="3" a="1"/>
  <c r="D122" i="3" s="1"/>
  <c r="C111" i="9" s="1"/>
  <c r="D123" i="3" a="1"/>
  <c r="D123" i="3" s="1"/>
  <c r="C112" i="9" s="1"/>
  <c r="D124" i="3" a="1"/>
  <c r="D124" i="3" s="1"/>
  <c r="D125" i="3" a="1"/>
  <c r="D125" i="3" s="1"/>
  <c r="C114" i="9" s="1"/>
  <c r="D126" i="3" a="1"/>
  <c r="D126" i="3" s="1"/>
  <c r="C115" i="9" s="1"/>
  <c r="D127" i="3" a="1"/>
  <c r="D127" i="3" s="1"/>
  <c r="C116" i="9" s="1"/>
  <c r="D128" i="3" a="1"/>
  <c r="D128" i="3" s="1"/>
  <c r="D129" i="3" a="1"/>
  <c r="D129" i="3" s="1"/>
  <c r="C118" i="9" s="1"/>
  <c r="D130" i="3" a="1"/>
  <c r="D130" i="3" s="1"/>
  <c r="C119" i="9" s="1"/>
  <c r="D131" i="3" a="1"/>
  <c r="D131" i="3" s="1"/>
  <c r="C120" i="9" s="1"/>
  <c r="D132" i="3" a="1"/>
  <c r="D132" i="3" s="1"/>
  <c r="D133" i="3" a="1"/>
  <c r="D133" i="3" s="1"/>
  <c r="C122" i="9" s="1"/>
  <c r="D134" i="3" a="1"/>
  <c r="D134" i="3" s="1"/>
  <c r="C123" i="9" s="1"/>
  <c r="D135" i="3" a="1"/>
  <c r="D135" i="3" s="1"/>
  <c r="C124" i="9" s="1"/>
  <c r="D136" i="3" a="1"/>
  <c r="D136" i="3" s="1"/>
  <c r="D137" i="3" a="1"/>
  <c r="D137" i="3" s="1"/>
  <c r="C126" i="9" s="1"/>
  <c r="D138" i="3" a="1"/>
  <c r="D138" i="3" s="1"/>
  <c r="C127" i="9" s="1"/>
  <c r="D139" i="3" a="1"/>
  <c r="D139" i="3" s="1"/>
  <c r="C128" i="9" s="1"/>
  <c r="D140" i="3" a="1"/>
  <c r="D140" i="3" s="1"/>
  <c r="D141" i="3" a="1"/>
  <c r="D141" i="3" s="1"/>
  <c r="C130" i="9" s="1"/>
  <c r="D142" i="3" a="1"/>
  <c r="D142" i="3" s="1"/>
  <c r="C131" i="9" s="1"/>
  <c r="D143" i="3" a="1"/>
  <c r="D143" i="3" s="1"/>
  <c r="C132" i="9" s="1"/>
  <c r="D144" i="3" a="1"/>
  <c r="D144" i="3" s="1"/>
  <c r="D145" i="3" a="1"/>
  <c r="D145" i="3" s="1"/>
  <c r="C134" i="9" s="1"/>
  <c r="D146" i="3" a="1"/>
  <c r="D146" i="3" s="1"/>
  <c r="C135" i="9" s="1"/>
  <c r="D147" i="3" a="1"/>
  <c r="D147" i="3" s="1"/>
  <c r="C136" i="9" s="1"/>
  <c r="D148" i="3" a="1"/>
  <c r="D148" i="3" s="1"/>
  <c r="D149" i="3" a="1"/>
  <c r="D149" i="3" s="1"/>
  <c r="C138" i="9" s="1"/>
  <c r="D150" i="3" a="1"/>
  <c r="D150" i="3" s="1"/>
  <c r="C139" i="9" s="1"/>
  <c r="D151" i="3" a="1"/>
  <c r="D151" i="3" s="1"/>
  <c r="C140" i="9" s="1"/>
  <c r="D152" i="3" a="1"/>
  <c r="D152" i="3" s="1"/>
  <c r="D153" i="3" a="1"/>
  <c r="D153" i="3" s="1"/>
  <c r="C142" i="9" s="1"/>
  <c r="D154" i="3" a="1"/>
  <c r="D154" i="3" s="1"/>
  <c r="C143" i="9" s="1"/>
  <c r="D155" i="3" a="1"/>
  <c r="D155" i="3" s="1"/>
  <c r="C144" i="9" s="1"/>
  <c r="D156" i="3" a="1"/>
  <c r="D156" i="3" s="1"/>
  <c r="D157" i="3" a="1"/>
  <c r="D157" i="3" s="1"/>
  <c r="C146" i="9" s="1"/>
  <c r="D158" i="3" a="1"/>
  <c r="D158" i="3" s="1"/>
  <c r="C147" i="9" s="1"/>
  <c r="D159" i="3" a="1"/>
  <c r="D159" i="3" s="1"/>
  <c r="C148" i="9" s="1"/>
  <c r="D160" i="3" a="1"/>
  <c r="D160" i="3" s="1"/>
  <c r="D161" i="3" a="1"/>
  <c r="D161" i="3" s="1"/>
  <c r="C150" i="9" s="1"/>
  <c r="D162" i="3" a="1"/>
  <c r="D162" i="3" s="1"/>
  <c r="C151" i="9" s="1"/>
  <c r="D163" i="3" a="1"/>
  <c r="D163" i="3" s="1"/>
  <c r="C152" i="9" s="1"/>
  <c r="D164" i="3" a="1"/>
  <c r="D164" i="3" s="1"/>
  <c r="D165" i="3" a="1"/>
  <c r="D165" i="3" s="1"/>
  <c r="C154" i="9" s="1"/>
  <c r="D166" i="3" a="1"/>
  <c r="D166" i="3" s="1"/>
  <c r="C155" i="9" s="1"/>
  <c r="D167" i="3" a="1"/>
  <c r="D167" i="3" s="1"/>
  <c r="C156" i="9" s="1"/>
  <c r="D13" i="3" a="1"/>
  <c r="D13" i="3" s="1"/>
  <c r="C2" i="9" s="1"/>
  <c r="H12" i="3" a="1"/>
  <c r="H12" i="3" s="1"/>
  <c r="C106" i="6" l="1"/>
  <c r="C100" i="6"/>
  <c r="C94" i="6"/>
  <c r="C88" i="6"/>
  <c r="C82" i="6"/>
  <c r="C76" i="6"/>
  <c r="C70" i="6"/>
  <c r="C64" i="6"/>
  <c r="C58" i="6"/>
  <c r="C52" i="6"/>
  <c r="C46" i="6"/>
  <c r="C40" i="6"/>
  <c r="C34" i="6"/>
  <c r="C28" i="6"/>
  <c r="C22" i="6"/>
  <c r="C16" i="6"/>
  <c r="C10" i="6"/>
  <c r="C4" i="6"/>
  <c r="C111" i="6"/>
  <c r="C93" i="6"/>
  <c r="C75" i="6"/>
  <c r="C69" i="6"/>
  <c r="C51" i="6"/>
  <c r="C45" i="6"/>
  <c r="C39" i="6"/>
  <c r="C33" i="6"/>
  <c r="C27" i="6"/>
  <c r="C21" i="6"/>
  <c r="C15" i="6"/>
  <c r="C9" i="6"/>
  <c r="C105" i="6"/>
  <c r="C81" i="6"/>
  <c r="C57" i="6"/>
  <c r="C104" i="6"/>
  <c r="C92" i="6"/>
  <c r="C86" i="6"/>
  <c r="C80" i="6"/>
  <c r="C74" i="6"/>
  <c r="C68" i="6"/>
  <c r="C62" i="6"/>
  <c r="C56" i="6"/>
  <c r="C50" i="6"/>
  <c r="C44" i="6"/>
  <c r="C38" i="6"/>
  <c r="C32" i="6"/>
  <c r="C26" i="6"/>
  <c r="C20" i="6"/>
  <c r="C14" i="6"/>
  <c r="C8" i="6"/>
  <c r="C99" i="6"/>
  <c r="C87" i="6"/>
  <c r="C63" i="6"/>
  <c r="C110" i="6"/>
  <c r="C98" i="6"/>
  <c r="C109" i="6"/>
  <c r="C103" i="6"/>
  <c r="C97" i="6"/>
  <c r="C91" i="6"/>
  <c r="C85" i="6"/>
  <c r="C79" i="6"/>
  <c r="C73" i="6"/>
  <c r="C67" i="6"/>
  <c r="C61" i="6"/>
  <c r="C55" i="6"/>
  <c r="C49" i="6"/>
  <c r="C43" i="6"/>
  <c r="C37" i="6"/>
  <c r="C31" i="6"/>
  <c r="C25" i="6"/>
  <c r="C19" i="6"/>
  <c r="C13" i="6"/>
  <c r="C7" i="6"/>
  <c r="C102" i="6"/>
  <c r="C90" i="6"/>
  <c r="C84" i="6"/>
  <c r="C78" i="6"/>
  <c r="C72" i="6"/>
  <c r="C66" i="6"/>
  <c r="C60" i="6"/>
  <c r="C54" i="6"/>
  <c r="C48" i="6"/>
  <c r="C42" i="6"/>
  <c r="C36" i="6"/>
  <c r="C30" i="6"/>
  <c r="C24" i="6"/>
  <c r="C18" i="6"/>
  <c r="C12" i="6"/>
  <c r="C6" i="6"/>
  <c r="C108" i="6"/>
  <c r="C96" i="6"/>
  <c r="C107" i="6"/>
  <c r="C101" i="6"/>
  <c r="C95" i="6"/>
  <c r="C89" i="6"/>
  <c r="C83" i="6"/>
  <c r="C77" i="6"/>
  <c r="C71" i="6"/>
  <c r="C65" i="6"/>
  <c r="C59" i="6"/>
  <c r="C53" i="6"/>
  <c r="C47" i="6"/>
  <c r="C41" i="6"/>
  <c r="C35" i="6"/>
  <c r="C29" i="6"/>
  <c r="C23" i="6"/>
  <c r="C17" i="6"/>
  <c r="C11" i="6"/>
  <c r="C5" i="6"/>
  <c r="G167" i="3"/>
  <c r="B167" i="3"/>
  <c r="B156" i="9" s="1"/>
  <c r="G166" i="3"/>
  <c r="B166" i="3"/>
  <c r="B155" i="9" s="1"/>
  <c r="G165" i="3"/>
  <c r="B165" i="3"/>
  <c r="B154" i="9" s="1"/>
  <c r="G164" i="3"/>
  <c r="B164" i="3"/>
  <c r="G163" i="3"/>
  <c r="B163" i="3"/>
  <c r="B152" i="9" s="1"/>
  <c r="G162" i="3"/>
  <c r="B162" i="3"/>
  <c r="B151" i="9" s="1"/>
  <c r="G161" i="3"/>
  <c r="B161" i="3"/>
  <c r="B150" i="9" s="1"/>
  <c r="G160" i="3"/>
  <c r="B160" i="3"/>
  <c r="G159" i="3"/>
  <c r="B159" i="3"/>
  <c r="B148" i="9" s="1"/>
  <c r="G158" i="3"/>
  <c r="B158" i="3"/>
  <c r="B147" i="9" s="1"/>
  <c r="G157" i="3"/>
  <c r="B157" i="3"/>
  <c r="B146" i="9" s="1"/>
  <c r="G156" i="3"/>
  <c r="B156" i="3"/>
  <c r="G155" i="3"/>
  <c r="B155" i="3"/>
  <c r="B144" i="9" s="1"/>
  <c r="G154" i="3"/>
  <c r="B154" i="3"/>
  <c r="B143" i="9" s="1"/>
  <c r="G153" i="3"/>
  <c r="B153" i="3"/>
  <c r="B142" i="9" s="1"/>
  <c r="G152" i="3"/>
  <c r="B152" i="3"/>
  <c r="G151" i="3"/>
  <c r="B151" i="3"/>
  <c r="B140" i="9" s="1"/>
  <c r="G150" i="3"/>
  <c r="B150" i="3"/>
  <c r="B139" i="9" s="1"/>
  <c r="G149" i="3"/>
  <c r="B149" i="3"/>
  <c r="B138" i="9" s="1"/>
  <c r="G148" i="3"/>
  <c r="B148" i="3"/>
  <c r="G147" i="3"/>
  <c r="B147" i="3"/>
  <c r="B136" i="9" s="1"/>
  <c r="G146" i="3"/>
  <c r="B146" i="3"/>
  <c r="B135" i="9" s="1"/>
  <c r="G145" i="3"/>
  <c r="B145" i="3"/>
  <c r="B134" i="9" s="1"/>
  <c r="G144" i="3"/>
  <c r="B144" i="3"/>
  <c r="G143" i="3"/>
  <c r="B143" i="3"/>
  <c r="B132" i="9" s="1"/>
  <c r="G142" i="3"/>
  <c r="B142" i="3"/>
  <c r="B131" i="9" s="1"/>
  <c r="G141" i="3"/>
  <c r="B141" i="3"/>
  <c r="B130" i="9" s="1"/>
  <c r="G140" i="3"/>
  <c r="B140" i="3"/>
  <c r="G139" i="3"/>
  <c r="G138" i="3"/>
  <c r="G137" i="3"/>
  <c r="G136" i="3"/>
  <c r="B136" i="3"/>
  <c r="G135" i="3"/>
  <c r="B135" i="3"/>
  <c r="B124" i="9" s="1"/>
  <c r="G134" i="3"/>
  <c r="B134" i="3"/>
  <c r="B123" i="9" s="1"/>
  <c r="G133" i="3"/>
  <c r="B133" i="3"/>
  <c r="B122" i="9" s="1"/>
  <c r="G132" i="3"/>
  <c r="B132" i="3"/>
  <c r="G131" i="3"/>
  <c r="G130" i="3"/>
  <c r="G129" i="3"/>
  <c r="G128" i="3"/>
  <c r="B128" i="3"/>
  <c r="G127" i="3"/>
  <c r="B127" i="3"/>
  <c r="B116" i="9" s="1"/>
  <c r="G126" i="3"/>
  <c r="B126" i="3"/>
  <c r="B115" i="9" s="1"/>
  <c r="G125" i="3"/>
  <c r="B125" i="3"/>
  <c r="B114" i="9" s="1"/>
  <c r="G124" i="3"/>
  <c r="B124" i="3"/>
  <c r="G123" i="3"/>
  <c r="B123" i="3"/>
  <c r="B112" i="9" s="1"/>
  <c r="G122" i="3"/>
  <c r="B122" i="3"/>
  <c r="B111" i="9" s="1"/>
  <c r="G121" i="3"/>
  <c r="B121" i="3"/>
  <c r="B110" i="9" s="1"/>
  <c r="G120" i="3"/>
  <c r="B120" i="3"/>
  <c r="G119" i="3"/>
  <c r="B119" i="3"/>
  <c r="B108" i="9" s="1"/>
  <c r="G118" i="3"/>
  <c r="B118" i="3"/>
  <c r="B107" i="9" s="1"/>
  <c r="G117" i="3"/>
  <c r="B117" i="3"/>
  <c r="B106" i="9" s="1"/>
  <c r="G116" i="3"/>
  <c r="B116" i="3"/>
  <c r="G115" i="3"/>
  <c r="B115" i="3"/>
  <c r="B104" i="9" s="1"/>
  <c r="G114" i="3"/>
  <c r="B114" i="3"/>
  <c r="B103" i="9" s="1"/>
  <c r="G113" i="3"/>
  <c r="B113" i="3"/>
  <c r="B102" i="9" s="1"/>
  <c r="G112" i="3"/>
  <c r="B112" i="3"/>
  <c r="G110" i="3"/>
  <c r="G109" i="3"/>
  <c r="G108" i="3"/>
  <c r="G107" i="3"/>
  <c r="G105" i="3"/>
  <c r="G104" i="3"/>
  <c r="G103" i="3"/>
  <c r="G102" i="3"/>
  <c r="B102" i="3"/>
  <c r="G101" i="3"/>
  <c r="B101" i="3"/>
  <c r="B90" i="9" s="1"/>
  <c r="G100" i="3"/>
  <c r="B100" i="3"/>
  <c r="B89" i="9" s="1"/>
  <c r="G99" i="3"/>
  <c r="B99" i="3"/>
  <c r="B88" i="9" s="1"/>
  <c r="G98" i="3"/>
  <c r="B98" i="3"/>
  <c r="G96" i="3"/>
  <c r="G95" i="3"/>
  <c r="G94" i="3"/>
  <c r="G93" i="3"/>
  <c r="B93" i="3"/>
  <c r="G92" i="3"/>
  <c r="B92" i="3"/>
  <c r="B81" i="9" s="1"/>
  <c r="G91" i="3"/>
  <c r="B91" i="3"/>
  <c r="B80" i="9" s="1"/>
  <c r="G90" i="3"/>
  <c r="B90" i="3"/>
  <c r="B79" i="9" s="1"/>
  <c r="G89" i="3"/>
  <c r="B89" i="3"/>
  <c r="G88" i="3"/>
  <c r="B88" i="3"/>
  <c r="B77" i="9" s="1"/>
  <c r="G87" i="3"/>
  <c r="B87" i="3"/>
  <c r="B76" i="9" s="1"/>
  <c r="G86" i="3"/>
  <c r="B86" i="3"/>
  <c r="B75" i="9" s="1"/>
  <c r="G85" i="3"/>
  <c r="B85" i="3"/>
  <c r="G84" i="3"/>
  <c r="B84" i="3"/>
  <c r="B73" i="9" s="1"/>
  <c r="G83" i="3"/>
  <c r="B83" i="3"/>
  <c r="B72" i="9" s="1"/>
  <c r="G82" i="3"/>
  <c r="B82" i="3"/>
  <c r="B71" i="9" s="1"/>
  <c r="G81" i="3"/>
  <c r="B81" i="3"/>
  <c r="G80" i="3"/>
  <c r="B80" i="3"/>
  <c r="B69" i="9" s="1"/>
  <c r="G79" i="3"/>
  <c r="B79" i="3"/>
  <c r="B68" i="9" s="1"/>
  <c r="G78" i="3"/>
  <c r="B78" i="3"/>
  <c r="B67" i="9" s="1"/>
  <c r="G77" i="3"/>
  <c r="B77" i="3"/>
  <c r="G75" i="3"/>
  <c r="G74" i="3"/>
  <c r="G73" i="3"/>
  <c r="G72" i="3"/>
  <c r="G70" i="3"/>
  <c r="G69" i="3"/>
  <c r="G68" i="3"/>
  <c r="G67" i="3"/>
  <c r="G65" i="3"/>
  <c r="G64" i="3"/>
  <c r="G63" i="3"/>
  <c r="G62" i="3"/>
  <c r="B62" i="3"/>
  <c r="G61" i="3"/>
  <c r="B61" i="3"/>
  <c r="B50" i="9" s="1"/>
  <c r="G60" i="3"/>
  <c r="B60" i="3"/>
  <c r="B49" i="9" s="1"/>
  <c r="G59" i="3"/>
  <c r="B59" i="3"/>
  <c r="B48" i="9" s="1"/>
  <c r="G58" i="3"/>
  <c r="B58" i="3"/>
  <c r="G56" i="3"/>
  <c r="G55" i="3"/>
  <c r="G54" i="3"/>
  <c r="G53" i="3"/>
  <c r="B53" i="3"/>
  <c r="G52" i="3"/>
  <c r="B52" i="3"/>
  <c r="B41" i="9" s="1"/>
  <c r="G51" i="3"/>
  <c r="B51" i="3"/>
  <c r="B40" i="9" s="1"/>
  <c r="G50" i="3"/>
  <c r="B50" i="3"/>
  <c r="B39" i="9" s="1"/>
  <c r="G49" i="3"/>
  <c r="B49" i="3"/>
  <c r="G47" i="3"/>
  <c r="G46" i="3"/>
  <c r="G45" i="3"/>
  <c r="G44" i="3"/>
  <c r="G42" i="3"/>
  <c r="G41" i="3"/>
  <c r="G40" i="3"/>
  <c r="G39" i="3"/>
  <c r="B39" i="3"/>
  <c r="G38" i="3"/>
  <c r="B38" i="3"/>
  <c r="B27" i="9" s="1"/>
  <c r="G37" i="3"/>
  <c r="B37" i="3"/>
  <c r="B26" i="9" s="1"/>
  <c r="G36" i="3"/>
  <c r="B36" i="3"/>
  <c r="B25" i="9" s="1"/>
  <c r="G35" i="3"/>
  <c r="B35" i="3"/>
  <c r="G34" i="3"/>
  <c r="B34" i="3"/>
  <c r="B23" i="9" s="1"/>
  <c r="G33" i="3"/>
  <c r="B33" i="3"/>
  <c r="B22" i="9" s="1"/>
  <c r="G32" i="3"/>
  <c r="B32" i="3"/>
  <c r="B21" i="9" s="1"/>
  <c r="G31" i="3"/>
  <c r="B31" i="3"/>
  <c r="G29" i="3"/>
  <c r="G28" i="3"/>
  <c r="G27" i="3"/>
  <c r="G26" i="3"/>
  <c r="G24" i="3"/>
  <c r="G23" i="3"/>
  <c r="G22" i="3"/>
  <c r="G21" i="3"/>
  <c r="G20" i="3"/>
  <c r="B9" i="9"/>
  <c r="G19" i="3"/>
  <c r="B8" i="9"/>
  <c r="G18" i="3"/>
  <c r="B7" i="9"/>
  <c r="I2" i="9" s="1" a="1"/>
  <c r="I2" i="9" s="1"/>
  <c r="G17" i="3"/>
  <c r="G15" i="3"/>
  <c r="G14" i="3"/>
  <c r="G13" i="3"/>
  <c r="D26" i="6" l="1"/>
  <c r="E35" i="9"/>
  <c r="D60" i="6"/>
  <c r="E85" i="9"/>
  <c r="D68" i="6"/>
  <c r="E98" i="9"/>
  <c r="D10" i="6"/>
  <c r="E11" i="9"/>
  <c r="D38" i="6"/>
  <c r="E53" i="9"/>
  <c r="D7" i="6"/>
  <c r="E7" i="9"/>
  <c r="D16" i="6"/>
  <c r="E21" i="9"/>
  <c r="D23" i="6"/>
  <c r="E30" i="9"/>
  <c r="D84" i="6"/>
  <c r="E120" i="9"/>
  <c r="D87" i="6"/>
  <c r="E124" i="9"/>
  <c r="D4" i="6"/>
  <c r="E2" i="9"/>
  <c r="D14" i="6"/>
  <c r="E17" i="9"/>
  <c r="D25" i="6"/>
  <c r="E34" i="9"/>
  <c r="D29" i="6"/>
  <c r="E40" i="9"/>
  <c r="D42" i="6"/>
  <c r="E59" i="9"/>
  <c r="D46" i="6"/>
  <c r="E67" i="9"/>
  <c r="D49" i="6"/>
  <c r="E71" i="9"/>
  <c r="D52" i="6"/>
  <c r="E75" i="9"/>
  <c r="D55" i="6"/>
  <c r="E79" i="9"/>
  <c r="D59" i="6"/>
  <c r="E84" i="9"/>
  <c r="D67" i="6"/>
  <c r="E97" i="9"/>
  <c r="D71" i="6"/>
  <c r="E103" i="9"/>
  <c r="D74" i="6"/>
  <c r="E107" i="9"/>
  <c r="D77" i="6"/>
  <c r="E111" i="9"/>
  <c r="D80" i="6"/>
  <c r="E115" i="9"/>
  <c r="D91" i="6"/>
  <c r="E130" i="9"/>
  <c r="D94" i="6"/>
  <c r="E134" i="9"/>
  <c r="D97" i="6"/>
  <c r="E138" i="9"/>
  <c r="D100" i="6"/>
  <c r="E142" i="9"/>
  <c r="D103" i="6"/>
  <c r="E146" i="9"/>
  <c r="D106" i="6"/>
  <c r="E150" i="9"/>
  <c r="D109" i="6"/>
  <c r="E154" i="9"/>
  <c r="D6" i="6"/>
  <c r="E4" i="9"/>
  <c r="D27" i="6"/>
  <c r="E36" i="9"/>
  <c r="D30" i="6"/>
  <c r="E41" i="9"/>
  <c r="D37" i="6"/>
  <c r="E52" i="9"/>
  <c r="D43" i="6"/>
  <c r="E62" i="9"/>
  <c r="D47" i="6"/>
  <c r="E68" i="9"/>
  <c r="D50" i="6"/>
  <c r="E72" i="9"/>
  <c r="D53" i="6"/>
  <c r="E76" i="9"/>
  <c r="D56" i="6"/>
  <c r="E80" i="9"/>
  <c r="D69" i="6"/>
  <c r="E99" i="9"/>
  <c r="D72" i="6"/>
  <c r="E104" i="9"/>
  <c r="D75" i="6"/>
  <c r="E108" i="9"/>
  <c r="D78" i="6"/>
  <c r="E112" i="9"/>
  <c r="D81" i="6"/>
  <c r="E116" i="9"/>
  <c r="D88" i="6"/>
  <c r="E126" i="9"/>
  <c r="D92" i="6"/>
  <c r="E131" i="9"/>
  <c r="D95" i="6"/>
  <c r="E135" i="9"/>
  <c r="D98" i="6"/>
  <c r="E139" i="9"/>
  <c r="D101" i="6"/>
  <c r="E143" i="9"/>
  <c r="D104" i="6"/>
  <c r="E147" i="9"/>
  <c r="D107" i="6"/>
  <c r="E151" i="9"/>
  <c r="D110" i="6"/>
  <c r="E155" i="9"/>
  <c r="D85" i="6"/>
  <c r="E122" i="9"/>
  <c r="D11" i="6"/>
  <c r="E12" i="9"/>
  <c r="D22" i="6"/>
  <c r="E29" i="9"/>
  <c r="D39" i="6"/>
  <c r="E54" i="9"/>
  <c r="D45" i="6"/>
  <c r="E64" i="9"/>
  <c r="D48" i="6"/>
  <c r="E69" i="9"/>
  <c r="D51" i="6"/>
  <c r="E73" i="9"/>
  <c r="D54" i="6"/>
  <c r="E77" i="9"/>
  <c r="D57" i="6"/>
  <c r="E81" i="9"/>
  <c r="D64" i="6"/>
  <c r="E92" i="9"/>
  <c r="D90" i="6"/>
  <c r="E128" i="9"/>
  <c r="D93" i="6"/>
  <c r="E132" i="9"/>
  <c r="D96" i="6"/>
  <c r="E136" i="9"/>
  <c r="D99" i="6"/>
  <c r="E140" i="9"/>
  <c r="D102" i="6"/>
  <c r="E144" i="9"/>
  <c r="D105" i="6"/>
  <c r="E148" i="9"/>
  <c r="D108" i="6"/>
  <c r="E152" i="9"/>
  <c r="D111" i="6"/>
  <c r="E156" i="9"/>
  <c r="D89" i="6"/>
  <c r="E127" i="9"/>
  <c r="D31" i="6"/>
  <c r="E43" i="9"/>
  <c r="D35" i="6"/>
  <c r="E49" i="9"/>
  <c r="D61" i="6"/>
  <c r="E88" i="9"/>
  <c r="D65" i="6"/>
  <c r="E93" i="9"/>
  <c r="D82" i="6"/>
  <c r="E118" i="9"/>
  <c r="D86" i="6"/>
  <c r="E123" i="9"/>
  <c r="D5" i="6"/>
  <c r="E3" i="9"/>
  <c r="D9" i="6"/>
  <c r="E9" i="9"/>
  <c r="D15" i="6"/>
  <c r="E18" i="9"/>
  <c r="D21" i="6"/>
  <c r="E27" i="9"/>
  <c r="D63" i="6"/>
  <c r="E90" i="9"/>
  <c r="D34" i="6"/>
  <c r="E48" i="9"/>
  <c r="D44" i="6"/>
  <c r="E63" i="9"/>
  <c r="D12" i="6"/>
  <c r="E13" i="9"/>
  <c r="D19" i="6"/>
  <c r="E25" i="9"/>
  <c r="D40" i="6"/>
  <c r="E57" i="9"/>
  <c r="D66" i="6"/>
  <c r="E94" i="9"/>
  <c r="D70" i="6"/>
  <c r="E102" i="9"/>
  <c r="D73" i="6"/>
  <c r="E106" i="9"/>
  <c r="D76" i="6"/>
  <c r="E110" i="9"/>
  <c r="D79" i="6"/>
  <c r="E114" i="9"/>
  <c r="D83" i="6"/>
  <c r="E119" i="9"/>
  <c r="D18" i="6"/>
  <c r="E23" i="9"/>
  <c r="D24" i="6"/>
  <c r="E31" i="9"/>
  <c r="D28" i="6"/>
  <c r="E39" i="9"/>
  <c r="D32" i="6"/>
  <c r="E44" i="9"/>
  <c r="D8" i="6"/>
  <c r="E8" i="9"/>
  <c r="D13" i="6"/>
  <c r="E16" i="9"/>
  <c r="D17" i="6"/>
  <c r="E22" i="9"/>
  <c r="D20" i="6"/>
  <c r="E26" i="9"/>
  <c r="D33" i="6"/>
  <c r="E45" i="9"/>
  <c r="D36" i="6"/>
  <c r="E50" i="9"/>
  <c r="D41" i="6"/>
  <c r="E58" i="9"/>
  <c r="D58" i="6"/>
  <c r="E83" i="9"/>
  <c r="D62" i="6"/>
  <c r="E89" i="9"/>
  <c r="L2" i="9" l="1" a="1"/>
  <c r="L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<sst xmlns="http://schemas.openxmlformats.org/spreadsheetml/2006/main" count="948" uniqueCount="449">
  <si>
    <t>id</t>
  </si>
  <si>
    <t>portrait</t>
  </si>
  <si>
    <t>name</t>
  </si>
  <si>
    <t>description</t>
  </si>
  <si>
    <t>behaviour_script</t>
  </si>
  <si>
    <t>parm_int</t>
  </si>
  <si>
    <t>parm_string</t>
  </si>
  <si>
    <t>uint key</t>
  </si>
  <si>
    <t>string</t>
  </si>
  <si>
    <t>int[]</t>
  </si>
  <si>
    <t>string[]</t>
  </si>
  <si>
    <t>编号</t>
  </si>
  <si>
    <t>效果备注</t>
  </si>
  <si>
    <r>
      <rPr>
        <b/>
        <sz val="11"/>
        <color theme="1"/>
        <rFont val="等线"/>
        <family val="3"/>
        <charset val="134"/>
        <scheme val="minor"/>
      </rPr>
      <t>图标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配置address</t>
    </r>
  </si>
  <si>
    <t>Relic名称</t>
  </si>
  <si>
    <t>Relic 效果描述</t>
  </si>
  <si>
    <t>替代备注
(选填)</t>
  </si>
  <si>
    <t>Relic脚本</t>
  </si>
  <si>
    <t>备注：参数生效方式</t>
  </si>
  <si>
    <r>
      <rPr>
        <b/>
        <sz val="11"/>
        <color theme="1"/>
        <rFont val="等线"/>
        <family val="3"/>
        <charset val="134"/>
        <scheme val="minor"/>
      </rPr>
      <t xml:space="preserve">int类型参数
</t>
    </r>
    <r>
      <rPr>
        <i/>
        <sz val="10"/>
        <color theme="1"/>
        <rFont val="等线"/>
        <family val="3"/>
        <charset val="134"/>
        <scheme val="minor"/>
      </rPr>
      <t>作用见备注</t>
    </r>
  </si>
  <si>
    <t>string类型参数</t>
  </si>
  <si>
    <t>zoommelee</t>
  </si>
  <si>
    <t>近战武器放大20%</t>
  </si>
  <si>
    <t>ZoomMeleeRelic</t>
  </si>
  <si>
    <t>AccelerateRelic</t>
  </si>
  <si>
    <t>parm_int[0] = v.x，在代码中1:1转为 float</t>
  </si>
  <si>
    <t>titan</t>
  </si>
  <si>
    <t>见鬼，它们是吃了什么?</t>
  </si>
  <si>
    <t>TitanEnemyRelic</t>
  </si>
  <si>
    <t>difficult</t>
  </si>
  <si>
    <t>钟声响了，是谁敲的!</t>
  </si>
  <si>
    <t>DifficultModeRelic</t>
  </si>
  <si>
    <t>lucky</t>
  </si>
  <si>
    <t>如果还能不掉落就应该是人的问题了</t>
  </si>
  <si>
    <t>LuckyDogRelic</t>
  </si>
  <si>
    <t>parm_int[0] = 暴击率增加值，千分比。</t>
  </si>
  <si>
    <t>加速测试</t>
  </si>
  <si>
    <t>Relic_Modify_Variable</t>
  </si>
  <si>
    <t>global_atk_pts</t>
  </si>
  <si>
    <t>global_atk_add</t>
  </si>
  <si>
    <t>global_knockback</t>
  </si>
  <si>
    <t>parm_int[0] = 破甲增加值，百分比的千分比。</t>
  </si>
  <si>
    <t>global_armor_piercing</t>
  </si>
  <si>
    <t>global_armor_add</t>
  </si>
  <si>
    <t>global_hp_pts</t>
  </si>
  <si>
    <t>global_hp_add</t>
  </si>
  <si>
    <t>melee_atk_pts</t>
  </si>
  <si>
    <t>melee_atk_add</t>
  </si>
  <si>
    <t>melee_knockback</t>
  </si>
  <si>
    <t>melee_armor_piercing</t>
  </si>
  <si>
    <t>melee_sharpness_durability</t>
  </si>
  <si>
    <t>melee_sharpness_add</t>
  </si>
  <si>
    <t>melee_sharpness_recover</t>
  </si>
  <si>
    <t>ranged_atk_pts</t>
  </si>
  <si>
    <t>ranged_atk_add</t>
  </si>
  <si>
    <t>ranged_knockback</t>
  </si>
  <si>
    <t>ranged_armor_piercing</t>
  </si>
  <si>
    <t>ranged_reloading_speedup</t>
  </si>
  <si>
    <t>ranged_capacity</t>
  </si>
  <si>
    <t>ranged_salvo</t>
  </si>
  <si>
    <t>ranged_critical_reload</t>
  </si>
  <si>
    <t>ranged_ammo_bigger</t>
  </si>
  <si>
    <t>wheel_charge_capacity</t>
  </si>
  <si>
    <t>wheel_charge_effect</t>
  </si>
  <si>
    <t>wheel_charge_recover</t>
  </si>
  <si>
    <t>wheel_tractive_force</t>
  </si>
  <si>
    <t>ram_stability</t>
  </si>
  <si>
    <t>ram_maneuverability</t>
  </si>
  <si>
    <t>ram_dmg_speed_bonus</t>
  </si>
  <si>
    <t>Vlookup</t>
  </si>
  <si>
    <t>Type</t>
  </si>
  <si>
    <t>第1位</t>
  </si>
  <si>
    <t>第2位</t>
  </si>
  <si>
    <t>第3位</t>
  </si>
  <si>
    <t>第4位</t>
  </si>
  <si>
    <t>第5位</t>
  </si>
  <si>
    <t>第6位</t>
  </si>
  <si>
    <t>备注</t>
  </si>
  <si>
    <t>投放说明</t>
  </si>
  <si>
    <t>pts</t>
  </si>
  <si>
    <t>0 = 全局</t>
  </si>
  <si>
    <t>猛虎印记</t>
  </si>
  <si>
    <t>全局加成，效果数值应偏低，暂定*=40%</t>
  </si>
  <si>
    <t>add</t>
  </si>
  <si>
    <t>猎豹印记</t>
  </si>
  <si>
    <t>苍鹰印记</t>
  </si>
  <si>
    <t>恶犬印记</t>
  </si>
  <si>
    <t>灰熊印记</t>
  </si>
  <si>
    <t>有限投放</t>
  </si>
  <si>
    <t>郊狼印记</t>
  </si>
  <si>
    <t>海龟印记</t>
  </si>
  <si>
    <t>犀牛印记</t>
  </si>
  <si>
    <t>大象印记</t>
  </si>
  <si>
    <t>1 = 近战武器</t>
  </si>
  <si>
    <t>猛虎图腾</t>
  </si>
  <si>
    <t>撞角同样受此加成</t>
  </si>
  <si>
    <t>拥有近战设备或撞角设备时解锁</t>
  </si>
  <si>
    <t>猎豹图腾</t>
  </si>
  <si>
    <t>苍鹰图腾</t>
  </si>
  <si>
    <t>恶犬图腾</t>
  </si>
  <si>
    <t>灰熊图腾</t>
  </si>
  <si>
    <t>拥有近战设备或撞角设备时解锁；有限投放</t>
  </si>
  <si>
    <t>06 = 近战武器 破甲附加值</t>
  </si>
  <si>
    <t>郊狼图腾</t>
  </si>
  <si>
    <t>21 = 近战武器 锋利度耐久</t>
  </si>
  <si>
    <t>天空图腾</t>
  </si>
  <si>
    <t>降低锋利度的损失速率</t>
  </si>
  <si>
    <t>拥有近战设备时解锁</t>
  </si>
  <si>
    <t>22 = 近战武器 锋利度上限</t>
  </si>
  <si>
    <t>峭壁图腾</t>
  </si>
  <si>
    <t>锋利度超过100%时，可以增加武器伤害</t>
  </si>
  <si>
    <t>23 = 近战武器 磨刀速率</t>
  </si>
  <si>
    <t>海洋图腾</t>
  </si>
  <si>
    <t>31 = 近战武器 自锐刀刃</t>
  </si>
  <si>
    <t>剃刀图腾</t>
  </si>
  <si>
    <t>机制类：造成暴击时恢复耐久</t>
  </si>
  <si>
    <t>有限投放；稀有投放</t>
  </si>
  <si>
    <t/>
  </si>
  <si>
    <t>2 = 远程武器</t>
  </si>
  <si>
    <t>猛虎纹章</t>
  </si>
  <si>
    <t>猎豹纹章</t>
  </si>
  <si>
    <t>苍鹰纹章</t>
  </si>
  <si>
    <t>恶犬纹章</t>
  </si>
  <si>
    <t>05 = 飞射物 击退百分比</t>
  </si>
  <si>
    <t>灰熊纹章</t>
  </si>
  <si>
    <t>06 = 飞射物 破甲附加值</t>
  </si>
  <si>
    <t>郊狼纹章</t>
  </si>
  <si>
    <t>21 = 远程武器 装填速率</t>
  </si>
  <si>
    <t>微风纹章</t>
  </si>
  <si>
    <t>22 = 远程武器 弹匣容量</t>
  </si>
  <si>
    <t>乌云纹章</t>
  </si>
  <si>
    <t>23 = 远程武器 齐发数量</t>
  </si>
  <si>
    <t>细雨纹章</t>
  </si>
  <si>
    <t>有限投放；顺序投放</t>
  </si>
  <si>
    <t>皓月纹章</t>
  </si>
  <si>
    <t>机制类：造成暴击时恢复1弹药</t>
  </si>
  <si>
    <t>32 = 飞射物 体积增大</t>
  </si>
  <si>
    <t>烈日纹章</t>
  </si>
  <si>
    <t>机制类：增大子弹的外观和碰撞体积</t>
  </si>
  <si>
    <t>3 = 车轮</t>
  </si>
  <si>
    <t>21 = 车轮 冲刺可用次数</t>
  </si>
  <si>
    <t>蓝色宝石</t>
  </si>
  <si>
    <t>有限投放；仅2级</t>
  </si>
  <si>
    <t>22 = 车轮 冲刺效果提升</t>
  </si>
  <si>
    <t>红色宝石</t>
  </si>
  <si>
    <t>23 = 车轮 冲刺能量恢复</t>
  </si>
  <si>
    <t>绿色宝石</t>
  </si>
  <si>
    <t>24 = 车轮 动力增强</t>
  </si>
  <si>
    <t>黄色宝石</t>
  </si>
  <si>
    <t>4 = 盾牌</t>
  </si>
  <si>
    <t>5 = 钩索</t>
  </si>
  <si>
    <t>6 = 撞角</t>
  </si>
  <si>
    <t>21 = 撞角 稳定性</t>
  </si>
  <si>
    <t>三角符号</t>
  </si>
  <si>
    <t>不容易被撞歪；百分比提升</t>
  </si>
  <si>
    <t>22 = 撞角 操纵性</t>
  </si>
  <si>
    <t>正圆符号</t>
  </si>
  <si>
    <t>百分比提升</t>
  </si>
  <si>
    <t>23 = 撞角 速度伤害附加</t>
  </si>
  <si>
    <t>星形符号</t>
  </si>
  <si>
    <t>global_critical_chance</t>
  </si>
  <si>
    <t>melee_critical_chance</t>
  </si>
  <si>
    <t>ranged_critical_chance</t>
  </si>
  <si>
    <t>global_critical_dmg_rate</t>
  </si>
  <si>
    <t>melee_critical_dmg_rate</t>
  </si>
  <si>
    <t>ranged_critical_dmg_rate</t>
  </si>
  <si>
    <t>31 = 远程武器 暴击时弹药恢复</t>
    <phoneticPr fontId="11" type="noConversion"/>
  </si>
  <si>
    <t>备注
Relic 名称</t>
    <phoneticPr fontId="11" type="noConversion"/>
  </si>
  <si>
    <t>火星蝶</t>
  </si>
  <si>
    <t>命名参考1</t>
    <phoneticPr fontId="11" type="noConversion"/>
  </si>
  <si>
    <t>命名参考2</t>
    <phoneticPr fontId="11" type="noConversion"/>
  </si>
  <si>
    <t>肌肉金轮草</t>
  </si>
  <si>
    <t>阿菊</t>
  </si>
  <si>
    <t>托利莲</t>
  </si>
  <si>
    <t>紫水晶；粉水晶；黄水晶</t>
  </si>
  <si>
    <t>国王骰子</t>
  </si>
  <si>
    <t>守护符</t>
  </si>
  <si>
    <t>文护符</t>
  </si>
  <si>
    <t>礼护符</t>
  </si>
  <si>
    <t>锄头</t>
  </si>
  <si>
    <t>斧头</t>
  </si>
  <si>
    <t>扳手</t>
  </si>
  <si>
    <t>起子</t>
  </si>
  <si>
    <t>钳子</t>
  </si>
  <si>
    <t>麻辣蟹钳；蒜蓉蟹钳；十三香蟹钳</t>
  </si>
  <si>
    <t>机械义肢</t>
  </si>
  <si>
    <t>开锁工具</t>
  </si>
  <si>
    <t>阿飞手铐</t>
  </si>
  <si>
    <t>花雕怪味鱼</t>
  </si>
  <si>
    <t>天地一口香</t>
  </si>
  <si>
    <t>子母春茧</t>
  </si>
  <si>
    <t>义结金兰</t>
  </si>
  <si>
    <t>猴儿酒</t>
  </si>
  <si>
    <t>工头喇叭</t>
  </si>
  <si>
    <t>典狱长徽章</t>
  </si>
  <si>
    <t>太阳勋章</t>
  </si>
  <si>
    <t>箱子</t>
  </si>
  <si>
    <t>屋顶羊</t>
  </si>
  <si>
    <t>赵日天原件</t>
  </si>
  <si>
    <t>赵日天号</t>
  </si>
  <si>
    <t>赵日天能量球</t>
  </si>
  <si>
    <t>赵日天核心</t>
  </si>
  <si>
    <t>警官帽</t>
  </si>
  <si>
    <t>花洒</t>
  </si>
  <si>
    <t>牢房门</t>
  </si>
  <si>
    <t>relic_icons[relic_layout_100]</t>
    <phoneticPr fontId="11" type="noConversion"/>
  </si>
  <si>
    <t>30 = relic （数值类）</t>
    <phoneticPr fontId="11" type="noConversion"/>
  </si>
  <si>
    <t>int</t>
    <phoneticPr fontId="11" type="noConversion"/>
  </si>
  <si>
    <t>max_num</t>
    <phoneticPr fontId="11" type="noConversion"/>
  </si>
  <si>
    <t>unlocked_init</t>
    <phoneticPr fontId="11" type="noConversion"/>
  </si>
  <si>
    <t>bool</t>
    <phoneticPr fontId="11" type="noConversion"/>
  </si>
  <si>
    <r>
      <t xml:space="preserve">默认已解锁
</t>
    </r>
    <r>
      <rPr>
        <i/>
        <sz val="9"/>
        <color theme="1"/>
        <rFont val="等线"/>
        <family val="3"/>
        <charset val="134"/>
        <scheme val="minor"/>
      </rPr>
      <t>true：新游戏已解锁
false：新游戏未解锁</t>
    </r>
    <phoneticPr fontId="11" type="noConversion"/>
  </si>
  <si>
    <t>uint[]</t>
    <phoneticPr fontId="11" type="noConversion"/>
  </si>
  <si>
    <t>lock_relic</t>
    <phoneticPr fontId="11" type="noConversion"/>
  </si>
  <si>
    <t>unlock_relic</t>
    <phoneticPr fontId="11" type="noConversion"/>
  </si>
  <si>
    <t>锁定其他relic</t>
    <phoneticPr fontId="11" type="noConversion"/>
  </si>
  <si>
    <t>解锁其他relic</t>
    <phoneticPr fontId="11" type="noConversion"/>
  </si>
  <si>
    <t>upgrade_from</t>
    <phoneticPr fontId="11" type="noConversion"/>
  </si>
  <si>
    <t>uint</t>
    <phoneticPr fontId="11" type="noConversion"/>
  </si>
  <si>
    <r>
      <t xml:space="preserve">升级自其他relic
</t>
    </r>
    <r>
      <rPr>
        <i/>
        <sz val="9"/>
        <color theme="1"/>
        <rFont val="等线"/>
        <family val="3"/>
        <charset val="134"/>
        <scheme val="minor"/>
      </rPr>
      <t>获取时，移除目标relic</t>
    </r>
    <phoneticPr fontId="11" type="noConversion"/>
  </si>
  <si>
    <t>uint key</t>
    <phoneticPr fontId="11" type="noConversion"/>
  </si>
  <si>
    <t>pool_id</t>
    <phoneticPr fontId="11" type="noConversion"/>
  </si>
  <si>
    <t>池子编号</t>
    <phoneticPr fontId="11" type="noConversion"/>
  </si>
  <si>
    <t>relic 编号</t>
    <phoneticPr fontId="11" type="noConversion"/>
  </si>
  <si>
    <t>weight</t>
    <phoneticPr fontId="11" type="noConversion"/>
  </si>
  <si>
    <t>随机权重</t>
    <phoneticPr fontId="11" type="noConversion"/>
  </si>
  <si>
    <t>备注
名称</t>
    <phoneticPr fontId="11" type="noConversion"/>
  </si>
  <si>
    <t>备注
效果</t>
    <phoneticPr fontId="11" type="noConversion"/>
  </si>
  <si>
    <t>31 = relic （机制类）</t>
    <phoneticPr fontId="11" type="noConversion"/>
  </si>
  <si>
    <t>01 = 通用/特殊</t>
    <phoneticPr fontId="11" type="noConversion"/>
  </si>
  <si>
    <t>02 = 飞射物</t>
    <phoneticPr fontId="11" type="noConversion"/>
  </si>
  <si>
    <t>01~99 编号</t>
    <phoneticPr fontId="11" type="noConversion"/>
  </si>
  <si>
    <t>等级编号</t>
    <phoneticPr fontId="11" type="noConversion"/>
  </si>
  <si>
    <t>弹药回收2</t>
  </si>
  <si>
    <t>弹药回收3</t>
  </si>
  <si>
    <t>子弹碰撞1</t>
  </si>
  <si>
    <t>子弹碰撞2</t>
  </si>
  <si>
    <t>子弹碰撞3</t>
  </si>
  <si>
    <t>落在脚边（屏幕内）的飞射物在销毁时会被回收（特殊拖尾，飞至车体位置），10%概率使设备弹药+1</t>
  </si>
  <si>
    <t>回收弹药的效果现在可以作用至其他设备。当原设备弹匣容量已满时，将随机恢复其他弹药未满的设备。</t>
  </si>
  <si>
    <t>现在可以回收敌人及中立物体的弹药。</t>
  </si>
  <si>
    <t>飞射物现在碰到镜头边缘时会弹回</t>
  </si>
  <si>
    <t>飞射物反弹时，速度被重置为初始速度。</t>
  </si>
  <si>
    <t>你的子弹现在可以击毁敌人的子弹（敌方子弹与玩家子弹一同消失）</t>
  </si>
  <si>
    <t>你的子弹现在可以无伤击毁敌人的子弹（敌方子弹被击毁，玩家子弹不受影响）</t>
  </si>
  <si>
    <t>你的子弹现在可以无伤击飞敌人的子弹（敌方子弹被弹回并修改阵营，玩家子弹飞行不受影响）</t>
  </si>
  <si>
    <t>Relic_Ammo_Hail</t>
    <phoneticPr fontId="11" type="noConversion"/>
  </si>
  <si>
    <t>parm_int[0] = 破甲增加值，百分比的千分比。</t>
    <phoneticPr fontId="11" type="noConversion"/>
  </si>
  <si>
    <t>Relic_Ammo_Division</t>
    <phoneticPr fontId="11" type="noConversion"/>
  </si>
  <si>
    <t>Relic_Ammo_Turn_Back</t>
    <phoneticPr fontId="11" type="noConversion"/>
  </si>
  <si>
    <t>Relic_Ammo_Slow_Down</t>
    <phoneticPr fontId="11" type="noConversion"/>
  </si>
  <si>
    <t>player</t>
    <phoneticPr fontId="11" type="noConversion"/>
  </si>
  <si>
    <t>all</t>
    <phoneticPr fontId="11" type="noConversion"/>
  </si>
  <si>
    <t>Relic_Ammo_Knock_Ball</t>
    <phoneticPr fontId="11" type="noConversion"/>
  </si>
  <si>
    <t>Relic_Ammo_Speed_Keeper</t>
    <phoneticPr fontId="11" type="noConversion"/>
  </si>
  <si>
    <t>Relic_Ammo_Interceptor</t>
    <phoneticPr fontId="11" type="noConversion"/>
  </si>
  <si>
    <t>Relic_Ammo_The_Fourth_Wall</t>
    <phoneticPr fontId="11" type="noConversion"/>
  </si>
  <si>
    <t>——无——</t>
    <phoneticPr fontId="11" type="noConversion"/>
  </si>
  <si>
    <t>Relic_Ammo_Recycle</t>
    <phoneticPr fontId="11" type="noConversion"/>
  </si>
  <si>
    <t>0;100</t>
    <phoneticPr fontId="11" type="noConversion"/>
  </si>
  <si>
    <t>1;100</t>
    <phoneticPr fontId="11" type="noConversion"/>
  </si>
  <si>
    <t>2;100</t>
    <phoneticPr fontId="11" type="noConversion"/>
  </si>
  <si>
    <t>310210;310211</t>
    <phoneticPr fontId="11" type="noConversion"/>
  </si>
  <si>
    <t>310209;310211</t>
    <phoneticPr fontId="11" type="noConversion"/>
  </si>
  <si>
    <t>310209;310210</t>
    <phoneticPr fontId="11" type="noConversion"/>
  </si>
  <si>
    <t>ranged_player_ammo_gravity</t>
    <phoneticPr fontId="11" type="noConversion"/>
  </si>
  <si>
    <t>首次命中敌人后，发生裂变。（新子弹方向随机，速度初始化，寿命继承，已裂变次数继承）</t>
  </si>
  <si>
    <t>每次击杀敌人时，发生裂变。（新子弹方向随机，速度初始化，寿命继承，已裂变次数继承）</t>
  </si>
  <si>
    <t>per_kill</t>
    <phoneticPr fontId="11" type="noConversion"/>
  </si>
  <si>
    <t>first_hit</t>
    <phoneticPr fontId="11" type="noConversion"/>
  </si>
  <si>
    <t>on_destroyed</t>
    <phoneticPr fontId="11" type="noConversion"/>
  </si>
  <si>
    <t>int[0] = 重力修正系数，千分比，倍率加减</t>
  </si>
  <si>
    <t>int[0] = 折返计时帧</t>
  </si>
  <si>
    <t>int[0] = 回收等级, int[1] = 回收概率千分比</t>
  </si>
  <si>
    <t>int[0] = 拦截效果</t>
  </si>
  <si>
    <t>int[0] = 裂变几率千分比(负数必定裂变)，string[1] = 裂变模式</t>
    <phoneticPr fontId="11" type="noConversion"/>
  </si>
  <si>
    <t>销毁时，50%几率发生裂变。（新子弹方向随机，速度初始化，寿命重置，已裂变次数继承）</t>
    <phoneticPr fontId="11" type="noConversion"/>
  </si>
  <si>
    <t>弹药失重</t>
    <phoneticPr fontId="11" type="noConversion"/>
  </si>
  <si>
    <t>弹药浮起</t>
    <phoneticPr fontId="11" type="noConversion"/>
  </si>
  <si>
    <t>你的子弹开始受到向上的浮力</t>
    <phoneticPr fontId="11" type="noConversion"/>
  </si>
  <si>
    <t>你的子弹失去重力，变得失重</t>
    <phoneticPr fontId="11" type="noConversion"/>
  </si>
  <si>
    <t>你的子弹会在发射后1秒内返回</t>
    <phoneticPr fontId="11" type="noConversion"/>
  </si>
  <si>
    <t>你的子弹会在发射后0.5秒内返回</t>
    <phoneticPr fontId="11" type="noConversion"/>
  </si>
  <si>
    <t>你的子弹会在发射后2秒内返回</t>
    <phoneticPr fontId="11" type="noConversion"/>
  </si>
  <si>
    <t>弹药凝滞</t>
    <phoneticPr fontId="11" type="noConversion"/>
  </si>
  <si>
    <t>弹药回收1</t>
    <phoneticPr fontId="11" type="noConversion"/>
  </si>
  <si>
    <t>Relic 数量上限</t>
    <phoneticPr fontId="11" type="noConversion"/>
  </si>
  <si>
    <t>04 = 弓弩枪械</t>
    <phoneticPr fontId="11" type="noConversion"/>
  </si>
  <si>
    <t>枪口风暴</t>
  </si>
  <si>
    <t>枪焰冲击</t>
  </si>
  <si>
    <t>枪焰燃烧</t>
  </si>
  <si>
    <t>枪焰闪耀</t>
  </si>
  <si>
    <t>枪托打击</t>
  </si>
  <si>
    <t>枪托重击</t>
  </si>
  <si>
    <t>开枪时，对枪口附近（一定的扇形范围）的敌人造成一定比例的击退（激光武器只有第一帧有效果）</t>
  </si>
  <si>
    <t>开枪时，对枪口附近（一定的扇形范围）的敌人造成一定比例的震荡伤害（激光武器只有第一帧有效果）</t>
  </si>
  <si>
    <t>开枪时，对枪口附近（一定的扇形范围）的敌人造成一定比例的燃烧伤害（激光武器只有第一帧有效果）</t>
  </si>
  <si>
    <t>开枪时，对枪口附近（一定的扇形范围）的敌人造成一定比例的光照伤害（激光武器只有第一帧有效果）</t>
  </si>
  <si>
    <t>若敌人距离小于最小攻击距离，远程武器可以使用枪托进行打击，造成高额击退（此攻击有内置cd）。</t>
  </si>
  <si>
    <t>枪托打击伤害附加高额震荡伤害（可以将敌人击晕）</t>
  </si>
  <si>
    <t>Relic_Muzzle_Blast</t>
    <phoneticPr fontId="11" type="noConversion"/>
  </si>
  <si>
    <t>Relic_Rifle_Butt</t>
    <phoneticPr fontId="11" type="noConversion"/>
  </si>
  <si>
    <t>Relic_Reloading_Go_Off</t>
    <phoneticPr fontId="11" type="noConversion"/>
  </si>
  <si>
    <t>int[0] = 概率，千分比</t>
    <phoneticPr fontId="11" type="noConversion"/>
  </si>
  <si>
    <t>blunt</t>
    <phoneticPr fontId="11" type="noConversion"/>
  </si>
  <si>
    <t>fire</t>
    <phoneticPr fontId="11" type="noConversion"/>
  </si>
  <si>
    <t>flash</t>
    <phoneticPr fontId="11" type="noConversion"/>
  </si>
  <si>
    <t>25;1000;10</t>
    <phoneticPr fontId="11" type="noConversion"/>
  </si>
  <si>
    <t>Relic_Muzzle_Blast_Knock_Off</t>
    <phoneticPr fontId="11" type="noConversion"/>
  </si>
  <si>
    <t>int[0] = 半夹角, int[1] = 距离千分比, int[2] = 击退数值</t>
    <phoneticPr fontId="11" type="noConversion"/>
  </si>
  <si>
    <t>int[0]=半夹角, int[1]=距离千分比, int[2]=伤害, string[0]=伤害类型</t>
    <phoneticPr fontId="11" type="noConversion"/>
  </si>
  <si>
    <t>暂时不做，需要补近战动画</t>
    <phoneticPr fontId="11" type="noConversion"/>
  </si>
  <si>
    <t>基础价格</t>
    <phoneticPr fontId="11" type="noConversion"/>
  </si>
  <si>
    <t>base_value</t>
    <phoneticPr fontId="11" type="noConversion"/>
  </si>
  <si>
    <t>int[0] = 衰减千分比, string[0]=作用对象(player, all)</t>
    <phoneticPr fontId="11" type="noConversion"/>
  </si>
  <si>
    <t>你的子弹会在发射后逐渐失去速度 【你的子弹伤害不再受速度影响】</t>
    <phoneticPr fontId="11" type="noConversion"/>
  </si>
  <si>
    <t>这一效果也将作用于敌方及中立子弹【敌人的子弹伤害依然受速度影响】。</t>
    <phoneticPr fontId="11" type="noConversion"/>
  </si>
  <si>
    <t>310207;310208</t>
    <phoneticPr fontId="11" type="noConversion"/>
  </si>
  <si>
    <t>310206;310208</t>
    <phoneticPr fontId="11" type="noConversion"/>
  </si>
  <si>
    <t>310206;310207</t>
    <phoneticPr fontId="11" type="noConversion"/>
  </si>
  <si>
    <t>string</t>
    <phoneticPr fontId="11" type="noConversion"/>
  </si>
  <si>
    <t>等级</t>
    <phoneticPr fontId="11" type="noConversion"/>
  </si>
  <si>
    <t>备注1</t>
  </si>
  <si>
    <t>商店资料图 背景板</t>
    <phoneticPr fontId="11" type="noConversion"/>
  </si>
  <si>
    <t>等级面板中的品质</t>
    <phoneticPr fontId="11" type="noConversion"/>
  </si>
  <si>
    <t>灰白</t>
    <phoneticPr fontId="11" type="noConversion"/>
  </si>
  <si>
    <t>绿</t>
    <phoneticPr fontId="11" type="noConversion"/>
  </si>
  <si>
    <t>蓝</t>
    <phoneticPr fontId="11" type="noConversion"/>
  </si>
  <si>
    <t>紫</t>
    <phoneticPr fontId="11" type="noConversion"/>
  </si>
  <si>
    <t>橙</t>
    <phoneticPr fontId="11" type="noConversion"/>
  </si>
  <si>
    <t>UI_shop_bg</t>
    <phoneticPr fontId="11" type="noConversion"/>
  </si>
  <si>
    <t>UI_bag_bg</t>
    <phoneticPr fontId="11" type="noConversion"/>
  </si>
  <si>
    <t>ui_relic_icon_bg_1</t>
    <phoneticPr fontId="11" type="noConversion"/>
  </si>
  <si>
    <t>ui_relic_icon_bg_2</t>
  </si>
  <si>
    <t>ui_relic_icon_bg_3</t>
  </si>
  <si>
    <t>ui_relic_icon_bg_4</t>
  </si>
  <si>
    <t>ui_relic_icon_bg_5</t>
  </si>
  <si>
    <t>ui_relic_icon_board_level_1</t>
    <phoneticPr fontId="11" type="noConversion"/>
  </si>
  <si>
    <t>ui_relic_icon_board_level_2</t>
  </si>
  <si>
    <t>ui_relic_icon_board_level_3</t>
  </si>
  <si>
    <t>ui_relic_icon_board_level_4</t>
  </si>
  <si>
    <t>ui_relic_icon_board_level_5</t>
  </si>
  <si>
    <t>rank</t>
    <phoneticPr fontId="11" type="noConversion"/>
  </si>
  <si>
    <t>品质等级</t>
    <phoneticPr fontId="11" type="noConversion"/>
  </si>
  <si>
    <t>镐子</t>
    <phoneticPr fontId="11" type="noConversion"/>
  </si>
  <si>
    <t>无黄蛋</t>
    <phoneticPr fontId="11" type="noConversion"/>
  </si>
  <si>
    <t>等级底数</t>
    <phoneticPr fontId="11" type="noConversion"/>
  </si>
  <si>
    <t>基础数量</t>
    <phoneticPr fontId="11" type="noConversion"/>
  </si>
  <si>
    <t>01 = 近战武器 伤害</t>
    <phoneticPr fontId="11" type="noConversion"/>
  </si>
  <si>
    <t>02 = 近战武器 伤害</t>
    <phoneticPr fontId="11" type="noConversion"/>
  </si>
  <si>
    <t>03 = 近战武器 暴击几率</t>
    <phoneticPr fontId="11" type="noConversion"/>
  </si>
  <si>
    <t>04 = 近战武器 暴击伤害</t>
    <phoneticPr fontId="11" type="noConversion"/>
  </si>
  <si>
    <t>05 = 近战武器 击退</t>
    <phoneticPr fontId="11" type="noConversion"/>
  </si>
  <si>
    <t>01 = 飞射物 伤害</t>
    <phoneticPr fontId="11" type="noConversion"/>
  </si>
  <si>
    <t>02 = 飞射物 伤害</t>
    <phoneticPr fontId="11" type="noConversion"/>
  </si>
  <si>
    <t>03 = 飞射物 暴击几率</t>
    <phoneticPr fontId="11" type="noConversion"/>
  </si>
  <si>
    <t>04 = 飞射物 暴击伤害</t>
    <phoneticPr fontId="11" type="noConversion"/>
  </si>
  <si>
    <t>int[0] = 体积与伤害的增长千分比;int[1] = 增长次数上限</t>
    <phoneticPr fontId="11" type="noConversion"/>
  </si>
  <si>
    <t>500;5</t>
    <phoneticPr fontId="11" type="noConversion"/>
  </si>
  <si>
    <t>蛋糕 Lv.1</t>
    <phoneticPr fontId="11" type="noConversion"/>
  </si>
  <si>
    <t>蛋糕 Lv.2</t>
  </si>
  <si>
    <t>蛋糕 Lv.3</t>
  </si>
  <si>
    <t>飞射物每反弹一次，体积与伤害 + 10%（上限为3次）</t>
    <phoneticPr fontId="11" type="noConversion"/>
  </si>
  <si>
    <t>100;3</t>
    <phoneticPr fontId="11" type="noConversion"/>
  </si>
  <si>
    <t>300;4</t>
    <phoneticPr fontId="11" type="noConversion"/>
  </si>
  <si>
    <t>花洒 Lv.1</t>
    <phoneticPr fontId="11" type="noConversion"/>
  </si>
  <si>
    <t>弹匣内子弹数量得到恢复时，有10%概率立刻射出1发免费的子弹</t>
    <phoneticPr fontId="11" type="noConversion"/>
  </si>
  <si>
    <t>[升级] 飞射物每反弹一次，体积与伤害 + 30%（上限为4次）</t>
    <phoneticPr fontId="11" type="noConversion"/>
  </si>
  <si>
    <t>[升级] 飞射物每反弹一次，体积与伤害 + 50%（上限为5次）</t>
    <phoneticPr fontId="11" type="noConversion"/>
  </si>
  <si>
    <t>[升级] 弹匣内子弹数量得到恢复时，有20%概率立刻射出1发免费的子弹</t>
    <phoneticPr fontId="11" type="noConversion"/>
  </si>
  <si>
    <t>[升级] 弹匣内子弹数量得到恢复时，有40%概率立刻射出1发免费的子弹</t>
    <phoneticPr fontId="11" type="noConversion"/>
  </si>
  <si>
    <t>parm_int[0] = 暴击伤害增加值，千分比。</t>
    <phoneticPr fontId="11" type="noConversion"/>
  </si>
  <si>
    <t>parm_int[0] = 击退增加值，千分比。</t>
    <phoneticPr fontId="11" type="noConversion"/>
  </si>
  <si>
    <t>name
l10n key
同组复用</t>
    <phoneticPr fontId="11" type="noConversion"/>
  </si>
  <si>
    <t>辅助列
图集
index</t>
    <phoneticPr fontId="11" type="noConversion"/>
  </si>
  <si>
    <t>parm_int[0] = 伤害增加值，千分比。</t>
    <phoneticPr fontId="11" type="noConversion"/>
  </si>
  <si>
    <t>parm_int[0] = 护甲增加值。</t>
    <phoneticPr fontId="11" type="noConversion"/>
  </si>
  <si>
    <t>parm_int[0] = 耐久增加值，百分比的千分比。</t>
    <phoneticPr fontId="11" type="noConversion"/>
  </si>
  <si>
    <t>relic id</t>
    <phoneticPr fontId="11" type="noConversion"/>
  </si>
  <si>
    <t>relic name</t>
    <phoneticPr fontId="11" type="noConversion"/>
  </si>
  <si>
    <t>relic name key</t>
    <phoneticPr fontId="11" type="noConversion"/>
  </si>
  <si>
    <t>relic desc</t>
    <phoneticPr fontId="11" type="noConversion"/>
  </si>
  <si>
    <t>relic desc key</t>
    <phoneticPr fontId="11" type="noConversion"/>
  </si>
  <si>
    <t>picked</t>
    <phoneticPr fontId="11" type="noConversion"/>
  </si>
  <si>
    <t>picked_name</t>
    <phoneticPr fontId="11" type="noConversion"/>
  </si>
  <si>
    <t>picked_desc</t>
    <phoneticPr fontId="11" type="noConversion"/>
  </si>
  <si>
    <t>——</t>
    <phoneticPr fontId="11" type="noConversion"/>
  </si>
  <si>
    <t>Relic_Modify_Variable</t>
    <phoneticPr fontId="11" type="noConversion"/>
  </si>
  <si>
    <t>05 = 近战打击</t>
    <phoneticPr fontId="11" type="noConversion"/>
  </si>
  <si>
    <t>Relic_Melee_Coin</t>
  </si>
  <si>
    <t>Relic_Melee_Assassinate</t>
  </si>
  <si>
    <t>Relic_Melee_Ignite</t>
  </si>
  <si>
    <t xml:space="preserve">int[0] = 爆币概率，千分比; int[1] = coin_id，千分比; </t>
    <phoneticPr fontId="11" type="noConversion"/>
  </si>
  <si>
    <t>int[0] = 秒杀概率，千分比; int[1] = 伤害血量倍数</t>
    <phoneticPr fontId="11" type="noConversion"/>
  </si>
  <si>
    <t>300;10000</t>
    <phoneticPr fontId="11" type="noConversion"/>
  </si>
  <si>
    <t>箱子 Lv.1</t>
    <phoneticPr fontId="11" type="noConversion"/>
  </si>
  <si>
    <t>箱子 Lv.2</t>
    <phoneticPr fontId="11" type="noConversion"/>
  </si>
  <si>
    <t>箱子 Lv.3</t>
    <phoneticPr fontId="11" type="noConversion"/>
  </si>
  <si>
    <t>近战设备每次暴击，有20%几率秒杀目标（目标当前生命值不能超过设备伤害的6倍）</t>
    <phoneticPr fontId="11" type="noConversion"/>
  </si>
  <si>
    <t>近战设备每次造成暴击伤害，有15%概率在目标处生成1枚铜币</t>
    <phoneticPr fontId="11" type="noConversion"/>
  </si>
  <si>
    <t>[升级] 近战设备每次造成暴击伤害，有30%概率在目标处生成1枚铜币</t>
    <phoneticPr fontId="11" type="noConversion"/>
  </si>
  <si>
    <t>[升级] 近战设备每次造成暴击伤害，有60%概率在目标处生成1枚铜币</t>
    <phoneticPr fontId="11" type="noConversion"/>
  </si>
  <si>
    <t>150;10000</t>
    <phoneticPr fontId="11" type="noConversion"/>
  </si>
  <si>
    <t>600;10000</t>
    <phoneticPr fontId="11" type="noConversion"/>
  </si>
  <si>
    <t>符纸 Lv.1</t>
    <phoneticPr fontId="11" type="noConversion"/>
  </si>
  <si>
    <t>符纸 Lv.2</t>
    <phoneticPr fontId="11" type="noConversion"/>
  </si>
  <si>
    <t>符纸 Lv.3</t>
    <phoneticPr fontId="11" type="noConversion"/>
  </si>
  <si>
    <t>200;6</t>
    <phoneticPr fontId="11" type="noConversion"/>
  </si>
  <si>
    <t>400;9</t>
    <phoneticPr fontId="11" type="noConversion"/>
  </si>
  <si>
    <t>600;12</t>
    <phoneticPr fontId="11" type="noConversion"/>
  </si>
  <si>
    <t>玩火艺人</t>
    <phoneticPr fontId="11" type="noConversion"/>
  </si>
  <si>
    <t>int[0] = 额外火焰伤害; int[1] = 自伤概率千分比; int[1] = 自伤火势千分比</t>
    <phoneticPr fontId="11" type="noConversion"/>
  </si>
  <si>
    <t>32;50;333</t>
    <phoneticPr fontId="11" type="noConversion"/>
  </si>
  <si>
    <t>[升级] 近战设备每次暴击，有40%几率秒杀目标（目标当前生命值不能超过设备伤害的9倍）</t>
    <phoneticPr fontId="11" type="noConversion"/>
  </si>
  <si>
    <t>[升级] 近战设备每次暴击，有60%几率秒杀目标（目标当前生命值不能超过设备伤害的12倍）</t>
    <phoneticPr fontId="11" type="noConversion"/>
  </si>
  <si>
    <t>近战设备获得32点额外火焰伤害，但每次发动攻击，有5%的概率点燃自身。</t>
    <phoneticPr fontId="11" type="noConversion"/>
  </si>
  <si>
    <t>作弊骰 Lv.1</t>
    <phoneticPr fontId="11" type="noConversion"/>
  </si>
  <si>
    <t>作弊骰 Lv.2</t>
  </si>
  <si>
    <t>作弊骰 Lv.3</t>
  </si>
  <si>
    <t xml:space="preserve">蟹钳 蒜蓉 </t>
    <phoneticPr fontId="11" type="noConversion"/>
  </si>
  <si>
    <t>蟹钳 麻辣</t>
    <phoneticPr fontId="11" type="noConversion"/>
  </si>
  <si>
    <t>蟹钳 十三香</t>
    <phoneticPr fontId="11" type="noConversion"/>
  </si>
  <si>
    <t>弹药返回A</t>
    <phoneticPr fontId="11" type="noConversion"/>
  </si>
  <si>
    <t>弹药返回B</t>
    <phoneticPr fontId="11" type="noConversion"/>
  </si>
  <si>
    <t>弹药返回C</t>
    <phoneticPr fontId="11" type="noConversion"/>
  </si>
  <si>
    <t>花洒 Lv.2</t>
  </si>
  <si>
    <t>花洒 Lv.3</t>
  </si>
  <si>
    <t>牢门</t>
  </si>
  <si>
    <t>你的飞射物飞到屏幕上方时，创造1个冰雹攻击敌人</t>
    <phoneticPr fontId="11" type="noConversion"/>
  </si>
  <si>
    <t>[升级] 你的飞射物飞到屏幕上方时，创造2个冰雹攻击敌人</t>
    <phoneticPr fontId="11" type="noConversion"/>
  </si>
  <si>
    <t>[升级] 你的飞射物飞到屏幕上方时，创造4个冰雹攻击敌人</t>
    <phoneticPr fontId="11" type="noConversion"/>
  </si>
  <si>
    <t>[强化] 你的飞射物飞到屏幕左右边缘时，也会生成冰雹。</t>
    <phoneticPr fontId="11" type="noConversion"/>
  </si>
  <si>
    <t>Relic_Empty</t>
    <phoneticPr fontId="11" type="noConversion"/>
  </si>
  <si>
    <t>310218;310204</t>
    <phoneticPr fontId="11" type="noConversion"/>
  </si>
  <si>
    <t>30001;1;15;310218</t>
    <phoneticPr fontId="11" type="noConversion"/>
  </si>
  <si>
    <t>30001;2;15;310218</t>
    <phoneticPr fontId="11" type="noConversion"/>
  </si>
  <si>
    <t>30001;4;15;310218</t>
    <phoneticPr fontId="11" type="noConversion"/>
  </si>
  <si>
    <t>int[0]=冰雹飞射物id; int[1]=冰雹数量; int[2]=半散射角; int[3]=横向冰雹relic_id</t>
    <phoneticPr fontId="11" type="noConversion"/>
  </si>
  <si>
    <t>工头喇叭</t>
    <phoneticPr fontId="11" type="noConversion"/>
  </si>
  <si>
    <t>警卫制服</t>
    <phoneticPr fontId="11" type="noConversion"/>
  </si>
  <si>
    <t>01 = 所有设备 伤害</t>
    <phoneticPr fontId="11" type="noConversion"/>
  </si>
  <si>
    <t>02 = 所有设备 额外伤害</t>
    <phoneticPr fontId="11" type="noConversion"/>
  </si>
  <si>
    <t>03 = 所有设备 暴击几率</t>
    <phoneticPr fontId="11" type="noConversion"/>
  </si>
  <si>
    <t>04 = 所有设备 暴击伤害</t>
    <phoneticPr fontId="11" type="noConversion"/>
  </si>
  <si>
    <t>05 = 所有设备 击退</t>
    <phoneticPr fontId="11" type="noConversion"/>
  </si>
  <si>
    <t>06 = 所有设备 破甲</t>
    <phoneticPr fontId="11" type="noConversion"/>
  </si>
  <si>
    <t>07 = 所有设备 护甲</t>
    <phoneticPr fontId="11" type="noConversion"/>
  </si>
  <si>
    <t>08 = 所有设备 耐久</t>
    <phoneticPr fontId="11" type="noConversion"/>
  </si>
  <si>
    <t>09 = 所有设备 耐久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</si>
</sst>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\-0\-00\-0"/>
    <numFmt numFmtId="177" formatCode="00\-00\-00"/>
  </numFmts>
  <fonts count="20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i/>
      <sz val="11"/>
      <color theme="1" tint="0.499984740745262"/>
      <name val="等线"/>
      <family val="3"/>
      <charset val="134"/>
    </font>
    <font>
      <b/>
      <i/>
      <sz val="11"/>
      <color theme="1" tint="0.499984740745262"/>
      <name val="等线"/>
      <family val="3"/>
      <charset val="134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  <font>
      <i/>
      <sz val="12"/>
      <color theme="6"/>
      <name val="等线"/>
      <family val="3"/>
      <charset val="134"/>
      <scheme val="minor"/>
    </font>
    <font>
      <sz val="12"/>
      <color theme="5" tint="0.3987853633228553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b/>
      <i/>
      <sz val="11"/>
      <color theme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18A82"/>
        <bgColor indexed="64"/>
      </patternFill>
    </fill>
    <fill>
      <patternFill patternType="solid">
        <fgColor rgb="FF9DD261"/>
        <bgColor indexed="64"/>
      </patternFill>
    </fill>
    <fill>
      <patternFill patternType="solid">
        <fgColor rgb="FF759EDC"/>
        <bgColor indexed="64"/>
      </patternFill>
    </fill>
    <fill>
      <patternFill patternType="solid">
        <fgColor rgb="FFB174DA"/>
        <bgColor indexed="64"/>
      </patternFill>
    </fill>
    <fill>
      <patternFill patternType="solid">
        <fgColor rgb="FFE8B5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9" fillId="0" borderId="0"/>
  </cellStyleXfs>
  <cellXfs count="85">
    <xf numFmtId="0" fontId="0" fillId="0" borderId="0" xfId="0"/>
    <xf numFmtId="0" fontId="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3" borderId="0" xfId="3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7" fillId="6" borderId="0" xfId="0" applyFont="1" applyFill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76" fontId="0" fillId="0" borderId="0" xfId="0" applyNumberFormat="1" applyAlignment="1">
      <alignment horizontal="center"/>
    </xf>
    <xf numFmtId="0" fontId="8" fillId="5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9" fillId="9" borderId="0" xfId="0" applyFont="1" applyFill="1" applyAlignment="1">
      <alignment horizontal="center"/>
    </xf>
    <xf numFmtId="0" fontId="2" fillId="4" borderId="0" xfId="3" applyFont="1" applyFill="1" applyAlignment="1">
      <alignment horizontal="center" vertical="center"/>
    </xf>
    <xf numFmtId="0" fontId="2" fillId="4" borderId="1" xfId="3" applyFont="1" applyFill="1" applyBorder="1" applyAlignment="1">
      <alignment horizontal="center" vertical="center"/>
    </xf>
    <xf numFmtId="0" fontId="3" fillId="4" borderId="0" xfId="3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14" fillId="5" borderId="0" xfId="0" applyFont="1" applyFill="1" applyAlignment="1">
      <alignment horizontal="center" vertical="center" wrapText="1"/>
    </xf>
    <xf numFmtId="0" fontId="14" fillId="0" borderId="0" xfId="0" applyFont="1"/>
    <xf numFmtId="177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10" borderId="0" xfId="0" applyFill="1" applyAlignment="1">
      <alignment horizontal="center"/>
    </xf>
    <xf numFmtId="0" fontId="9" fillId="9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0" borderId="0" xfId="0" quotePrefix="1" applyFont="1" applyAlignment="1">
      <alignment horizontal="center"/>
    </xf>
    <xf numFmtId="0" fontId="0" fillId="11" borderId="0" xfId="0" applyFill="1" applyAlignment="1">
      <alignment horizontal="center"/>
    </xf>
    <xf numFmtId="0" fontId="9" fillId="12" borderId="0" xfId="0" applyFont="1" applyFill="1" applyAlignment="1">
      <alignment horizontal="center" vertical="center"/>
    </xf>
    <xf numFmtId="0" fontId="7" fillId="12" borderId="0" xfId="0" applyFont="1" applyFill="1"/>
    <xf numFmtId="0" fontId="8" fillId="0" borderId="0" xfId="0" applyFont="1" applyAlignment="1">
      <alignment horizontal="center" vertical="center"/>
    </xf>
    <xf numFmtId="0" fontId="12" fillId="7" borderId="0" xfId="0" applyFont="1" applyFill="1"/>
    <xf numFmtId="0" fontId="9" fillId="13" borderId="0" xfId="0" applyFont="1" applyFill="1" applyAlignment="1">
      <alignment horizontal="center"/>
    </xf>
    <xf numFmtId="0" fontId="15" fillId="4" borderId="0" xfId="2" applyFont="1" applyFill="1" applyAlignment="1">
      <alignment horizontal="center" vertical="center"/>
    </xf>
    <xf numFmtId="0" fontId="16" fillId="4" borderId="0" xfId="2" applyFont="1" applyFill="1" applyAlignment="1">
      <alignment horizontal="center" vertical="center"/>
    </xf>
    <xf numFmtId="0" fontId="17" fillId="4" borderId="0" xfId="2" applyFont="1" applyFill="1" applyAlignment="1">
      <alignment horizontal="center" vertical="center"/>
    </xf>
    <xf numFmtId="0" fontId="8" fillId="5" borderId="0" xfId="2" applyFont="1" applyFill="1" applyAlignment="1">
      <alignment horizontal="center" vertical="center" wrapText="1"/>
    </xf>
    <xf numFmtId="0" fontId="14" fillId="5" borderId="0" xfId="2" applyFont="1" applyFill="1" applyAlignment="1">
      <alignment horizontal="center" vertical="center"/>
    </xf>
    <xf numFmtId="0" fontId="8" fillId="5" borderId="0" xfId="2" applyFont="1" applyFill="1" applyAlignment="1">
      <alignment horizontal="center" vertical="center"/>
    </xf>
    <xf numFmtId="0" fontId="9" fillId="5" borderId="0" xfId="2" applyFill="1" applyAlignment="1">
      <alignment horizontal="center" vertical="center"/>
    </xf>
    <xf numFmtId="0" fontId="9" fillId="0" borderId="0" xfId="2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9" fillId="0" borderId="0" xfId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7" fillId="7" borderId="0" xfId="0" applyFont="1" applyFill="1"/>
    <xf numFmtId="0" fontId="12" fillId="5" borderId="0" xfId="0" applyFont="1" applyFill="1" applyAlignment="1">
      <alignment horizontal="center" vertical="center"/>
    </xf>
    <xf numFmtId="0" fontId="12" fillId="0" borderId="0" xfId="0" applyFont="1"/>
    <xf numFmtId="0" fontId="18" fillId="7" borderId="0" xfId="0" applyFont="1" applyFill="1" applyAlignment="1">
      <alignment horizontal="center"/>
    </xf>
    <xf numFmtId="0" fontId="1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/>
    </xf>
    <xf numFmtId="0" fontId="19" fillId="5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7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1" xfId="3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00000000-0005-0000-0000-000033000000}"/>
  </cellStyles>
  <dxfs count="11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6CFF9"/>
      <color rgb="FFE8B51C"/>
      <color rgb="FFB174DA"/>
      <color rgb="FF759EDC"/>
      <color rgb="FF9DD261"/>
      <color rgb="FF918A82"/>
      <color rgb="FFFDB9B9"/>
      <color rgb="FFCD9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003047-E6A3-411F-94EF-7AC585BBB86B}" name="表2" displayName="表2" ref="A1:G208" totalsRowShown="0" headerRowDxfId="10" dataDxfId="9">
  <autoFilter ref="A1:G208" xr:uid="{58003047-E6A3-411F-94EF-7AC585BBB86B}"/>
  <tableColumns count="7">
    <tableColumn id="1" xr3:uid="{FA75825B-A6B9-49D4-83FD-23F80B773011}" name="relic id" dataDxfId="8"/>
    <tableColumn id="2" xr3:uid="{165CDF1D-9034-4CDA-A0AD-FED6C2437D3F}" name="relic name key" dataDxfId="7">
      <calculatedColumnFormula>_xlfn.XLOOKUP(表2[[#This Row],[relic id]],relic!$A:$A,relic!B:B,"")</calculatedColumnFormula>
    </tableColumn>
    <tableColumn id="3" xr3:uid="{806C0CE3-5A24-4683-A908-9B9752D82F61}" name="relic name" dataDxfId="6">
      <calculatedColumnFormula>_xlfn.XLOOKUP(表2[[#This Row],[relic id]],relic!$A:$A,relic!D:D,"")</calculatedColumnFormula>
    </tableColumn>
    <tableColumn id="7" xr3:uid="{9E3F1EC7-C97D-4B5D-894F-5BE0A73DA77D}" name="rank" dataDxfId="5">
      <calculatedColumnFormula>IF(表2[[#This Row],[relic id]]&lt;&gt;"",_xlfn.XLOOKUP(表2[[#This Row],[relic id]],relic!$A:$A,relic!$T:$T),"")</calculatedColumnFormula>
    </tableColumn>
    <tableColumn id="4" xr3:uid="{66930943-F144-4BE2-840F-4BF488709C82}" name="relic desc key" dataDxfId="4">
      <calculatedColumnFormula>_xlfn.XLOOKUP(表2[[#This Row],[relic id]],relic!$A:$A,relic!G:G,"")</calculatedColumnFormula>
    </tableColumn>
    <tableColumn id="6" xr3:uid="{FAD3E24C-412A-403C-8662-281564D357FF}" name="relic desc" dataDxfId="3">
      <calculatedColumnFormula>_xlfn.XLOOKUP(表2[[#This Row],[relic id]],relic!$A:$A,relic!H:H,"")</calculatedColumnFormula>
    </tableColumn>
    <tableColumn id="5" xr3:uid="{94662D45-E8EA-4732-8C11-438B3A99BABB}" name="picked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9"/>
  <sheetViews>
    <sheetView tabSelected="1" workbookViewId="0">
      <pane xSplit="4" ySplit="3" topLeftCell="G178" activePane="bottomRight" state="frozen"/>
      <selection pane="topRight" activeCell="F1" sqref="F1"/>
      <selection pane="bottomLeft" activeCell="A4" sqref="A4"/>
      <selection pane="bottomRight" activeCell="K213" sqref="K213"/>
    </sheetView>
  </sheetViews>
  <sheetFormatPr defaultColWidth="9.125" defaultRowHeight="14.25" x14ac:dyDescent="0.2"/>
  <cols>
    <col min="1" max="1" width="10.5" style="14" customWidth="1"/>
    <col min="2" max="2" width="17.625" style="16" customWidth="1"/>
    <col min="3" max="3" width="9.125" style="81"/>
    <col min="4" max="4" width="13.625" style="15" bestFit="1" customWidth="1"/>
    <col min="5" max="5" width="24.875" style="14" bestFit="1" customWidth="1"/>
    <col min="6" max="6" width="7.625" style="78" bestFit="1" customWidth="1"/>
    <col min="7" max="7" width="16.625" style="14" bestFit="1" customWidth="1"/>
    <col min="8" max="8" width="63.75" style="15" customWidth="1"/>
    <col min="9" max="9" width="96.75" style="15" bestFit="1" customWidth="1"/>
    <col min="10" max="10" width="30.375" style="16" customWidth="1"/>
    <col min="11" max="11" width="65.375" style="15" bestFit="1" customWidth="1"/>
    <col min="12" max="12" width="17.375" style="14" bestFit="1" customWidth="1"/>
    <col min="13" max="13" width="28.25" style="16" customWidth="1"/>
    <col min="14" max="14" width="16.625" style="14" bestFit="1" customWidth="1"/>
    <col min="15" max="15" width="9.125" style="30"/>
    <col min="16" max="19" width="16.625" style="14" bestFit="1" customWidth="1"/>
    <col min="20" max="21" width="10.375" style="14" bestFit="1" customWidth="1"/>
    <col min="22" max="23" width="9.125" style="30"/>
  </cols>
  <sheetData>
    <row r="1" spans="1:23" s="11" customFormat="1" x14ac:dyDescent="0.2">
      <c r="A1" s="11" t="s">
        <v>0</v>
      </c>
      <c r="B1" s="11" t="s">
        <v>2</v>
      </c>
      <c r="C1" s="17"/>
      <c r="D1" s="17"/>
      <c r="E1" s="11" t="s">
        <v>1</v>
      </c>
      <c r="F1" s="75"/>
      <c r="G1" s="11" t="s">
        <v>3</v>
      </c>
      <c r="H1" s="17"/>
      <c r="I1" s="17"/>
      <c r="J1" s="11" t="s">
        <v>4</v>
      </c>
      <c r="K1" s="17"/>
      <c r="L1" s="11" t="s">
        <v>5</v>
      </c>
      <c r="M1" s="11" t="s">
        <v>6</v>
      </c>
      <c r="N1" s="11" t="s">
        <v>208</v>
      </c>
      <c r="O1" s="28"/>
      <c r="P1" s="11" t="s">
        <v>209</v>
      </c>
      <c r="Q1" s="11" t="s">
        <v>213</v>
      </c>
      <c r="R1" s="11" t="s">
        <v>214</v>
      </c>
      <c r="S1" s="11" t="s">
        <v>217</v>
      </c>
      <c r="T1" s="11" t="s">
        <v>342</v>
      </c>
      <c r="U1" s="11" t="s">
        <v>313</v>
      </c>
      <c r="V1" s="28"/>
      <c r="W1" s="28"/>
    </row>
    <row r="2" spans="1:23" s="12" customFormat="1" x14ac:dyDescent="0.2">
      <c r="A2" s="12" t="s">
        <v>7</v>
      </c>
      <c r="B2" s="19" t="s">
        <v>8</v>
      </c>
      <c r="C2" s="17"/>
      <c r="D2" s="18"/>
      <c r="E2" s="12" t="s">
        <v>8</v>
      </c>
      <c r="F2" s="76"/>
      <c r="G2" s="12" t="s">
        <v>8</v>
      </c>
      <c r="H2" s="18"/>
      <c r="I2" s="18"/>
      <c r="J2" s="19" t="s">
        <v>8</v>
      </c>
      <c r="K2" s="18"/>
      <c r="L2" s="12" t="s">
        <v>9</v>
      </c>
      <c r="M2" s="19" t="s">
        <v>10</v>
      </c>
      <c r="N2" s="12" t="s">
        <v>207</v>
      </c>
      <c r="O2" s="29"/>
      <c r="P2" s="12" t="s">
        <v>210</v>
      </c>
      <c r="Q2" s="12" t="s">
        <v>212</v>
      </c>
      <c r="R2" s="12" t="s">
        <v>212</v>
      </c>
      <c r="S2" s="12" t="s">
        <v>218</v>
      </c>
      <c r="T2" s="12" t="s">
        <v>207</v>
      </c>
      <c r="U2" s="12" t="s">
        <v>207</v>
      </c>
      <c r="V2" s="29"/>
      <c r="W2" s="29"/>
    </row>
    <row r="3" spans="1:23" s="13" customFormat="1" ht="42.75" x14ac:dyDescent="0.2">
      <c r="A3" s="20" t="s">
        <v>11</v>
      </c>
      <c r="B3" s="20" t="s">
        <v>14</v>
      </c>
      <c r="C3" s="21" t="s">
        <v>373</v>
      </c>
      <c r="D3" s="21" t="s">
        <v>167</v>
      </c>
      <c r="E3" s="22" t="s">
        <v>13</v>
      </c>
      <c r="F3" s="77" t="s">
        <v>374</v>
      </c>
      <c r="G3" s="20" t="s">
        <v>15</v>
      </c>
      <c r="H3" s="21" t="s">
        <v>12</v>
      </c>
      <c r="I3" s="21" t="s">
        <v>16</v>
      </c>
      <c r="J3" s="20" t="s">
        <v>17</v>
      </c>
      <c r="K3" s="21" t="s">
        <v>18</v>
      </c>
      <c r="L3" s="27" t="s">
        <v>19</v>
      </c>
      <c r="M3" s="20" t="s">
        <v>20</v>
      </c>
      <c r="N3" s="27" t="s">
        <v>286</v>
      </c>
      <c r="O3" s="70" t="s">
        <v>347</v>
      </c>
      <c r="P3" s="27" t="s">
        <v>211</v>
      </c>
      <c r="Q3" s="27" t="s">
        <v>215</v>
      </c>
      <c r="R3" s="27" t="s">
        <v>216</v>
      </c>
      <c r="S3" s="27" t="s">
        <v>219</v>
      </c>
      <c r="T3" s="20" t="s">
        <v>343</v>
      </c>
      <c r="U3" s="20" t="s">
        <v>312</v>
      </c>
      <c r="V3" s="70" t="s">
        <v>312</v>
      </c>
      <c r="W3" s="70" t="s">
        <v>346</v>
      </c>
    </row>
    <row r="4" spans="1:23" x14ac:dyDescent="0.2">
      <c r="A4" s="14">
        <v>4</v>
      </c>
      <c r="B4" s="16" t="s">
        <v>21</v>
      </c>
      <c r="E4" s="31" t="s">
        <v>205</v>
      </c>
      <c r="G4" s="14" t="s">
        <v>22</v>
      </c>
      <c r="H4" s="23" t="s">
        <v>22</v>
      </c>
      <c r="J4" s="16" t="s">
        <v>23</v>
      </c>
    </row>
    <row r="5" spans="1:23" x14ac:dyDescent="0.2">
      <c r="A5" s="14">
        <v>6</v>
      </c>
      <c r="B5" s="16" t="s">
        <v>26</v>
      </c>
      <c r="E5" s="31" t="s">
        <v>205</v>
      </c>
      <c r="G5" s="14" t="s">
        <v>27</v>
      </c>
      <c r="H5" s="23" t="s">
        <v>27</v>
      </c>
      <c r="J5" s="16" t="s">
        <v>28</v>
      </c>
    </row>
    <row r="6" spans="1:23" x14ac:dyDescent="0.2">
      <c r="A6" s="14">
        <v>7</v>
      </c>
      <c r="B6" s="16" t="s">
        <v>29</v>
      </c>
      <c r="E6" s="31" t="s">
        <v>205</v>
      </c>
      <c r="G6" s="14" t="s">
        <v>30</v>
      </c>
      <c r="H6" s="23" t="s">
        <v>30</v>
      </c>
      <c r="J6" s="16" t="s">
        <v>31</v>
      </c>
    </row>
    <row r="7" spans="1:23" x14ac:dyDescent="0.2">
      <c r="A7" s="14">
        <v>8</v>
      </c>
      <c r="B7" s="16" t="s">
        <v>32</v>
      </c>
      <c r="E7" s="31" t="s">
        <v>205</v>
      </c>
      <c r="G7" s="14" t="s">
        <v>33</v>
      </c>
      <c r="H7" s="23" t="s">
        <v>33</v>
      </c>
      <c r="J7" s="16" t="s">
        <v>34</v>
      </c>
    </row>
    <row r="9" spans="1:23" x14ac:dyDescent="0.2">
      <c r="A9" s="14">
        <v>91</v>
      </c>
      <c r="E9" s="31" t="s">
        <v>205</v>
      </c>
      <c r="G9" s="14" t="s">
        <v>36</v>
      </c>
      <c r="H9" s="23" t="s">
        <v>36</v>
      </c>
      <c r="J9" s="25" t="s">
        <v>24</v>
      </c>
      <c r="K9" s="15" t="s">
        <v>25</v>
      </c>
      <c r="L9" s="14">
        <v>50</v>
      </c>
      <c r="N9" s="16">
        <v>9999</v>
      </c>
      <c r="P9" s="16" t="b">
        <v>1</v>
      </c>
    </row>
    <row r="10" spans="1:23" x14ac:dyDescent="0.2">
      <c r="A10" s="14">
        <v>92</v>
      </c>
      <c r="E10" s="31" t="s">
        <v>205</v>
      </c>
      <c r="G10" s="14" t="s">
        <v>36</v>
      </c>
      <c r="H10" s="23" t="s">
        <v>36</v>
      </c>
      <c r="J10" s="25" t="s">
        <v>24</v>
      </c>
      <c r="K10" s="15" t="s">
        <v>25</v>
      </c>
      <c r="L10" s="14">
        <v>150</v>
      </c>
      <c r="N10" s="16">
        <v>9999</v>
      </c>
      <c r="P10" s="16" t="b">
        <v>1</v>
      </c>
    </row>
    <row r="11" spans="1:23" x14ac:dyDescent="0.2">
      <c r="A11" s="14">
        <v>93</v>
      </c>
      <c r="E11" s="31" t="s">
        <v>205</v>
      </c>
      <c r="G11" s="14" t="s">
        <v>36</v>
      </c>
      <c r="H11" s="23" t="s">
        <v>36</v>
      </c>
      <c r="J11" s="25" t="s">
        <v>24</v>
      </c>
      <c r="K11" s="15" t="s">
        <v>25</v>
      </c>
      <c r="L11" s="14">
        <v>500</v>
      </c>
      <c r="N11" s="16">
        <v>9999</v>
      </c>
      <c r="P11" s="16" t="b">
        <v>1</v>
      </c>
    </row>
    <row r="12" spans="1:23" x14ac:dyDescent="0.2">
      <c r="H12" s="15" t="str" cm="1">
        <f t="array" ref="H12">IF($I12&lt;&gt;"",$I12,
_xlfn.LET(
_xlpm.idx,MATCH(relic!$M12,'-id 配置说明'!$A:$A,0),
_xlpm.desc,INDEX('-id 配置说明'!$F:$F,_xlpm.idx),
_xlpm.tp,INDEX('-id 配置说明'!$B:$B,_xlpm.idx),
_xlpm.expr,RIGHT(_xlpm.desc,LEN(_xlpm.desc)-FIND("=",_xlpm.desc))&amp;" + "&amp;_xlfn.SWITCH(_xlpm.tp,"pts",TEXT($L12/1000,"0%"),"add",$L12),
IFERROR(_xlpm.expr,"")
))</f>
        <v/>
      </c>
      <c r="S12" s="40"/>
    </row>
    <row r="13" spans="1:23" x14ac:dyDescent="0.2">
      <c r="A13" s="26">
        <v>300011</v>
      </c>
      <c r="B13" s="73" t="str">
        <f>IF(A13&lt;&gt;"","relic_name_"&amp;IF(C13,LEFT($A13,LEN($A13)-1),$A13),"")</f>
        <v>relic_name_30001</v>
      </c>
      <c r="C13" s="82" t="b">
        <v>1</v>
      </c>
      <c r="D13" s="69" t="str" cm="1">
        <f t="array" ref="D13">_xlfn.LET(
_xlpm.idx,MATCH(relic!$M13,'-id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IFERROR(INDEX(_xlpm.desc_array,MIN(RIGHT($A13,1),_xlpm.array_len)),"")
)</f>
        <v>阿菊</v>
      </c>
      <c r="E13" s="68" t="str">
        <f>_xlfn.LET(_xlpm._asset,"relic_layout",
_xlfn.CONCAT(_xlpm._asset,"[",_xlpm._asset,"_",$F13,"]"))</f>
        <v>relic_layout[relic_layout_0]</v>
      </c>
      <c r="F13" s="79">
        <v>0</v>
      </c>
      <c r="G13" s="16" t="str">
        <f>IF($A13&lt;&gt;"","relic_desc_"&amp;$A13,"")</f>
        <v>relic_desc_300011</v>
      </c>
      <c r="H13" s="50" t="str" cm="1">
        <f t="array" ref="H13:H16">_xlfn.LET(_xlpm._manual_info,$I13:$I16,
    IF(_xlpm._manual_info&lt;&gt;"",_xlpm._manual_info,_xlfn.LET(
        _xlpm._parm_key,$M13,
        _xlpm._parm_value,$L13:$L16,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所有设备 伤害 + 15%</v>
      </c>
      <c r="J13" s="24" t="s">
        <v>37</v>
      </c>
      <c r="L13" s="14">
        <v>150</v>
      </c>
      <c r="M13" s="16" t="s">
        <v>38</v>
      </c>
      <c r="N13" s="73">
        <f>ROUND(POWER(O13,(5-T13)/5),0)</f>
        <v>9</v>
      </c>
      <c r="O13" s="30">
        <v>9</v>
      </c>
      <c r="P13" s="24" t="b">
        <v>1</v>
      </c>
      <c r="Q13" s="24"/>
      <c r="R13" s="24"/>
      <c r="S13" s="24"/>
      <c r="T13" s="63">
        <v>0</v>
      </c>
      <c r="U13" s="72">
        <f>ROUND(V13*POWER(W13,T13),0)</f>
        <v>7</v>
      </c>
      <c r="V13" s="30">
        <v>7</v>
      </c>
      <c r="W13" s="30">
        <v>2.3199999999999998</v>
      </c>
    </row>
    <row r="14" spans="1:23" x14ac:dyDescent="0.2">
      <c r="A14" s="26">
        <v>300012</v>
      </c>
      <c r="B14" s="73" t="str">
        <f>IF(A14&lt;&gt;"","relic_name_"&amp;IF(C14,LEFT($A14,LEN($A14)-1),$A14),"")</f>
        <v>relic_name_30001</v>
      </c>
      <c r="C14" s="82" t="b">
        <v>1</v>
      </c>
      <c r="D14" s="69" t="str" cm="1">
        <f t="array" ref="D14">_xlfn.LET(
_xlpm.idx,MATCH(relic!$M14,'-id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IFERROR(INDEX(_xlpm.desc_array,MIN(RIGHT($A14,1),_xlpm.array_len)),"")
)</f>
        <v>阿菊</v>
      </c>
      <c r="E14" s="68" t="str">
        <f>_xlfn.LET(_xlpm._asset,"relic_layout",
_xlfn.CONCAT(_xlpm._asset,"[",_xlpm._asset,"_",$F14,"]"))</f>
        <v>relic_layout[relic_layout_1]</v>
      </c>
      <c r="F14" s="79">
        <v>1</v>
      </c>
      <c r="G14" s="16" t="str">
        <f t="shared" ref="G14:G99" si="0">IF($A14&lt;&gt;"","relic_desc_"&amp;$A14,"")</f>
        <v>relic_desc_300012</v>
      </c>
      <c r="H14" s="50" t="str">
        <v>所有设备 伤害 + 30%</v>
      </c>
      <c r="J14" s="24" t="s">
        <v>37</v>
      </c>
      <c r="L14" s="14">
        <v>300</v>
      </c>
      <c r="M14" s="16" t="s">
        <v>38</v>
      </c>
      <c r="N14" s="73">
        <f>ROUND(POWER(O14,(5-T14)/5),0)</f>
        <v>6</v>
      </c>
      <c r="O14" s="30">
        <v>9</v>
      </c>
      <c r="P14" s="24" t="b">
        <v>1</v>
      </c>
      <c r="Q14" s="24"/>
      <c r="R14" s="24"/>
      <c r="S14" s="24"/>
      <c r="T14" s="64">
        <v>1</v>
      </c>
      <c r="U14" s="72">
        <f>ROUND(V14*POWER(W14,T14),0)</f>
        <v>16</v>
      </c>
      <c r="V14" s="30">
        <v>7</v>
      </c>
      <c r="W14" s="30">
        <v>2.3199999999999998</v>
      </c>
    </row>
    <row r="15" spans="1:23" x14ac:dyDescent="0.2">
      <c r="A15" s="26">
        <v>300013</v>
      </c>
      <c r="B15" s="73" t="str">
        <f>IF(A15&lt;&gt;"","relic_name_"&amp;IF(C15,LEFT($A15,LEN($A15)-1),$A15),"")</f>
        <v>relic_name_30001</v>
      </c>
      <c r="C15" s="82" t="b">
        <v>1</v>
      </c>
      <c r="D15" s="69" t="str" cm="1">
        <f t="array" ref="D15">_xlfn.LET(
_xlpm.idx,MATCH(relic!$M15,'-id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IFERROR(INDEX(_xlpm.desc_array,MIN(RIGHT($A15,1),_xlpm.array_len)),"")
)</f>
        <v>阿菊</v>
      </c>
      <c r="E15" s="68" t="str">
        <f>_xlfn.LET(_xlpm._asset,"relic_layout",
_xlfn.CONCAT(_xlpm._asset,"[",_xlpm._asset,"_",$F15,"]"))</f>
        <v>relic_layout[relic_layout_1]</v>
      </c>
      <c r="F15" s="79">
        <v>1</v>
      </c>
      <c r="G15" s="16" t="str">
        <f t="shared" si="0"/>
        <v>relic_desc_300013</v>
      </c>
      <c r="H15" s="50" t="str">
        <v>所有设备 伤害 + 60%</v>
      </c>
      <c r="J15" s="24" t="s">
        <v>37</v>
      </c>
      <c r="L15" s="14">
        <v>600</v>
      </c>
      <c r="M15" s="16" t="s">
        <v>38</v>
      </c>
      <c r="N15" s="73">
        <f>ROUND(POWER(O15,(5-T15)/5),0)</f>
        <v>4</v>
      </c>
      <c r="O15" s="30">
        <v>9</v>
      </c>
      <c r="P15" s="24" t="b">
        <v>1</v>
      </c>
      <c r="Q15" s="24"/>
      <c r="R15" s="24"/>
      <c r="S15" s="24"/>
      <c r="T15" s="65">
        <v>2</v>
      </c>
      <c r="U15" s="72">
        <f>ROUND(V15*POWER(W15,T15),0)</f>
        <v>38</v>
      </c>
      <c r="V15" s="30">
        <v>7</v>
      </c>
      <c r="W15" s="30">
        <v>2.3199999999999998</v>
      </c>
    </row>
    <row r="16" spans="1:23" x14ac:dyDescent="0.2">
      <c r="A16" s="26">
        <v>300014</v>
      </c>
      <c r="B16" s="73" t="str">
        <f>IF(A16&lt;&gt;"","relic_name_"&amp;IF(C16,LEFT($A16,LEN($A16)-1),$A16),"")</f>
        <v>relic_name_30001</v>
      </c>
      <c r="C16" s="82" t="b">
        <v>1</v>
      </c>
      <c r="D16" s="69" t="str" cm="1">
        <f t="array" ref="D16">_xlfn.LET(
_xlpm.idx,MATCH(relic!$M16,'-id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IFERROR(INDEX(_xlpm.desc_array,MIN(RIGHT($A16,1),_xlpm.array_len)),"")
)</f>
        <v>阿菊</v>
      </c>
      <c r="E16" s="68" t="str">
        <f>_xlfn.LET(_xlpm._asset,"relic_layout",
_xlfn.CONCAT(_xlpm._asset,"[",_xlpm._asset,"_",$F16,"]"))</f>
        <v>relic_layout[relic_layout_2]</v>
      </c>
      <c r="F16" s="79">
        <v>2</v>
      </c>
      <c r="G16" s="16" t="str">
        <f t="shared" si="0"/>
        <v>relic_desc_300014</v>
      </c>
      <c r="H16" s="50" t="str">
        <v>所有设备 伤害 + 120%</v>
      </c>
      <c r="J16" s="24" t="s">
        <v>37</v>
      </c>
      <c r="L16" s="14">
        <v>1200</v>
      </c>
      <c r="M16" s="16" t="s">
        <v>38</v>
      </c>
      <c r="N16" s="73">
        <f>ROUND(POWER(O16,(5-T16)/5),0)</f>
        <v>2</v>
      </c>
      <c r="O16" s="30">
        <v>9</v>
      </c>
      <c r="P16" s="24" t="b">
        <v>1</v>
      </c>
      <c r="Q16" s="24"/>
      <c r="R16" s="24"/>
      <c r="S16" s="24"/>
      <c r="T16" s="66">
        <v>3</v>
      </c>
      <c r="U16" s="72">
        <f>ROUND(V16*POWER(W16,T16),0)</f>
        <v>87</v>
      </c>
      <c r="V16" s="30">
        <v>7</v>
      </c>
      <c r="W16" s="30">
        <v>2.3199999999999998</v>
      </c>
    </row>
    <row r="17" spans="1:23" x14ac:dyDescent="0.2">
      <c r="A17" s="26"/>
      <c r="D17" s="15" t="str" cm="1">
        <f t="array" ref="D17">_xlfn.LET(
_xlpm.idx,MATCH(relic!$M17,'-id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IFERROR(INDEX(_xlpm.desc_array,MIN(RIGHT($A17,1),_xlpm.array_len)),"")
)</f>
        <v/>
      </c>
      <c r="G17" s="16" t="str">
        <f t="shared" si="0"/>
        <v/>
      </c>
      <c r="H17" s="71"/>
      <c r="N17" s="16"/>
      <c r="P17" s="16"/>
      <c r="Q17" s="16"/>
      <c r="R17" s="16"/>
      <c r="S17" s="16"/>
    </row>
    <row r="18" spans="1:23" x14ac:dyDescent="0.2">
      <c r="A18" s="26">
        <v>300021</v>
      </c>
      <c r="B18" s="73" t="str">
        <f>IF(A18&lt;&gt;"","relic_name_"&amp;IF(C18,LEFT($A18,LEN($A18)-1),$A18),"")</f>
        <v>relic_name_30002</v>
      </c>
      <c r="C18" s="82" t="b">
        <v>1</v>
      </c>
      <c r="D18" s="69" t="str" cm="1">
        <f t="array" ref="D18">_xlfn.LET(
_xlpm.idx,MATCH(relic!$M18,'-id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IFERROR(INDEX(_xlpm.desc_array,MIN(RIGHT($A18,1),_xlpm.array_len)),"")
)</f>
        <v>火星蝶</v>
      </c>
      <c r="E18" s="68" t="str">
        <f>_xlfn.LET(_xlpm._asset,"relic_layout",
_xlfn.CONCAT(_xlpm._asset,"[",_xlpm._asset,"_",$F18,"]"))</f>
        <v>relic_layout[relic_layout_56]</v>
      </c>
      <c r="F18" s="79">
        <v>56</v>
      </c>
      <c r="G18" s="16" t="str">
        <f t="shared" si="0"/>
        <v>relic_desc_300021</v>
      </c>
      <c r="H18" s="50" t="str" cm="1">
        <f t="array" ref="H18:H20">_xlfn.LET(_xlpm._manual_info,$I18:$I20,
    IF(_xlpm._manual_info&lt;&gt;"",_xlpm._manual_info,_xlfn.LET(
        _xlpm._parm_key,$M18,
        _xlpm._parm_value,$L18:$L20,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所有设备 额外伤害 + 6</v>
      </c>
      <c r="J18" s="24" t="s">
        <v>37</v>
      </c>
      <c r="L18" s="14">
        <v>6</v>
      </c>
      <c r="M18" s="16" t="s">
        <v>39</v>
      </c>
      <c r="N18" s="73">
        <f>ROUND(POWER(O18,(5-T18)/5),0)</f>
        <v>4</v>
      </c>
      <c r="O18" s="30">
        <v>6</v>
      </c>
      <c r="P18" s="24" t="b">
        <v>1</v>
      </c>
      <c r="Q18" s="24"/>
      <c r="R18" s="24"/>
      <c r="S18" s="24"/>
      <c r="T18" s="64">
        <v>1</v>
      </c>
      <c r="U18" s="72">
        <f>ROUND(V18*POWER(W18,T18),0)</f>
        <v>19</v>
      </c>
      <c r="V18" s="30">
        <v>8</v>
      </c>
      <c r="W18" s="30">
        <v>2.3199999999999998</v>
      </c>
    </row>
    <row r="19" spans="1:23" x14ac:dyDescent="0.2">
      <c r="A19" s="26">
        <v>300022</v>
      </c>
      <c r="B19" s="73" t="str">
        <f>IF(A19&lt;&gt;"","relic_name_"&amp;IF(C19,LEFT($A19,LEN($A19)-1),$A19),"")</f>
        <v>relic_name_30002</v>
      </c>
      <c r="C19" s="82" t="b">
        <v>1</v>
      </c>
      <c r="D19" s="69" t="str" cm="1">
        <f t="array" ref="D19">_xlfn.LET(
_xlpm.idx,MATCH(relic!$M19,'-id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IFERROR(INDEX(_xlpm.desc_array,MIN(RIGHT($A19,1),_xlpm.array_len)),"")
)</f>
        <v>火星蝶</v>
      </c>
      <c r="E19" s="68" t="str">
        <f>_xlfn.LET(_xlpm._asset,"relic_layout",
_xlfn.CONCAT(_xlpm._asset,"[",_xlpm._asset,"_",$F19,"]"))</f>
        <v>relic_layout[relic_layout_56]</v>
      </c>
      <c r="F19" s="79">
        <v>56</v>
      </c>
      <c r="G19" s="16" t="str">
        <f t="shared" si="0"/>
        <v>relic_desc_300022</v>
      </c>
      <c r="H19" s="50" t="str">
        <v>所有设备 额外伤害 + 12</v>
      </c>
      <c r="J19" s="24" t="s">
        <v>37</v>
      </c>
      <c r="L19" s="14">
        <v>12</v>
      </c>
      <c r="M19" s="16" t="s">
        <v>39</v>
      </c>
      <c r="N19" s="73">
        <f>ROUND(POWER(O19,(5-T19)/5),0)</f>
        <v>3</v>
      </c>
      <c r="O19" s="30">
        <v>6</v>
      </c>
      <c r="P19" s="24" t="b">
        <v>1</v>
      </c>
      <c r="Q19" s="24"/>
      <c r="R19" s="24"/>
      <c r="S19" s="24"/>
      <c r="T19" s="65">
        <v>2</v>
      </c>
      <c r="U19" s="72">
        <f>ROUND(V19*POWER(W19,T19),0)</f>
        <v>43</v>
      </c>
      <c r="V19" s="30">
        <v>8</v>
      </c>
      <c r="W19" s="30">
        <v>2.3199999999999998</v>
      </c>
    </row>
    <row r="20" spans="1:23" x14ac:dyDescent="0.2">
      <c r="A20" s="26">
        <v>300023</v>
      </c>
      <c r="B20" s="73" t="str">
        <f>IF(A20&lt;&gt;"","relic_name_"&amp;IF(C20,LEFT($A20,LEN($A20)-1),$A20),"")</f>
        <v>relic_name_30002</v>
      </c>
      <c r="C20" s="82" t="b">
        <v>1</v>
      </c>
      <c r="D20" s="69" t="str" cm="1">
        <f t="array" ref="D20">_xlfn.LET(
_xlpm.idx,MATCH(relic!$M20,'-id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IFERROR(INDEX(_xlpm.desc_array,MIN(RIGHT($A20,1),_xlpm.array_len)),"")
)</f>
        <v>火星蝶</v>
      </c>
      <c r="E20" s="68" t="str">
        <f>_xlfn.LET(_xlpm._asset,"relic_layout",
_xlfn.CONCAT(_xlpm._asset,"[",_xlpm._asset,"_",$F20,"]"))</f>
        <v>relic_layout[relic_layout_56]</v>
      </c>
      <c r="F20" s="79">
        <v>56</v>
      </c>
      <c r="G20" s="16" t="str">
        <f t="shared" si="0"/>
        <v>relic_desc_300023</v>
      </c>
      <c r="H20" s="50" t="str">
        <v>所有设备 额外伤害 + 24</v>
      </c>
      <c r="J20" s="24" t="s">
        <v>37</v>
      </c>
      <c r="L20" s="14">
        <v>24</v>
      </c>
      <c r="M20" s="16" t="s">
        <v>39</v>
      </c>
      <c r="N20" s="73">
        <f>ROUND(POWER(O20,(5-T20)/5),0)</f>
        <v>2</v>
      </c>
      <c r="O20" s="30">
        <v>6</v>
      </c>
      <c r="P20" s="24" t="b">
        <v>1</v>
      </c>
      <c r="Q20" s="24"/>
      <c r="R20" s="24"/>
      <c r="S20" s="24"/>
      <c r="T20" s="66">
        <v>3</v>
      </c>
      <c r="U20" s="72">
        <f>ROUND(V20*POWER(W20,T20),0)</f>
        <v>100</v>
      </c>
      <c r="V20" s="30">
        <v>8</v>
      </c>
      <c r="W20" s="30">
        <v>2.3199999999999998</v>
      </c>
    </row>
    <row r="21" spans="1:23" x14ac:dyDescent="0.2">
      <c r="A21" s="26"/>
      <c r="D21" s="15" t="str" cm="1">
        <f t="array" ref="D21">_xlfn.LET(
_xlpm.idx,MATCH(relic!$M21,'-id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IFERROR(INDEX(_xlpm.desc_array,MIN(RIGHT($A21,1),_xlpm.array_len)),"")
)</f>
        <v/>
      </c>
      <c r="G21" s="16" t="str">
        <f t="shared" si="0"/>
        <v/>
      </c>
      <c r="H21" s="71"/>
      <c r="N21" s="16"/>
      <c r="P21" s="16"/>
      <c r="Q21" s="16"/>
      <c r="R21" s="16"/>
      <c r="S21" s="16"/>
    </row>
    <row r="22" spans="1:23" x14ac:dyDescent="0.2">
      <c r="A22" s="26">
        <v>300031</v>
      </c>
      <c r="B22" s="73" t="str">
        <f>IF(A22&lt;&gt;"","relic_name_"&amp;IF(C22,LEFT($A22,LEN($A22)-1),$A22),"")</f>
        <v>relic_name_30003</v>
      </c>
      <c r="C22" s="82" t="b">
        <v>1</v>
      </c>
      <c r="D22" s="69" t="str" cm="1">
        <f t="array" ref="D22">_xlfn.LET(
_xlpm.idx,MATCH(relic!$M22,'-id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IFERROR(INDEX(_xlpm.desc_array,MIN(RIGHT($A22,1),_xlpm.array_len)),"")
)</f>
        <v>肌肉金轮草</v>
      </c>
      <c r="E22" s="68" t="str">
        <f>_xlfn.LET(_xlpm._asset,"relic_layout",
_xlfn.CONCAT(_xlpm._asset,"[",_xlpm._asset,"_",$F22,"]"))</f>
        <v>relic_layout[relic_layout_57]</v>
      </c>
      <c r="F22" s="79">
        <v>57</v>
      </c>
      <c r="G22" s="16" t="str">
        <f t="shared" si="0"/>
        <v>relic_desc_300031</v>
      </c>
      <c r="H22" s="50" t="str" cm="1">
        <f t="array" ref="H22:H25">_xlfn.LET(_xlpm._manual_info,$I22:$I25,
    IF(_xlpm._manual_info&lt;&gt;"",_xlpm._manual_info,_xlfn.LET(
        _xlpm._parm_key,$M22,
        _xlpm._parm_value,$L22:$L25,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所有设备 暴击几率 + 4%</v>
      </c>
      <c r="J22" s="24" t="s">
        <v>37</v>
      </c>
      <c r="K22" s="15" t="s">
        <v>35</v>
      </c>
      <c r="L22" s="14">
        <v>40</v>
      </c>
      <c r="M22" s="16" t="s">
        <v>160</v>
      </c>
      <c r="N22" s="73">
        <f>ROUND(POWER(O22,(5-T22)/5),0)</f>
        <v>2</v>
      </c>
      <c r="O22" s="30">
        <v>2</v>
      </c>
      <c r="P22" s="24" t="b">
        <v>1</v>
      </c>
      <c r="Q22" s="24"/>
      <c r="R22" s="24"/>
      <c r="S22" s="24"/>
      <c r="T22" s="63">
        <v>0</v>
      </c>
      <c r="U22" s="72">
        <f>ROUND(V22*POWER(W22,T22),0)</f>
        <v>9</v>
      </c>
      <c r="V22" s="30">
        <v>8.6999999999999993</v>
      </c>
      <c r="W22" s="30">
        <v>2.3199999999999998</v>
      </c>
    </row>
    <row r="23" spans="1:23" x14ac:dyDescent="0.2">
      <c r="A23" s="26">
        <v>300032</v>
      </c>
      <c r="B23" s="73" t="str">
        <f>IF(A23&lt;&gt;"","relic_name_"&amp;IF(C23,LEFT($A23,LEN($A23)-1),$A23),"")</f>
        <v>relic_name_30003</v>
      </c>
      <c r="C23" s="82" t="b">
        <v>1</v>
      </c>
      <c r="D23" s="69" t="str" cm="1">
        <f t="array" ref="D23">_xlfn.LET(
_xlpm.idx,MATCH(relic!$M23,'-id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IFERROR(INDEX(_xlpm.desc_array,MIN(RIGHT($A23,1),_xlpm.array_len)),"")
)</f>
        <v>肌肉金轮草</v>
      </c>
      <c r="E23" s="68" t="str">
        <f>_xlfn.LET(_xlpm._asset,"relic_layout",
_xlfn.CONCAT(_xlpm._asset,"[",_xlpm._asset,"_",$F23,"]"))</f>
        <v>relic_layout[relic_layout_57]</v>
      </c>
      <c r="F23" s="79">
        <v>57</v>
      </c>
      <c r="G23" s="16" t="str">
        <f t="shared" si="0"/>
        <v>relic_desc_300032</v>
      </c>
      <c r="H23" s="50" t="str">
        <v>所有设备 暴击几率 + 6%</v>
      </c>
      <c r="J23" s="24" t="s">
        <v>37</v>
      </c>
      <c r="K23" s="15" t="s">
        <v>35</v>
      </c>
      <c r="L23" s="14">
        <v>60</v>
      </c>
      <c r="M23" s="16" t="s">
        <v>160</v>
      </c>
      <c r="N23" s="73">
        <f>ROUND(POWER(O23,(5-T23)/5),0)</f>
        <v>2</v>
      </c>
      <c r="O23" s="30">
        <v>2</v>
      </c>
      <c r="P23" s="24" t="b">
        <v>1</v>
      </c>
      <c r="Q23" s="24"/>
      <c r="R23" s="24"/>
      <c r="S23" s="24"/>
      <c r="T23" s="64">
        <v>1</v>
      </c>
      <c r="U23" s="72">
        <f>ROUND(V23*POWER(W23,T23),0)</f>
        <v>20</v>
      </c>
      <c r="V23" s="30">
        <v>8.6999999999999993</v>
      </c>
      <c r="W23" s="30">
        <v>2.3199999999999998</v>
      </c>
    </row>
    <row r="24" spans="1:23" x14ac:dyDescent="0.2">
      <c r="A24" s="26">
        <v>300033</v>
      </c>
      <c r="B24" s="73" t="str">
        <f>IF(A24&lt;&gt;"","relic_name_"&amp;IF(C24,LEFT($A24,LEN($A24)-1),$A24),"")</f>
        <v>relic_name_30003</v>
      </c>
      <c r="C24" s="82" t="b">
        <v>1</v>
      </c>
      <c r="D24" s="69" t="str" cm="1">
        <f t="array" ref="D24">_xlfn.LET(
_xlpm.idx,MATCH(relic!$M24,'-id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IFERROR(INDEX(_xlpm.desc_array,MIN(RIGHT($A24,1),_xlpm.array_len)),"")
)</f>
        <v>肌肉金轮草</v>
      </c>
      <c r="E24" s="68" t="str">
        <f>_xlfn.LET(_xlpm._asset,"relic_layout",
_xlfn.CONCAT(_xlpm._asset,"[",_xlpm._asset,"_",$F24,"]"))</f>
        <v>relic_layout[relic_layout_57]</v>
      </c>
      <c r="F24" s="79">
        <v>57</v>
      </c>
      <c r="G24" s="16" t="str">
        <f t="shared" si="0"/>
        <v>relic_desc_300033</v>
      </c>
      <c r="H24" s="50" t="str">
        <v>所有设备 暴击几率 + 9%</v>
      </c>
      <c r="J24" s="24" t="s">
        <v>37</v>
      </c>
      <c r="K24" s="15" t="s">
        <v>35</v>
      </c>
      <c r="L24" s="14">
        <v>90</v>
      </c>
      <c r="M24" s="16" t="s">
        <v>160</v>
      </c>
      <c r="N24" s="73">
        <f>ROUND(POWER(O24,(5-T24)/5),0)</f>
        <v>2</v>
      </c>
      <c r="O24" s="30">
        <v>2</v>
      </c>
      <c r="P24" s="24" t="b">
        <v>1</v>
      </c>
      <c r="Q24" s="24"/>
      <c r="R24" s="24"/>
      <c r="S24" s="24"/>
      <c r="T24" s="65">
        <v>2</v>
      </c>
      <c r="U24" s="72">
        <f>ROUND(V24*POWER(W24,T24),0)</f>
        <v>47</v>
      </c>
      <c r="V24" s="30">
        <v>8.6999999999999993</v>
      </c>
      <c r="W24" s="30">
        <v>2.3199999999999998</v>
      </c>
    </row>
    <row r="25" spans="1:23" x14ac:dyDescent="0.2">
      <c r="A25" s="26">
        <v>300034</v>
      </c>
      <c r="B25" s="73" t="str">
        <f>IF(A25&lt;&gt;"","relic_name_"&amp;IF(C25,LEFT($A25,LEN($A25)-1),$A25),"")</f>
        <v>relic_name_30003</v>
      </c>
      <c r="C25" s="82" t="b">
        <v>1</v>
      </c>
      <c r="D25" s="69" t="str" cm="1">
        <f t="array" ref="D25">_xlfn.LET(
_xlpm.idx,MATCH(relic!$M25,'-id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IFERROR(INDEX(_xlpm.desc_array,MIN(RIGHT($A25,1),_xlpm.array_len)),"")
)</f>
        <v>肌肉金轮草</v>
      </c>
      <c r="E25" s="68" t="str">
        <f>_xlfn.LET(_xlpm._asset,"relic_layout",
_xlfn.CONCAT(_xlpm._asset,"[",_xlpm._asset,"_",$F25,"]"))</f>
        <v>relic_layout[relic_layout_57]</v>
      </c>
      <c r="F25" s="79">
        <v>57</v>
      </c>
      <c r="G25" s="16" t="str">
        <f t="shared" si="0"/>
        <v>relic_desc_300034</v>
      </c>
      <c r="H25" s="50" t="str">
        <v>所有设备 暴击几率 + 13%</v>
      </c>
      <c r="J25" s="24" t="s">
        <v>37</v>
      </c>
      <c r="K25" s="15" t="s">
        <v>35</v>
      </c>
      <c r="L25" s="14">
        <v>130</v>
      </c>
      <c r="M25" s="16" t="s">
        <v>160</v>
      </c>
      <c r="N25" s="73">
        <f>ROUND(POWER(O25,(5-T25)/5),0)</f>
        <v>1</v>
      </c>
      <c r="O25" s="30">
        <v>2</v>
      </c>
      <c r="P25" s="24" t="b">
        <v>1</v>
      </c>
      <c r="Q25" s="24"/>
      <c r="R25" s="24"/>
      <c r="S25" s="24"/>
      <c r="T25" s="66">
        <v>3</v>
      </c>
      <c r="U25" s="72">
        <f>ROUND(V25*POWER(W25,T25),0)</f>
        <v>109</v>
      </c>
      <c r="V25" s="30">
        <v>8.6999999999999993</v>
      </c>
      <c r="W25" s="30">
        <v>2.3199999999999998</v>
      </c>
    </row>
    <row r="26" spans="1:23" x14ac:dyDescent="0.2">
      <c r="A26" s="26"/>
      <c r="D26" s="15" t="str" cm="1">
        <f t="array" ref="D26">_xlfn.LET(
_xlpm.idx,MATCH(relic!$M26,'-id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IFERROR(INDEX(_xlpm.desc_array,MIN(RIGHT($A26,1),_xlpm.array_len)),"")
)</f>
        <v/>
      </c>
      <c r="G26" s="16" t="str">
        <f t="shared" si="0"/>
        <v/>
      </c>
      <c r="H26" s="71"/>
      <c r="N26" s="16"/>
      <c r="P26" s="16"/>
      <c r="Q26" s="16"/>
      <c r="R26" s="16"/>
      <c r="S26" s="16"/>
    </row>
    <row r="27" spans="1:23" x14ac:dyDescent="0.2">
      <c r="A27" s="26">
        <v>300041</v>
      </c>
      <c r="B27" s="73" t="str">
        <f>IF(A27&lt;&gt;"","relic_name_"&amp;IF(C27,LEFT($A27,LEN($A27)-1),$A27),"")</f>
        <v>relic_name_30004</v>
      </c>
      <c r="C27" s="82" t="b">
        <v>1</v>
      </c>
      <c r="D27" s="69" t="str" cm="1">
        <f t="array" ref="D27">_xlfn.LET(
_xlpm.idx,MATCH(relic!$M27,'-id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IFERROR(INDEX(_xlpm.desc_array,MIN(RIGHT($A27,1),_xlpm.array_len)),"")
)</f>
        <v>托利莲</v>
      </c>
      <c r="E27" s="68" t="str">
        <f>_xlfn.LET(_xlpm._asset,"relic_layout",
_xlfn.CONCAT(_xlpm._asset,"[",_xlpm._asset,"_",$F27,"]"))</f>
        <v>relic_layout[relic_layout_58]</v>
      </c>
      <c r="F27" s="79">
        <v>58</v>
      </c>
      <c r="G27" s="16" t="str">
        <f t="shared" si="0"/>
        <v>relic_desc_300041</v>
      </c>
      <c r="H27" s="50" t="str" cm="1">
        <f t="array" ref="H27:H30">_xlfn.LET(_xlpm._manual_info,$I27:$I30,
    IF(_xlpm._manual_info&lt;&gt;"",_xlpm._manual_info,_xlfn.LET(
        _xlpm._parm_key,$M27,
        _xlpm._parm_value,$L27:$L30,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所有设备 暴击伤害 + 10%</v>
      </c>
      <c r="J27" s="24" t="s">
        <v>37</v>
      </c>
      <c r="K27" s="15" t="s">
        <v>371</v>
      </c>
      <c r="L27" s="14">
        <v>100</v>
      </c>
      <c r="M27" s="16" t="s">
        <v>163</v>
      </c>
      <c r="N27" s="73">
        <f>ROUND(POWER(O27,(5-T27)/5),0)</f>
        <v>3</v>
      </c>
      <c r="O27" s="30">
        <v>3</v>
      </c>
      <c r="P27" s="24" t="b">
        <v>1</v>
      </c>
      <c r="Q27" s="24"/>
      <c r="R27" s="24"/>
      <c r="S27" s="24"/>
      <c r="T27" s="63">
        <v>0</v>
      </c>
      <c r="U27" s="72">
        <f>ROUND(V27*POWER(W27,T27),0)</f>
        <v>8</v>
      </c>
      <c r="V27" s="30">
        <v>8.3000000000000007</v>
      </c>
      <c r="W27" s="30">
        <v>2.3199999999999998</v>
      </c>
    </row>
    <row r="28" spans="1:23" x14ac:dyDescent="0.2">
      <c r="A28" s="26">
        <v>300042</v>
      </c>
      <c r="B28" s="73" t="str">
        <f>IF(A28&lt;&gt;"","relic_name_"&amp;IF(C28,LEFT($A28,LEN($A28)-1),$A28),"")</f>
        <v>relic_name_30004</v>
      </c>
      <c r="C28" s="82" t="b">
        <v>1</v>
      </c>
      <c r="D28" s="69" t="str" cm="1">
        <f t="array" ref="D28">_xlfn.LET(
_xlpm.idx,MATCH(relic!$M28,'-id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IFERROR(INDEX(_xlpm.desc_array,MIN(RIGHT($A28,1),_xlpm.array_len)),"")
)</f>
        <v>托利莲</v>
      </c>
      <c r="E28" s="68" t="str">
        <f>_xlfn.LET(_xlpm._asset,"relic_layout",
_xlfn.CONCAT(_xlpm._asset,"[",_xlpm._asset,"_",$F28,"]"))</f>
        <v>relic_layout[relic_layout_58]</v>
      </c>
      <c r="F28" s="79">
        <v>58</v>
      </c>
      <c r="G28" s="16" t="str">
        <f t="shared" si="0"/>
        <v>relic_desc_300042</v>
      </c>
      <c r="H28" s="50" t="str">
        <v>所有设备 暴击伤害 + 20%</v>
      </c>
      <c r="J28" s="24" t="s">
        <v>37</v>
      </c>
      <c r="K28" s="15" t="s">
        <v>371</v>
      </c>
      <c r="L28" s="14">
        <v>200</v>
      </c>
      <c r="M28" s="16" t="s">
        <v>163</v>
      </c>
      <c r="N28" s="73">
        <f>ROUND(POWER(O28,(5-T28)/5),0)</f>
        <v>2</v>
      </c>
      <c r="O28" s="30">
        <v>3</v>
      </c>
      <c r="P28" s="24" t="b">
        <v>1</v>
      </c>
      <c r="Q28" s="24"/>
      <c r="R28" s="24"/>
      <c r="S28" s="24"/>
      <c r="T28" s="64">
        <v>1</v>
      </c>
      <c r="U28" s="72">
        <f>ROUND(V28*POWER(W28,T28),0)</f>
        <v>19</v>
      </c>
      <c r="V28" s="30">
        <v>8.3000000000000007</v>
      </c>
      <c r="W28" s="30">
        <v>2.3199999999999998</v>
      </c>
    </row>
    <row r="29" spans="1:23" x14ac:dyDescent="0.2">
      <c r="A29" s="26">
        <v>300043</v>
      </c>
      <c r="B29" s="73" t="str">
        <f>IF(A29&lt;&gt;"","relic_name_"&amp;IF(C29,LEFT($A29,LEN($A29)-1),$A29),"")</f>
        <v>relic_name_30004</v>
      </c>
      <c r="C29" s="82" t="b">
        <v>1</v>
      </c>
      <c r="D29" s="69" t="str" cm="1">
        <f t="array" ref="D29">_xlfn.LET(
_xlpm.idx,MATCH(relic!$M29,'-id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IFERROR(INDEX(_xlpm.desc_array,MIN(RIGHT($A29,1),_xlpm.array_len)),"")
)</f>
        <v>托利莲</v>
      </c>
      <c r="E29" s="68" t="str">
        <f>_xlfn.LET(_xlpm._asset,"relic_layout",
_xlfn.CONCAT(_xlpm._asset,"[",_xlpm._asset,"_",$F29,"]"))</f>
        <v>relic_layout[relic_layout_58]</v>
      </c>
      <c r="F29" s="79">
        <v>58</v>
      </c>
      <c r="G29" s="16" t="str">
        <f t="shared" si="0"/>
        <v>relic_desc_300043</v>
      </c>
      <c r="H29" s="50" t="str">
        <v>所有设备 暴击伤害 + 40%</v>
      </c>
      <c r="J29" s="24" t="s">
        <v>37</v>
      </c>
      <c r="K29" s="15" t="s">
        <v>371</v>
      </c>
      <c r="L29" s="14">
        <v>400</v>
      </c>
      <c r="M29" s="16" t="s">
        <v>163</v>
      </c>
      <c r="N29" s="73">
        <f>ROUND(POWER(O29,(5-T29)/5),0)</f>
        <v>2</v>
      </c>
      <c r="O29" s="30">
        <v>3</v>
      </c>
      <c r="P29" s="24" t="b">
        <v>1</v>
      </c>
      <c r="Q29" s="24"/>
      <c r="R29" s="24"/>
      <c r="S29" s="24"/>
      <c r="T29" s="65">
        <v>2</v>
      </c>
      <c r="U29" s="72">
        <f>ROUND(V29*POWER(W29,T29),0)</f>
        <v>45</v>
      </c>
      <c r="V29" s="30">
        <v>8.3000000000000007</v>
      </c>
      <c r="W29" s="30">
        <v>2.3199999999999998</v>
      </c>
    </row>
    <row r="30" spans="1:23" x14ac:dyDescent="0.2">
      <c r="A30" s="26">
        <v>300044</v>
      </c>
      <c r="B30" s="73" t="str">
        <f>IF(A30&lt;&gt;"","relic_name_"&amp;IF(C30,LEFT($A30,LEN($A30)-1),$A30),"")</f>
        <v>relic_name_30004</v>
      </c>
      <c r="C30" s="82" t="b">
        <v>1</v>
      </c>
      <c r="D30" s="69" t="str" cm="1">
        <f t="array" ref="D30">_xlfn.LET(
_xlpm.idx,MATCH(relic!$M30,'-id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IFERROR(INDEX(_xlpm.desc_array,MIN(RIGHT($A30,1),_xlpm.array_len)),"")
)</f>
        <v>托利莲</v>
      </c>
      <c r="E30" s="68" t="str">
        <f>_xlfn.LET(_xlpm._asset,"relic_layout",
_xlfn.CONCAT(_xlpm._asset,"[",_xlpm._asset,"_",$F30,"]"))</f>
        <v>relic_layout[relic_layout_58]</v>
      </c>
      <c r="F30" s="79">
        <v>58</v>
      </c>
      <c r="G30" s="16" t="str">
        <f t="shared" si="0"/>
        <v>relic_desc_300044</v>
      </c>
      <c r="H30" s="50" t="str">
        <v>所有设备 暴击伤害 + 80%</v>
      </c>
      <c r="J30" s="24" t="s">
        <v>37</v>
      </c>
      <c r="K30" s="15" t="s">
        <v>371</v>
      </c>
      <c r="L30" s="14">
        <v>800</v>
      </c>
      <c r="M30" s="16" t="s">
        <v>163</v>
      </c>
      <c r="N30" s="73">
        <f>ROUND(POWER(O30,(5-T30)/5),0)</f>
        <v>2</v>
      </c>
      <c r="O30" s="30">
        <v>3</v>
      </c>
      <c r="P30" s="24" t="b">
        <v>1</v>
      </c>
      <c r="Q30" s="24"/>
      <c r="R30" s="24"/>
      <c r="S30" s="24"/>
      <c r="T30" s="66">
        <v>3</v>
      </c>
      <c r="U30" s="72">
        <f>ROUND(V30*POWER(W30,T30),0)</f>
        <v>104</v>
      </c>
      <c r="V30" s="30">
        <v>8.3000000000000007</v>
      </c>
      <c r="W30" s="30">
        <v>2.3199999999999998</v>
      </c>
    </row>
    <row r="31" spans="1:23" x14ac:dyDescent="0.2">
      <c r="A31" s="26"/>
      <c r="B31" s="16" t="str">
        <f t="shared" ref="B31:B53" si="1">IF(A31&lt;&gt;"","relic_name_"&amp;$A31,"")</f>
        <v/>
      </c>
      <c r="D31" s="15" t="str" cm="1">
        <f t="array" ref="D31">_xlfn.LET(
_xlpm.idx,MATCH(relic!$M31,'-id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IFERROR(INDEX(_xlpm.desc_array,MIN(RIGHT($A31,1),_xlpm.array_len)),"")
)</f>
        <v/>
      </c>
      <c r="G31" s="16" t="str">
        <f t="shared" si="0"/>
        <v/>
      </c>
      <c r="H31" s="71"/>
      <c r="N31" s="16" t="str">
        <f t="shared" ref="N31:N86" si="2">IF($A31&gt;0,5,"")</f>
        <v/>
      </c>
      <c r="P31" s="16" t="str">
        <f t="shared" ref="P31:P86" si="3">IF($A31&gt;0,TRUE,"")</f>
        <v/>
      </c>
      <c r="Q31" s="16"/>
      <c r="R31" s="16"/>
      <c r="S31" s="16"/>
      <c r="U31" s="14" t="str">
        <f t="shared" ref="U31:U39" si="4">IF(A31&lt;&gt;"",RIGHT(A31)*5,"")</f>
        <v/>
      </c>
    </row>
    <row r="32" spans="1:23" x14ac:dyDescent="0.2">
      <c r="A32" s="26">
        <v>300051</v>
      </c>
      <c r="B32" s="16" t="str">
        <f t="shared" si="1"/>
        <v>relic_name_300051</v>
      </c>
      <c r="D32" s="15" t="str" cm="1">
        <f t="array" ref="D32">_xlfn.LET(
_xlpm.idx,MATCH(relic!$M32,'-id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IFERROR(INDEX(_xlpm.desc_array,MIN(RIGHT($A32,1),_xlpm.array_len)),"")
)</f>
        <v>紫水晶</v>
      </c>
      <c r="E32" s="14" t="str">
        <f>IF($F32&lt;&gt;"",_xlfn.CONCAT("relic_icons[relic_layout_",$F32,"]"),"")</f>
        <v>relic_icons[relic_layout_12]</v>
      </c>
      <c r="F32" s="78">
        <v>12</v>
      </c>
      <c r="G32" s="16" t="str">
        <f t="shared" si="0"/>
        <v>relic_desc_300051</v>
      </c>
      <c r="H32" s="50" t="str" cm="1">
        <f t="array" ref="H32:H34">_xlfn.LET(_xlpm._manual_info,$I32:$I34,
    IF(_xlpm._manual_info&lt;&gt;"",_xlpm._manual_info,_xlfn.LET(
        _xlpm._parm_key,$M32,
        _xlpm._parm_value,$L32:$L34,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所有设备 击退 + 5%</v>
      </c>
      <c r="J32" s="24" t="s">
        <v>37</v>
      </c>
      <c r="L32" s="14">
        <v>50</v>
      </c>
      <c r="M32" s="16" t="s">
        <v>40</v>
      </c>
      <c r="N32" s="16">
        <f t="shared" si="2"/>
        <v>5</v>
      </c>
      <c r="P32" s="16" t="b">
        <f t="shared" si="3"/>
        <v>1</v>
      </c>
      <c r="Q32" s="16"/>
      <c r="R32" s="16"/>
      <c r="S32" s="16" t="str">
        <f t="shared" ref="S32:S86" si="5">_xlfn.LET(_xlpm.end,IFERROR(VALUE(RIGHT($A32,1)),0),
IF(_xlpm.end&gt;1,$A31,""))</f>
        <v/>
      </c>
      <c r="T32" s="63">
        <v>0</v>
      </c>
      <c r="U32" s="14">
        <f t="shared" si="4"/>
        <v>5</v>
      </c>
    </row>
    <row r="33" spans="1:23" x14ac:dyDescent="0.2">
      <c r="A33" s="26">
        <v>300052</v>
      </c>
      <c r="B33" s="16" t="str">
        <f t="shared" si="1"/>
        <v>relic_name_300052</v>
      </c>
      <c r="D33" s="15" t="str" cm="1">
        <f t="array" ref="D33">_xlfn.LET(
_xlpm.idx,MATCH(relic!$M33,'-id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IFERROR(INDEX(_xlpm.desc_array,MIN(RIGHT($A33,1),_xlpm.array_len)),"")
)</f>
        <v>粉水晶</v>
      </c>
      <c r="E33" s="14" t="str">
        <f>IF($F33&lt;&gt;"",_xlfn.CONCAT("relic_icons[relic_layout_",$F33,"]"),"")</f>
        <v>relic_icons[relic_layout_13]</v>
      </c>
      <c r="F33" s="78">
        <v>13</v>
      </c>
      <c r="G33" s="16" t="str">
        <f t="shared" si="0"/>
        <v>relic_desc_300052</v>
      </c>
      <c r="H33" s="50" t="str">
        <v>所有设备 击退 + 10%</v>
      </c>
      <c r="J33" s="24" t="s">
        <v>37</v>
      </c>
      <c r="L33" s="14">
        <v>100</v>
      </c>
      <c r="M33" s="16" t="s">
        <v>40</v>
      </c>
      <c r="N33" s="16">
        <f t="shared" si="2"/>
        <v>5</v>
      </c>
      <c r="P33" s="16" t="b">
        <f t="shared" si="3"/>
        <v>1</v>
      </c>
      <c r="Q33" s="16"/>
      <c r="R33" s="16"/>
      <c r="S33" s="16">
        <f t="shared" si="5"/>
        <v>300051</v>
      </c>
      <c r="T33" s="64">
        <v>1</v>
      </c>
      <c r="U33" s="14">
        <f t="shared" si="4"/>
        <v>10</v>
      </c>
    </row>
    <row r="34" spans="1:23" x14ac:dyDescent="0.2">
      <c r="A34" s="26">
        <v>300053</v>
      </c>
      <c r="B34" s="16" t="str">
        <f t="shared" si="1"/>
        <v>relic_name_300053</v>
      </c>
      <c r="D34" s="15" t="str" cm="1">
        <f t="array" ref="D34">_xlfn.LET(
_xlpm.idx,MATCH(relic!$M34,'-id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IFERROR(INDEX(_xlpm.desc_array,MIN(RIGHT($A34,1),_xlpm.array_len)),"")
)</f>
        <v>黄水晶</v>
      </c>
      <c r="E34" s="14" t="str">
        <f>IF($F34&lt;&gt;"",_xlfn.CONCAT("relic_icons[relic_layout_",$F34,"]"),"")</f>
        <v>relic_icons[relic_layout_14]</v>
      </c>
      <c r="F34" s="78">
        <v>14</v>
      </c>
      <c r="G34" s="16" t="str">
        <f t="shared" si="0"/>
        <v>relic_desc_300053</v>
      </c>
      <c r="H34" s="50" t="str">
        <v>所有设备 击退 + 15%</v>
      </c>
      <c r="J34" s="24" t="s">
        <v>37</v>
      </c>
      <c r="L34" s="14">
        <v>150</v>
      </c>
      <c r="M34" s="16" t="s">
        <v>40</v>
      </c>
      <c r="N34" s="16">
        <f t="shared" si="2"/>
        <v>5</v>
      </c>
      <c r="P34" s="16" t="b">
        <f t="shared" si="3"/>
        <v>1</v>
      </c>
      <c r="Q34" s="16"/>
      <c r="R34" s="16"/>
      <c r="S34" s="16">
        <f t="shared" si="5"/>
        <v>300052</v>
      </c>
      <c r="T34" s="65">
        <v>2</v>
      </c>
      <c r="U34" s="14">
        <f t="shared" si="4"/>
        <v>15</v>
      </c>
    </row>
    <row r="35" spans="1:23" x14ac:dyDescent="0.2">
      <c r="A35" s="26"/>
      <c r="B35" s="16" t="str">
        <f t="shared" ref="B35:B38" si="6">IF(A35&lt;&gt;"","relic_name_"&amp;$A35,"")</f>
        <v/>
      </c>
      <c r="D35" s="15" t="str" cm="1">
        <f t="array" ref="D35">_xlfn.LET(
_xlpm.idx,MATCH(relic!$M35,'-id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IFERROR(INDEX(_xlpm.desc_array,MIN(RIGHT($A35,1),_xlpm.array_len)),"")
)</f>
        <v/>
      </c>
      <c r="G35" s="16" t="str">
        <f t="shared" si="0"/>
        <v/>
      </c>
      <c r="H35" s="71"/>
      <c r="N35" s="16" t="str">
        <f t="shared" si="2"/>
        <v/>
      </c>
      <c r="P35" s="16" t="str">
        <f t="shared" si="3"/>
        <v/>
      </c>
      <c r="Q35" s="16"/>
      <c r="R35" s="16"/>
      <c r="S35" s="16" t="str">
        <f t="shared" si="5"/>
        <v/>
      </c>
      <c r="U35" s="14" t="str">
        <f t="shared" si="4"/>
        <v/>
      </c>
    </row>
    <row r="36" spans="1:23" x14ac:dyDescent="0.2">
      <c r="A36" s="26">
        <v>300061</v>
      </c>
      <c r="B36" s="16" t="str">
        <f t="shared" si="6"/>
        <v>relic_name_300061</v>
      </c>
      <c r="D36" s="15" t="str" cm="1">
        <f t="array" ref="D36">_xlfn.LET(
_xlpm.idx,MATCH(relic!$M36,'-id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IFERROR(INDEX(_xlpm.desc_array,MIN(RIGHT($A36,1),_xlpm.array_len)),"")
)</f>
        <v>国王骰子</v>
      </c>
      <c r="E36" s="14" t="str">
        <f>IF($F36&lt;&gt;"",_xlfn.CONCAT("relic_icons[relic_layout_",$F36,"]"),"")</f>
        <v>relic_icons[relic_layout_15]</v>
      </c>
      <c r="F36" s="78">
        <v>15</v>
      </c>
      <c r="G36" s="16" t="str">
        <f t="shared" si="0"/>
        <v>relic_desc_300061</v>
      </c>
      <c r="H36" s="50" t="str" cm="1">
        <f t="array" ref="H36:H38">_xlfn.LET(_xlpm._manual_info,$I36:$I38,
    IF(_xlpm._manual_info&lt;&gt;"",_xlpm._manual_info,_xlfn.LET(
        _xlpm._parm_key,$M36,
        _xlpm._parm_value,$L36:$L38,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所有设备 破甲 + 10%</v>
      </c>
      <c r="J36" s="24" t="s">
        <v>37</v>
      </c>
      <c r="K36" s="15" t="s">
        <v>41</v>
      </c>
      <c r="L36" s="14">
        <v>100</v>
      </c>
      <c r="M36" s="16" t="s">
        <v>42</v>
      </c>
      <c r="N36" s="16">
        <f t="shared" si="2"/>
        <v>5</v>
      </c>
      <c r="P36" s="16" t="b">
        <f t="shared" si="3"/>
        <v>1</v>
      </c>
      <c r="Q36" s="16"/>
      <c r="R36" s="16"/>
      <c r="S36" s="16" t="str">
        <f t="shared" si="5"/>
        <v/>
      </c>
      <c r="T36" s="63">
        <v>0</v>
      </c>
      <c r="U36" s="14">
        <f t="shared" si="4"/>
        <v>5</v>
      </c>
    </row>
    <row r="37" spans="1:23" x14ac:dyDescent="0.2">
      <c r="A37" s="26">
        <v>300062</v>
      </c>
      <c r="B37" s="16" t="str">
        <f t="shared" si="6"/>
        <v>relic_name_300062</v>
      </c>
      <c r="D37" s="15" t="str" cm="1">
        <f t="array" ref="D37">_xlfn.LET(
_xlpm.idx,MATCH(relic!$M37,'-id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IFERROR(INDEX(_xlpm.desc_array,MIN(RIGHT($A37,1),_xlpm.array_len)),"")
)</f>
        <v>国王骰子</v>
      </c>
      <c r="E37" s="14" t="str">
        <f>IF($F37&lt;&gt;"",_xlfn.CONCAT("relic_icons[relic_layout_",$F37,"]"),"")</f>
        <v>relic_icons[relic_layout_16]</v>
      </c>
      <c r="F37" s="78">
        <v>16</v>
      </c>
      <c r="G37" s="16" t="str">
        <f t="shared" si="0"/>
        <v>relic_desc_300062</v>
      </c>
      <c r="H37" s="50" t="str">
        <v>所有设备 破甲 + 20%</v>
      </c>
      <c r="J37" s="24" t="s">
        <v>37</v>
      </c>
      <c r="K37" s="15" t="s">
        <v>41</v>
      </c>
      <c r="L37" s="14">
        <v>200</v>
      </c>
      <c r="M37" s="16" t="s">
        <v>42</v>
      </c>
      <c r="N37" s="16">
        <f t="shared" si="2"/>
        <v>5</v>
      </c>
      <c r="P37" s="16" t="b">
        <f t="shared" si="3"/>
        <v>1</v>
      </c>
      <c r="Q37" s="16"/>
      <c r="R37" s="16"/>
      <c r="S37" s="16">
        <f t="shared" si="5"/>
        <v>300061</v>
      </c>
      <c r="T37" s="64">
        <v>1</v>
      </c>
      <c r="U37" s="14">
        <f t="shared" si="4"/>
        <v>10</v>
      </c>
    </row>
    <row r="38" spans="1:23" x14ac:dyDescent="0.2">
      <c r="A38" s="26">
        <v>300063</v>
      </c>
      <c r="B38" s="16" t="str">
        <f t="shared" si="6"/>
        <v>relic_name_300063</v>
      </c>
      <c r="D38" s="15" t="str" cm="1">
        <f t="array" ref="D38">_xlfn.LET(
_xlpm.idx,MATCH(relic!$M38,'-id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IFERROR(INDEX(_xlpm.desc_array,MIN(RIGHT($A38,1),_xlpm.array_len)),"")
)</f>
        <v>国王骰子</v>
      </c>
      <c r="E38" s="14" t="str">
        <f>IF($F38&lt;&gt;"",_xlfn.CONCAT("relic_icons[relic_layout_",$F38,"]"),"")</f>
        <v>relic_icons[relic_layout_17]</v>
      </c>
      <c r="F38" s="78">
        <v>17</v>
      </c>
      <c r="G38" s="16" t="str">
        <f t="shared" si="0"/>
        <v>relic_desc_300063</v>
      </c>
      <c r="H38" s="50" t="str">
        <v>所有设备 破甲 + 30%</v>
      </c>
      <c r="J38" s="24" t="s">
        <v>37</v>
      </c>
      <c r="K38" s="15" t="s">
        <v>41</v>
      </c>
      <c r="L38" s="14">
        <v>300</v>
      </c>
      <c r="M38" s="16" t="s">
        <v>42</v>
      </c>
      <c r="N38" s="16">
        <f t="shared" si="2"/>
        <v>5</v>
      </c>
      <c r="P38" s="16" t="b">
        <f t="shared" si="3"/>
        <v>1</v>
      </c>
      <c r="Q38" s="16"/>
      <c r="R38" s="16"/>
      <c r="S38" s="16">
        <f t="shared" si="5"/>
        <v>300062</v>
      </c>
      <c r="T38" s="65">
        <v>2</v>
      </c>
      <c r="U38" s="14">
        <f t="shared" si="4"/>
        <v>15</v>
      </c>
    </row>
    <row r="39" spans="1:23" x14ac:dyDescent="0.2">
      <c r="A39" s="26"/>
      <c r="B39" s="16" t="str">
        <f t="shared" si="1"/>
        <v/>
      </c>
      <c r="D39" s="15" t="str" cm="1">
        <f t="array" ref="D39">_xlfn.LET(
_xlpm.idx,MATCH(relic!$M39,'-id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IFERROR(INDEX(_xlpm.desc_array,MIN(RIGHT($A39,1),_xlpm.array_len)),"")
)</f>
        <v/>
      </c>
      <c r="G39" s="16" t="str">
        <f t="shared" si="0"/>
        <v/>
      </c>
      <c r="H39" s="71"/>
      <c r="N39" s="16" t="str">
        <f t="shared" si="2"/>
        <v/>
      </c>
      <c r="P39" s="16" t="str">
        <f t="shared" si="3"/>
        <v/>
      </c>
      <c r="Q39" s="16"/>
      <c r="R39" s="16"/>
      <c r="S39" s="16" t="str">
        <f t="shared" si="5"/>
        <v/>
      </c>
      <c r="U39" s="14" t="str">
        <f t="shared" si="4"/>
        <v/>
      </c>
    </row>
    <row r="40" spans="1:23" x14ac:dyDescent="0.2">
      <c r="A40" s="26">
        <v>300071</v>
      </c>
      <c r="B40" s="73" t="str">
        <f>IF(A40&lt;&gt;"","relic_name_"&amp;IF(C40,LEFT($A40,LEN($A40)-1),$A40),"")</f>
        <v>relic_name_30007</v>
      </c>
      <c r="C40" s="82" t="b">
        <v>1</v>
      </c>
      <c r="D40" s="69" t="str" cm="1">
        <f t="array" ref="D40">_xlfn.LET(
_xlpm.idx,MATCH(relic!$M40,'-id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IFERROR(INDEX(_xlpm.desc_array,MIN(RIGHT($A40,1),_xlpm.array_len)),"")
)</f>
        <v>守护符</v>
      </c>
      <c r="E40" s="68" t="str">
        <f>_xlfn.LET(_xlpm._asset,"relic_layout",
_xlfn.CONCAT(_xlpm._asset,"[",_xlpm._asset,"_",$F40,"]"))</f>
        <v>relic_layout[relic_layout_9]</v>
      </c>
      <c r="F40" s="79">
        <v>9</v>
      </c>
      <c r="G40" s="16" t="str">
        <f t="shared" si="0"/>
        <v>relic_desc_300071</v>
      </c>
      <c r="H40" s="50" t="str" cm="1">
        <f t="array" ref="H40:H43">_xlfn.LET(_xlpm._manual_info,$I40:$I43,
    IF(_xlpm._manual_info&lt;&gt;"",_xlpm._manual_info,_xlfn.LET(
        _xlpm._parm_key,$M40,
        _xlpm._parm_value,$L40:$L43,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所有设备 护甲 + 10</v>
      </c>
      <c r="J40" s="24" t="s">
        <v>37</v>
      </c>
      <c r="K40" s="15" t="s">
        <v>376</v>
      </c>
      <c r="L40" s="14">
        <v>10</v>
      </c>
      <c r="M40" s="16" t="s">
        <v>43</v>
      </c>
      <c r="N40" s="73">
        <f>ROUND(POWER(O40,(5-T40)/5),0)</f>
        <v>5</v>
      </c>
      <c r="O40" s="30">
        <v>5</v>
      </c>
      <c r="P40" s="24" t="b">
        <v>1</v>
      </c>
      <c r="Q40" s="24"/>
      <c r="R40" s="24"/>
      <c r="S40" s="24"/>
      <c r="T40" s="63">
        <v>0</v>
      </c>
      <c r="U40" s="72">
        <f>ROUND(V40*POWER(W40,T40),0)</f>
        <v>7</v>
      </c>
      <c r="V40" s="30">
        <v>6.7</v>
      </c>
      <c r="W40" s="30">
        <v>2.25</v>
      </c>
    </row>
    <row r="41" spans="1:23" x14ac:dyDescent="0.2">
      <c r="A41" s="26">
        <v>300072</v>
      </c>
      <c r="B41" s="73" t="str">
        <f>IF(A41&lt;&gt;"","relic_name_"&amp;IF(C41,LEFT($A41,LEN($A41)-1),$A41),"")</f>
        <v>relic_name_30007</v>
      </c>
      <c r="C41" s="82" t="b">
        <v>1</v>
      </c>
      <c r="D41" s="69" t="str" cm="1">
        <f t="array" ref="D41">_xlfn.LET(
_xlpm.idx,MATCH(relic!$M41,'-id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IFERROR(INDEX(_xlpm.desc_array,MIN(RIGHT($A41,1),_xlpm.array_len)),"")
)</f>
        <v>守护符</v>
      </c>
      <c r="E41" s="68" t="str">
        <f>_xlfn.LET(_xlpm._asset,"relic_layout",
_xlfn.CONCAT(_xlpm._asset,"[",_xlpm._asset,"_",$F41,"]"))</f>
        <v>relic_layout[relic_layout_9]</v>
      </c>
      <c r="F41" s="79">
        <v>9</v>
      </c>
      <c r="G41" s="16" t="str">
        <f t="shared" si="0"/>
        <v>relic_desc_300072</v>
      </c>
      <c r="H41" s="50" t="str">
        <v>所有设备 护甲 + 20</v>
      </c>
      <c r="J41" s="24" t="s">
        <v>37</v>
      </c>
      <c r="K41" s="15" t="s">
        <v>376</v>
      </c>
      <c r="L41" s="14">
        <v>20</v>
      </c>
      <c r="M41" s="16" t="s">
        <v>43</v>
      </c>
      <c r="N41" s="73">
        <f>ROUND(POWER(O41,(5-T41)/5),0)</f>
        <v>4</v>
      </c>
      <c r="O41" s="30">
        <v>5</v>
      </c>
      <c r="P41" s="24" t="b">
        <v>1</v>
      </c>
      <c r="Q41" s="24"/>
      <c r="R41" s="24"/>
      <c r="S41" s="24"/>
      <c r="T41" s="64">
        <v>1</v>
      </c>
      <c r="U41" s="72">
        <f>ROUND(V41*POWER(W41,T41),0)</f>
        <v>15</v>
      </c>
      <c r="V41" s="30">
        <v>6.7</v>
      </c>
      <c r="W41" s="30">
        <v>2.25</v>
      </c>
    </row>
    <row r="42" spans="1:23" x14ac:dyDescent="0.2">
      <c r="A42" s="26">
        <v>300073</v>
      </c>
      <c r="B42" s="73" t="str">
        <f>IF(A42&lt;&gt;"","relic_name_"&amp;IF(C42,LEFT($A42,LEN($A42)-1),$A42),"")</f>
        <v>relic_name_30007</v>
      </c>
      <c r="C42" s="82" t="b">
        <v>1</v>
      </c>
      <c r="D42" s="69" t="str" cm="1">
        <f t="array" ref="D42">_xlfn.LET(
_xlpm.idx,MATCH(relic!$M42,'-id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IFERROR(INDEX(_xlpm.desc_array,MIN(RIGHT($A42,1),_xlpm.array_len)),"")
)</f>
        <v>守护符</v>
      </c>
      <c r="E42" s="68" t="str">
        <f>_xlfn.LET(_xlpm._asset,"relic_layout",
_xlfn.CONCAT(_xlpm._asset,"[",_xlpm._asset,"_",$F42,"]"))</f>
        <v>relic_layout[relic_layout_9]</v>
      </c>
      <c r="F42" s="79">
        <v>9</v>
      </c>
      <c r="G42" s="16" t="str">
        <f t="shared" si="0"/>
        <v>relic_desc_300073</v>
      </c>
      <c r="H42" s="50" t="str">
        <v>所有设备 护甲 + 40</v>
      </c>
      <c r="J42" s="24" t="s">
        <v>37</v>
      </c>
      <c r="K42" s="15" t="s">
        <v>376</v>
      </c>
      <c r="L42" s="14">
        <v>40</v>
      </c>
      <c r="M42" s="16" t="s">
        <v>43</v>
      </c>
      <c r="N42" s="73">
        <f>ROUND(POWER(O42,(5-T42)/5),0)</f>
        <v>3</v>
      </c>
      <c r="O42" s="30">
        <v>5</v>
      </c>
      <c r="P42" s="24" t="b">
        <v>1</v>
      </c>
      <c r="Q42" s="24"/>
      <c r="R42" s="24"/>
      <c r="S42" s="24"/>
      <c r="T42" s="65">
        <v>2</v>
      </c>
      <c r="U42" s="72">
        <f>ROUND(V42*POWER(W42,T42),0)</f>
        <v>34</v>
      </c>
      <c r="V42" s="30">
        <v>6.7</v>
      </c>
      <c r="W42" s="30">
        <v>2.25</v>
      </c>
    </row>
    <row r="43" spans="1:23" x14ac:dyDescent="0.2">
      <c r="A43" s="26">
        <v>300074</v>
      </c>
      <c r="B43" s="73" t="str">
        <f>IF(A43&lt;&gt;"","relic_name_"&amp;IF(C43,LEFT($A43,LEN($A43)-1),$A43),"")</f>
        <v>relic_name_30007</v>
      </c>
      <c r="C43" s="82" t="b">
        <v>1</v>
      </c>
      <c r="D43" s="69" t="str" cm="1">
        <f t="array" ref="D43">_xlfn.LET(
_xlpm.idx,MATCH(relic!$M43,'-id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IFERROR(INDEX(_xlpm.desc_array,MIN(RIGHT($A43,1),_xlpm.array_len)),"")
)</f>
        <v>守护符</v>
      </c>
      <c r="E43" s="68" t="str">
        <f>_xlfn.LET(_xlpm._asset,"relic_layout",
_xlfn.CONCAT(_xlpm._asset,"[",_xlpm._asset,"_",$F43,"]"))</f>
        <v>relic_layout[relic_layout_9]</v>
      </c>
      <c r="F43" s="79">
        <v>9</v>
      </c>
      <c r="G43" s="16" t="str">
        <f t="shared" si="0"/>
        <v>relic_desc_300074</v>
      </c>
      <c r="H43" s="50" t="str">
        <v>所有设备 护甲 + 80</v>
      </c>
      <c r="J43" s="24" t="s">
        <v>37</v>
      </c>
      <c r="K43" s="15" t="s">
        <v>376</v>
      </c>
      <c r="L43" s="14">
        <v>80</v>
      </c>
      <c r="M43" s="16" t="s">
        <v>43</v>
      </c>
      <c r="N43" s="73">
        <f>ROUND(POWER(O43,(5-T43)/5),0)</f>
        <v>2</v>
      </c>
      <c r="O43" s="30">
        <v>5</v>
      </c>
      <c r="P43" s="24" t="b">
        <v>1</v>
      </c>
      <c r="Q43" s="24"/>
      <c r="R43" s="24"/>
      <c r="S43" s="24"/>
      <c r="T43" s="66">
        <v>3</v>
      </c>
      <c r="U43" s="72">
        <f>ROUND(V43*POWER(W43,T43),0)</f>
        <v>76</v>
      </c>
      <c r="V43" s="30">
        <v>6.7</v>
      </c>
      <c r="W43" s="30">
        <v>2.25</v>
      </c>
    </row>
    <row r="44" spans="1:23" x14ac:dyDescent="0.2">
      <c r="A44" s="26"/>
      <c r="D44" s="15" t="str" cm="1">
        <f t="array" ref="D44">_xlfn.LET(
_xlpm.idx,MATCH(relic!$M44,'-id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IFERROR(INDEX(_xlpm.desc_array,MIN(RIGHT($A44,1),_xlpm.array_len)),"")
)</f>
        <v/>
      </c>
      <c r="G44" s="16" t="str">
        <f t="shared" si="0"/>
        <v/>
      </c>
      <c r="H44" s="71"/>
      <c r="N44" s="16"/>
      <c r="P44" s="16" t="str">
        <f t="shared" si="3"/>
        <v/>
      </c>
      <c r="Q44" s="16"/>
      <c r="R44" s="16"/>
      <c r="S44" s="16"/>
    </row>
    <row r="45" spans="1:23" x14ac:dyDescent="0.2">
      <c r="A45" s="26">
        <v>300081</v>
      </c>
      <c r="B45" s="73" t="str">
        <f>IF(A45&lt;&gt;"","relic_name_"&amp;IF(C45,LEFT($A45,LEN($A45)-1),$A45),"")</f>
        <v>relic_name_30008</v>
      </c>
      <c r="C45" s="82" t="b">
        <v>1</v>
      </c>
      <c r="D45" s="69" t="str" cm="1">
        <f t="array" ref="D45">_xlfn.LET(
_xlpm.idx,MATCH(relic!$M45,'-id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IFERROR(INDEX(_xlpm.desc_array,MIN(RIGHT($A45,1),_xlpm.array_len)),"")
)</f>
        <v>文护符</v>
      </c>
      <c r="E45" s="68" t="str">
        <f>_xlfn.LET(_xlpm._asset,"relic_layout",
_xlfn.CONCAT(_xlpm._asset,"[",_xlpm._asset,"_",$F45,"]"))</f>
        <v>relic_layout[relic_layout_10]</v>
      </c>
      <c r="F45" s="79">
        <v>10</v>
      </c>
      <c r="G45" s="16" t="str">
        <f t="shared" si="0"/>
        <v>relic_desc_300081</v>
      </c>
      <c r="H45" s="50" t="str" cm="1">
        <f t="array" ref="H45:H48">_xlfn.LET(_xlpm._manual_info,$I45:$I48,
    IF(_xlpm._manual_info&lt;&gt;"",_xlpm._manual_info,_xlfn.LET(
        _xlpm._parm_key,$M45,
        _xlpm._parm_value,$L45:$L48,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所有设备 耐久 + 15%</v>
      </c>
      <c r="J45" s="24" t="s">
        <v>37</v>
      </c>
      <c r="K45" s="15" t="s">
        <v>377</v>
      </c>
      <c r="L45" s="14">
        <v>150</v>
      </c>
      <c r="M45" s="16" t="s">
        <v>44</v>
      </c>
      <c r="N45" s="73">
        <f>ROUND(POWER(O45,(5-T45)/5),0)</f>
        <v>9</v>
      </c>
      <c r="O45" s="30">
        <v>9</v>
      </c>
      <c r="P45" s="24" t="b">
        <v>1</v>
      </c>
      <c r="Q45" s="24"/>
      <c r="R45" s="24"/>
      <c r="S45" s="24"/>
      <c r="T45" s="63">
        <v>0</v>
      </c>
      <c r="U45" s="72">
        <f>ROUND(V45*POWER(W45,T45),0)</f>
        <v>7</v>
      </c>
      <c r="V45" s="30">
        <v>6.68</v>
      </c>
      <c r="W45" s="30">
        <v>2.25</v>
      </c>
    </row>
    <row r="46" spans="1:23" x14ac:dyDescent="0.2">
      <c r="A46" s="26">
        <v>300082</v>
      </c>
      <c r="B46" s="73" t="str">
        <f>IF(A46&lt;&gt;"","relic_name_"&amp;IF(C46,LEFT($A46,LEN($A46)-1),$A46),"")</f>
        <v>relic_name_30008</v>
      </c>
      <c r="C46" s="82" t="b">
        <v>1</v>
      </c>
      <c r="D46" s="69" t="str" cm="1">
        <f t="array" ref="D46">_xlfn.LET(
_xlpm.idx,MATCH(relic!$M46,'-id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IFERROR(INDEX(_xlpm.desc_array,MIN(RIGHT($A46,1),_xlpm.array_len)),"")
)</f>
        <v>文护符</v>
      </c>
      <c r="E46" s="68" t="str">
        <f>_xlfn.LET(_xlpm._asset,"relic_layout",
_xlfn.CONCAT(_xlpm._asset,"[",_xlpm._asset,"_",$F46,"]"))</f>
        <v>relic_layout[relic_layout_10]</v>
      </c>
      <c r="F46" s="79">
        <v>10</v>
      </c>
      <c r="G46" s="16" t="str">
        <f t="shared" si="0"/>
        <v>relic_desc_300082</v>
      </c>
      <c r="H46" s="50" t="str">
        <v>所有设备 耐久 + 25%</v>
      </c>
      <c r="J46" s="24" t="s">
        <v>37</v>
      </c>
      <c r="K46" s="15" t="s">
        <v>377</v>
      </c>
      <c r="L46" s="14">
        <v>250</v>
      </c>
      <c r="M46" s="16" t="s">
        <v>44</v>
      </c>
      <c r="N46" s="73">
        <f>ROUND(POWER(O46,(5-T46)/5),0)</f>
        <v>6</v>
      </c>
      <c r="O46" s="30">
        <v>9</v>
      </c>
      <c r="P46" s="24" t="b">
        <v>1</v>
      </c>
      <c r="Q46" s="24"/>
      <c r="R46" s="24"/>
      <c r="S46" s="24"/>
      <c r="T46" s="64">
        <v>1</v>
      </c>
      <c r="U46" s="72">
        <f>ROUND(V46*POWER(W46,T46),0)</f>
        <v>15</v>
      </c>
      <c r="V46" s="30">
        <v>6.68</v>
      </c>
      <c r="W46" s="30">
        <v>2.25</v>
      </c>
    </row>
    <row r="47" spans="1:23" x14ac:dyDescent="0.2">
      <c r="A47" s="26">
        <v>300083</v>
      </c>
      <c r="B47" s="73" t="str">
        <f>IF(A47&lt;&gt;"","relic_name_"&amp;IF(C47,LEFT($A47,LEN($A47)-1),$A47),"")</f>
        <v>relic_name_30008</v>
      </c>
      <c r="C47" s="82" t="b">
        <v>1</v>
      </c>
      <c r="D47" s="69" t="str" cm="1">
        <f t="array" ref="D47">_xlfn.LET(
_xlpm.idx,MATCH(relic!$M47,'-id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IFERROR(INDEX(_xlpm.desc_array,MIN(RIGHT($A47,1),_xlpm.array_len)),"")
)</f>
        <v>文护符</v>
      </c>
      <c r="E47" s="68" t="str">
        <f>_xlfn.LET(_xlpm._asset,"relic_layout",
_xlfn.CONCAT(_xlpm._asset,"[",_xlpm._asset,"_",$F47,"]"))</f>
        <v>relic_layout[relic_layout_10]</v>
      </c>
      <c r="F47" s="79">
        <v>10</v>
      </c>
      <c r="G47" s="16" t="str">
        <f t="shared" si="0"/>
        <v>relic_desc_300083</v>
      </c>
      <c r="H47" s="50" t="str">
        <v>所有设备 耐久 + 40%</v>
      </c>
      <c r="J47" s="24" t="s">
        <v>37</v>
      </c>
      <c r="K47" s="15" t="s">
        <v>377</v>
      </c>
      <c r="L47" s="14">
        <v>400</v>
      </c>
      <c r="M47" s="16" t="s">
        <v>44</v>
      </c>
      <c r="N47" s="73">
        <f>ROUND(POWER(O47,(5-T47)/5),0)</f>
        <v>4</v>
      </c>
      <c r="O47" s="30">
        <v>9</v>
      </c>
      <c r="P47" s="24" t="b">
        <v>1</v>
      </c>
      <c r="Q47" s="24"/>
      <c r="R47" s="24"/>
      <c r="S47" s="24"/>
      <c r="T47" s="65">
        <v>2</v>
      </c>
      <c r="U47" s="72">
        <f>ROUND(V47*POWER(W47,T47),0)</f>
        <v>34</v>
      </c>
      <c r="V47" s="30">
        <v>6.68</v>
      </c>
      <c r="W47" s="30">
        <v>2.25</v>
      </c>
    </row>
    <row r="48" spans="1:23" x14ac:dyDescent="0.2">
      <c r="A48" s="26">
        <v>300084</v>
      </c>
      <c r="B48" s="73" t="str">
        <f>IF(A48&lt;&gt;"","relic_name_"&amp;IF(C48,LEFT($A48,LEN($A48)-1),$A48),"")</f>
        <v>relic_name_30008</v>
      </c>
      <c r="C48" s="82" t="b">
        <v>1</v>
      </c>
      <c r="D48" s="69" t="str" cm="1">
        <f t="array" ref="D48">_xlfn.LET(
_xlpm.idx,MATCH(relic!$M48,'-id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IFERROR(INDEX(_xlpm.desc_array,MIN(RIGHT($A48,1),_xlpm.array_len)),"")
)</f>
        <v>文护符</v>
      </c>
      <c r="E48" s="68" t="str">
        <f>_xlfn.LET(_xlpm._asset,"relic_layout",
_xlfn.CONCAT(_xlpm._asset,"[",_xlpm._asset,"_",$F48,"]"))</f>
        <v>relic_layout[relic_layout_10]</v>
      </c>
      <c r="F48" s="79">
        <v>10</v>
      </c>
      <c r="G48" s="16" t="str">
        <f t="shared" si="0"/>
        <v>relic_desc_300084</v>
      </c>
      <c r="H48" s="50" t="str">
        <v>所有设备 耐久 + 70%</v>
      </c>
      <c r="J48" s="24" t="s">
        <v>37</v>
      </c>
      <c r="K48" s="15" t="s">
        <v>377</v>
      </c>
      <c r="L48" s="14">
        <v>700</v>
      </c>
      <c r="M48" s="16" t="s">
        <v>44</v>
      </c>
      <c r="N48" s="73">
        <f>ROUND(POWER(O48,(5-T48)/5),0)</f>
        <v>2</v>
      </c>
      <c r="O48" s="30">
        <v>9</v>
      </c>
      <c r="P48" s="24" t="b">
        <v>1</v>
      </c>
      <c r="Q48" s="24"/>
      <c r="R48" s="24"/>
      <c r="S48" s="24"/>
      <c r="T48" s="66">
        <v>3</v>
      </c>
      <c r="U48" s="72">
        <f>ROUND(V48*POWER(W48,T48),0)</f>
        <v>76</v>
      </c>
      <c r="V48" s="30">
        <v>6.68</v>
      </c>
      <c r="W48" s="30">
        <v>2.25</v>
      </c>
    </row>
    <row r="49" spans="1:23" x14ac:dyDescent="0.2">
      <c r="A49" s="26"/>
      <c r="B49" s="16" t="str">
        <f t="shared" si="1"/>
        <v/>
      </c>
      <c r="D49" s="15" t="str" cm="1">
        <f t="array" ref="D49">_xlfn.LET(
_xlpm.idx,MATCH(relic!$M49,'-id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IFERROR(INDEX(_xlpm.desc_array,MIN(RIGHT($A49,1),_xlpm.array_len)),"")
)</f>
        <v/>
      </c>
      <c r="G49" s="16" t="str">
        <f t="shared" si="0"/>
        <v/>
      </c>
      <c r="H49" s="71"/>
      <c r="N49" s="16"/>
      <c r="P49" s="16" t="str">
        <f t="shared" si="3"/>
        <v/>
      </c>
      <c r="Q49" s="16"/>
      <c r="R49" s="16"/>
      <c r="S49" s="16"/>
      <c r="U49" s="14" t="str">
        <f>IF(A49&lt;&gt;"",RIGHT(A49)*5,"")</f>
        <v/>
      </c>
    </row>
    <row r="50" spans="1:23" x14ac:dyDescent="0.2">
      <c r="A50" s="26">
        <v>300091</v>
      </c>
      <c r="B50" s="16" t="str">
        <f t="shared" si="1"/>
        <v>relic_name_300091</v>
      </c>
      <c r="D50" s="69" t="str" cm="1">
        <f t="array" ref="D50">_xlfn.LET(
_xlpm.idx,MATCH(relic!$M50,'-id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IFERROR(INDEX(_xlpm.desc_array,MIN(RIGHT($A50,1),_xlpm.array_len)),"")
)</f>
        <v>礼护符</v>
      </c>
      <c r="E50" s="68" t="str">
        <f>_xlfn.LET(_xlpm._asset,"relic_layout",
_xlfn.CONCAT(_xlpm._asset,"[",_xlpm._asset,"_",$F50,"]"))</f>
        <v>relic_layout[relic_layout_11]</v>
      </c>
      <c r="F50" s="79">
        <v>11</v>
      </c>
      <c r="G50" s="16" t="str">
        <f t="shared" si="0"/>
        <v>relic_desc_300091</v>
      </c>
      <c r="H50" s="50" t="str" cm="1">
        <f t="array" ref="H50:H52">_xlfn.LET(_xlpm._manual_info,$I50:$I52,
    IF(_xlpm._manual_info&lt;&gt;"",_xlpm._manual_info,_xlfn.LET(
        _xlpm._parm_key,$M50,
        _xlpm._parm_value,$L50:$L52,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所有设备 耐久 + 300</v>
      </c>
      <c r="J50" s="24" t="s">
        <v>37</v>
      </c>
      <c r="L50" s="14">
        <v>300</v>
      </c>
      <c r="M50" s="16" t="s">
        <v>45</v>
      </c>
      <c r="N50" s="16">
        <f t="shared" si="2"/>
        <v>5</v>
      </c>
      <c r="P50" s="16" t="b">
        <f t="shared" si="3"/>
        <v>1</v>
      </c>
      <c r="Q50" s="16"/>
      <c r="R50" s="16"/>
      <c r="S50" s="16" t="str">
        <f t="shared" si="5"/>
        <v/>
      </c>
      <c r="T50" s="63">
        <v>0</v>
      </c>
      <c r="U50" s="14">
        <f>IF(A50&lt;&gt;"",RIGHT(A50)*5,"")</f>
        <v>5</v>
      </c>
    </row>
    <row r="51" spans="1:23" x14ac:dyDescent="0.2">
      <c r="A51" s="26">
        <v>300092</v>
      </c>
      <c r="B51" s="16" t="str">
        <f t="shared" si="1"/>
        <v>relic_name_300092</v>
      </c>
      <c r="D51" s="69" t="str" cm="1">
        <f t="array" ref="D51">_xlfn.LET(
_xlpm.idx,MATCH(relic!$M51,'-id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IFERROR(INDEX(_xlpm.desc_array,MIN(RIGHT($A51,1),_xlpm.array_len)),"")
)</f>
        <v>礼护符</v>
      </c>
      <c r="E51" s="68" t="str">
        <f>_xlfn.LET(_xlpm._asset,"relic_layout",
_xlfn.CONCAT(_xlpm._asset,"[",_xlpm._asset,"_",$F51,"]"))</f>
        <v>relic_layout[relic_layout_11]</v>
      </c>
      <c r="F51" s="79">
        <v>11</v>
      </c>
      <c r="G51" s="16" t="str">
        <f t="shared" si="0"/>
        <v>relic_desc_300092</v>
      </c>
      <c r="H51" s="50" t="str">
        <v>所有设备 耐久 + 600</v>
      </c>
      <c r="J51" s="44" t="s">
        <v>387</v>
      </c>
      <c r="L51" s="14">
        <v>600</v>
      </c>
      <c r="M51" s="16" t="s">
        <v>45</v>
      </c>
      <c r="N51" s="16">
        <f t="shared" si="2"/>
        <v>5</v>
      </c>
      <c r="P51" s="16" t="b">
        <f t="shared" si="3"/>
        <v>1</v>
      </c>
      <c r="Q51" s="16"/>
      <c r="R51" s="16"/>
      <c r="S51" s="16">
        <f t="shared" si="5"/>
        <v>300091</v>
      </c>
      <c r="T51" s="64">
        <v>1</v>
      </c>
      <c r="U51" s="14">
        <f>IF(A51&lt;&gt;"",RIGHT(A51)*5,"")</f>
        <v>10</v>
      </c>
    </row>
    <row r="52" spans="1:23" x14ac:dyDescent="0.2">
      <c r="A52" s="26">
        <v>300093</v>
      </c>
      <c r="B52" s="16" t="str">
        <f t="shared" si="1"/>
        <v>relic_name_300093</v>
      </c>
      <c r="D52" s="69" t="str" cm="1">
        <f t="array" ref="D52">_xlfn.LET(
_xlpm.idx,MATCH(relic!$M52,'-id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IFERROR(INDEX(_xlpm.desc_array,MIN(RIGHT($A52,1),_xlpm.array_len)),"")
)</f>
        <v>礼护符</v>
      </c>
      <c r="E52" s="68" t="str">
        <f>_xlfn.LET(_xlpm._asset,"relic_layout",
_xlfn.CONCAT(_xlpm._asset,"[",_xlpm._asset,"_",$F52,"]"))</f>
        <v>relic_layout[relic_layout_11]</v>
      </c>
      <c r="F52" s="79">
        <v>11</v>
      </c>
      <c r="G52" s="16" t="str">
        <f t="shared" si="0"/>
        <v>relic_desc_300093</v>
      </c>
      <c r="H52" s="50" t="str">
        <v>所有设备 耐久 + 1200</v>
      </c>
      <c r="J52" s="24" t="s">
        <v>37</v>
      </c>
      <c r="L52" s="14">
        <v>1200</v>
      </c>
      <c r="M52" s="16" t="s">
        <v>45</v>
      </c>
      <c r="N52" s="16">
        <f t="shared" si="2"/>
        <v>5</v>
      </c>
      <c r="P52" s="16" t="b">
        <f t="shared" si="3"/>
        <v>1</v>
      </c>
      <c r="Q52" s="16"/>
      <c r="R52" s="16"/>
      <c r="S52" s="16">
        <f t="shared" si="5"/>
        <v>300092</v>
      </c>
      <c r="T52" s="65">
        <v>2</v>
      </c>
      <c r="U52" s="14">
        <f>IF(A52&lt;&gt;"",RIGHT(A52)*5,"")</f>
        <v>15</v>
      </c>
    </row>
    <row r="53" spans="1:23" x14ac:dyDescent="0.2">
      <c r="A53" s="26"/>
      <c r="B53" s="16" t="str">
        <f t="shared" si="1"/>
        <v/>
      </c>
      <c r="D53" s="15" t="str" cm="1">
        <f t="array" ref="D53">_xlfn.LET(
_xlpm.idx,MATCH(relic!$M53,'-id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IFERROR(INDEX(_xlpm.desc_array,MIN(RIGHT($A53,1),_xlpm.array_len)),"")
)</f>
        <v/>
      </c>
      <c r="G53" s="16" t="str">
        <f t="shared" si="0"/>
        <v/>
      </c>
      <c r="H53" s="71"/>
      <c r="N53" s="16"/>
      <c r="P53" s="16" t="str">
        <f t="shared" si="3"/>
        <v/>
      </c>
      <c r="Q53" s="16"/>
      <c r="R53" s="16"/>
      <c r="S53" s="16" t="str">
        <f t="shared" si="5"/>
        <v/>
      </c>
      <c r="U53" s="14" t="str">
        <f>IF(A53&lt;&gt;"",RIGHT(A53)*5,"")</f>
        <v/>
      </c>
    </row>
    <row r="54" spans="1:23" x14ac:dyDescent="0.2">
      <c r="A54" s="26">
        <v>301011</v>
      </c>
      <c r="B54" s="73" t="str">
        <f>IF(A54&lt;&gt;"","relic_name_"&amp;IF(C54,LEFT($A54,LEN($A54)-1),$A54),"")</f>
        <v>relic_name_30101</v>
      </c>
      <c r="C54" s="82" t="b">
        <v>1</v>
      </c>
      <c r="D54" s="69" t="str" cm="1">
        <f t="array" ref="D54">_xlfn.LET(
_xlpm.idx,MATCH(relic!$M54,'-id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IFERROR(INDEX(_xlpm.desc_array,MIN(RIGHT($A54,1),_xlpm.array_len)),"")
)</f>
        <v>镐子</v>
      </c>
      <c r="E54" s="68" t="str">
        <f>_xlfn.LET(_xlpm._asset,"relic_layout",
_xlfn.CONCAT(_xlpm._asset,"[",_xlpm._asset,"_",$F54,"]"))</f>
        <v>relic_layout[relic_layout_40]</v>
      </c>
      <c r="F54" s="79">
        <v>40</v>
      </c>
      <c r="G54" s="16" t="str">
        <f t="shared" si="0"/>
        <v>relic_desc_301011</v>
      </c>
      <c r="H54" s="50" t="str" cm="1">
        <f t="array" ref="H54:H57">_xlfn.LET(_xlpm._manual_info,$I54:$I57,
    IF(_xlpm._manual_info&lt;&gt;"",_xlpm._manual_info,_xlfn.LET(
        _xlpm._parm_key,$M54,
        _xlpm._parm_value,$L54:$L57,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近战武器 伤害 + 20%</v>
      </c>
      <c r="J54" s="24" t="s">
        <v>37</v>
      </c>
      <c r="K54" s="15" t="s">
        <v>375</v>
      </c>
      <c r="L54" s="14">
        <v>200</v>
      </c>
      <c r="M54" s="16" t="s">
        <v>46</v>
      </c>
      <c r="N54" s="73">
        <f>ROUND(POWER(O54,(5-T54)/5),0)</f>
        <v>15</v>
      </c>
      <c r="O54" s="30">
        <v>15</v>
      </c>
      <c r="P54" s="16" t="b">
        <f t="shared" si="3"/>
        <v>1</v>
      </c>
      <c r="Q54" s="16"/>
      <c r="R54" s="16"/>
      <c r="S54" s="24"/>
      <c r="T54" s="63">
        <v>0</v>
      </c>
      <c r="U54" s="72">
        <f>ROUND(V54*POWER(W54,T54),0)</f>
        <v>7</v>
      </c>
      <c r="V54" s="30">
        <v>7</v>
      </c>
      <c r="W54" s="30">
        <v>2.3199999999999998</v>
      </c>
    </row>
    <row r="55" spans="1:23" x14ac:dyDescent="0.2">
      <c r="A55" s="26">
        <v>301012</v>
      </c>
      <c r="B55" s="73" t="str">
        <f>IF(A55&lt;&gt;"","relic_name_"&amp;IF(C55,LEFT($A55,LEN($A55)-1),$A55),"")</f>
        <v>relic_name_30101</v>
      </c>
      <c r="C55" s="82" t="b">
        <v>1</v>
      </c>
      <c r="D55" s="69" t="str" cm="1">
        <f t="array" ref="D55">_xlfn.LET(
_xlpm.idx,MATCH(relic!$M55,'-id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IFERROR(INDEX(_xlpm.desc_array,MIN(RIGHT($A55,1),_xlpm.array_len)),"")
)</f>
        <v>镐子</v>
      </c>
      <c r="E55" s="68" t="str">
        <f>_xlfn.LET(_xlpm._asset,"relic_layout",
_xlfn.CONCAT(_xlpm._asset,"[",_xlpm._asset,"_",$F55,"]"))</f>
        <v>relic_layout[relic_layout_40]</v>
      </c>
      <c r="F55" s="79">
        <v>40</v>
      </c>
      <c r="G55" s="16" t="str">
        <f t="shared" si="0"/>
        <v>relic_desc_301012</v>
      </c>
      <c r="H55" s="50" t="str">
        <v>近战武器 伤害 + 40%</v>
      </c>
      <c r="J55" s="24" t="s">
        <v>37</v>
      </c>
      <c r="K55" s="15" t="s">
        <v>375</v>
      </c>
      <c r="L55" s="14">
        <v>400</v>
      </c>
      <c r="M55" s="16" t="s">
        <v>46</v>
      </c>
      <c r="N55" s="73">
        <f>ROUND(POWER(O55,(5-T55)/5),0)</f>
        <v>9</v>
      </c>
      <c r="O55" s="30">
        <v>15</v>
      </c>
      <c r="P55" s="16" t="b">
        <f t="shared" si="3"/>
        <v>1</v>
      </c>
      <c r="Q55" s="16"/>
      <c r="R55" s="16"/>
      <c r="S55" s="24"/>
      <c r="T55" s="64">
        <v>1</v>
      </c>
      <c r="U55" s="72">
        <f>ROUND(V55*POWER(W55,T55),0)</f>
        <v>16</v>
      </c>
      <c r="V55" s="30">
        <v>7</v>
      </c>
      <c r="W55" s="30">
        <v>2.3199999999999998</v>
      </c>
    </row>
    <row r="56" spans="1:23" x14ac:dyDescent="0.2">
      <c r="A56" s="26">
        <v>301013</v>
      </c>
      <c r="B56" s="73" t="str">
        <f>IF(A56&lt;&gt;"","relic_name_"&amp;IF(C56,LEFT($A56,LEN($A56)-1),$A56),"")</f>
        <v>relic_name_30101</v>
      </c>
      <c r="C56" s="82" t="b">
        <v>1</v>
      </c>
      <c r="D56" s="69" t="str" cm="1">
        <f t="array" ref="D56">_xlfn.LET(
_xlpm.idx,MATCH(relic!$M56,'-id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IFERROR(INDEX(_xlpm.desc_array,MIN(RIGHT($A56,1),_xlpm.array_len)),"")
)</f>
        <v>镐子</v>
      </c>
      <c r="E56" s="68" t="str">
        <f>_xlfn.LET(_xlpm._asset,"relic_layout",
_xlfn.CONCAT(_xlpm._asset,"[",_xlpm._asset,"_",$F56,"]"))</f>
        <v>relic_layout[relic_layout_40]</v>
      </c>
      <c r="F56" s="79">
        <v>40</v>
      </c>
      <c r="G56" s="16" t="str">
        <f t="shared" si="0"/>
        <v>relic_desc_301013</v>
      </c>
      <c r="H56" s="50" t="str">
        <v>近战武器 伤害 + 80%</v>
      </c>
      <c r="J56" s="24" t="s">
        <v>37</v>
      </c>
      <c r="K56" s="15" t="s">
        <v>375</v>
      </c>
      <c r="L56" s="14">
        <v>800</v>
      </c>
      <c r="M56" s="16" t="s">
        <v>46</v>
      </c>
      <c r="N56" s="73">
        <f>ROUND(POWER(O56,(5-T56)/5),0)</f>
        <v>5</v>
      </c>
      <c r="O56" s="30">
        <v>15</v>
      </c>
      <c r="P56" s="16" t="b">
        <f t="shared" si="3"/>
        <v>1</v>
      </c>
      <c r="Q56" s="16"/>
      <c r="R56" s="16"/>
      <c r="S56" s="24"/>
      <c r="T56" s="65">
        <v>2</v>
      </c>
      <c r="U56" s="72">
        <f>ROUND(V56*POWER(W56,T56),0)</f>
        <v>38</v>
      </c>
      <c r="V56" s="30">
        <v>7</v>
      </c>
      <c r="W56" s="30">
        <v>2.3199999999999998</v>
      </c>
    </row>
    <row r="57" spans="1:23" x14ac:dyDescent="0.2">
      <c r="A57" s="26">
        <v>301014</v>
      </c>
      <c r="B57" s="73" t="str">
        <f>IF(A57&lt;&gt;"","relic_name_"&amp;IF(C57,LEFT($A57,LEN($A57)-1),$A57),"")</f>
        <v>relic_name_30101</v>
      </c>
      <c r="C57" s="82" t="b">
        <v>1</v>
      </c>
      <c r="D57" s="69" t="str" cm="1">
        <f t="array" ref="D57">_xlfn.LET(
_xlpm.idx,MATCH(relic!$M57,'-id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IFERROR(INDEX(_xlpm.desc_array,MIN(RIGHT($A57,1),_xlpm.array_len)),"")
)</f>
        <v>镐子</v>
      </c>
      <c r="E57" s="68" t="str">
        <f>_xlfn.LET(_xlpm._asset,"relic_layout",
_xlfn.CONCAT(_xlpm._asset,"[",_xlpm._asset,"_",$F57,"]"))</f>
        <v>relic_layout[relic_layout_40]</v>
      </c>
      <c r="F57" s="79">
        <v>40</v>
      </c>
      <c r="G57" s="16" t="str">
        <f t="shared" si="0"/>
        <v>relic_desc_301014</v>
      </c>
      <c r="H57" s="50" t="str">
        <v>近战武器 伤害 + 160%</v>
      </c>
      <c r="J57" s="24" t="s">
        <v>37</v>
      </c>
      <c r="K57" s="15" t="s">
        <v>375</v>
      </c>
      <c r="L57" s="14">
        <v>1600</v>
      </c>
      <c r="M57" s="16" t="s">
        <v>46</v>
      </c>
      <c r="N57" s="73">
        <f>ROUND(POWER(O57,(5-T57)/5),0)</f>
        <v>3</v>
      </c>
      <c r="O57" s="30">
        <v>15</v>
      </c>
      <c r="P57" s="16" t="b">
        <f t="shared" si="3"/>
        <v>1</v>
      </c>
      <c r="Q57" s="16"/>
      <c r="R57" s="16"/>
      <c r="S57" s="24"/>
      <c r="T57" s="66">
        <v>3</v>
      </c>
      <c r="U57" s="72">
        <f>ROUND(V57*POWER(W57,T57),0)</f>
        <v>87</v>
      </c>
      <c r="V57" s="30">
        <v>7</v>
      </c>
      <c r="W57" s="30">
        <v>2.3199999999999998</v>
      </c>
    </row>
    <row r="58" spans="1:23" x14ac:dyDescent="0.2">
      <c r="A58" s="26"/>
      <c r="B58" s="16" t="str">
        <f t="shared" ref="B58:B80" si="7">IF(A58&lt;&gt;"","relic_name_"&amp;$A58,"")</f>
        <v/>
      </c>
      <c r="D58" s="15" t="str" cm="1">
        <f t="array" ref="D58">_xlfn.LET(
_xlpm.idx,MATCH(relic!$M58,'-id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IFERROR(INDEX(_xlpm.desc_array,MIN(RIGHT($A58,1),_xlpm.array_len)),"")
)</f>
        <v/>
      </c>
      <c r="G58" s="16" t="str">
        <f t="shared" si="0"/>
        <v/>
      </c>
      <c r="H58" s="71"/>
      <c r="N58" s="16" t="str">
        <f t="shared" si="2"/>
        <v/>
      </c>
      <c r="P58" s="16" t="str">
        <f t="shared" si="3"/>
        <v/>
      </c>
      <c r="Q58" s="16"/>
      <c r="R58" s="16"/>
      <c r="S58" s="16" t="str">
        <f>_xlfn.LET(_xlpm.end,IFERROR(VALUE(RIGHT($A58,1)),0),
IF(_xlpm.end&gt;1,$A56,""))</f>
        <v/>
      </c>
      <c r="U58" s="14" t="str">
        <f>IF(A58&lt;&gt;"",RIGHT(A58)*5,"")</f>
        <v/>
      </c>
    </row>
    <row r="59" spans="1:23" x14ac:dyDescent="0.2">
      <c r="A59" s="26">
        <v>301021</v>
      </c>
      <c r="B59" s="16" t="str">
        <f t="shared" si="7"/>
        <v>relic_name_301021</v>
      </c>
      <c r="D59" s="15" t="str" cm="1">
        <f t="array" ref="D59">_xlfn.LET(
_xlpm.idx,MATCH(relic!$M59,'-id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IFERROR(INDEX(_xlpm.desc_array,MIN(RIGHT($A59,1),_xlpm.array_len)),"")
)</f>
        <v>锄头</v>
      </c>
      <c r="E59" s="14" t="str">
        <f>IF($F59&lt;&gt;"",_xlfn.CONCAT("relic_icons[relic_layout_",$F59,"]"),"")</f>
        <v>relic_icons[relic_layout_30]</v>
      </c>
      <c r="F59" s="78">
        <v>30</v>
      </c>
      <c r="G59" s="16" t="str">
        <f t="shared" si="0"/>
        <v>relic_desc_301021</v>
      </c>
      <c r="H59" s="50" t="str" cm="1">
        <f t="array" ref="H59:H61">_xlfn.LET(_xlpm._manual_info,$I59:$I61,
    IF(_xlpm._manual_info&lt;&gt;"",_xlpm._manual_info,_xlfn.LET(
        _xlpm._parm_key,$M59,
        _xlpm._parm_value,$L59:$L61,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近战武器 伤害 + 2</v>
      </c>
      <c r="J59" s="24" t="s">
        <v>37</v>
      </c>
      <c r="L59" s="14">
        <v>2</v>
      </c>
      <c r="M59" s="16" t="s">
        <v>47</v>
      </c>
      <c r="N59" s="16">
        <f t="shared" si="2"/>
        <v>5</v>
      </c>
      <c r="P59" s="16" t="b">
        <f t="shared" si="3"/>
        <v>1</v>
      </c>
      <c r="Q59" s="16"/>
      <c r="R59" s="16"/>
      <c r="S59" s="16" t="str">
        <f t="shared" si="5"/>
        <v/>
      </c>
      <c r="T59" s="14">
        <v>-1</v>
      </c>
      <c r="U59" s="14">
        <f>IF(A59&lt;&gt;"",RIGHT(A59)*5,"")</f>
        <v>5</v>
      </c>
    </row>
    <row r="60" spans="1:23" x14ac:dyDescent="0.2">
      <c r="A60" s="26">
        <v>301022</v>
      </c>
      <c r="B60" s="16" t="str">
        <f t="shared" si="7"/>
        <v>relic_name_301022</v>
      </c>
      <c r="D60" s="15" t="str" cm="1">
        <f t="array" ref="D60">_xlfn.LET(
_xlpm.idx,MATCH(relic!$M60,'-id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IFERROR(INDEX(_xlpm.desc_array,MIN(RIGHT($A60,1),_xlpm.array_len)),"")
)</f>
        <v>锄头</v>
      </c>
      <c r="E60" s="14" t="str">
        <f>IF($F60&lt;&gt;"",_xlfn.CONCAT("relic_icons[relic_layout_",$F60,"]"),"")</f>
        <v>relic_icons[relic_layout_31]</v>
      </c>
      <c r="F60" s="78">
        <v>31</v>
      </c>
      <c r="G60" s="16" t="str">
        <f t="shared" si="0"/>
        <v>relic_desc_301022</v>
      </c>
      <c r="H60" s="50" t="str">
        <v>近战武器 伤害 + 4</v>
      </c>
      <c r="J60" s="24" t="s">
        <v>37</v>
      </c>
      <c r="L60" s="14">
        <v>4</v>
      </c>
      <c r="M60" s="16" t="s">
        <v>47</v>
      </c>
      <c r="N60" s="16">
        <f t="shared" si="2"/>
        <v>5</v>
      </c>
      <c r="P60" s="16" t="b">
        <f t="shared" si="3"/>
        <v>1</v>
      </c>
      <c r="Q60" s="16"/>
      <c r="R60" s="16"/>
      <c r="S60" s="16">
        <f t="shared" si="5"/>
        <v>301021</v>
      </c>
      <c r="T60" s="14">
        <v>-1</v>
      </c>
      <c r="U60" s="14">
        <f>IF(A60&lt;&gt;"",RIGHT(A60)*5,"")</f>
        <v>10</v>
      </c>
    </row>
    <row r="61" spans="1:23" x14ac:dyDescent="0.2">
      <c r="A61" s="26">
        <v>301023</v>
      </c>
      <c r="B61" s="16" t="str">
        <f t="shared" si="7"/>
        <v>relic_name_301023</v>
      </c>
      <c r="D61" s="15" t="str" cm="1">
        <f t="array" ref="D61">_xlfn.LET(
_xlpm.idx,MATCH(relic!$M61,'-id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IFERROR(INDEX(_xlpm.desc_array,MIN(RIGHT($A61,1),_xlpm.array_len)),"")
)</f>
        <v>锄头</v>
      </c>
      <c r="E61" s="14" t="str">
        <f>IF($F61&lt;&gt;"",_xlfn.CONCAT("relic_icons[relic_layout_",$F61,"]"),"")</f>
        <v>relic_icons[relic_layout_32]</v>
      </c>
      <c r="F61" s="78">
        <v>32</v>
      </c>
      <c r="G61" s="16" t="str">
        <f t="shared" si="0"/>
        <v>relic_desc_301023</v>
      </c>
      <c r="H61" s="50" t="str">
        <v>近战武器 伤害 + 6</v>
      </c>
      <c r="J61" s="24" t="s">
        <v>37</v>
      </c>
      <c r="L61" s="14">
        <v>6</v>
      </c>
      <c r="M61" s="16" t="s">
        <v>47</v>
      </c>
      <c r="N61" s="16">
        <f t="shared" si="2"/>
        <v>5</v>
      </c>
      <c r="P61" s="16" t="b">
        <f t="shared" si="3"/>
        <v>1</v>
      </c>
      <c r="Q61" s="16"/>
      <c r="R61" s="16"/>
      <c r="S61" s="16">
        <f t="shared" si="5"/>
        <v>301022</v>
      </c>
      <c r="T61" s="14">
        <v>-1</v>
      </c>
      <c r="U61" s="14">
        <f>IF(A61&lt;&gt;"",RIGHT(A61)*5,"")</f>
        <v>15</v>
      </c>
    </row>
    <row r="62" spans="1:23" x14ac:dyDescent="0.2">
      <c r="A62" s="26"/>
      <c r="B62" s="16" t="str">
        <f t="shared" si="7"/>
        <v/>
      </c>
      <c r="D62" s="15" t="str" cm="1">
        <f t="array" ref="D62">_xlfn.LET(
_xlpm.idx,MATCH(relic!$M62,'-id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IFERROR(INDEX(_xlpm.desc_array,MIN(RIGHT($A62,1),_xlpm.array_len)),"")
)</f>
        <v/>
      </c>
      <c r="F62" s="78" t="s">
        <v>117</v>
      </c>
      <c r="G62" s="16" t="str">
        <f t="shared" si="0"/>
        <v/>
      </c>
      <c r="H62" s="71"/>
      <c r="N62" s="16" t="str">
        <f t="shared" si="2"/>
        <v/>
      </c>
      <c r="P62" s="16" t="str">
        <f t="shared" si="3"/>
        <v/>
      </c>
      <c r="Q62" s="16"/>
      <c r="R62" s="16"/>
      <c r="S62" s="16" t="str">
        <f t="shared" si="5"/>
        <v/>
      </c>
      <c r="U62" s="14" t="str">
        <f>IF(A62&lt;&gt;"",RIGHT(A62)*5,"")</f>
        <v/>
      </c>
    </row>
    <row r="63" spans="1:23" x14ac:dyDescent="0.2">
      <c r="A63" s="26">
        <v>301031</v>
      </c>
      <c r="B63" s="73" t="str">
        <f>IF(A63&lt;&gt;"","relic_name_"&amp;IF(C63,LEFT($A63,LEN($A63)-1),$A63),"")</f>
        <v>relic_name_30103</v>
      </c>
      <c r="C63" s="82" t="b">
        <v>1</v>
      </c>
      <c r="D63" s="69" t="str" cm="1">
        <f t="array" ref="D63">_xlfn.LET(
_xlpm.idx,MATCH(relic!$M63,'-id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IFERROR(INDEX(_xlpm.desc_array,MIN(RIGHT($A63,1),_xlpm.array_len)),"")
)</f>
        <v>斧头</v>
      </c>
      <c r="E63" s="68" t="str">
        <f>_xlfn.LET(_xlpm._asset,"relic_layout",
_xlfn.CONCAT(_xlpm._asset,"[",_xlpm._asset,"_",$F63,"]"))</f>
        <v>relic_layout[relic_layout_42]</v>
      </c>
      <c r="F63" s="79">
        <v>42</v>
      </c>
      <c r="G63" s="16" t="str">
        <f t="shared" si="0"/>
        <v>relic_desc_301031</v>
      </c>
      <c r="H63" s="50" t="str" cm="1">
        <f t="array" ref="H63:H66">_xlfn.LET(_xlpm._manual_info,$I63:$I66,
    IF(_xlpm._manual_info&lt;&gt;"",_xlpm._manual_info,_xlfn.LET(
        _xlpm._parm_key,$M63,
        _xlpm._parm_value,$L63:$L66,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近战武器 暴击几率 + 5%</v>
      </c>
      <c r="J63" s="24" t="s">
        <v>37</v>
      </c>
      <c r="K63" s="15" t="s">
        <v>35</v>
      </c>
      <c r="L63" s="14">
        <v>50</v>
      </c>
      <c r="M63" s="16" t="s">
        <v>161</v>
      </c>
      <c r="N63" s="73">
        <f>ROUND(POWER(O63,(5-T63)/5),0)</f>
        <v>4</v>
      </c>
      <c r="O63" s="30">
        <v>4</v>
      </c>
      <c r="P63" s="24" t="b">
        <v>1</v>
      </c>
      <c r="Q63" s="24"/>
      <c r="R63" s="24"/>
      <c r="S63" s="24"/>
      <c r="T63" s="63">
        <v>0</v>
      </c>
      <c r="U63" s="72">
        <f>ROUND(V63*POWER(W63,T63),0)</f>
        <v>9</v>
      </c>
      <c r="V63" s="30">
        <v>8.5</v>
      </c>
      <c r="W63" s="30">
        <v>2.3199999999999998</v>
      </c>
    </row>
    <row r="64" spans="1:23" x14ac:dyDescent="0.2">
      <c r="A64" s="26">
        <v>301032</v>
      </c>
      <c r="B64" s="73" t="str">
        <f>IF(A64&lt;&gt;"","relic_name_"&amp;IF(C64,LEFT($A64,LEN($A64)-1),$A64),"")</f>
        <v>relic_name_30103</v>
      </c>
      <c r="C64" s="82" t="b">
        <v>1</v>
      </c>
      <c r="D64" s="69" t="str" cm="1">
        <f t="array" ref="D64">_xlfn.LET(
_xlpm.idx,MATCH(relic!$M64,'-id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IFERROR(INDEX(_xlpm.desc_array,MIN(RIGHT($A64,1),_xlpm.array_len)),"")
)</f>
        <v>斧头</v>
      </c>
      <c r="E64" s="68" t="str">
        <f>_xlfn.LET(_xlpm._asset,"relic_layout",
_xlfn.CONCAT(_xlpm._asset,"[",_xlpm._asset,"_",$F64,"]"))</f>
        <v>relic_layout[relic_layout_42]</v>
      </c>
      <c r="F64" s="79">
        <v>42</v>
      </c>
      <c r="G64" s="16" t="str">
        <f t="shared" si="0"/>
        <v>relic_desc_301032</v>
      </c>
      <c r="H64" s="50" t="str">
        <v>近战武器 暴击几率 + 8%</v>
      </c>
      <c r="J64" s="24" t="s">
        <v>37</v>
      </c>
      <c r="K64" s="15" t="s">
        <v>35</v>
      </c>
      <c r="L64" s="14">
        <v>80</v>
      </c>
      <c r="M64" s="16" t="s">
        <v>161</v>
      </c>
      <c r="N64" s="73">
        <f>ROUND(POWER(O64,(5-T64)/5),0)</f>
        <v>3</v>
      </c>
      <c r="O64" s="30">
        <v>4</v>
      </c>
      <c r="P64" s="24" t="b">
        <v>1</v>
      </c>
      <c r="Q64" s="24"/>
      <c r="R64" s="24"/>
      <c r="S64" s="24"/>
      <c r="T64" s="64">
        <v>1</v>
      </c>
      <c r="U64" s="72">
        <f>ROUND(V64*POWER(W64,T64),0)</f>
        <v>20</v>
      </c>
      <c r="V64" s="30">
        <v>8.5</v>
      </c>
      <c r="W64" s="30">
        <v>2.3199999999999998</v>
      </c>
    </row>
    <row r="65" spans="1:23" x14ac:dyDescent="0.2">
      <c r="A65" s="26">
        <v>301033</v>
      </c>
      <c r="B65" s="73" t="str">
        <f>IF(A65&lt;&gt;"","relic_name_"&amp;IF(C65,LEFT($A65,LEN($A65)-1),$A65),"")</f>
        <v>relic_name_30103</v>
      </c>
      <c r="C65" s="82" t="b">
        <v>1</v>
      </c>
      <c r="D65" s="69" t="str" cm="1">
        <f t="array" ref="D65">_xlfn.LET(
_xlpm.idx,MATCH(relic!$M65,'-id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IFERROR(INDEX(_xlpm.desc_array,MIN(RIGHT($A65,1),_xlpm.array_len)),"")
)</f>
        <v>斧头</v>
      </c>
      <c r="E65" s="68" t="str">
        <f>_xlfn.LET(_xlpm._asset,"relic_layout",
_xlfn.CONCAT(_xlpm._asset,"[",_xlpm._asset,"_",$F65,"]"))</f>
        <v>relic_layout[relic_layout_42]</v>
      </c>
      <c r="F65" s="79">
        <v>42</v>
      </c>
      <c r="G65" s="16" t="str">
        <f t="shared" si="0"/>
        <v>relic_desc_301033</v>
      </c>
      <c r="H65" s="50" t="str">
        <v>近战武器 暴击几率 + 12%</v>
      </c>
      <c r="J65" s="24" t="s">
        <v>37</v>
      </c>
      <c r="K65" s="15" t="s">
        <v>35</v>
      </c>
      <c r="L65" s="14">
        <v>120</v>
      </c>
      <c r="M65" s="16" t="s">
        <v>161</v>
      </c>
      <c r="N65" s="73">
        <f>ROUND(POWER(O65,(5-T65)/5),0)</f>
        <v>2</v>
      </c>
      <c r="O65" s="30">
        <v>4</v>
      </c>
      <c r="P65" s="24" t="b">
        <v>1</v>
      </c>
      <c r="Q65" s="24"/>
      <c r="R65" s="24"/>
      <c r="S65" s="24"/>
      <c r="T65" s="65">
        <v>2</v>
      </c>
      <c r="U65" s="72">
        <f>ROUND(V65*POWER(W65,T65),0)</f>
        <v>46</v>
      </c>
      <c r="V65" s="30">
        <v>8.5</v>
      </c>
      <c r="W65" s="30">
        <v>2.3199999999999998</v>
      </c>
    </row>
    <row r="66" spans="1:23" x14ac:dyDescent="0.2">
      <c r="A66" s="26">
        <v>301034</v>
      </c>
      <c r="B66" s="73" t="str">
        <f>IF(A66&lt;&gt;"","relic_name_"&amp;IF(C66,LEFT($A66,LEN($A66)-1),$A66),"")</f>
        <v>relic_name_30103</v>
      </c>
      <c r="C66" s="82" t="b">
        <v>1</v>
      </c>
      <c r="D66" s="69" t="str" cm="1">
        <f t="array" ref="D66">_xlfn.LET(
_xlpm.idx,MATCH(relic!$M66,'-id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IFERROR(INDEX(_xlpm.desc_array,MIN(RIGHT($A66,1),_xlpm.array_len)),"")
)</f>
        <v>斧头</v>
      </c>
      <c r="E66" s="68" t="str">
        <f>_xlfn.LET(_xlpm._asset,"relic_layout",
_xlfn.CONCAT(_xlpm._asset,"[",_xlpm._asset,"_",$F66,"]"))</f>
        <v>relic_layout[relic_layout_42]</v>
      </c>
      <c r="F66" s="79">
        <v>42</v>
      </c>
      <c r="G66" s="16" t="str">
        <f t="shared" si="0"/>
        <v>relic_desc_301034</v>
      </c>
      <c r="H66" s="50" t="str">
        <v>近战武器 暴击几率 + 18%</v>
      </c>
      <c r="J66" s="24" t="s">
        <v>37</v>
      </c>
      <c r="K66" s="15" t="s">
        <v>35</v>
      </c>
      <c r="L66" s="14">
        <v>180</v>
      </c>
      <c r="M66" s="16" t="s">
        <v>161</v>
      </c>
      <c r="N66" s="73">
        <f>ROUND(POWER(O66,(5-T66)/5),0)</f>
        <v>2</v>
      </c>
      <c r="O66" s="30">
        <v>4</v>
      </c>
      <c r="P66" s="24" t="b">
        <v>1</v>
      </c>
      <c r="Q66" s="24"/>
      <c r="R66" s="24"/>
      <c r="S66" s="24"/>
      <c r="T66" s="66">
        <v>3</v>
      </c>
      <c r="U66" s="72">
        <f>ROUND(V66*POWER(W66,T66),0)</f>
        <v>106</v>
      </c>
      <c r="V66" s="30">
        <v>8.5</v>
      </c>
      <c r="W66" s="30">
        <v>2.3199999999999998</v>
      </c>
    </row>
    <row r="67" spans="1:23" x14ac:dyDescent="0.2">
      <c r="A67" s="26"/>
      <c r="D67" s="15" t="str" cm="1">
        <f t="array" ref="D67">_xlfn.LET(
_xlpm.idx,MATCH(relic!$M67,'-id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IFERROR(INDEX(_xlpm.desc_array,MIN(RIGHT($A67,1),_xlpm.array_len)),"")
)</f>
        <v/>
      </c>
      <c r="F67" s="78" t="s">
        <v>117</v>
      </c>
      <c r="G67" s="16" t="str">
        <f t="shared" si="0"/>
        <v/>
      </c>
      <c r="H67" s="71"/>
      <c r="N67" s="16"/>
      <c r="P67" s="16" t="str">
        <f t="shared" ref="P67" si="8">IF($A67&gt;0,TRUE,"")</f>
        <v/>
      </c>
      <c r="Q67" s="16"/>
      <c r="R67" s="16"/>
      <c r="S67" s="16"/>
    </row>
    <row r="68" spans="1:23" x14ac:dyDescent="0.2">
      <c r="A68" s="26">
        <v>301041</v>
      </c>
      <c r="B68" s="73" t="str">
        <f>IF(A68&lt;&gt;"","relic_name_"&amp;IF(C68,LEFT($A68,LEN($A68)-1),$A68),"")</f>
        <v>relic_name_30104</v>
      </c>
      <c r="C68" s="82" t="b">
        <v>1</v>
      </c>
      <c r="D68" s="69" t="str" cm="1">
        <f t="array" ref="D68">_xlfn.LET(
_xlpm.idx,MATCH(relic!$M68,'-id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IFERROR(INDEX(_xlpm.desc_array,MIN(RIGHT($A68,1),_xlpm.array_len)),"")
)</f>
        <v>扳手</v>
      </c>
      <c r="E68" s="68" t="str">
        <f>_xlfn.LET(_xlpm._asset,"relic_layout",
_xlfn.CONCAT(_xlpm._asset,"[",_xlpm._asset,"_",$F68,"]"))</f>
        <v>relic_layout[relic_layout_43]</v>
      </c>
      <c r="F68" s="79">
        <v>43</v>
      </c>
      <c r="G68" s="16" t="str">
        <f t="shared" si="0"/>
        <v>relic_desc_301041</v>
      </c>
      <c r="H68" s="50" t="str" cm="1">
        <f t="array" ref="H68:H71">_xlfn.LET(_xlpm._manual_info,$I68:$I71,
    IF(_xlpm._manual_info&lt;&gt;"",_xlpm._manual_info,_xlfn.LET(
        _xlpm._parm_key,$M68,
        _xlpm._parm_value,$L68:$L71,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近战武器 暴击伤害 + 15%</v>
      </c>
      <c r="J68" s="24" t="s">
        <v>37</v>
      </c>
      <c r="K68" s="15" t="s">
        <v>371</v>
      </c>
      <c r="L68" s="14">
        <v>150</v>
      </c>
      <c r="M68" s="16" t="s">
        <v>164</v>
      </c>
      <c r="N68" s="73">
        <f>ROUND(POWER(O68,(5-T68)/5),0)</f>
        <v>6</v>
      </c>
      <c r="O68" s="30">
        <v>6</v>
      </c>
      <c r="P68" s="24" t="b">
        <v>1</v>
      </c>
      <c r="Q68" s="24"/>
      <c r="R68" s="24"/>
      <c r="S68" s="24"/>
      <c r="T68" s="63">
        <v>0</v>
      </c>
      <c r="U68" s="72">
        <f>ROUND(V68*POWER(W68,T68),0)</f>
        <v>8</v>
      </c>
      <c r="V68" s="30">
        <v>8.1</v>
      </c>
      <c r="W68" s="30">
        <v>2.3199999999999998</v>
      </c>
    </row>
    <row r="69" spans="1:23" x14ac:dyDescent="0.2">
      <c r="A69" s="26">
        <v>301042</v>
      </c>
      <c r="B69" s="73" t="str">
        <f>IF(A69&lt;&gt;"","relic_name_"&amp;IF(C69,LEFT($A69,LEN($A69)-1),$A69),"")</f>
        <v>relic_name_30104</v>
      </c>
      <c r="C69" s="82" t="b">
        <v>1</v>
      </c>
      <c r="D69" s="69" t="str" cm="1">
        <f t="array" ref="D69">_xlfn.LET(
_xlpm.idx,MATCH(relic!$M69,'-id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IFERROR(INDEX(_xlpm.desc_array,MIN(RIGHT($A69,1),_xlpm.array_len)),"")
)</f>
        <v>扳手</v>
      </c>
      <c r="E69" s="68" t="str">
        <f>_xlfn.LET(_xlpm._asset,"relic_layout",
_xlfn.CONCAT(_xlpm._asset,"[",_xlpm._asset,"_",$F69,"]"))</f>
        <v>relic_layout[relic_layout_43]</v>
      </c>
      <c r="F69" s="79">
        <v>43</v>
      </c>
      <c r="G69" s="16" t="str">
        <f t="shared" si="0"/>
        <v>relic_desc_301042</v>
      </c>
      <c r="H69" s="50" t="str">
        <v>近战武器 暴击伤害 + 30%</v>
      </c>
      <c r="J69" s="24" t="s">
        <v>37</v>
      </c>
      <c r="K69" s="15" t="s">
        <v>371</v>
      </c>
      <c r="L69" s="14">
        <v>300</v>
      </c>
      <c r="M69" s="16" t="s">
        <v>164</v>
      </c>
      <c r="N69" s="73">
        <f>ROUND(POWER(O69,(5-T69)/5),0)</f>
        <v>4</v>
      </c>
      <c r="O69" s="30">
        <v>6</v>
      </c>
      <c r="P69" s="24" t="b">
        <v>1</v>
      </c>
      <c r="Q69" s="24"/>
      <c r="R69" s="24"/>
      <c r="S69" s="24"/>
      <c r="T69" s="64">
        <v>1</v>
      </c>
      <c r="U69" s="72">
        <f>ROUND(V69*POWER(W69,T69),0)</f>
        <v>19</v>
      </c>
      <c r="V69" s="30">
        <v>8.1</v>
      </c>
      <c r="W69" s="30">
        <v>2.3199999999999998</v>
      </c>
    </row>
    <row r="70" spans="1:23" x14ac:dyDescent="0.2">
      <c r="A70" s="26">
        <v>301043</v>
      </c>
      <c r="B70" s="73" t="str">
        <f>IF(A70&lt;&gt;"","relic_name_"&amp;IF(C70,LEFT($A70,LEN($A70)-1),$A70),"")</f>
        <v>relic_name_30104</v>
      </c>
      <c r="C70" s="82" t="b">
        <v>1</v>
      </c>
      <c r="D70" s="69" t="str" cm="1">
        <f t="array" ref="D70">_xlfn.LET(
_xlpm.idx,MATCH(relic!$M70,'-id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IFERROR(INDEX(_xlpm.desc_array,MIN(RIGHT($A70,1),_xlpm.array_len)),"")
)</f>
        <v>扳手</v>
      </c>
      <c r="E70" s="68" t="str">
        <f>_xlfn.LET(_xlpm._asset,"relic_layout",
_xlfn.CONCAT(_xlpm._asset,"[",_xlpm._asset,"_",$F70,"]"))</f>
        <v>relic_layout[relic_layout_43]</v>
      </c>
      <c r="F70" s="79">
        <v>43</v>
      </c>
      <c r="G70" s="16" t="str">
        <f t="shared" si="0"/>
        <v>relic_desc_301043</v>
      </c>
      <c r="H70" s="50" t="str">
        <v>近战武器 暴击伤害 + 60%</v>
      </c>
      <c r="J70" s="24" t="s">
        <v>37</v>
      </c>
      <c r="K70" s="15" t="s">
        <v>371</v>
      </c>
      <c r="L70" s="14">
        <v>600</v>
      </c>
      <c r="M70" s="16" t="s">
        <v>164</v>
      </c>
      <c r="N70" s="73">
        <f>ROUND(POWER(O70,(5-T70)/5),0)</f>
        <v>3</v>
      </c>
      <c r="O70" s="30">
        <v>6</v>
      </c>
      <c r="P70" s="24" t="b">
        <v>1</v>
      </c>
      <c r="Q70" s="24"/>
      <c r="R70" s="24"/>
      <c r="S70" s="24"/>
      <c r="T70" s="65">
        <v>2</v>
      </c>
      <c r="U70" s="72">
        <f>ROUND(V70*POWER(W70,T70),0)</f>
        <v>44</v>
      </c>
      <c r="V70" s="30">
        <v>8.1</v>
      </c>
      <c r="W70" s="30">
        <v>2.3199999999999998</v>
      </c>
    </row>
    <row r="71" spans="1:23" x14ac:dyDescent="0.2">
      <c r="A71" s="26">
        <v>301044</v>
      </c>
      <c r="B71" s="73" t="str">
        <f>IF(A71&lt;&gt;"","relic_name_"&amp;IF(C71,LEFT($A71,LEN($A71)-1),$A71),"")</f>
        <v>relic_name_30104</v>
      </c>
      <c r="C71" s="82" t="b">
        <v>1</v>
      </c>
      <c r="D71" s="69" t="str" cm="1">
        <f t="array" ref="D71">_xlfn.LET(
_xlpm.idx,MATCH(relic!$M71,'-id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IFERROR(INDEX(_xlpm.desc_array,MIN(RIGHT($A71,1),_xlpm.array_len)),"")
)</f>
        <v>扳手</v>
      </c>
      <c r="E71" s="68" t="str">
        <f>_xlfn.LET(_xlpm._asset,"relic_layout",
_xlfn.CONCAT(_xlpm._asset,"[",_xlpm._asset,"_",$F71,"]"))</f>
        <v>relic_layout[relic_layout_43]</v>
      </c>
      <c r="F71" s="79">
        <v>43</v>
      </c>
      <c r="G71" s="16" t="str">
        <f t="shared" si="0"/>
        <v>relic_desc_301044</v>
      </c>
      <c r="H71" s="50" t="str">
        <v>近战武器 暴击伤害 + 120%</v>
      </c>
      <c r="J71" s="24" t="s">
        <v>37</v>
      </c>
      <c r="K71" s="15" t="s">
        <v>371</v>
      </c>
      <c r="L71" s="14">
        <v>1200</v>
      </c>
      <c r="M71" s="16" t="s">
        <v>164</v>
      </c>
      <c r="N71" s="73">
        <f>ROUND(POWER(O71,(5-T71)/5),0)</f>
        <v>2</v>
      </c>
      <c r="O71" s="30">
        <v>6</v>
      </c>
      <c r="P71" s="24" t="b">
        <v>1</v>
      </c>
      <c r="Q71" s="24"/>
      <c r="R71" s="24"/>
      <c r="S71" s="24"/>
      <c r="T71" s="66">
        <v>3</v>
      </c>
      <c r="U71" s="72">
        <f>ROUND(V71*POWER(W71,T71),0)</f>
        <v>101</v>
      </c>
      <c r="V71" s="30">
        <v>8.1</v>
      </c>
      <c r="W71" s="30">
        <v>2.3199999999999998</v>
      </c>
    </row>
    <row r="72" spans="1:23" x14ac:dyDescent="0.2">
      <c r="A72" s="26"/>
      <c r="D72" s="15" t="str" cm="1">
        <f t="array" ref="D72">_xlfn.LET(
_xlpm.idx,MATCH(relic!$M72,'-id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IFERROR(INDEX(_xlpm.desc_array,MIN(RIGHT($A72,1),_xlpm.array_len)),"")
)</f>
        <v/>
      </c>
      <c r="F72" s="78" t="s">
        <v>117</v>
      </c>
      <c r="G72" s="16" t="str">
        <f t="shared" si="0"/>
        <v/>
      </c>
      <c r="H72" s="71"/>
      <c r="N72" s="16"/>
      <c r="P72" s="16" t="str">
        <f t="shared" si="3"/>
        <v/>
      </c>
      <c r="Q72" s="16"/>
      <c r="R72" s="16"/>
      <c r="S72" s="16"/>
    </row>
    <row r="73" spans="1:23" x14ac:dyDescent="0.2">
      <c r="A73" s="26">
        <v>301051</v>
      </c>
      <c r="B73" s="73" t="str">
        <f>IF(A73&lt;&gt;"","relic_name_"&amp;IF(C73,LEFT($A73,LEN($A73)-1),$A73),"")</f>
        <v>relic_name_30105</v>
      </c>
      <c r="C73" s="82" t="b">
        <v>1</v>
      </c>
      <c r="D73" s="69" t="str" cm="1">
        <f t="array" ref="D73">_xlfn.LET(
_xlpm.idx,MATCH(relic!$M73,'-id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IFERROR(INDEX(_xlpm.desc_array,MIN(RIGHT($A73,1),_xlpm.array_len)),"")
)</f>
        <v>起子</v>
      </c>
      <c r="E73" s="68" t="str">
        <f>_xlfn.LET(_xlpm._asset,"relic_layout",
_xlfn.CONCAT(_xlpm._asset,"[",_xlpm._asset,"_",$F73,"]"))</f>
        <v>relic_layout[relic_layout_44]</v>
      </c>
      <c r="F73" s="79">
        <v>44</v>
      </c>
      <c r="G73" s="16" t="str">
        <f t="shared" si="0"/>
        <v>relic_desc_301051</v>
      </c>
      <c r="H73" s="50" t="str" cm="1">
        <f t="array" ref="H73:H76">_xlfn.LET(_xlpm._manual_info,$I73:$I76,
    IF(_xlpm._manual_info&lt;&gt;"",_xlpm._manual_info,_xlfn.LET(
        _xlpm._parm_key,$M73,
        _xlpm._parm_value,$L73:$L76,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近战武器 击退 + 10%</v>
      </c>
      <c r="J73" s="24" t="s">
        <v>37</v>
      </c>
      <c r="K73" s="15" t="s">
        <v>372</v>
      </c>
      <c r="L73" s="14">
        <v>100</v>
      </c>
      <c r="M73" s="16" t="s">
        <v>48</v>
      </c>
      <c r="N73" s="73">
        <f>ROUND(POWER(O73,(5-T73)/5),0)</f>
        <v>8</v>
      </c>
      <c r="O73" s="30">
        <v>8</v>
      </c>
      <c r="P73" s="24" t="b">
        <v>1</v>
      </c>
      <c r="Q73" s="24"/>
      <c r="R73" s="24"/>
      <c r="S73" s="24"/>
      <c r="T73" s="63">
        <v>0</v>
      </c>
      <c r="U73" s="72">
        <f>ROUND(V73*POWER(W73,T73),0)</f>
        <v>7</v>
      </c>
      <c r="V73" s="30">
        <v>6.6</v>
      </c>
      <c r="W73" s="30">
        <v>2.3199999999999998</v>
      </c>
    </row>
    <row r="74" spans="1:23" x14ac:dyDescent="0.2">
      <c r="A74" s="26">
        <v>301052</v>
      </c>
      <c r="B74" s="73" t="str">
        <f>IF(A74&lt;&gt;"","relic_name_"&amp;IF(C74,LEFT($A74,LEN($A74)-1),$A74),"")</f>
        <v>relic_name_30105</v>
      </c>
      <c r="C74" s="82" t="b">
        <v>1</v>
      </c>
      <c r="D74" s="69" t="str" cm="1">
        <f t="array" ref="D74">_xlfn.LET(
_xlpm.idx,MATCH(relic!$M74,'-id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IFERROR(INDEX(_xlpm.desc_array,MIN(RIGHT($A74,1),_xlpm.array_len)),"")
)</f>
        <v>起子</v>
      </c>
      <c r="E74" s="68" t="str">
        <f>_xlfn.LET(_xlpm._asset,"relic_layout",
_xlfn.CONCAT(_xlpm._asset,"[",_xlpm._asset,"_",$F74,"]"))</f>
        <v>relic_layout[relic_layout_44]</v>
      </c>
      <c r="F74" s="79">
        <v>44</v>
      </c>
      <c r="G74" s="16" t="str">
        <f t="shared" si="0"/>
        <v>relic_desc_301052</v>
      </c>
      <c r="H74" s="50" t="str">
        <v>近战武器 击退 + 20%</v>
      </c>
      <c r="J74" s="24" t="s">
        <v>37</v>
      </c>
      <c r="K74" s="15" t="s">
        <v>372</v>
      </c>
      <c r="L74" s="14">
        <v>200</v>
      </c>
      <c r="M74" s="16" t="s">
        <v>48</v>
      </c>
      <c r="N74" s="73">
        <f>ROUND(POWER(O74,(5-T74)/5),0)</f>
        <v>5</v>
      </c>
      <c r="O74" s="30">
        <v>8</v>
      </c>
      <c r="P74" s="24" t="b">
        <v>1</v>
      </c>
      <c r="Q74" s="24"/>
      <c r="R74" s="24"/>
      <c r="S74" s="24"/>
      <c r="T74" s="64">
        <v>1</v>
      </c>
      <c r="U74" s="72">
        <f>ROUND(V74*POWER(W74,T74),0)</f>
        <v>15</v>
      </c>
      <c r="V74" s="30">
        <v>6.6</v>
      </c>
      <c r="W74" s="30">
        <v>2.3199999999999998</v>
      </c>
    </row>
    <row r="75" spans="1:23" x14ac:dyDescent="0.2">
      <c r="A75" s="26">
        <v>301053</v>
      </c>
      <c r="B75" s="73" t="str">
        <f>IF(A75&lt;&gt;"","relic_name_"&amp;IF(C75,LEFT($A75,LEN($A75)-1),$A75),"")</f>
        <v>relic_name_30105</v>
      </c>
      <c r="C75" s="82" t="b">
        <v>1</v>
      </c>
      <c r="D75" s="69" t="str" cm="1">
        <f t="array" ref="D75">_xlfn.LET(
_xlpm.idx,MATCH(relic!$M75,'-id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IFERROR(INDEX(_xlpm.desc_array,MIN(RIGHT($A75,1),_xlpm.array_len)),"")
)</f>
        <v>起子</v>
      </c>
      <c r="E75" s="68" t="str">
        <f>_xlfn.LET(_xlpm._asset,"relic_layout",
_xlfn.CONCAT(_xlpm._asset,"[",_xlpm._asset,"_",$F75,"]"))</f>
        <v>relic_layout[relic_layout_44]</v>
      </c>
      <c r="F75" s="79">
        <v>44</v>
      </c>
      <c r="G75" s="16" t="str">
        <f t="shared" si="0"/>
        <v>relic_desc_301053</v>
      </c>
      <c r="H75" s="50" t="str">
        <v>近战武器 击退 + 40%</v>
      </c>
      <c r="J75" s="24" t="s">
        <v>37</v>
      </c>
      <c r="K75" s="15" t="s">
        <v>372</v>
      </c>
      <c r="L75" s="14">
        <v>400</v>
      </c>
      <c r="M75" s="16" t="s">
        <v>48</v>
      </c>
      <c r="N75" s="73">
        <f>ROUND(POWER(O75,(5-T75)/5),0)</f>
        <v>3</v>
      </c>
      <c r="O75" s="30">
        <v>8</v>
      </c>
      <c r="P75" s="24" t="b">
        <v>1</v>
      </c>
      <c r="Q75" s="24"/>
      <c r="R75" s="24"/>
      <c r="S75" s="24"/>
      <c r="T75" s="65">
        <v>2</v>
      </c>
      <c r="U75" s="72">
        <f>ROUND(V75*POWER(W75,T75),0)</f>
        <v>36</v>
      </c>
      <c r="V75" s="30">
        <v>6.6</v>
      </c>
      <c r="W75" s="30">
        <v>2.3199999999999998</v>
      </c>
    </row>
    <row r="76" spans="1:23" x14ac:dyDescent="0.2">
      <c r="A76" s="26">
        <v>301054</v>
      </c>
      <c r="B76" s="73" t="str">
        <f>IF(A76&lt;&gt;"","relic_name_"&amp;IF(C76,LEFT($A76,LEN($A76)-1),$A76),"")</f>
        <v>relic_name_30105</v>
      </c>
      <c r="C76" s="82" t="b">
        <v>1</v>
      </c>
      <c r="D76" s="69" t="str" cm="1">
        <f t="array" ref="D76">_xlfn.LET(
_xlpm.idx,MATCH(relic!$M76,'-id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IFERROR(INDEX(_xlpm.desc_array,MIN(RIGHT($A76,1),_xlpm.array_len)),"")
)</f>
        <v>起子</v>
      </c>
      <c r="E76" s="68" t="str">
        <f>_xlfn.LET(_xlpm._asset,"relic_layout",
_xlfn.CONCAT(_xlpm._asset,"[",_xlpm._asset,"_",$F76,"]"))</f>
        <v>relic_layout[relic_layout_44]</v>
      </c>
      <c r="F76" s="79">
        <v>44</v>
      </c>
      <c r="G76" s="16" t="str">
        <f t="shared" si="0"/>
        <v>relic_desc_301054</v>
      </c>
      <c r="H76" s="50" t="str">
        <v>近战武器 击退 + 80%</v>
      </c>
      <c r="J76" s="24" t="s">
        <v>37</v>
      </c>
      <c r="K76" s="15" t="s">
        <v>372</v>
      </c>
      <c r="L76" s="14">
        <v>800</v>
      </c>
      <c r="M76" s="16" t="s">
        <v>48</v>
      </c>
      <c r="N76" s="73">
        <f>ROUND(POWER(O76,(5-T76)/5),0)</f>
        <v>2</v>
      </c>
      <c r="O76" s="30">
        <v>8</v>
      </c>
      <c r="P76" s="24" t="b">
        <v>1</v>
      </c>
      <c r="Q76" s="24"/>
      <c r="R76" s="24"/>
      <c r="S76" s="24"/>
      <c r="T76" s="66">
        <v>3</v>
      </c>
      <c r="U76" s="72">
        <f>ROUND(V76*POWER(W76,T76),0)</f>
        <v>82</v>
      </c>
      <c r="V76" s="30">
        <v>6.6</v>
      </c>
      <c r="W76" s="30">
        <v>2.3199999999999998</v>
      </c>
    </row>
    <row r="77" spans="1:23" x14ac:dyDescent="0.2">
      <c r="A77" s="26"/>
      <c r="B77" s="16" t="str">
        <f t="shared" si="7"/>
        <v/>
      </c>
      <c r="D77" s="15" t="str" cm="1">
        <f t="array" ref="D77">_xlfn.LET(
_xlpm.idx,MATCH(relic!$M77,'-id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IFERROR(INDEX(_xlpm.desc_array,MIN(RIGHT($A77,1),_xlpm.array_len)),"")
)</f>
        <v/>
      </c>
      <c r="F77" s="78" t="s">
        <v>117</v>
      </c>
      <c r="G77" s="16" t="str">
        <f t="shared" si="0"/>
        <v/>
      </c>
      <c r="H77" s="71"/>
      <c r="N77" s="16" t="str">
        <f t="shared" si="2"/>
        <v/>
      </c>
      <c r="P77" s="16" t="str">
        <f t="shared" si="3"/>
        <v/>
      </c>
      <c r="Q77" s="16"/>
      <c r="R77" s="16"/>
      <c r="S77" s="16"/>
      <c r="U77" s="14" t="str">
        <f t="shared" ref="U77:U93" si="9">IF(A77&lt;&gt;"",RIGHT(A77)*5,"")</f>
        <v/>
      </c>
    </row>
    <row r="78" spans="1:23" x14ac:dyDescent="0.2">
      <c r="A78" s="26">
        <v>301061</v>
      </c>
      <c r="B78" s="16" t="str">
        <f t="shared" si="7"/>
        <v>relic_name_301061</v>
      </c>
      <c r="D78" s="15" t="str" cm="1">
        <f t="array" ref="D78">_xlfn.LET(
_xlpm.idx,MATCH(relic!$M78,'-id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IFERROR(INDEX(_xlpm.desc_array,MIN(RIGHT($A78,1),_xlpm.array_len)),"")
)</f>
        <v>钳子</v>
      </c>
      <c r="E78" s="14" t="str">
        <f>IF($F78&lt;&gt;"",_xlfn.CONCAT("relic_icons[relic_layout_",$F78,"]"),"")</f>
        <v>relic_icons[relic_layout_42]</v>
      </c>
      <c r="F78" s="78">
        <v>42</v>
      </c>
      <c r="G78" s="16" t="str">
        <f t="shared" si="0"/>
        <v>relic_desc_301061</v>
      </c>
      <c r="H78" s="50" t="str" cm="1">
        <f t="array" ref="H78:H80">_xlfn.LET(_xlpm._manual_info,$I78:$I80,
    IF(_xlpm._manual_info&lt;&gt;"",_xlpm._manual_info,_xlfn.LET(
        _xlpm._parm_key,$M78,
        _xlpm._parm_value,$L78:$L80,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近战武器 破甲附加值 + 20%</v>
      </c>
      <c r="J78" s="24" t="s">
        <v>37</v>
      </c>
      <c r="K78" s="15" t="s">
        <v>41</v>
      </c>
      <c r="L78" s="14">
        <v>200</v>
      </c>
      <c r="M78" s="16" t="s">
        <v>49</v>
      </c>
      <c r="N78" s="16">
        <f t="shared" si="2"/>
        <v>5</v>
      </c>
      <c r="P78" s="16" t="b">
        <f t="shared" si="3"/>
        <v>1</v>
      </c>
      <c r="Q78" s="16"/>
      <c r="R78" s="16"/>
      <c r="S78" s="16" t="str">
        <f t="shared" si="5"/>
        <v/>
      </c>
      <c r="T78" s="14">
        <v>-1</v>
      </c>
      <c r="U78" s="14">
        <f t="shared" si="9"/>
        <v>5</v>
      </c>
    </row>
    <row r="79" spans="1:23" x14ac:dyDescent="0.2">
      <c r="A79" s="26">
        <v>301062</v>
      </c>
      <c r="B79" s="16" t="str">
        <f t="shared" si="7"/>
        <v>relic_name_301062</v>
      </c>
      <c r="D79" s="15" t="str" cm="1">
        <f t="array" ref="D79">_xlfn.LET(
_xlpm.idx,MATCH(relic!$M79,'-id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IFERROR(INDEX(_xlpm.desc_array,MIN(RIGHT($A79,1),_xlpm.array_len)),"")
)</f>
        <v>钳子</v>
      </c>
      <c r="E79" s="14" t="str">
        <f>IF($F79&lt;&gt;"",_xlfn.CONCAT("relic_icons[relic_layout_",$F79,"]"),"")</f>
        <v>relic_icons[relic_layout_43]</v>
      </c>
      <c r="F79" s="78">
        <v>43</v>
      </c>
      <c r="G79" s="16" t="str">
        <f t="shared" si="0"/>
        <v>relic_desc_301062</v>
      </c>
      <c r="H79" s="50" t="str">
        <v>近战武器 破甲附加值 + 40%</v>
      </c>
      <c r="J79" s="24" t="s">
        <v>37</v>
      </c>
      <c r="K79" s="15" t="s">
        <v>41</v>
      </c>
      <c r="L79" s="14">
        <v>400</v>
      </c>
      <c r="M79" s="16" t="s">
        <v>49</v>
      </c>
      <c r="N79" s="16">
        <f t="shared" si="2"/>
        <v>5</v>
      </c>
      <c r="P79" s="16" t="b">
        <f t="shared" si="3"/>
        <v>1</v>
      </c>
      <c r="Q79" s="16"/>
      <c r="R79" s="16"/>
      <c r="S79" s="16">
        <f t="shared" si="5"/>
        <v>301061</v>
      </c>
      <c r="T79" s="14">
        <v>-1</v>
      </c>
      <c r="U79" s="14">
        <f t="shared" si="9"/>
        <v>10</v>
      </c>
    </row>
    <row r="80" spans="1:23" x14ac:dyDescent="0.2">
      <c r="A80" s="26">
        <v>301063</v>
      </c>
      <c r="B80" s="16" t="str">
        <f t="shared" si="7"/>
        <v>relic_name_301063</v>
      </c>
      <c r="D80" s="15" t="str" cm="1">
        <f t="array" ref="D80">_xlfn.LET(
_xlpm.idx,MATCH(relic!$M80,'-id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IFERROR(INDEX(_xlpm.desc_array,MIN(RIGHT($A80,1),_xlpm.array_len)),"")
)</f>
        <v>钳子</v>
      </c>
      <c r="E80" s="14" t="str">
        <f>IF($F80&lt;&gt;"",_xlfn.CONCAT("relic_icons[relic_layout_",$F80,"]"),"")</f>
        <v>relic_icons[relic_layout_44]</v>
      </c>
      <c r="F80" s="78">
        <v>44</v>
      </c>
      <c r="G80" s="16" t="str">
        <f t="shared" si="0"/>
        <v>relic_desc_301063</v>
      </c>
      <c r="H80" s="50" t="str">
        <v>近战武器 破甲附加值 + 60%</v>
      </c>
      <c r="J80" s="24" t="s">
        <v>37</v>
      </c>
      <c r="K80" s="15" t="s">
        <v>41</v>
      </c>
      <c r="L80" s="14">
        <v>600</v>
      </c>
      <c r="M80" s="16" t="s">
        <v>49</v>
      </c>
      <c r="N80" s="16">
        <f t="shared" si="2"/>
        <v>5</v>
      </c>
      <c r="P80" s="16" t="b">
        <f t="shared" si="3"/>
        <v>1</v>
      </c>
      <c r="Q80" s="16"/>
      <c r="R80" s="16"/>
      <c r="S80" s="16">
        <f t="shared" si="5"/>
        <v>301062</v>
      </c>
      <c r="T80" s="14">
        <v>-1</v>
      </c>
      <c r="U80" s="14">
        <f t="shared" si="9"/>
        <v>15</v>
      </c>
    </row>
    <row r="81" spans="1:23" x14ac:dyDescent="0.2">
      <c r="A81" s="26"/>
      <c r="B81" s="16" t="str">
        <f t="shared" ref="B81:B92" si="10">IF(A81&lt;&gt;"","relic_name_"&amp;$A81,"")</f>
        <v/>
      </c>
      <c r="D81" s="15" t="str" cm="1">
        <f t="array" ref="D81">_xlfn.LET(
_xlpm.idx,MATCH(relic!$M81,'-id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IFERROR(INDEX(_xlpm.desc_array,MIN(RIGHT($A81,1),_xlpm.array_len)),"")
)</f>
        <v/>
      </c>
      <c r="F81" s="78" t="s">
        <v>117</v>
      </c>
      <c r="G81" s="16" t="str">
        <f t="shared" si="0"/>
        <v/>
      </c>
      <c r="H81" s="71"/>
      <c r="N81" s="16" t="str">
        <f t="shared" si="2"/>
        <v/>
      </c>
      <c r="P81" s="16" t="str">
        <f t="shared" si="3"/>
        <v/>
      </c>
      <c r="Q81" s="16"/>
      <c r="R81" s="16"/>
      <c r="S81" s="16" t="str">
        <f t="shared" si="5"/>
        <v/>
      </c>
      <c r="U81" s="14" t="str">
        <f t="shared" si="9"/>
        <v/>
      </c>
    </row>
    <row r="82" spans="1:23" x14ac:dyDescent="0.2">
      <c r="A82" s="26">
        <v>301211</v>
      </c>
      <c r="B82" s="16" t="str">
        <f t="shared" si="10"/>
        <v>relic_name_301211</v>
      </c>
      <c r="D82" s="15" t="str" cm="1">
        <f t="array" ref="D82">_xlfn.LET(
_xlpm.idx,MATCH(relic!$M82,'-id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IFERROR(INDEX(_xlpm.desc_array,MIN(RIGHT($A82,1),_xlpm.array_len)),"")
)</f>
        <v>麻辣蟹钳</v>
      </c>
      <c r="E82" s="14" t="str">
        <f>IF($F82&lt;&gt;"",_xlfn.CONCAT("relic_icons[relic_layout_",$F82,"]"),"")</f>
        <v>relic_icons[relic_layout_45]</v>
      </c>
      <c r="F82" s="78">
        <v>45</v>
      </c>
      <c r="G82" s="16" t="str">
        <f t="shared" si="0"/>
        <v>relic_desc_301211</v>
      </c>
      <c r="H82" s="50" t="str" cm="1">
        <f t="array" ref="H82:H84">_xlfn.LET(_xlpm._manual_info,$I82:$I84,
    IF(_xlpm._manual_info&lt;&gt;"",_xlpm._manual_info,_xlfn.LET(
        _xlpm._parm_key,$M82,
        _xlpm._parm_value,$L82:$L84,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近战武器 锋利度耐久 + 20%</v>
      </c>
      <c r="J82" s="24" t="s">
        <v>37</v>
      </c>
      <c r="L82" s="14">
        <v>200</v>
      </c>
      <c r="M82" s="16" t="s">
        <v>50</v>
      </c>
      <c r="N82" s="16">
        <f t="shared" si="2"/>
        <v>5</v>
      </c>
      <c r="P82" s="16" t="b">
        <f t="shared" si="3"/>
        <v>1</v>
      </c>
      <c r="Q82" s="16"/>
      <c r="R82" s="16"/>
      <c r="S82" s="16" t="str">
        <f t="shared" si="5"/>
        <v/>
      </c>
      <c r="T82" s="14">
        <v>-1</v>
      </c>
      <c r="U82" s="14">
        <f t="shared" si="9"/>
        <v>5</v>
      </c>
    </row>
    <row r="83" spans="1:23" x14ac:dyDescent="0.2">
      <c r="A83" s="26">
        <v>301212</v>
      </c>
      <c r="B83" s="16" t="str">
        <f t="shared" si="10"/>
        <v>relic_name_301212</v>
      </c>
      <c r="D83" s="15" t="str" cm="1">
        <f t="array" ref="D83">_xlfn.LET(
_xlpm.idx,MATCH(relic!$M83,'-id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IFERROR(INDEX(_xlpm.desc_array,MIN(RIGHT($A83,1),_xlpm.array_len)),"")
)</f>
        <v>蒜蓉蟹钳</v>
      </c>
      <c r="E83" s="14" t="str">
        <f>IF($F83&lt;&gt;"",_xlfn.CONCAT("relic_icons[relic_layout_",$F83,"]"),"")</f>
        <v>relic_icons[relic_layout_46]</v>
      </c>
      <c r="F83" s="78">
        <v>46</v>
      </c>
      <c r="G83" s="16" t="str">
        <f t="shared" si="0"/>
        <v>relic_desc_301212</v>
      </c>
      <c r="H83" s="50" t="str">
        <v>近战武器 锋利度耐久 + 40%</v>
      </c>
      <c r="J83" s="24" t="s">
        <v>37</v>
      </c>
      <c r="L83" s="14">
        <v>400</v>
      </c>
      <c r="M83" s="16" t="s">
        <v>50</v>
      </c>
      <c r="N83" s="16">
        <f t="shared" si="2"/>
        <v>5</v>
      </c>
      <c r="P83" s="16" t="b">
        <f t="shared" si="3"/>
        <v>1</v>
      </c>
      <c r="Q83" s="16"/>
      <c r="R83" s="16"/>
      <c r="S83" s="16">
        <f t="shared" si="5"/>
        <v>301211</v>
      </c>
      <c r="T83" s="14">
        <v>-1</v>
      </c>
      <c r="U83" s="14">
        <f t="shared" si="9"/>
        <v>10</v>
      </c>
    </row>
    <row r="84" spans="1:23" x14ac:dyDescent="0.2">
      <c r="A84" s="26">
        <v>301213</v>
      </c>
      <c r="B84" s="16" t="str">
        <f t="shared" si="10"/>
        <v>relic_name_301213</v>
      </c>
      <c r="D84" s="15" t="str" cm="1">
        <f t="array" ref="D84">_xlfn.LET(
_xlpm.idx,MATCH(relic!$M84,'-id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IFERROR(INDEX(_xlpm.desc_array,MIN(RIGHT($A84,1),_xlpm.array_len)),"")
)</f>
        <v>十三香蟹钳</v>
      </c>
      <c r="E84" s="14" t="str">
        <f>IF($F84&lt;&gt;"",_xlfn.CONCAT("relic_icons[relic_layout_",$F84,"]"),"")</f>
        <v>relic_icons[relic_layout_47]</v>
      </c>
      <c r="F84" s="78">
        <v>47</v>
      </c>
      <c r="G84" s="16" t="str">
        <f t="shared" si="0"/>
        <v>relic_desc_301213</v>
      </c>
      <c r="H84" s="50" t="str">
        <v>近战武器 锋利度耐久 + 60%</v>
      </c>
      <c r="J84" s="24" t="s">
        <v>37</v>
      </c>
      <c r="L84" s="14">
        <v>600</v>
      </c>
      <c r="M84" s="16" t="s">
        <v>50</v>
      </c>
      <c r="N84" s="16">
        <f t="shared" si="2"/>
        <v>5</v>
      </c>
      <c r="P84" s="16" t="b">
        <f t="shared" si="3"/>
        <v>1</v>
      </c>
      <c r="Q84" s="16"/>
      <c r="R84" s="16"/>
      <c r="S84" s="16">
        <f t="shared" si="5"/>
        <v>301212</v>
      </c>
      <c r="T84" s="14">
        <v>-1</v>
      </c>
      <c r="U84" s="14">
        <f t="shared" si="9"/>
        <v>15</v>
      </c>
    </row>
    <row r="85" spans="1:23" x14ac:dyDescent="0.2">
      <c r="A85" s="26"/>
      <c r="B85" s="16" t="str">
        <f t="shared" si="10"/>
        <v/>
      </c>
      <c r="D85" s="15" t="str" cm="1">
        <f t="array" ref="D85">_xlfn.LET(
_xlpm.idx,MATCH(relic!$M85,'-id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IFERROR(INDEX(_xlpm.desc_array,MIN(RIGHT($A85,1),_xlpm.array_len)),"")
)</f>
        <v/>
      </c>
      <c r="F85" s="78" t="s">
        <v>117</v>
      </c>
      <c r="G85" s="16" t="str">
        <f t="shared" si="0"/>
        <v/>
      </c>
      <c r="H85" s="71"/>
      <c r="N85" s="16" t="str">
        <f t="shared" si="2"/>
        <v/>
      </c>
      <c r="P85" s="16" t="str">
        <f t="shared" si="3"/>
        <v/>
      </c>
      <c r="Q85" s="16"/>
      <c r="R85" s="16"/>
      <c r="S85" s="16" t="str">
        <f t="shared" si="5"/>
        <v/>
      </c>
      <c r="U85" s="14" t="str">
        <f t="shared" si="9"/>
        <v/>
      </c>
    </row>
    <row r="86" spans="1:23" x14ac:dyDescent="0.2">
      <c r="A86" s="26">
        <v>301221</v>
      </c>
      <c r="B86" s="16" t="str">
        <f t="shared" si="10"/>
        <v>relic_name_301221</v>
      </c>
      <c r="D86" s="15" t="str" cm="1">
        <f t="array" ref="D86">_xlfn.LET(
_xlpm.idx,MATCH(relic!$M86,'-id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IFERROR(INDEX(_xlpm.desc_array,MIN(RIGHT($A86,1),_xlpm.array_len)),"")
)</f>
        <v>机械义肢</v>
      </c>
      <c r="E86" s="14" t="str">
        <f>IF($F86&lt;&gt;"",_xlfn.CONCAT("relic_icons[relic_layout_",$F86,"]"),"")</f>
        <v>relic_icons[relic_layout_48]</v>
      </c>
      <c r="F86" s="78">
        <v>48</v>
      </c>
      <c r="G86" s="16" t="str">
        <f t="shared" si="0"/>
        <v>relic_desc_301221</v>
      </c>
      <c r="H86" s="50" t="str" cm="1">
        <f t="array" ref="H86:H88">_xlfn.LET(_xlpm._manual_info,$I86:$I88,
    IF(_xlpm._manual_info&lt;&gt;"",_xlpm._manual_info,_xlfn.LET(
        _xlpm._parm_key,$M86,
        _xlpm._parm_value,$L86:$L88,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近战武器 锋利度上限 + 15%</v>
      </c>
      <c r="J86" s="24" t="s">
        <v>37</v>
      </c>
      <c r="L86" s="14">
        <v>150</v>
      </c>
      <c r="M86" s="16" t="s">
        <v>51</v>
      </c>
      <c r="N86" s="16">
        <f t="shared" si="2"/>
        <v>5</v>
      </c>
      <c r="P86" s="16" t="b">
        <f t="shared" si="3"/>
        <v>1</v>
      </c>
      <c r="Q86" s="16"/>
      <c r="R86" s="16"/>
      <c r="S86" s="16" t="str">
        <f t="shared" si="5"/>
        <v/>
      </c>
      <c r="T86" s="14">
        <v>-1</v>
      </c>
      <c r="U86" s="14">
        <f t="shared" si="9"/>
        <v>5</v>
      </c>
    </row>
    <row r="87" spans="1:23" x14ac:dyDescent="0.2">
      <c r="A87" s="26">
        <v>301222</v>
      </c>
      <c r="B87" s="16" t="str">
        <f t="shared" si="10"/>
        <v>relic_name_301222</v>
      </c>
      <c r="D87" s="15" t="str" cm="1">
        <f t="array" ref="D87">_xlfn.LET(
_xlpm.idx,MATCH(relic!$M87,'-id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IFERROR(INDEX(_xlpm.desc_array,MIN(RIGHT($A87,1),_xlpm.array_len)),"")
)</f>
        <v>机械义肢</v>
      </c>
      <c r="E87" s="14" t="str">
        <f>IF($F87&lt;&gt;"",_xlfn.CONCAT("relic_icons[relic_layout_",$F87,"]"),"")</f>
        <v>relic_icons[relic_layout_49]</v>
      </c>
      <c r="F87" s="78">
        <v>49</v>
      </c>
      <c r="G87" s="16" t="str">
        <f t="shared" si="0"/>
        <v>relic_desc_301222</v>
      </c>
      <c r="H87" s="50" t="str">
        <v>近战武器 锋利度上限 + 30%</v>
      </c>
      <c r="J87" s="24" t="s">
        <v>37</v>
      </c>
      <c r="L87" s="14">
        <v>300</v>
      </c>
      <c r="M87" s="16" t="s">
        <v>51</v>
      </c>
      <c r="N87" s="16">
        <f t="shared" ref="N87:N93" si="11">IF($A87&gt;0,5,"")</f>
        <v>5</v>
      </c>
      <c r="P87" s="16" t="b">
        <f t="shared" ref="P87:P153" si="12">IF($A87&gt;0,TRUE,"")</f>
        <v>1</v>
      </c>
      <c r="Q87" s="16"/>
      <c r="R87" s="16"/>
      <c r="S87" s="16">
        <f t="shared" ref="S87:S153" si="13">_xlfn.LET(_xlpm.end,IFERROR(VALUE(RIGHT($A87,1)),0),
IF(_xlpm.end&gt;1,$A86,""))</f>
        <v>301221</v>
      </c>
      <c r="T87" s="14">
        <v>-1</v>
      </c>
      <c r="U87" s="14">
        <f t="shared" si="9"/>
        <v>10</v>
      </c>
    </row>
    <row r="88" spans="1:23" x14ac:dyDescent="0.2">
      <c r="A88" s="26">
        <v>301223</v>
      </c>
      <c r="B88" s="16" t="str">
        <f t="shared" si="10"/>
        <v>relic_name_301223</v>
      </c>
      <c r="D88" s="15" t="str" cm="1">
        <f t="array" ref="D88">_xlfn.LET(
_xlpm.idx,MATCH(relic!$M88,'-id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IFERROR(INDEX(_xlpm.desc_array,MIN(RIGHT($A88,1),_xlpm.array_len)),"")
)</f>
        <v>机械义肢</v>
      </c>
      <c r="E88" s="14" t="str">
        <f>IF($F88&lt;&gt;"",_xlfn.CONCAT("relic_icons[relic_layout_",$F88,"]"),"")</f>
        <v>relic_icons[relic_layout_50]</v>
      </c>
      <c r="F88" s="78">
        <v>50</v>
      </c>
      <c r="G88" s="16" t="str">
        <f t="shared" si="0"/>
        <v>relic_desc_301223</v>
      </c>
      <c r="H88" s="50" t="str">
        <v>近战武器 锋利度上限 + 45%</v>
      </c>
      <c r="J88" s="24" t="s">
        <v>37</v>
      </c>
      <c r="L88" s="14">
        <v>450</v>
      </c>
      <c r="M88" s="16" t="s">
        <v>51</v>
      </c>
      <c r="N88" s="16">
        <f t="shared" si="11"/>
        <v>5</v>
      </c>
      <c r="P88" s="16" t="b">
        <f t="shared" si="12"/>
        <v>1</v>
      </c>
      <c r="Q88" s="16"/>
      <c r="R88" s="16"/>
      <c r="S88" s="16">
        <f t="shared" si="13"/>
        <v>301222</v>
      </c>
      <c r="T88" s="14">
        <v>-1</v>
      </c>
      <c r="U88" s="14">
        <f t="shared" si="9"/>
        <v>15</v>
      </c>
    </row>
    <row r="89" spans="1:23" x14ac:dyDescent="0.2">
      <c r="A89" s="26"/>
      <c r="B89" s="16" t="str">
        <f t="shared" si="10"/>
        <v/>
      </c>
      <c r="D89" s="15" t="str" cm="1">
        <f t="array" ref="D89">_xlfn.LET(
_xlpm.idx,MATCH(relic!$M89,'-id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IFERROR(INDEX(_xlpm.desc_array,MIN(RIGHT($A89,1),_xlpm.array_len)),"")
)</f>
        <v/>
      </c>
      <c r="F89" s="78" t="s">
        <v>117</v>
      </c>
      <c r="G89" s="16" t="str">
        <f t="shared" si="0"/>
        <v/>
      </c>
      <c r="H89" s="71"/>
      <c r="N89" s="16" t="str">
        <f t="shared" si="11"/>
        <v/>
      </c>
      <c r="P89" s="16" t="str">
        <f t="shared" si="12"/>
        <v/>
      </c>
      <c r="Q89" s="16"/>
      <c r="R89" s="16"/>
      <c r="S89" s="16" t="str">
        <f t="shared" si="13"/>
        <v/>
      </c>
      <c r="U89" s="14" t="str">
        <f t="shared" si="9"/>
        <v/>
      </c>
    </row>
    <row r="90" spans="1:23" x14ac:dyDescent="0.2">
      <c r="A90" s="26">
        <v>301231</v>
      </c>
      <c r="B90" s="16" t="str">
        <f t="shared" si="10"/>
        <v>relic_name_301231</v>
      </c>
      <c r="D90" s="15" t="str" cm="1">
        <f t="array" ref="D90">_xlfn.LET(
_xlpm.idx,MATCH(relic!$M90,'-id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IFERROR(INDEX(_xlpm.desc_array,MIN(RIGHT($A90,1),_xlpm.array_len)),"")
)</f>
        <v>开锁工具</v>
      </c>
      <c r="E90" s="14" t="str">
        <f>IF($F90&lt;&gt;"",_xlfn.CONCAT("relic_icons[relic_layout_",$F90,"]"),"")</f>
        <v>relic_icons[relic_layout_51]</v>
      </c>
      <c r="F90" s="78">
        <v>51</v>
      </c>
      <c r="G90" s="16" t="str">
        <f t="shared" si="0"/>
        <v>relic_desc_301231</v>
      </c>
      <c r="H90" s="50" t="str" cm="1">
        <f t="array" ref="H90:H92">_xlfn.LET(_xlpm._manual_info,$I90:$I92,
    IF(_xlpm._manual_info&lt;&gt;"",_xlpm._manual_info,_xlfn.LET(
        _xlpm._parm_key,$M90,
        _xlpm._parm_value,$L90:$L92,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近战武器 磨刀速率 + 20%</v>
      </c>
      <c r="J90" s="24" t="s">
        <v>37</v>
      </c>
      <c r="L90" s="14">
        <v>200</v>
      </c>
      <c r="M90" s="16" t="s">
        <v>52</v>
      </c>
      <c r="N90" s="16">
        <f t="shared" si="11"/>
        <v>5</v>
      </c>
      <c r="P90" s="16" t="b">
        <f t="shared" si="12"/>
        <v>1</v>
      </c>
      <c r="Q90" s="16"/>
      <c r="R90" s="16"/>
      <c r="S90" s="16" t="str">
        <f t="shared" si="13"/>
        <v/>
      </c>
      <c r="T90" s="14">
        <v>-1</v>
      </c>
      <c r="U90" s="14">
        <f t="shared" si="9"/>
        <v>5</v>
      </c>
    </row>
    <row r="91" spans="1:23" x14ac:dyDescent="0.2">
      <c r="A91" s="26">
        <v>301232</v>
      </c>
      <c r="B91" s="16" t="str">
        <f t="shared" si="10"/>
        <v>relic_name_301232</v>
      </c>
      <c r="D91" s="15" t="str" cm="1">
        <f t="array" ref="D91">_xlfn.LET(
_xlpm.idx,MATCH(relic!$M91,'-id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IFERROR(INDEX(_xlpm.desc_array,MIN(RIGHT($A91,1),_xlpm.array_len)),"")
)</f>
        <v>开锁工具</v>
      </c>
      <c r="E91" s="14" t="str">
        <f>IF($F91&lt;&gt;"",_xlfn.CONCAT("relic_icons[relic_layout_",$F91,"]"),"")</f>
        <v>relic_icons[relic_layout_52]</v>
      </c>
      <c r="F91" s="78">
        <v>52</v>
      </c>
      <c r="G91" s="16" t="str">
        <f t="shared" si="0"/>
        <v>relic_desc_301232</v>
      </c>
      <c r="H91" s="50" t="str">
        <v>近战武器 磨刀速率 + 40%</v>
      </c>
      <c r="J91" s="24" t="s">
        <v>37</v>
      </c>
      <c r="L91" s="14">
        <v>400</v>
      </c>
      <c r="M91" s="16" t="s">
        <v>52</v>
      </c>
      <c r="N91" s="16">
        <f t="shared" si="11"/>
        <v>5</v>
      </c>
      <c r="P91" s="16" t="b">
        <f t="shared" si="12"/>
        <v>1</v>
      </c>
      <c r="Q91" s="16"/>
      <c r="R91" s="16"/>
      <c r="S91" s="16">
        <f t="shared" si="13"/>
        <v>301231</v>
      </c>
      <c r="T91" s="14">
        <v>-1</v>
      </c>
      <c r="U91" s="14">
        <f t="shared" si="9"/>
        <v>10</v>
      </c>
    </row>
    <row r="92" spans="1:23" x14ac:dyDescent="0.2">
      <c r="A92" s="26">
        <v>301233</v>
      </c>
      <c r="B92" s="16" t="str">
        <f t="shared" si="10"/>
        <v>relic_name_301233</v>
      </c>
      <c r="D92" s="15" t="str" cm="1">
        <f t="array" ref="D92">_xlfn.LET(
_xlpm.idx,MATCH(relic!$M92,'-id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IFERROR(INDEX(_xlpm.desc_array,MIN(RIGHT($A92,1),_xlpm.array_len)),"")
)</f>
        <v>开锁工具</v>
      </c>
      <c r="E92" s="14" t="str">
        <f>IF($F92&lt;&gt;"",_xlfn.CONCAT("relic_icons[relic_layout_",$F92,"]"),"")</f>
        <v>relic_icons[relic_layout_53]</v>
      </c>
      <c r="F92" s="78">
        <v>53</v>
      </c>
      <c r="G92" s="16" t="str">
        <f t="shared" si="0"/>
        <v>relic_desc_301233</v>
      </c>
      <c r="H92" s="50" t="str">
        <v>近战武器 磨刀速率 + 60%</v>
      </c>
      <c r="J92" s="24" t="s">
        <v>37</v>
      </c>
      <c r="L92" s="14">
        <v>600</v>
      </c>
      <c r="M92" s="16" t="s">
        <v>52</v>
      </c>
      <c r="N92" s="16">
        <f t="shared" si="11"/>
        <v>5</v>
      </c>
      <c r="P92" s="16" t="b">
        <f t="shared" si="12"/>
        <v>1</v>
      </c>
      <c r="Q92" s="16"/>
      <c r="R92" s="16"/>
      <c r="S92" s="16">
        <f t="shared" si="13"/>
        <v>301232</v>
      </c>
      <c r="T92" s="14">
        <v>-1</v>
      </c>
      <c r="U92" s="14">
        <f t="shared" si="9"/>
        <v>15</v>
      </c>
    </row>
    <row r="93" spans="1:23" x14ac:dyDescent="0.2">
      <c r="A93" s="26"/>
      <c r="B93" s="16" t="str">
        <f t="shared" ref="B93" si="14">IF(A93&lt;&gt;"","relic_name_"&amp;$A93,"")</f>
        <v/>
      </c>
      <c r="D93" s="15" t="str" cm="1">
        <f t="array" ref="D93">_xlfn.LET(
_xlpm.idx,MATCH(relic!$M93,'-id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IFERROR(INDEX(_xlpm.desc_array,MIN(RIGHT($A93,1),_xlpm.array_len)),"")
)</f>
        <v/>
      </c>
      <c r="F93" s="78" t="s">
        <v>117</v>
      </c>
      <c r="G93" s="16" t="str">
        <f t="shared" si="0"/>
        <v/>
      </c>
      <c r="H93" s="71"/>
      <c r="N93" s="16" t="str">
        <f t="shared" si="11"/>
        <v/>
      </c>
      <c r="P93" s="16" t="str">
        <f t="shared" si="12"/>
        <v/>
      </c>
      <c r="Q93" s="16"/>
      <c r="R93" s="16"/>
      <c r="S93" s="16" t="str">
        <f t="shared" si="13"/>
        <v/>
      </c>
      <c r="U93" s="14" t="str">
        <f t="shared" si="9"/>
        <v/>
      </c>
    </row>
    <row r="94" spans="1:23" x14ac:dyDescent="0.2">
      <c r="A94" s="26">
        <v>302011</v>
      </c>
      <c r="B94" s="73" t="str">
        <f>IF(A94&lt;&gt;"","relic_name_"&amp;IF(C94,LEFT($A94,LEN($A94)-1),$A94),"")</f>
        <v>relic_name_30201</v>
      </c>
      <c r="C94" s="82" t="b">
        <v>1</v>
      </c>
      <c r="D94" s="69" t="str" cm="1">
        <f t="array" ref="D94">_xlfn.LET(
_xlpm.idx,MATCH(relic!$M94,'-id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IFERROR(INDEX(_xlpm.desc_array,MIN(RIGHT($A94,1),_xlpm.array_len)),"")
)</f>
        <v>无黄蛋</v>
      </c>
      <c r="E94" s="68" t="str">
        <f>_xlfn.LET(_xlpm._asset,"relic_layout",
_xlfn.CONCAT(_xlpm._asset,"[",_xlpm._asset,"_",$F94,"]"))</f>
        <v>relic_layout[relic_layout_53]</v>
      </c>
      <c r="F94" s="79">
        <v>53</v>
      </c>
      <c r="G94" s="16" t="str">
        <f t="shared" si="0"/>
        <v>relic_desc_302011</v>
      </c>
      <c r="H94" s="50" t="str" cm="1">
        <f t="array" ref="H94:H97">_xlfn.LET(_xlpm._manual_info,$I94:$I97,
    IF(_xlpm._manual_info&lt;&gt;"",_xlpm._manual_info,_xlfn.LET(
        _xlpm._parm_key,$M94,
        _xlpm._parm_value,$L94:$L97,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飞射物 伤害 + 20%</v>
      </c>
      <c r="J94" s="24" t="s">
        <v>37</v>
      </c>
      <c r="K94" s="15" t="s">
        <v>375</v>
      </c>
      <c r="L94" s="14">
        <v>200</v>
      </c>
      <c r="M94" s="16" t="s">
        <v>53</v>
      </c>
      <c r="N94" s="73">
        <f>ROUND(POWER(O94,(5-T94)/5),0)</f>
        <v>15</v>
      </c>
      <c r="O94" s="30">
        <v>15</v>
      </c>
      <c r="P94" s="24" t="b">
        <v>1</v>
      </c>
      <c r="Q94" s="24"/>
      <c r="R94" s="24"/>
      <c r="S94" s="24"/>
      <c r="T94" s="63">
        <v>0</v>
      </c>
      <c r="U94" s="72">
        <f>ROUND(V94*POWER(W94,T94),0)</f>
        <v>7</v>
      </c>
      <c r="V94" s="30">
        <v>7</v>
      </c>
      <c r="W94" s="30">
        <v>2.3199999999999998</v>
      </c>
    </row>
    <row r="95" spans="1:23" x14ac:dyDescent="0.2">
      <c r="A95" s="26">
        <v>302012</v>
      </c>
      <c r="B95" s="73" t="str">
        <f>IF(A95&lt;&gt;"","relic_name_"&amp;IF(C95,LEFT($A95,LEN($A95)-1),$A95),"")</f>
        <v>relic_name_30201</v>
      </c>
      <c r="C95" s="82" t="b">
        <v>1</v>
      </c>
      <c r="D95" s="69" t="str" cm="1">
        <f t="array" ref="D95">_xlfn.LET(
_xlpm.idx,MATCH(relic!$M95,'-id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IFERROR(INDEX(_xlpm.desc_array,MIN(RIGHT($A95,1),_xlpm.array_len)),"")
)</f>
        <v>无黄蛋</v>
      </c>
      <c r="E95" s="68" t="str">
        <f>_xlfn.LET(_xlpm._asset,"relic_layout",
_xlfn.CONCAT(_xlpm._asset,"[",_xlpm._asset,"_",$F95,"]"))</f>
        <v>relic_layout[relic_layout_53]</v>
      </c>
      <c r="F95" s="79">
        <v>53</v>
      </c>
      <c r="G95" s="16" t="str">
        <f t="shared" si="0"/>
        <v>relic_desc_302012</v>
      </c>
      <c r="H95" s="50" t="str">
        <v>飞射物 伤害 + 40%</v>
      </c>
      <c r="J95" s="24" t="s">
        <v>37</v>
      </c>
      <c r="K95" s="15" t="s">
        <v>375</v>
      </c>
      <c r="L95" s="14">
        <v>400</v>
      </c>
      <c r="M95" s="16" t="s">
        <v>53</v>
      </c>
      <c r="N95" s="73">
        <f>ROUND(POWER(O95,(5-T95)/5),0)</f>
        <v>9</v>
      </c>
      <c r="O95" s="30">
        <v>15</v>
      </c>
      <c r="P95" s="24" t="b">
        <v>1</v>
      </c>
      <c r="Q95" s="24"/>
      <c r="R95" s="24"/>
      <c r="S95" s="24"/>
      <c r="T95" s="64">
        <v>1</v>
      </c>
      <c r="U95" s="72">
        <f>ROUND(V95*POWER(W95,T95),0)</f>
        <v>16</v>
      </c>
      <c r="V95" s="30">
        <v>7</v>
      </c>
      <c r="W95" s="30">
        <v>2.3199999999999998</v>
      </c>
    </row>
    <row r="96" spans="1:23" x14ac:dyDescent="0.2">
      <c r="A96" s="26">
        <v>302013</v>
      </c>
      <c r="B96" s="73" t="str">
        <f>IF(A96&lt;&gt;"","relic_name_"&amp;IF(C96,LEFT($A96,LEN($A96)-1),$A96),"")</f>
        <v>relic_name_30201</v>
      </c>
      <c r="C96" s="82" t="b">
        <v>1</v>
      </c>
      <c r="D96" s="69" t="str" cm="1">
        <f t="array" ref="D96">_xlfn.LET(
_xlpm.idx,MATCH(relic!$M96,'-id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IFERROR(INDEX(_xlpm.desc_array,MIN(RIGHT($A96,1),_xlpm.array_len)),"")
)</f>
        <v>无黄蛋</v>
      </c>
      <c r="E96" s="68" t="str">
        <f>_xlfn.LET(_xlpm._asset,"relic_layout",
_xlfn.CONCAT(_xlpm._asset,"[",_xlpm._asset,"_",$F96,"]"))</f>
        <v>relic_layout[relic_layout_53]</v>
      </c>
      <c r="F96" s="79">
        <v>53</v>
      </c>
      <c r="G96" s="16" t="str">
        <f t="shared" si="0"/>
        <v>relic_desc_302013</v>
      </c>
      <c r="H96" s="50" t="str">
        <v>飞射物 伤害 + 80%</v>
      </c>
      <c r="J96" s="24" t="s">
        <v>37</v>
      </c>
      <c r="K96" s="15" t="s">
        <v>375</v>
      </c>
      <c r="L96" s="14">
        <v>800</v>
      </c>
      <c r="M96" s="16" t="s">
        <v>53</v>
      </c>
      <c r="N96" s="73">
        <f>ROUND(POWER(O96,(5-T96)/5),0)</f>
        <v>5</v>
      </c>
      <c r="O96" s="30">
        <v>15</v>
      </c>
      <c r="P96" s="24" t="b">
        <v>1</v>
      </c>
      <c r="Q96" s="24"/>
      <c r="R96" s="24"/>
      <c r="S96" s="24"/>
      <c r="T96" s="65">
        <v>2</v>
      </c>
      <c r="U96" s="72">
        <f>ROUND(V96*POWER(W96,T96),0)</f>
        <v>38</v>
      </c>
      <c r="V96" s="30">
        <v>7</v>
      </c>
      <c r="W96" s="30">
        <v>2.3199999999999998</v>
      </c>
    </row>
    <row r="97" spans="1:23" x14ac:dyDescent="0.2">
      <c r="A97" s="26">
        <v>302014</v>
      </c>
      <c r="B97" s="73" t="str">
        <f>IF(A97&lt;&gt;"","relic_name_"&amp;IF(C97,LEFT($A97,LEN($A97)-1),$A97),"")</f>
        <v>relic_name_30201</v>
      </c>
      <c r="C97" s="82" t="b">
        <v>1</v>
      </c>
      <c r="D97" s="69" t="str" cm="1">
        <f t="array" ref="D97">_xlfn.LET(
_xlpm.idx,MATCH(relic!$M97,'-id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IFERROR(INDEX(_xlpm.desc_array,MIN(RIGHT($A97,1),_xlpm.array_len)),"")
)</f>
        <v>无黄蛋</v>
      </c>
      <c r="E97" s="68" t="str">
        <f>_xlfn.LET(_xlpm._asset,"relic_layout",
_xlfn.CONCAT(_xlpm._asset,"[",_xlpm._asset,"_",$F97,"]"))</f>
        <v>relic_layout[relic_layout_53]</v>
      </c>
      <c r="F97" s="79">
        <v>53</v>
      </c>
      <c r="G97" s="16" t="str">
        <f t="shared" si="0"/>
        <v>relic_desc_302014</v>
      </c>
      <c r="H97" s="50" t="str">
        <v>飞射物 伤害 + 160%</v>
      </c>
      <c r="J97" s="24" t="s">
        <v>37</v>
      </c>
      <c r="K97" s="15" t="s">
        <v>375</v>
      </c>
      <c r="L97" s="14">
        <v>1600</v>
      </c>
      <c r="M97" s="16" t="s">
        <v>53</v>
      </c>
      <c r="N97" s="73">
        <f>ROUND(POWER(O97,(5-T97)/5),0)</f>
        <v>3</v>
      </c>
      <c r="O97" s="30">
        <v>15</v>
      </c>
      <c r="P97" s="24" t="b">
        <v>1</v>
      </c>
      <c r="Q97" s="24"/>
      <c r="R97" s="24"/>
      <c r="S97" s="24"/>
      <c r="T97" s="66">
        <v>3</v>
      </c>
      <c r="U97" s="72">
        <f>ROUND(V97*POWER(W97,T97),0)</f>
        <v>87</v>
      </c>
      <c r="V97" s="30">
        <v>7</v>
      </c>
      <c r="W97" s="30">
        <v>2.3199999999999998</v>
      </c>
    </row>
    <row r="98" spans="1:23" x14ac:dyDescent="0.2">
      <c r="A98" s="26"/>
      <c r="B98" s="16" t="str">
        <f t="shared" ref="B98:B151" si="15">IF(A98&lt;&gt;"","relic_name_"&amp;$A98,"")</f>
        <v/>
      </c>
      <c r="D98" s="15" t="str" cm="1">
        <f t="array" ref="D98">_xlfn.LET(
_xlpm.idx,MATCH(relic!$M98,'-id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IFERROR(INDEX(_xlpm.desc_array,MIN(RIGHT($A98,1),_xlpm.array_len)),"")
)</f>
        <v/>
      </c>
      <c r="F98" s="78" t="s">
        <v>117</v>
      </c>
      <c r="G98" s="16" t="str">
        <f t="shared" si="0"/>
        <v/>
      </c>
      <c r="H98" s="71"/>
      <c r="N98" s="16" t="str">
        <f t="shared" ref="N98:N135" si="16">IF($A98&gt;0,5,"")</f>
        <v/>
      </c>
      <c r="P98" s="16" t="str">
        <f t="shared" si="12"/>
        <v/>
      </c>
      <c r="Q98" s="16"/>
      <c r="R98" s="16"/>
      <c r="S98" s="16" t="str">
        <f>_xlfn.LET(_xlpm.end,IFERROR(VALUE(RIGHT($A98,1)),0),
IF(_xlpm.end&gt;1,$A96,""))</f>
        <v/>
      </c>
      <c r="U98" s="14" t="str">
        <f>IF(A98&lt;&gt;"",RIGHT(A98)*5,"")</f>
        <v/>
      </c>
    </row>
    <row r="99" spans="1:23" x14ac:dyDescent="0.2">
      <c r="A99" s="26">
        <v>302021</v>
      </c>
      <c r="B99" s="16" t="str">
        <f t="shared" si="15"/>
        <v>relic_name_302021</v>
      </c>
      <c r="D99" s="15" t="str" cm="1">
        <f t="array" ref="D99">_xlfn.LET(
_xlpm.idx,MATCH(relic!$M99,'-id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IFERROR(INDEX(_xlpm.desc_array,MIN(RIGHT($A99,1),_xlpm.array_len)),"")
)</f>
        <v>花雕怪味鱼</v>
      </c>
      <c r="E99" s="14" t="str">
        <f>IF($F99&lt;&gt;"",_xlfn.CONCAT("relic_icons[relic_layout_",$F99,"]"),"")</f>
        <v>relic_icons[relic_layout_60]</v>
      </c>
      <c r="F99" s="78">
        <v>60</v>
      </c>
      <c r="G99" s="16" t="str">
        <f t="shared" si="0"/>
        <v>relic_desc_302021</v>
      </c>
      <c r="H99" s="50" t="str" cm="1">
        <f t="array" ref="H99:H101">_xlfn.LET(_xlpm._manual_info,$I99:$I101,
    IF(_xlpm._manual_info&lt;&gt;"",_xlpm._manual_info,_xlfn.LET(
        _xlpm._parm_key,$M99,
        _xlpm._parm_value,$L99:$L101,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飞射物 伤害 + 2</v>
      </c>
      <c r="J99" s="24" t="s">
        <v>37</v>
      </c>
      <c r="L99" s="14">
        <v>2</v>
      </c>
      <c r="M99" s="16" t="s">
        <v>54</v>
      </c>
      <c r="N99" s="16">
        <f t="shared" si="16"/>
        <v>5</v>
      </c>
      <c r="P99" s="16" t="b">
        <f t="shared" si="12"/>
        <v>1</v>
      </c>
      <c r="Q99" s="16"/>
      <c r="R99" s="16"/>
      <c r="S99" s="16" t="str">
        <f t="shared" si="13"/>
        <v/>
      </c>
      <c r="T99" s="14">
        <v>-1</v>
      </c>
      <c r="U99" s="14">
        <f>IF(A99&lt;&gt;"",RIGHT(A99)*5,"")</f>
        <v>5</v>
      </c>
    </row>
    <row r="100" spans="1:23" x14ac:dyDescent="0.2">
      <c r="A100" s="26">
        <v>302022</v>
      </c>
      <c r="B100" s="16" t="str">
        <f t="shared" si="15"/>
        <v>relic_name_302022</v>
      </c>
      <c r="D100" s="15" t="str" cm="1">
        <f t="array" ref="D100">_xlfn.LET(
_xlpm.idx,MATCH(relic!$M100,'-id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IFERROR(INDEX(_xlpm.desc_array,MIN(RIGHT($A100,1),_xlpm.array_len)),"")
)</f>
        <v>花雕怪味鱼</v>
      </c>
      <c r="E100" s="14" t="str">
        <f>IF($F100&lt;&gt;"",_xlfn.CONCAT("relic_icons[relic_layout_",$F100,"]"),"")</f>
        <v>relic_icons[relic_layout_61]</v>
      </c>
      <c r="F100" s="78">
        <v>61</v>
      </c>
      <c r="G100" s="16" t="str">
        <f t="shared" ref="G100:G103" si="17">IF($A100&lt;&gt;"","relic_desc_"&amp;$A100,"")</f>
        <v>relic_desc_302022</v>
      </c>
      <c r="H100" s="50" t="str">
        <v>飞射物 伤害 + 4</v>
      </c>
      <c r="J100" s="24" t="s">
        <v>37</v>
      </c>
      <c r="L100" s="14">
        <v>4</v>
      </c>
      <c r="M100" s="16" t="s">
        <v>54</v>
      </c>
      <c r="N100" s="16">
        <f t="shared" si="16"/>
        <v>5</v>
      </c>
      <c r="P100" s="16" t="b">
        <f t="shared" si="12"/>
        <v>1</v>
      </c>
      <c r="Q100" s="16"/>
      <c r="R100" s="16"/>
      <c r="S100" s="16">
        <f t="shared" si="13"/>
        <v>302021</v>
      </c>
      <c r="T100" s="14">
        <v>-1</v>
      </c>
      <c r="U100" s="14">
        <f>IF(A100&lt;&gt;"",RIGHT(A100)*5,"")</f>
        <v>10</v>
      </c>
    </row>
    <row r="101" spans="1:23" x14ac:dyDescent="0.2">
      <c r="A101" s="26">
        <v>302023</v>
      </c>
      <c r="B101" s="16" t="str">
        <f t="shared" si="15"/>
        <v>relic_name_302023</v>
      </c>
      <c r="D101" s="15" t="str" cm="1">
        <f t="array" ref="D101">_xlfn.LET(
_xlpm.idx,MATCH(relic!$M101,'-id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IFERROR(INDEX(_xlpm.desc_array,MIN(RIGHT($A101,1),_xlpm.array_len)),"")
)</f>
        <v>花雕怪味鱼</v>
      </c>
      <c r="E101" s="14" t="str">
        <f>IF($F101&lt;&gt;"",_xlfn.CONCAT("relic_icons[relic_layout_",$F101,"]"),"")</f>
        <v>relic_icons[relic_layout_62]</v>
      </c>
      <c r="F101" s="78">
        <v>62</v>
      </c>
      <c r="G101" s="16" t="str">
        <f t="shared" si="17"/>
        <v>relic_desc_302023</v>
      </c>
      <c r="H101" s="50" t="str">
        <v>飞射物 伤害 + 6</v>
      </c>
      <c r="J101" s="24" t="s">
        <v>37</v>
      </c>
      <c r="L101" s="14">
        <v>6</v>
      </c>
      <c r="M101" s="16" t="s">
        <v>54</v>
      </c>
      <c r="N101" s="16">
        <f t="shared" si="16"/>
        <v>5</v>
      </c>
      <c r="P101" s="16" t="b">
        <f t="shared" si="12"/>
        <v>1</v>
      </c>
      <c r="Q101" s="16"/>
      <c r="R101" s="16"/>
      <c r="S101" s="16">
        <f t="shared" si="13"/>
        <v>302022</v>
      </c>
      <c r="T101" s="14">
        <v>-1</v>
      </c>
      <c r="U101" s="14">
        <f>IF(A101&lt;&gt;"",RIGHT(A101)*5,"")</f>
        <v>15</v>
      </c>
    </row>
    <row r="102" spans="1:23" x14ac:dyDescent="0.2">
      <c r="A102" s="26"/>
      <c r="B102" s="16" t="str">
        <f t="shared" si="15"/>
        <v/>
      </c>
      <c r="D102" s="15" t="str" cm="1">
        <f t="array" ref="D102">_xlfn.LET(
_xlpm.idx,MATCH(relic!$M102,'-id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IFERROR(INDEX(_xlpm.desc_array,MIN(RIGHT($A102,1),_xlpm.array_len)),"")
)</f>
        <v/>
      </c>
      <c r="F102" s="78" t="s">
        <v>117</v>
      </c>
      <c r="G102" s="16" t="str">
        <f t="shared" si="17"/>
        <v/>
      </c>
      <c r="H102" s="71"/>
      <c r="N102" s="16" t="str">
        <f t="shared" si="16"/>
        <v/>
      </c>
      <c r="P102" s="16" t="str">
        <f t="shared" si="12"/>
        <v/>
      </c>
      <c r="Q102" s="16"/>
      <c r="R102" s="16"/>
      <c r="S102" s="16" t="str">
        <f t="shared" si="13"/>
        <v/>
      </c>
      <c r="U102" s="14" t="str">
        <f>IF(A102&lt;&gt;"",RIGHT(A102)*5,"")</f>
        <v/>
      </c>
    </row>
    <row r="103" spans="1:23" x14ac:dyDescent="0.2">
      <c r="A103" s="26">
        <v>302031</v>
      </c>
      <c r="B103" s="73" t="str">
        <f>IF(A103&lt;&gt;"","relic_name_"&amp;IF(C103,LEFT($A103,LEN($A103)-1),$A103),"")</f>
        <v>relic_name_30203</v>
      </c>
      <c r="C103" s="82" t="b">
        <v>1</v>
      </c>
      <c r="D103" s="69" t="str" cm="1">
        <f t="array" ref="D103">_xlfn.LET(
_xlpm.idx,MATCH(relic!$M103,'-id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IFERROR(INDEX(_xlpm.desc_array,MIN(RIGHT($A103,1),_xlpm.array_len)),"")
)</f>
        <v>天地一口香</v>
      </c>
      <c r="E103" s="68" t="str">
        <f>_xlfn.LET(_xlpm._asset,"relic_layout",
_xlfn.CONCAT(_xlpm._asset,"[",_xlpm._asset,"_",$F103,"]"))</f>
        <v>relic_layout[relic_layout_55]</v>
      </c>
      <c r="F103" s="79">
        <v>55</v>
      </c>
      <c r="G103" s="16" t="str">
        <f t="shared" si="17"/>
        <v>relic_desc_302031</v>
      </c>
      <c r="H103" s="50" t="str" cm="1">
        <f t="array" ref="H103:H106">_xlfn.LET(_xlpm._manual_info,$I103:$I106,
    IF(_xlpm._manual_info&lt;&gt;"",_xlpm._manual_info,_xlfn.LET(
        _xlpm._parm_key,$M103,
        _xlpm._parm_value,$L103:$L106,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飞射物 暴击几率 + 5%</v>
      </c>
      <c r="J103" s="24" t="s">
        <v>37</v>
      </c>
      <c r="K103" s="15" t="s">
        <v>35</v>
      </c>
      <c r="L103" s="14">
        <v>50</v>
      </c>
      <c r="M103" s="16" t="s">
        <v>162</v>
      </c>
      <c r="N103" s="73">
        <f>ROUND(POWER(O103,(5-T103)/5),0)</f>
        <v>4</v>
      </c>
      <c r="O103" s="30">
        <v>4</v>
      </c>
      <c r="P103" s="24" t="b">
        <v>1</v>
      </c>
      <c r="Q103" s="16"/>
      <c r="R103" s="16"/>
      <c r="S103" s="24"/>
      <c r="T103" s="63">
        <v>0</v>
      </c>
      <c r="U103" s="72">
        <f>ROUND(V103*POWER(W103,T103),0)</f>
        <v>9</v>
      </c>
      <c r="V103" s="30">
        <v>8.6999999999999993</v>
      </c>
      <c r="W103" s="30">
        <v>2.3199999999999998</v>
      </c>
    </row>
    <row r="104" spans="1:23" x14ac:dyDescent="0.2">
      <c r="A104" s="26">
        <v>302032</v>
      </c>
      <c r="B104" s="73" t="str">
        <f>IF(A104&lt;&gt;"","relic_name_"&amp;IF(C104,LEFT($A104,LEN($A104)-1),$A104),"")</f>
        <v>relic_name_30203</v>
      </c>
      <c r="C104" s="82" t="b">
        <v>1</v>
      </c>
      <c r="D104" s="69" t="str" cm="1">
        <f t="array" ref="D104">_xlfn.LET(
_xlpm.idx,MATCH(relic!$M104,'-id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IFERROR(INDEX(_xlpm.desc_array,MIN(RIGHT($A104,1),_xlpm.array_len)),"")
)</f>
        <v>天地一口香</v>
      </c>
      <c r="E104" s="68" t="str">
        <f>_xlfn.LET(_xlpm._asset,"relic_layout",
_xlfn.CONCAT(_xlpm._asset,"[",_xlpm._asset,"_",$F104,"]"))</f>
        <v>relic_layout[relic_layout_55]</v>
      </c>
      <c r="F104" s="79">
        <v>55</v>
      </c>
      <c r="G104" s="16" t="str">
        <f t="shared" ref="G104:G107" si="18">IF($A104&lt;&gt;"","relic_desc_"&amp;$A104,"")</f>
        <v>relic_desc_302032</v>
      </c>
      <c r="H104" s="50" t="str">
        <v>飞射物 暴击几率 + 8%</v>
      </c>
      <c r="J104" s="24" t="s">
        <v>37</v>
      </c>
      <c r="K104" s="15" t="s">
        <v>35</v>
      </c>
      <c r="L104" s="14">
        <v>80</v>
      </c>
      <c r="M104" s="16" t="s">
        <v>162</v>
      </c>
      <c r="N104" s="73">
        <f>ROUND(POWER(O104,(5-T104)/5),0)</f>
        <v>3</v>
      </c>
      <c r="O104" s="30">
        <v>4</v>
      </c>
      <c r="P104" s="24" t="b">
        <v>1</v>
      </c>
      <c r="Q104" s="16"/>
      <c r="R104" s="16"/>
      <c r="S104" s="24"/>
      <c r="T104" s="64">
        <v>1</v>
      </c>
      <c r="U104" s="72">
        <f>ROUND(V104*POWER(W104,T104),0)</f>
        <v>20</v>
      </c>
      <c r="V104" s="30">
        <v>8.6999999999999993</v>
      </c>
      <c r="W104" s="30">
        <v>2.3199999999999998</v>
      </c>
    </row>
    <row r="105" spans="1:23" x14ac:dyDescent="0.2">
      <c r="A105" s="26">
        <v>302033</v>
      </c>
      <c r="B105" s="73" t="str">
        <f>IF(A105&lt;&gt;"","relic_name_"&amp;IF(C105,LEFT($A105,LEN($A105)-1),$A105),"")</f>
        <v>relic_name_30203</v>
      </c>
      <c r="C105" s="82" t="b">
        <v>1</v>
      </c>
      <c r="D105" s="69" t="str" cm="1">
        <f t="array" ref="D105">_xlfn.LET(
_xlpm.idx,MATCH(relic!$M105,'-id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IFERROR(INDEX(_xlpm.desc_array,MIN(RIGHT($A105,1),_xlpm.array_len)),"")
)</f>
        <v>天地一口香</v>
      </c>
      <c r="E105" s="68" t="str">
        <f>_xlfn.LET(_xlpm._asset,"relic_layout",
_xlfn.CONCAT(_xlpm._asset,"[",_xlpm._asset,"_",$F105,"]"))</f>
        <v>relic_layout[relic_layout_55]</v>
      </c>
      <c r="F105" s="79">
        <v>55</v>
      </c>
      <c r="G105" s="16" t="str">
        <f t="shared" si="18"/>
        <v>relic_desc_302033</v>
      </c>
      <c r="H105" s="50" t="str">
        <v>飞射物 暴击几率 + 12%</v>
      </c>
      <c r="J105" s="24" t="s">
        <v>37</v>
      </c>
      <c r="K105" s="15" t="s">
        <v>35</v>
      </c>
      <c r="L105" s="14">
        <v>120</v>
      </c>
      <c r="M105" s="16" t="s">
        <v>162</v>
      </c>
      <c r="N105" s="73">
        <f>ROUND(POWER(O105,(5-T105)/5),0)</f>
        <v>2</v>
      </c>
      <c r="O105" s="30">
        <v>4</v>
      </c>
      <c r="P105" s="24" t="b">
        <v>1</v>
      </c>
      <c r="Q105" s="16"/>
      <c r="R105" s="16"/>
      <c r="S105" s="24"/>
      <c r="T105" s="65">
        <v>2</v>
      </c>
      <c r="U105" s="72">
        <f>ROUND(V105*POWER(W105,T105),0)</f>
        <v>47</v>
      </c>
      <c r="V105" s="30">
        <v>8.6999999999999993</v>
      </c>
      <c r="W105" s="30">
        <v>2.3199999999999998</v>
      </c>
    </row>
    <row r="106" spans="1:23" x14ac:dyDescent="0.2">
      <c r="A106" s="26">
        <v>302034</v>
      </c>
      <c r="B106" s="73" t="str">
        <f>IF(A106&lt;&gt;"","relic_name_"&amp;IF(C106,LEFT($A106,LEN($A106)-1),$A106),"")</f>
        <v>relic_name_30203</v>
      </c>
      <c r="C106" s="82" t="b">
        <v>1</v>
      </c>
      <c r="D106" s="69" t="str" cm="1">
        <f t="array" ref="D106">_xlfn.LET(
_xlpm.idx,MATCH(relic!$M106,'-id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IFERROR(INDEX(_xlpm.desc_array,MIN(RIGHT($A106,1),_xlpm.array_len)),"")
)</f>
        <v>天地一口香</v>
      </c>
      <c r="E106" s="68" t="str">
        <f>_xlfn.LET(_xlpm._asset,"relic_layout",
_xlfn.CONCAT(_xlpm._asset,"[",_xlpm._asset,"_",$F106,"]"))</f>
        <v>relic_layout[relic_layout_55]</v>
      </c>
      <c r="F106" s="79">
        <v>55</v>
      </c>
      <c r="G106" s="16" t="str">
        <f t="shared" si="18"/>
        <v>relic_desc_302034</v>
      </c>
      <c r="H106" s="50" t="str">
        <v>飞射物 暴击几率 + 18%</v>
      </c>
      <c r="J106" s="24" t="s">
        <v>37</v>
      </c>
      <c r="K106" s="15" t="s">
        <v>35</v>
      </c>
      <c r="L106" s="14">
        <v>180</v>
      </c>
      <c r="M106" s="16" t="s">
        <v>162</v>
      </c>
      <c r="N106" s="73">
        <f>ROUND(POWER(O106,(5-T106)/5),0)</f>
        <v>2</v>
      </c>
      <c r="O106" s="30">
        <v>4</v>
      </c>
      <c r="P106" s="24" t="b">
        <v>1</v>
      </c>
      <c r="Q106" s="16"/>
      <c r="R106" s="16"/>
      <c r="S106" s="24"/>
      <c r="T106" s="66">
        <v>3</v>
      </c>
      <c r="U106" s="72">
        <f>ROUND(V106*POWER(W106,T106),0)</f>
        <v>109</v>
      </c>
      <c r="V106" s="30">
        <v>8.6999999999999993</v>
      </c>
      <c r="W106" s="30">
        <v>2.3199999999999998</v>
      </c>
    </row>
    <row r="107" spans="1:23" x14ac:dyDescent="0.2">
      <c r="A107" s="26"/>
      <c r="D107" s="15" t="str" cm="1">
        <f t="array" ref="D107">_xlfn.LET(
_xlpm.idx,MATCH(relic!$M107,'-id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IFERROR(INDEX(_xlpm.desc_array,MIN(RIGHT($A107,1),_xlpm.array_len)),"")
)</f>
        <v/>
      </c>
      <c r="F107" s="78" t="s">
        <v>117</v>
      </c>
      <c r="G107" s="16" t="str">
        <f t="shared" si="18"/>
        <v/>
      </c>
      <c r="H107" s="71"/>
      <c r="N107" s="16"/>
      <c r="P107" s="16" t="str">
        <f t="shared" ref="P107" si="19">IF($A107&gt;0,TRUE,"")</f>
        <v/>
      </c>
      <c r="Q107" s="16"/>
      <c r="R107" s="16"/>
      <c r="S107" s="16"/>
    </row>
    <row r="108" spans="1:23" x14ac:dyDescent="0.2">
      <c r="A108" s="26">
        <v>302041</v>
      </c>
      <c r="B108" s="73" t="str">
        <f>IF(A108&lt;&gt;"","relic_name_"&amp;IF(C108,LEFT($A108,LEN($A108)-1),$A108),"")</f>
        <v>relic_name_30204</v>
      </c>
      <c r="C108" s="82" t="b">
        <v>1</v>
      </c>
      <c r="D108" s="69" t="str" cm="1">
        <f t="array" ref="D108">_xlfn.LET(
_xlpm.idx,MATCH(relic!$M108,'-id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IFERROR(INDEX(_xlpm.desc_array,MIN(RIGHT($A108,1),_xlpm.array_len)),"")
)</f>
        <v>子母春茧</v>
      </c>
      <c r="E108" s="68" t="str">
        <f>_xlfn.LET(_xlpm._asset,"relic_layout",
_xlfn.CONCAT(_xlpm._asset,"[",_xlpm._asset,"_",$F108,"]"))</f>
        <v>relic_layout[relic_layout_60]</v>
      </c>
      <c r="F108" s="79">
        <v>60</v>
      </c>
      <c r="G108" s="16" t="str">
        <f t="shared" ref="G108:G120" si="20">IF($A108&lt;&gt;"","relic_desc_"&amp;$A108,"")</f>
        <v>relic_desc_302041</v>
      </c>
      <c r="H108" s="50" t="str" cm="1">
        <f t="array" ref="H108:H111">_xlfn.LET(_xlpm._manual_info,$I108:$I111,
    IF(_xlpm._manual_info&lt;&gt;"",_xlpm._manual_info,_xlfn.LET(
        _xlpm._parm_key,$M108,
        _xlpm._parm_value,$L108:$L111,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飞射物 暴击伤害 + 15%</v>
      </c>
      <c r="J108" s="24" t="s">
        <v>37</v>
      </c>
      <c r="K108" s="15" t="s">
        <v>371</v>
      </c>
      <c r="L108" s="14">
        <v>150</v>
      </c>
      <c r="M108" s="16" t="s">
        <v>165</v>
      </c>
      <c r="N108" s="73">
        <f>ROUND(POWER(O108,(5-T108)/5),0)</f>
        <v>6</v>
      </c>
      <c r="O108" s="30">
        <v>6</v>
      </c>
      <c r="P108" s="24" t="b">
        <v>1</v>
      </c>
      <c r="Q108" s="16"/>
      <c r="R108" s="16"/>
      <c r="S108" s="24"/>
      <c r="T108" s="63">
        <v>0</v>
      </c>
      <c r="U108" s="72">
        <f>ROUND(V108*POWER(W108,T108),0)</f>
        <v>8</v>
      </c>
      <c r="V108" s="30">
        <v>8.3000000000000007</v>
      </c>
      <c r="W108" s="30">
        <v>2.3199999999999998</v>
      </c>
    </row>
    <row r="109" spans="1:23" x14ac:dyDescent="0.2">
      <c r="A109" s="26">
        <v>302042</v>
      </c>
      <c r="B109" s="73" t="str">
        <f>IF(A109&lt;&gt;"","relic_name_"&amp;IF(C109,LEFT($A109,LEN($A109)-1),$A109),"")</f>
        <v>relic_name_30204</v>
      </c>
      <c r="C109" s="82" t="b">
        <v>1</v>
      </c>
      <c r="D109" s="69" t="str" cm="1">
        <f t="array" ref="D109">_xlfn.LET(
_xlpm.idx,MATCH(relic!$M109,'-id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IFERROR(INDEX(_xlpm.desc_array,MIN(RIGHT($A109,1),_xlpm.array_len)),"")
)</f>
        <v>子母春茧</v>
      </c>
      <c r="E109" s="68" t="str">
        <f>_xlfn.LET(_xlpm._asset,"relic_layout",
_xlfn.CONCAT(_xlpm._asset,"[",_xlpm._asset,"_",$F109,"]"))</f>
        <v>relic_layout[relic_layout_60]</v>
      </c>
      <c r="F109" s="79">
        <v>60</v>
      </c>
      <c r="G109" s="16" t="str">
        <f t="shared" si="20"/>
        <v>relic_desc_302042</v>
      </c>
      <c r="H109" s="50" t="str">
        <v>飞射物 暴击伤害 + 30%</v>
      </c>
      <c r="J109" s="24" t="s">
        <v>37</v>
      </c>
      <c r="K109" s="15" t="s">
        <v>371</v>
      </c>
      <c r="L109" s="14">
        <v>300</v>
      </c>
      <c r="M109" s="16" t="s">
        <v>165</v>
      </c>
      <c r="N109" s="73">
        <f>ROUND(POWER(O109,(5-T109)/5),0)</f>
        <v>4</v>
      </c>
      <c r="O109" s="30">
        <v>6</v>
      </c>
      <c r="P109" s="24" t="b">
        <v>1</v>
      </c>
      <c r="Q109" s="16"/>
      <c r="R109" s="16"/>
      <c r="S109" s="24"/>
      <c r="T109" s="64">
        <v>1</v>
      </c>
      <c r="U109" s="72">
        <f>ROUND(V109*POWER(W109,T109),0)</f>
        <v>19</v>
      </c>
      <c r="V109" s="30">
        <v>8.3000000000000007</v>
      </c>
      <c r="W109" s="30">
        <v>2.3199999999999998</v>
      </c>
    </row>
    <row r="110" spans="1:23" x14ac:dyDescent="0.2">
      <c r="A110" s="26">
        <v>302043</v>
      </c>
      <c r="B110" s="73" t="str">
        <f>IF(A110&lt;&gt;"","relic_name_"&amp;IF(C110,LEFT($A110,LEN($A110)-1),$A110),"")</f>
        <v>relic_name_30204</v>
      </c>
      <c r="C110" s="82" t="b">
        <v>1</v>
      </c>
      <c r="D110" s="69" t="str" cm="1">
        <f t="array" ref="D110">_xlfn.LET(
_xlpm.idx,MATCH(relic!$M110,'-id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IFERROR(INDEX(_xlpm.desc_array,MIN(RIGHT($A110,1),_xlpm.array_len)),"")
)</f>
        <v>子母春茧</v>
      </c>
      <c r="E110" s="68" t="str">
        <f>_xlfn.LET(_xlpm._asset,"relic_layout",
_xlfn.CONCAT(_xlpm._asset,"[",_xlpm._asset,"_",$F110,"]"))</f>
        <v>relic_layout[relic_layout_60]</v>
      </c>
      <c r="F110" s="79">
        <v>60</v>
      </c>
      <c r="G110" s="16" t="str">
        <f t="shared" si="20"/>
        <v>relic_desc_302043</v>
      </c>
      <c r="H110" s="50" t="str">
        <v>飞射物 暴击伤害 + 60%</v>
      </c>
      <c r="J110" s="24" t="s">
        <v>37</v>
      </c>
      <c r="K110" s="15" t="s">
        <v>371</v>
      </c>
      <c r="L110" s="14">
        <v>600</v>
      </c>
      <c r="M110" s="16" t="s">
        <v>165</v>
      </c>
      <c r="N110" s="73">
        <f>ROUND(POWER(O110,(5-T110)/5),0)</f>
        <v>3</v>
      </c>
      <c r="O110" s="30">
        <v>6</v>
      </c>
      <c r="P110" s="24" t="b">
        <v>1</v>
      </c>
      <c r="Q110" s="16"/>
      <c r="R110" s="16"/>
      <c r="S110" s="24"/>
      <c r="T110" s="65">
        <v>2</v>
      </c>
      <c r="U110" s="72">
        <f>ROUND(V110*POWER(W110,T110),0)</f>
        <v>45</v>
      </c>
      <c r="V110" s="30">
        <v>8.3000000000000007</v>
      </c>
      <c r="W110" s="30">
        <v>2.3199999999999998</v>
      </c>
    </row>
    <row r="111" spans="1:23" x14ac:dyDescent="0.2">
      <c r="A111" s="26">
        <v>302044</v>
      </c>
      <c r="B111" s="73" t="str">
        <f>IF(A111&lt;&gt;"","relic_name_"&amp;IF(C111,LEFT($A111,LEN($A111)-1),$A111),"")</f>
        <v>relic_name_30204</v>
      </c>
      <c r="C111" s="82" t="b">
        <v>1</v>
      </c>
      <c r="D111" s="69" t="str" cm="1">
        <f t="array" ref="D111">_xlfn.LET(
_xlpm.idx,MATCH(relic!$M111,'-id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IFERROR(INDEX(_xlpm.desc_array,MIN(RIGHT($A111,1),_xlpm.array_len)),"")
)</f>
        <v>子母春茧</v>
      </c>
      <c r="E111" s="68" t="str">
        <f>_xlfn.LET(_xlpm._asset,"relic_layout",
_xlfn.CONCAT(_xlpm._asset,"[",_xlpm._asset,"_",$F111,"]"))</f>
        <v>relic_layout[relic_layout_60]</v>
      </c>
      <c r="F111" s="79">
        <v>60</v>
      </c>
      <c r="G111" s="16" t="str">
        <f t="shared" si="20"/>
        <v>relic_desc_302044</v>
      </c>
      <c r="H111" s="50" t="str">
        <v>飞射物 暴击伤害 + 120%</v>
      </c>
      <c r="J111" s="24" t="s">
        <v>37</v>
      </c>
      <c r="K111" s="15" t="s">
        <v>371</v>
      </c>
      <c r="L111" s="14">
        <v>1200</v>
      </c>
      <c r="M111" s="16" t="s">
        <v>165</v>
      </c>
      <c r="N111" s="73">
        <f>ROUND(POWER(O111,(5-T111)/5),0)</f>
        <v>2</v>
      </c>
      <c r="O111" s="30">
        <v>6</v>
      </c>
      <c r="P111" s="24" t="b">
        <v>1</v>
      </c>
      <c r="Q111" s="16"/>
      <c r="R111" s="16"/>
      <c r="S111" s="24"/>
      <c r="T111" s="66">
        <v>3</v>
      </c>
      <c r="U111" s="72">
        <f>ROUND(V111*POWER(W111,T111),0)</f>
        <v>104</v>
      </c>
      <c r="V111" s="30">
        <v>8.3000000000000007</v>
      </c>
      <c r="W111" s="30">
        <v>2.3199999999999998</v>
      </c>
    </row>
    <row r="112" spans="1:23" x14ac:dyDescent="0.2">
      <c r="A112" s="26"/>
      <c r="B112" s="16" t="str">
        <f t="shared" si="15"/>
        <v/>
      </c>
      <c r="D112" s="15" t="str" cm="1">
        <f t="array" ref="D112">_xlfn.LET(
_xlpm.idx,MATCH(relic!$M112,'-id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IFERROR(INDEX(_xlpm.desc_array,MIN(RIGHT($A112,1),_xlpm.array_len)),"")
)</f>
        <v/>
      </c>
      <c r="F112" s="78" t="s">
        <v>117</v>
      </c>
      <c r="G112" s="16" t="str">
        <f t="shared" si="20"/>
        <v/>
      </c>
      <c r="H112" s="71"/>
      <c r="N112" s="16" t="str">
        <f t="shared" si="16"/>
        <v/>
      </c>
      <c r="P112" s="16" t="str">
        <f t="shared" si="12"/>
        <v/>
      </c>
      <c r="Q112" s="16"/>
      <c r="R112" s="16"/>
      <c r="S112" s="16"/>
      <c r="U112" s="14" t="str">
        <f t="shared" ref="U112:U122" si="21">IF(A112&lt;&gt;"",RIGHT(A112)*5,"")</f>
        <v/>
      </c>
    </row>
    <row r="113" spans="1:21" x14ac:dyDescent="0.2">
      <c r="A113" s="26">
        <v>302051</v>
      </c>
      <c r="B113" s="16" t="str">
        <f t="shared" si="15"/>
        <v>relic_name_302051</v>
      </c>
      <c r="D113" s="15" t="str" cm="1">
        <f t="array" ref="D113">_xlfn.LET(
_xlpm.idx,MATCH(relic!$M113,'-id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IFERROR(INDEX(_xlpm.desc_array,MIN(RIGHT($A113,1),_xlpm.array_len)),"")
)</f>
        <v>义结金兰</v>
      </c>
      <c r="E113" s="14" t="str">
        <f>IF($F113&lt;&gt;"",_xlfn.CONCAT("relic_icons[relic_layout_",$F113,"]"),"")</f>
        <v>relic_icons[relic_layout_69]</v>
      </c>
      <c r="F113" s="78">
        <v>69</v>
      </c>
      <c r="G113" s="16" t="str">
        <f t="shared" si="20"/>
        <v>relic_desc_302051</v>
      </c>
      <c r="H113" s="50" t="str" cm="1">
        <f t="array" ref="H113:H115">_xlfn.LET(_xlpm._manual_info,$I113:$I115,
    IF(_xlpm._manual_info&lt;&gt;"",_xlpm._manual_info,_xlfn.LET(
        _xlpm._parm_key,$M113,
        _xlpm._parm_value,$L113:$L115,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飞射物 击退百分比 + 10%</v>
      </c>
      <c r="J113" s="24" t="s">
        <v>37</v>
      </c>
      <c r="L113" s="14">
        <v>100</v>
      </c>
      <c r="M113" s="16" t="s">
        <v>55</v>
      </c>
      <c r="N113" s="16">
        <f t="shared" si="16"/>
        <v>5</v>
      </c>
      <c r="P113" s="16" t="b">
        <f t="shared" si="12"/>
        <v>1</v>
      </c>
      <c r="Q113" s="16"/>
      <c r="R113" s="16"/>
      <c r="S113" s="16" t="str">
        <f t="shared" si="13"/>
        <v/>
      </c>
      <c r="T113" s="14">
        <v>-1</v>
      </c>
      <c r="U113" s="14">
        <f t="shared" si="21"/>
        <v>5</v>
      </c>
    </row>
    <row r="114" spans="1:21" x14ac:dyDescent="0.2">
      <c r="A114" s="26">
        <v>302052</v>
      </c>
      <c r="B114" s="16" t="str">
        <f t="shared" si="15"/>
        <v>relic_name_302052</v>
      </c>
      <c r="D114" s="15" t="str" cm="1">
        <f t="array" ref="D114">_xlfn.LET(
_xlpm.idx,MATCH(relic!$M114,'-id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IFERROR(INDEX(_xlpm.desc_array,MIN(RIGHT($A114,1),_xlpm.array_len)),"")
)</f>
        <v>义结金兰</v>
      </c>
      <c r="E114" s="14" t="str">
        <f>IF($F114&lt;&gt;"",_xlfn.CONCAT("relic_icons[relic_layout_",$F114,"]"),"")</f>
        <v>relic_icons[relic_layout_70]</v>
      </c>
      <c r="F114" s="78">
        <v>70</v>
      </c>
      <c r="G114" s="16" t="str">
        <f t="shared" si="20"/>
        <v>relic_desc_302052</v>
      </c>
      <c r="H114" s="50" t="str">
        <v>飞射物 击退百分比 + 20%</v>
      </c>
      <c r="J114" s="24" t="s">
        <v>37</v>
      </c>
      <c r="L114" s="14">
        <v>200</v>
      </c>
      <c r="M114" s="16" t="s">
        <v>55</v>
      </c>
      <c r="N114" s="16">
        <f t="shared" si="16"/>
        <v>5</v>
      </c>
      <c r="P114" s="16" t="b">
        <f t="shared" si="12"/>
        <v>1</v>
      </c>
      <c r="Q114" s="16"/>
      <c r="R114" s="16"/>
      <c r="S114" s="16">
        <f t="shared" si="13"/>
        <v>302051</v>
      </c>
      <c r="T114" s="14">
        <v>-1</v>
      </c>
      <c r="U114" s="14">
        <f t="shared" si="21"/>
        <v>10</v>
      </c>
    </row>
    <row r="115" spans="1:21" x14ac:dyDescent="0.2">
      <c r="A115" s="26">
        <v>302053</v>
      </c>
      <c r="B115" s="16" t="str">
        <f t="shared" si="15"/>
        <v>relic_name_302053</v>
      </c>
      <c r="D115" s="15" t="str" cm="1">
        <f t="array" ref="D115">_xlfn.LET(
_xlpm.idx,MATCH(relic!$M115,'-id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IFERROR(INDEX(_xlpm.desc_array,MIN(RIGHT($A115,1),_xlpm.array_len)),"")
)</f>
        <v>义结金兰</v>
      </c>
      <c r="E115" s="14" t="str">
        <f>IF($F115&lt;&gt;"",_xlfn.CONCAT("relic_icons[relic_layout_",$F115,"]"),"")</f>
        <v>relic_icons[relic_layout_71]</v>
      </c>
      <c r="F115" s="78">
        <v>71</v>
      </c>
      <c r="G115" s="16" t="str">
        <f t="shared" si="20"/>
        <v>relic_desc_302053</v>
      </c>
      <c r="H115" s="50" t="str">
        <v>飞射物 击退百分比 + 30%</v>
      </c>
      <c r="J115" s="24" t="s">
        <v>37</v>
      </c>
      <c r="L115" s="14">
        <v>300</v>
      </c>
      <c r="M115" s="16" t="s">
        <v>55</v>
      </c>
      <c r="N115" s="16">
        <f t="shared" si="16"/>
        <v>5</v>
      </c>
      <c r="P115" s="16" t="b">
        <f t="shared" si="12"/>
        <v>1</v>
      </c>
      <c r="Q115" s="16"/>
      <c r="R115" s="16"/>
      <c r="S115" s="16">
        <f t="shared" si="13"/>
        <v>302052</v>
      </c>
      <c r="T115" s="14">
        <v>-1</v>
      </c>
      <c r="U115" s="14">
        <f t="shared" si="21"/>
        <v>15</v>
      </c>
    </row>
    <row r="116" spans="1:21" x14ac:dyDescent="0.2">
      <c r="A116" s="26"/>
      <c r="B116" s="16" t="str">
        <f t="shared" si="15"/>
        <v/>
      </c>
      <c r="D116" s="15" t="str" cm="1">
        <f t="array" ref="D116">_xlfn.LET(
_xlpm.idx,MATCH(relic!$M116,'-id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IFERROR(INDEX(_xlpm.desc_array,MIN(RIGHT($A116,1),_xlpm.array_len)),"")
)</f>
        <v/>
      </c>
      <c r="F116" s="78" t="s">
        <v>117</v>
      </c>
      <c r="G116" s="16" t="str">
        <f t="shared" si="20"/>
        <v/>
      </c>
      <c r="H116" s="71"/>
      <c r="N116" s="16" t="str">
        <f t="shared" si="16"/>
        <v/>
      </c>
      <c r="P116" s="16" t="str">
        <f t="shared" si="12"/>
        <v/>
      </c>
      <c r="Q116" s="16"/>
      <c r="R116" s="16"/>
      <c r="S116" s="16" t="str">
        <f t="shared" si="13"/>
        <v/>
      </c>
      <c r="U116" s="14" t="str">
        <f t="shared" si="21"/>
        <v/>
      </c>
    </row>
    <row r="117" spans="1:21" x14ac:dyDescent="0.2">
      <c r="A117" s="26">
        <v>302061</v>
      </c>
      <c r="B117" s="16" t="str">
        <f t="shared" si="15"/>
        <v>relic_name_302061</v>
      </c>
      <c r="D117" s="15" t="str" cm="1">
        <f t="array" ref="D117">_xlfn.LET(
_xlpm.idx,MATCH(relic!$M117,'-id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IFERROR(INDEX(_xlpm.desc_array,MIN(RIGHT($A117,1),_xlpm.array_len)),"")
)</f>
        <v>猴儿酒</v>
      </c>
      <c r="E117" s="14" t="str">
        <f>IF($F117&lt;&gt;"",_xlfn.CONCAT("relic_icons[relic_layout_",$F117,"]"),"")</f>
        <v>relic_icons[relic_layout_72]</v>
      </c>
      <c r="F117" s="78">
        <v>72</v>
      </c>
      <c r="G117" s="16" t="str">
        <f t="shared" si="20"/>
        <v>relic_desc_302061</v>
      </c>
      <c r="H117" s="50" t="str" cm="1">
        <f t="array" ref="H117:H119">_xlfn.LET(_xlpm._manual_info,$I117:$I119,
    IF(_xlpm._manual_info&lt;&gt;"",_xlpm._manual_info,_xlfn.LET(
        _xlpm._parm_key,$M117,
        _xlpm._parm_value,$L117:$L119,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飞射物 破甲附加值 + 20%</v>
      </c>
      <c r="J117" s="24" t="s">
        <v>37</v>
      </c>
      <c r="K117" s="15" t="s">
        <v>247</v>
      </c>
      <c r="L117" s="14">
        <v>200</v>
      </c>
      <c r="M117" s="16" t="s">
        <v>56</v>
      </c>
      <c r="N117" s="16">
        <f t="shared" si="16"/>
        <v>5</v>
      </c>
      <c r="P117" s="16" t="b">
        <f t="shared" si="12"/>
        <v>1</v>
      </c>
      <c r="Q117" s="16"/>
      <c r="R117" s="16"/>
      <c r="S117" s="16" t="str">
        <f t="shared" si="13"/>
        <v/>
      </c>
      <c r="T117" s="14">
        <v>-1</v>
      </c>
      <c r="U117" s="14">
        <f t="shared" si="21"/>
        <v>5</v>
      </c>
    </row>
    <row r="118" spans="1:21" x14ac:dyDescent="0.2">
      <c r="A118" s="26">
        <v>302062</v>
      </c>
      <c r="B118" s="16" t="str">
        <f t="shared" si="15"/>
        <v>relic_name_302062</v>
      </c>
      <c r="D118" s="15" t="str" cm="1">
        <f t="array" ref="D118">_xlfn.LET(
_xlpm.idx,MATCH(relic!$M118,'-id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IFERROR(INDEX(_xlpm.desc_array,MIN(RIGHT($A118,1),_xlpm.array_len)),"")
)</f>
        <v>猴儿酒</v>
      </c>
      <c r="E118" s="14" t="str">
        <f>IF($F118&lt;&gt;"",_xlfn.CONCAT("relic_icons[relic_layout_",$F118,"]"),"")</f>
        <v>relic_icons[relic_layout_73]</v>
      </c>
      <c r="F118" s="78">
        <v>73</v>
      </c>
      <c r="G118" s="16" t="str">
        <f t="shared" si="20"/>
        <v>relic_desc_302062</v>
      </c>
      <c r="H118" s="50" t="str">
        <v>飞射物 破甲附加值 + 40%</v>
      </c>
      <c r="J118" s="24" t="s">
        <v>37</v>
      </c>
      <c r="K118" s="15" t="s">
        <v>41</v>
      </c>
      <c r="L118" s="14">
        <v>400</v>
      </c>
      <c r="M118" s="16" t="s">
        <v>56</v>
      </c>
      <c r="N118" s="16">
        <f t="shared" si="16"/>
        <v>5</v>
      </c>
      <c r="P118" s="16" t="b">
        <f t="shared" si="12"/>
        <v>1</v>
      </c>
      <c r="Q118" s="16"/>
      <c r="R118" s="16"/>
      <c r="S118" s="16">
        <f t="shared" si="13"/>
        <v>302061</v>
      </c>
      <c r="T118" s="14">
        <v>-1</v>
      </c>
      <c r="U118" s="14">
        <f t="shared" si="21"/>
        <v>10</v>
      </c>
    </row>
    <row r="119" spans="1:21" x14ac:dyDescent="0.2">
      <c r="A119" s="26">
        <v>302063</v>
      </c>
      <c r="B119" s="16" t="str">
        <f t="shared" si="15"/>
        <v>relic_name_302063</v>
      </c>
      <c r="D119" s="15" t="str" cm="1">
        <f t="array" ref="D119">_xlfn.LET(
_xlpm.idx,MATCH(relic!$M119,'-id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IFERROR(INDEX(_xlpm.desc_array,MIN(RIGHT($A119,1),_xlpm.array_len)),"")
)</f>
        <v>猴儿酒</v>
      </c>
      <c r="E119" s="14" t="str">
        <f>IF($F119&lt;&gt;"",_xlfn.CONCAT("relic_icons[relic_layout_",$F119,"]"),"")</f>
        <v>relic_icons[relic_layout_74]</v>
      </c>
      <c r="F119" s="78">
        <v>74</v>
      </c>
      <c r="G119" s="16" t="str">
        <f t="shared" si="20"/>
        <v>relic_desc_302063</v>
      </c>
      <c r="H119" s="50" t="str">
        <v>飞射物 破甲附加值 + 60%</v>
      </c>
      <c r="J119" s="24" t="s">
        <v>37</v>
      </c>
      <c r="K119" s="15" t="s">
        <v>41</v>
      </c>
      <c r="L119" s="14">
        <v>600</v>
      </c>
      <c r="M119" s="16" t="s">
        <v>56</v>
      </c>
      <c r="N119" s="16">
        <f t="shared" si="16"/>
        <v>5</v>
      </c>
      <c r="P119" s="16" t="b">
        <f t="shared" si="12"/>
        <v>1</v>
      </c>
      <c r="Q119" s="16"/>
      <c r="R119" s="16"/>
      <c r="S119" s="16">
        <f t="shared" si="13"/>
        <v>302062</v>
      </c>
      <c r="T119" s="14">
        <v>-1</v>
      </c>
      <c r="U119" s="14">
        <f t="shared" si="21"/>
        <v>15</v>
      </c>
    </row>
    <row r="120" spans="1:21" x14ac:dyDescent="0.2">
      <c r="A120" s="26"/>
      <c r="B120" s="16" t="str">
        <f t="shared" si="15"/>
        <v/>
      </c>
      <c r="D120" s="15" t="str" cm="1">
        <f t="array" ref="D120">_xlfn.LET(
_xlpm.idx,MATCH(relic!$M120,'-id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IFERROR(INDEX(_xlpm.desc_array,MIN(RIGHT($A120,1),_xlpm.array_len)),"")
)</f>
        <v/>
      </c>
      <c r="F120" s="78" t="s">
        <v>117</v>
      </c>
      <c r="G120" s="16" t="str">
        <f t="shared" si="20"/>
        <v/>
      </c>
      <c r="H120" s="71"/>
      <c r="N120" s="16" t="str">
        <f t="shared" si="16"/>
        <v/>
      </c>
      <c r="P120" s="16" t="str">
        <f t="shared" si="12"/>
        <v/>
      </c>
      <c r="Q120" s="16"/>
      <c r="R120" s="16"/>
      <c r="S120" s="16" t="str">
        <f t="shared" si="13"/>
        <v/>
      </c>
      <c r="U120" s="14" t="str">
        <f t="shared" si="21"/>
        <v/>
      </c>
    </row>
    <row r="121" spans="1:21" x14ac:dyDescent="0.2">
      <c r="A121" s="26">
        <v>302211</v>
      </c>
      <c r="B121" s="16" t="str">
        <f t="shared" si="15"/>
        <v>relic_name_302211</v>
      </c>
      <c r="D121" s="15" t="str" cm="1">
        <f t="array" ref="D121">_xlfn.LET(
_xlpm.idx,MATCH(relic!$M121,'-id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IFERROR(INDEX(_xlpm.desc_array,MIN(RIGHT($A121,1),_xlpm.array_len)),"")
)</f>
        <v>工头喇叭</v>
      </c>
      <c r="E121" s="14" t="str">
        <f>IF($F121&lt;&gt;"",_xlfn.CONCAT("relic_icons[relic_layout_",$F121,"]"),"")</f>
        <v>relic_icons[relic_layout_75]</v>
      </c>
      <c r="F121" s="78">
        <v>75</v>
      </c>
      <c r="G121" s="16" t="str">
        <f t="shared" ref="G121:G140" si="22">IF($A121&lt;&gt;"","relic_desc_"&amp;$A121,"")</f>
        <v>relic_desc_302211</v>
      </c>
      <c r="H121" s="50" t="str" cm="1">
        <f t="array" ref="H121:H123">_xlfn.LET(_xlpm._manual_info,$I121:$I123,
    IF(_xlpm._manual_info&lt;&gt;"",_xlpm._manual_info,_xlfn.LET(
        _xlpm._parm_key,$M121,
        _xlpm._parm_value,$L121:$L123,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远程武器 装填速率 + 20%</v>
      </c>
      <c r="J121" s="24" t="s">
        <v>37</v>
      </c>
      <c r="L121" s="14">
        <v>200</v>
      </c>
      <c r="M121" s="16" t="s">
        <v>57</v>
      </c>
      <c r="N121" s="16">
        <f t="shared" si="16"/>
        <v>5</v>
      </c>
      <c r="P121" s="16" t="b">
        <f t="shared" si="12"/>
        <v>1</v>
      </c>
      <c r="Q121" s="16"/>
      <c r="R121" s="16"/>
      <c r="S121" s="16" t="str">
        <f t="shared" si="13"/>
        <v/>
      </c>
      <c r="T121" s="14">
        <v>-1</v>
      </c>
      <c r="U121" s="14">
        <f t="shared" si="21"/>
        <v>5</v>
      </c>
    </row>
    <row r="122" spans="1:21" x14ac:dyDescent="0.2">
      <c r="A122" s="26">
        <v>302212</v>
      </c>
      <c r="B122" s="16" t="str">
        <f t="shared" si="15"/>
        <v>relic_name_302212</v>
      </c>
      <c r="D122" s="15" t="str" cm="1">
        <f t="array" ref="D122">_xlfn.LET(
_xlpm.idx,MATCH(relic!$M122,'-id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IFERROR(INDEX(_xlpm.desc_array,MIN(RIGHT($A122,1),_xlpm.array_len)),"")
)</f>
        <v>工头喇叭</v>
      </c>
      <c r="E122" s="14" t="str">
        <f>IF($F122&lt;&gt;"",_xlfn.CONCAT("relic_icons[relic_layout_",$F122,"]"),"")</f>
        <v>relic_icons[relic_layout_76]</v>
      </c>
      <c r="F122" s="78">
        <v>76</v>
      </c>
      <c r="G122" s="16" t="str">
        <f t="shared" si="22"/>
        <v>relic_desc_302212</v>
      </c>
      <c r="H122" s="50" t="str">
        <v>远程武器 装填速率 + 40%</v>
      </c>
      <c r="J122" s="24" t="s">
        <v>37</v>
      </c>
      <c r="L122" s="14">
        <v>400</v>
      </c>
      <c r="M122" s="16" t="s">
        <v>57</v>
      </c>
      <c r="N122" s="16">
        <f t="shared" si="16"/>
        <v>5</v>
      </c>
      <c r="P122" s="16" t="b">
        <f t="shared" si="12"/>
        <v>1</v>
      </c>
      <c r="Q122" s="16"/>
      <c r="R122" s="16"/>
      <c r="S122" s="16">
        <f t="shared" si="13"/>
        <v>302211</v>
      </c>
      <c r="T122" s="14">
        <v>-1</v>
      </c>
      <c r="U122" s="14">
        <f t="shared" si="21"/>
        <v>10</v>
      </c>
    </row>
    <row r="123" spans="1:21" x14ac:dyDescent="0.2">
      <c r="A123" s="26">
        <v>302213</v>
      </c>
      <c r="B123" s="16" t="str">
        <f t="shared" si="15"/>
        <v>relic_name_302213</v>
      </c>
      <c r="D123" s="15" t="str" cm="1">
        <f t="array" ref="D123">_xlfn.LET(
_xlpm.idx,MATCH(relic!$M123,'-id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IFERROR(INDEX(_xlpm.desc_array,MIN(RIGHT($A123,1),_xlpm.array_len)),"")
)</f>
        <v>工头喇叭</v>
      </c>
      <c r="E123" s="14" t="str">
        <f>IF($F123&lt;&gt;"",_xlfn.CONCAT("relic_icons[relic_layout_",$F123,"]"),"")</f>
        <v>relic_icons[relic_layout_77]</v>
      </c>
      <c r="F123" s="78">
        <v>77</v>
      </c>
      <c r="G123" s="16" t="str">
        <f t="shared" si="22"/>
        <v>relic_desc_302213</v>
      </c>
      <c r="H123" s="50" t="str">
        <v>远程武器 装填速率 + 60%</v>
      </c>
      <c r="J123" s="24" t="s">
        <v>37</v>
      </c>
      <c r="L123" s="14">
        <v>600</v>
      </c>
      <c r="M123" s="16" t="s">
        <v>57</v>
      </c>
      <c r="N123" s="16">
        <f t="shared" si="16"/>
        <v>5</v>
      </c>
      <c r="P123" s="16" t="b">
        <f t="shared" si="12"/>
        <v>1</v>
      </c>
      <c r="Q123" s="16"/>
      <c r="R123" s="16"/>
      <c r="S123" s="16">
        <f t="shared" si="13"/>
        <v>302212</v>
      </c>
      <c r="T123" s="14">
        <v>-1</v>
      </c>
      <c r="U123" s="14">
        <f t="shared" ref="U123:U149" si="23">IF(A123&lt;&gt;"",RIGHT(A123)*5,"")</f>
        <v>15</v>
      </c>
    </row>
    <row r="124" spans="1:21" x14ac:dyDescent="0.2">
      <c r="A124" s="26"/>
      <c r="B124" s="16" t="str">
        <f t="shared" si="15"/>
        <v/>
      </c>
      <c r="D124" s="15" t="str" cm="1">
        <f t="array" ref="D124">_xlfn.LET(
_xlpm.idx,MATCH(relic!$M124,'-id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IFERROR(INDEX(_xlpm.desc_array,MIN(RIGHT($A124,1),_xlpm.array_len)),"")
)</f>
        <v/>
      </c>
      <c r="F124" s="78" t="s">
        <v>117</v>
      </c>
      <c r="G124" s="16" t="str">
        <f t="shared" si="22"/>
        <v/>
      </c>
      <c r="H124" s="71"/>
      <c r="N124" s="16" t="str">
        <f t="shared" si="16"/>
        <v/>
      </c>
      <c r="P124" s="16" t="str">
        <f t="shared" si="12"/>
        <v/>
      </c>
      <c r="Q124" s="16"/>
      <c r="R124" s="16"/>
      <c r="S124" s="16" t="str">
        <f t="shared" si="13"/>
        <v/>
      </c>
      <c r="U124" s="14" t="str">
        <f t="shared" si="23"/>
        <v/>
      </c>
    </row>
    <row r="125" spans="1:21" x14ac:dyDescent="0.2">
      <c r="A125" s="26">
        <v>302221</v>
      </c>
      <c r="B125" s="16" t="str">
        <f t="shared" si="15"/>
        <v>relic_name_302221</v>
      </c>
      <c r="D125" s="15" t="str" cm="1">
        <f t="array" ref="D125">_xlfn.LET(
_xlpm.idx,MATCH(relic!$M125,'-id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IFERROR(INDEX(_xlpm.desc_array,MIN(RIGHT($A125,1),_xlpm.array_len)),"")
)</f>
        <v>典狱长徽章</v>
      </c>
      <c r="E125" s="14" t="str">
        <f>IF($F125&lt;&gt;"",_xlfn.CONCAT("relic_icons[relic_layout_",$F125,"]"),"")</f>
        <v>relic_icons[relic_layout_78]</v>
      </c>
      <c r="F125" s="78">
        <v>78</v>
      </c>
      <c r="G125" s="16" t="str">
        <f t="shared" si="22"/>
        <v>relic_desc_302221</v>
      </c>
      <c r="H125" s="50" t="str" cm="1">
        <f t="array" ref="H125:H127">_xlfn.LET(_xlpm._manual_info,$I125:$I127,
    IF(_xlpm._manual_info&lt;&gt;"",_xlpm._manual_info,_xlfn.LET(
        _xlpm._parm_key,$M125,
        _xlpm._parm_value,$L125:$L127,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远程武器 弹匣容量 + 20%</v>
      </c>
      <c r="J125" s="24" t="s">
        <v>37</v>
      </c>
      <c r="L125" s="14">
        <v>200</v>
      </c>
      <c r="M125" s="16" t="s">
        <v>58</v>
      </c>
      <c r="N125" s="16">
        <f t="shared" si="16"/>
        <v>5</v>
      </c>
      <c r="P125" s="16" t="b">
        <f t="shared" si="12"/>
        <v>1</v>
      </c>
      <c r="Q125" s="16"/>
      <c r="R125" s="16"/>
      <c r="S125" s="16" t="str">
        <f t="shared" si="13"/>
        <v/>
      </c>
      <c r="T125" s="14">
        <v>-1</v>
      </c>
      <c r="U125" s="14">
        <f t="shared" si="23"/>
        <v>5</v>
      </c>
    </row>
    <row r="126" spans="1:21" x14ac:dyDescent="0.2">
      <c r="A126" s="26">
        <v>302222</v>
      </c>
      <c r="B126" s="16" t="str">
        <f t="shared" si="15"/>
        <v>relic_name_302222</v>
      </c>
      <c r="D126" s="15" t="str" cm="1">
        <f t="array" ref="D126">_xlfn.LET(
_xlpm.idx,MATCH(relic!$M126,'-id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IFERROR(INDEX(_xlpm.desc_array,MIN(RIGHT($A126,1),_xlpm.array_len)),"")
)</f>
        <v>典狱长徽章</v>
      </c>
      <c r="E126" s="14" t="str">
        <f>IF($F126&lt;&gt;"",_xlfn.CONCAT("relic_icons[relic_layout_",$F126,"]"),"")</f>
        <v>relic_icons[relic_layout_79]</v>
      </c>
      <c r="F126" s="78">
        <v>79</v>
      </c>
      <c r="G126" s="16" t="str">
        <f t="shared" si="22"/>
        <v>relic_desc_302222</v>
      </c>
      <c r="H126" s="50" t="str">
        <v>远程武器 弹匣容量 + 40%</v>
      </c>
      <c r="J126" s="24" t="s">
        <v>37</v>
      </c>
      <c r="L126" s="14">
        <v>400</v>
      </c>
      <c r="M126" s="16" t="s">
        <v>58</v>
      </c>
      <c r="N126" s="16">
        <f t="shared" si="16"/>
        <v>5</v>
      </c>
      <c r="P126" s="16" t="b">
        <f t="shared" si="12"/>
        <v>1</v>
      </c>
      <c r="Q126" s="16"/>
      <c r="R126" s="16"/>
      <c r="S126" s="16">
        <f t="shared" si="13"/>
        <v>302221</v>
      </c>
      <c r="T126" s="14">
        <v>-1</v>
      </c>
      <c r="U126" s="14">
        <f t="shared" si="23"/>
        <v>10</v>
      </c>
    </row>
    <row r="127" spans="1:21" x14ac:dyDescent="0.2">
      <c r="A127" s="26">
        <v>302223</v>
      </c>
      <c r="B127" s="16" t="str">
        <f t="shared" si="15"/>
        <v>relic_name_302223</v>
      </c>
      <c r="D127" s="15" t="str" cm="1">
        <f t="array" ref="D127">_xlfn.LET(
_xlpm.idx,MATCH(relic!$M127,'-id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IFERROR(INDEX(_xlpm.desc_array,MIN(RIGHT($A127,1),_xlpm.array_len)),"")
)</f>
        <v>典狱长徽章</v>
      </c>
      <c r="E127" s="14" t="str">
        <f>IF($F127&lt;&gt;"",_xlfn.CONCAT("relic_icons[relic_layout_",$F127,"]"),"")</f>
        <v>relic_icons[relic_layout_80]</v>
      </c>
      <c r="F127" s="78">
        <v>80</v>
      </c>
      <c r="G127" s="16" t="str">
        <f t="shared" si="22"/>
        <v>relic_desc_302223</v>
      </c>
      <c r="H127" s="50" t="str">
        <v>远程武器 弹匣容量 + 60%</v>
      </c>
      <c r="J127" s="24" t="s">
        <v>37</v>
      </c>
      <c r="L127" s="14">
        <v>600</v>
      </c>
      <c r="M127" s="16" t="s">
        <v>58</v>
      </c>
      <c r="N127" s="16">
        <f t="shared" si="16"/>
        <v>5</v>
      </c>
      <c r="P127" s="16" t="b">
        <f t="shared" si="12"/>
        <v>1</v>
      </c>
      <c r="Q127" s="16"/>
      <c r="R127" s="16"/>
      <c r="S127" s="16">
        <f t="shared" si="13"/>
        <v>302222</v>
      </c>
      <c r="T127" s="14">
        <v>-1</v>
      </c>
      <c r="U127" s="14">
        <f t="shared" si="23"/>
        <v>15</v>
      </c>
    </row>
    <row r="128" spans="1:21" x14ac:dyDescent="0.2">
      <c r="A128" s="26"/>
      <c r="B128" s="16" t="str">
        <f t="shared" si="15"/>
        <v/>
      </c>
      <c r="D128" s="15" t="str" cm="1">
        <f t="array" ref="D128">_xlfn.LET(
_xlpm.idx,MATCH(relic!$M128,'-id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IFERROR(INDEX(_xlpm.desc_array,MIN(RIGHT($A128,1),_xlpm.array_len)),"")
)</f>
        <v/>
      </c>
      <c r="F128" s="78" t="s">
        <v>117</v>
      </c>
      <c r="G128" s="16" t="str">
        <f t="shared" si="22"/>
        <v/>
      </c>
      <c r="H128" s="71"/>
      <c r="N128" s="16" t="str">
        <f t="shared" si="16"/>
        <v/>
      </c>
      <c r="P128" s="16" t="str">
        <f t="shared" si="12"/>
        <v/>
      </c>
      <c r="Q128" s="16"/>
      <c r="R128" s="16"/>
      <c r="S128" s="16" t="str">
        <f t="shared" si="13"/>
        <v/>
      </c>
      <c r="U128" s="14" t="str">
        <f t="shared" si="23"/>
        <v/>
      </c>
    </row>
    <row r="129" spans="1:23" x14ac:dyDescent="0.2">
      <c r="A129" s="26">
        <v>302231</v>
      </c>
      <c r="B129" s="73" t="str">
        <f>IF(A129&lt;&gt;"","relic_name_"&amp;IF(C129,LEFT($A129,LEN($A129)-1),$A129),"")</f>
        <v>relic_name_30223</v>
      </c>
      <c r="C129" s="82" t="b">
        <v>1</v>
      </c>
      <c r="D129" s="69" t="str" cm="1">
        <f t="array" ref="D129">_xlfn.LET(
_xlpm.idx,MATCH(relic!$M129,'-id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IFERROR(INDEX(_xlpm.desc_array,MIN(RIGHT($A129,1),_xlpm.array_len)),"")
)</f>
        <v>太阳勋章</v>
      </c>
      <c r="E129" s="68" t="str">
        <f>_xlfn.LET(_xlpm._asset,"relic_layout",
_xlfn.CONCAT(_xlpm._asset,"[",_xlpm._asset,"_",$F129,"]"))</f>
        <v>relic_layout[relic_layout_65]</v>
      </c>
      <c r="F129" s="79">
        <v>65</v>
      </c>
      <c r="G129" s="16" t="str">
        <f t="shared" si="22"/>
        <v>relic_desc_302231</v>
      </c>
      <c r="H129" s="50" t="str" cm="1">
        <f t="array" ref="H129:H131">_xlfn.LET(_xlpm._manual_info,$I129:$I131,
    IF(_xlpm._manual_info&lt;&gt;"",_xlpm._manual_info,_xlfn.LET(
        _xlpm._parm_key,$M129,
        _xlpm._parm_value,$L129:$L131,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远程武器 齐发数量 + 1</v>
      </c>
      <c r="J129" s="24" t="s">
        <v>37</v>
      </c>
      <c r="L129" s="14">
        <v>1</v>
      </c>
      <c r="M129" s="16" t="s">
        <v>59</v>
      </c>
      <c r="N129" s="73">
        <f>ROUND(POWER(O129,(5-T129)/5),0)</f>
        <v>3</v>
      </c>
      <c r="O129" s="30">
        <v>6</v>
      </c>
      <c r="P129" s="24" t="b">
        <v>1</v>
      </c>
      <c r="Q129" s="16"/>
      <c r="R129" s="16"/>
      <c r="S129" s="24"/>
      <c r="T129" s="65">
        <v>2</v>
      </c>
      <c r="U129" s="72">
        <f>ROUND(V129*POWER(W129,T129),0)</f>
        <v>47</v>
      </c>
      <c r="V129" s="30">
        <v>8.6999999999999993</v>
      </c>
      <c r="W129" s="30">
        <v>2.3199999999999998</v>
      </c>
    </row>
    <row r="130" spans="1:23" x14ac:dyDescent="0.2">
      <c r="A130" s="26">
        <v>302232</v>
      </c>
      <c r="B130" s="73" t="str">
        <f>IF(A130&lt;&gt;"","relic_name_"&amp;IF(C130,LEFT($A130,LEN($A130)-1),$A130),"")</f>
        <v>relic_name_30223</v>
      </c>
      <c r="C130" s="82" t="b">
        <v>1</v>
      </c>
      <c r="D130" s="69" t="str" cm="1">
        <f t="array" ref="D130">_xlfn.LET(
_xlpm.idx,MATCH(relic!$M130,'-id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IFERROR(INDEX(_xlpm.desc_array,MIN(RIGHT($A130,1),_xlpm.array_len)),"")
)</f>
        <v>太阳勋章</v>
      </c>
      <c r="E130" s="68" t="str">
        <f>_xlfn.LET(_xlpm._asset,"relic_layout",
_xlfn.CONCAT(_xlpm._asset,"[",_xlpm._asset,"_",$F130,"]"))</f>
        <v>relic_layout[relic_layout_65]</v>
      </c>
      <c r="F130" s="79">
        <v>65</v>
      </c>
      <c r="G130" s="16" t="str">
        <f t="shared" si="22"/>
        <v>relic_desc_302232</v>
      </c>
      <c r="H130" s="50" t="str">
        <v>远程武器 齐发数量 + 2</v>
      </c>
      <c r="J130" s="24" t="s">
        <v>37</v>
      </c>
      <c r="L130" s="14">
        <v>2</v>
      </c>
      <c r="M130" s="16" t="s">
        <v>59</v>
      </c>
      <c r="N130" s="73">
        <f>ROUND(POWER(O130,(5-T130)/5),0)</f>
        <v>2</v>
      </c>
      <c r="O130" s="30">
        <v>6</v>
      </c>
      <c r="P130" s="24" t="b">
        <v>1</v>
      </c>
      <c r="Q130" s="16"/>
      <c r="R130" s="16"/>
      <c r="S130" s="24"/>
      <c r="T130" s="66">
        <v>3</v>
      </c>
      <c r="U130" s="72">
        <f>ROUND(V130*POWER(W130,T130),0)</f>
        <v>109</v>
      </c>
      <c r="V130" s="30">
        <v>8.6999999999999993</v>
      </c>
      <c r="W130" s="30">
        <v>2.3199999999999998</v>
      </c>
    </row>
    <row r="131" spans="1:23" x14ac:dyDescent="0.2">
      <c r="A131" s="26">
        <v>302233</v>
      </c>
      <c r="B131" s="73" t="str">
        <f>IF(A131&lt;&gt;"","relic_name_"&amp;IF(C131,LEFT($A131,LEN($A131)-1),$A131),"")</f>
        <v>relic_name_30223</v>
      </c>
      <c r="C131" s="82" t="b">
        <v>1</v>
      </c>
      <c r="D131" s="69" t="str" cm="1">
        <f t="array" ref="D131">_xlfn.LET(
_xlpm.idx,MATCH(relic!$M131,'-id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IFERROR(INDEX(_xlpm.desc_array,MIN(RIGHT($A131,1),_xlpm.array_len)),"")
)</f>
        <v>太阳勋章</v>
      </c>
      <c r="E131" s="68" t="str">
        <f>_xlfn.LET(_xlpm._asset,"relic_layout",
_xlfn.CONCAT(_xlpm._asset,"[",_xlpm._asset,"_",$F131,"]"))</f>
        <v>relic_layout[relic_layout_65]</v>
      </c>
      <c r="F131" s="79">
        <v>65</v>
      </c>
      <c r="G131" s="16" t="str">
        <f t="shared" si="22"/>
        <v>relic_desc_302233</v>
      </c>
      <c r="H131" s="50" t="str">
        <v>远程武器 齐发数量 + 4</v>
      </c>
      <c r="J131" s="24" t="s">
        <v>37</v>
      </c>
      <c r="L131" s="14">
        <v>4</v>
      </c>
      <c r="M131" s="16" t="s">
        <v>59</v>
      </c>
      <c r="N131" s="73">
        <f>ROUND(POWER(O131,(5-T131)/5),0)</f>
        <v>1</v>
      </c>
      <c r="O131" s="30">
        <v>6</v>
      </c>
      <c r="P131" s="24" t="b">
        <v>1</v>
      </c>
      <c r="Q131" s="16"/>
      <c r="R131" s="16"/>
      <c r="S131" s="24"/>
      <c r="T131" s="67">
        <v>4</v>
      </c>
      <c r="U131" s="72">
        <f>ROUND(V131*POWER(W131,T131),0)</f>
        <v>252</v>
      </c>
      <c r="V131" s="30">
        <v>8.6999999999999993</v>
      </c>
      <c r="W131" s="30">
        <v>2.3199999999999998</v>
      </c>
    </row>
    <row r="132" spans="1:23" x14ac:dyDescent="0.2">
      <c r="A132" s="26"/>
      <c r="B132" s="16" t="str">
        <f t="shared" ref="B132:B140" si="24">IF(A132&lt;&gt;"","relic_name_"&amp;$A132,"")</f>
        <v/>
      </c>
      <c r="D132" s="15" t="str" cm="1">
        <f t="array" ref="D132">_xlfn.LET(
_xlpm.idx,MATCH(relic!$M132,'-id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IFERROR(INDEX(_xlpm.desc_array,MIN(RIGHT($A132,1),_xlpm.array_len)),"")
)</f>
        <v/>
      </c>
      <c r="F132" s="78" t="s">
        <v>117</v>
      </c>
      <c r="G132" s="16" t="str">
        <f t="shared" si="22"/>
        <v/>
      </c>
      <c r="H132" s="71"/>
      <c r="N132" s="16" t="str">
        <f t="shared" si="16"/>
        <v/>
      </c>
      <c r="P132" s="16" t="str">
        <f t="shared" si="12"/>
        <v/>
      </c>
      <c r="Q132" s="16"/>
      <c r="R132" s="16"/>
      <c r="S132" s="16" t="str">
        <f>_xlfn.LET(_xlpm.end,IFERROR(VALUE(RIGHT($A132,1)),0),
IF(_xlpm.end&gt;1,$A131,""))</f>
        <v/>
      </c>
      <c r="U132" s="14" t="str">
        <f t="shared" si="23"/>
        <v/>
      </c>
    </row>
    <row r="133" spans="1:23" x14ac:dyDescent="0.2">
      <c r="A133" s="26">
        <v>302311</v>
      </c>
      <c r="B133" s="16" t="str">
        <f t="shared" si="24"/>
        <v>relic_name_302311</v>
      </c>
      <c r="D133" s="15" t="str" cm="1">
        <f t="array" ref="D133">_xlfn.LET(
_xlpm.idx,MATCH(relic!$M133,'-id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IFERROR(INDEX(_xlpm.desc_array,MIN(RIGHT($A133,1),_xlpm.array_len)),"")
)</f>
        <v>箱子</v>
      </c>
      <c r="E133" s="14" t="str">
        <f>IF($F133&lt;&gt;"",_xlfn.CONCAT("relic_icons[relic_layout_",$F133,"]"),"")</f>
        <v>relic_icons[relic_layout_84]</v>
      </c>
      <c r="F133" s="78">
        <v>84</v>
      </c>
      <c r="G133" s="16" t="str">
        <f t="shared" si="22"/>
        <v>relic_desc_302311</v>
      </c>
      <c r="H133" s="50" t="str" cm="1">
        <f t="array" ref="H133:H135">_xlfn.LET(_xlpm._manual_info,$I133:$I135,
    IF(_xlpm._manual_info&lt;&gt;"",_xlpm._manual_info,_xlfn.LET(
        _xlpm._parm_key,$M133,
        _xlpm._parm_value,$L133:$L135,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远程武器 暴击时弹药恢复 + 1</v>
      </c>
      <c r="J133" s="24" t="s">
        <v>37</v>
      </c>
      <c r="L133" s="14">
        <v>1</v>
      </c>
      <c r="M133" s="16" t="s">
        <v>60</v>
      </c>
      <c r="N133" s="16">
        <f t="shared" si="16"/>
        <v>5</v>
      </c>
      <c r="P133" s="16" t="b">
        <f t="shared" si="12"/>
        <v>1</v>
      </c>
      <c r="Q133" s="16"/>
      <c r="R133" s="16"/>
      <c r="S133" s="16" t="str">
        <f t="shared" si="13"/>
        <v/>
      </c>
      <c r="T133" s="63">
        <v>0</v>
      </c>
      <c r="U133" s="14">
        <f t="shared" si="23"/>
        <v>5</v>
      </c>
    </row>
    <row r="134" spans="1:23" x14ac:dyDescent="0.2">
      <c r="A134" s="26">
        <v>302312</v>
      </c>
      <c r="B134" s="16" t="str">
        <f t="shared" si="24"/>
        <v>relic_name_302312</v>
      </c>
      <c r="D134" s="15" t="str" cm="1">
        <f t="array" ref="D134">_xlfn.LET(
_xlpm.idx,MATCH(relic!$M134,'-id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IFERROR(INDEX(_xlpm.desc_array,MIN(RIGHT($A134,1),_xlpm.array_len)),"")
)</f>
        <v>箱子</v>
      </c>
      <c r="E134" s="14" t="str">
        <f>IF($F134&lt;&gt;"",_xlfn.CONCAT("relic_icons[relic_layout_",$F134,"]"),"")</f>
        <v>relic_icons[relic_layout_85]</v>
      </c>
      <c r="F134" s="78">
        <v>85</v>
      </c>
      <c r="G134" s="16" t="str">
        <f t="shared" si="22"/>
        <v>relic_desc_302312</v>
      </c>
      <c r="H134" s="50" t="str">
        <v>远程武器 暴击时弹药恢复 + 2</v>
      </c>
      <c r="J134" s="24" t="s">
        <v>37</v>
      </c>
      <c r="L134" s="14">
        <v>2</v>
      </c>
      <c r="M134" s="16" t="s">
        <v>60</v>
      </c>
      <c r="N134" s="16">
        <f t="shared" si="16"/>
        <v>5</v>
      </c>
      <c r="P134" s="16" t="b">
        <f t="shared" si="12"/>
        <v>1</v>
      </c>
      <c r="Q134" s="16"/>
      <c r="R134" s="16"/>
      <c r="S134" s="16">
        <f t="shared" si="13"/>
        <v>302311</v>
      </c>
      <c r="T134" s="64">
        <v>1</v>
      </c>
      <c r="U134" s="14">
        <f t="shared" si="23"/>
        <v>10</v>
      </c>
    </row>
    <row r="135" spans="1:23" x14ac:dyDescent="0.2">
      <c r="A135" s="26">
        <v>302313</v>
      </c>
      <c r="B135" s="16" t="str">
        <f t="shared" si="24"/>
        <v>relic_name_302313</v>
      </c>
      <c r="D135" s="15" t="str" cm="1">
        <f t="array" ref="D135">_xlfn.LET(
_xlpm.idx,MATCH(relic!$M135,'-id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IFERROR(INDEX(_xlpm.desc_array,MIN(RIGHT($A135,1),_xlpm.array_len)),"")
)</f>
        <v>箱子</v>
      </c>
      <c r="E135" s="14" t="str">
        <f>IF($F135&lt;&gt;"",_xlfn.CONCAT("relic_icons[relic_layout_",$F135,"]"),"")</f>
        <v>relic_icons[relic_layout_86]</v>
      </c>
      <c r="F135" s="78">
        <v>86</v>
      </c>
      <c r="G135" s="16" t="str">
        <f t="shared" si="22"/>
        <v>relic_desc_302313</v>
      </c>
      <c r="H135" s="50" t="str">
        <v>远程武器 暴击时弹药恢复 + 3</v>
      </c>
      <c r="J135" s="24" t="s">
        <v>37</v>
      </c>
      <c r="L135" s="14">
        <v>3</v>
      </c>
      <c r="M135" s="16" t="s">
        <v>60</v>
      </c>
      <c r="N135" s="16">
        <f t="shared" si="16"/>
        <v>5</v>
      </c>
      <c r="P135" s="16" t="b">
        <f t="shared" si="12"/>
        <v>1</v>
      </c>
      <c r="Q135" s="16"/>
      <c r="R135" s="16"/>
      <c r="S135" s="16">
        <f t="shared" si="13"/>
        <v>302312</v>
      </c>
      <c r="T135" s="65">
        <v>2</v>
      </c>
      <c r="U135" s="14">
        <f t="shared" si="23"/>
        <v>15</v>
      </c>
    </row>
    <row r="136" spans="1:23" x14ac:dyDescent="0.2">
      <c r="A136" s="26"/>
      <c r="B136" s="16" t="str">
        <f t="shared" si="24"/>
        <v/>
      </c>
      <c r="D136" s="15" t="str" cm="1">
        <f t="array" ref="D136">_xlfn.LET(
_xlpm.idx,MATCH(relic!$M136,'-id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IFERROR(INDEX(_xlpm.desc_array,MIN(RIGHT($A136,1),_xlpm.array_len)),"")
)</f>
        <v/>
      </c>
      <c r="F136" s="78" t="s">
        <v>117</v>
      </c>
      <c r="G136" s="16" t="str">
        <f t="shared" si="22"/>
        <v/>
      </c>
      <c r="H136" s="71"/>
      <c r="N136" s="16" t="str">
        <f>IF($A136&gt;0,5,"")</f>
        <v/>
      </c>
      <c r="P136" s="16" t="str">
        <f t="shared" si="12"/>
        <v/>
      </c>
      <c r="Q136" s="16"/>
      <c r="R136" s="16"/>
      <c r="S136" s="16" t="str">
        <f t="shared" si="13"/>
        <v/>
      </c>
      <c r="U136" s="14" t="str">
        <f t="shared" si="23"/>
        <v/>
      </c>
    </row>
    <row r="137" spans="1:23" x14ac:dyDescent="0.2">
      <c r="A137" s="26">
        <v>302321</v>
      </c>
      <c r="B137" s="73" t="str">
        <f>IF(A137&lt;&gt;"","relic_name_"&amp;IF(C137,LEFT($A137,LEN($A137)-1),$A137),"")</f>
        <v>relic_name_30232</v>
      </c>
      <c r="C137" s="82" t="b">
        <v>1</v>
      </c>
      <c r="D137" s="69" t="str" cm="1">
        <f t="array" ref="D137">_xlfn.LET(
_xlpm.idx,MATCH(relic!$M137,'-id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IFERROR(INDEX(_xlpm.desc_array,MIN(RIGHT($A137,1),_xlpm.array_len)),"")
)</f>
        <v>屋顶羊</v>
      </c>
      <c r="E137" s="68" t="str">
        <f>_xlfn.LET(_xlpm._asset,"relic_layout",
_xlfn.CONCAT(_xlpm._asset,"[",_xlpm._asset,"_",$F137,"]"))</f>
        <v>relic_layout[relic_layout_66]</v>
      </c>
      <c r="F137" s="79">
        <v>66</v>
      </c>
      <c r="G137" s="16" t="str">
        <f t="shared" si="22"/>
        <v>relic_desc_302321</v>
      </c>
      <c r="H137" s="50" t="str" cm="1">
        <f t="array" ref="H137:H139">_xlfn.LET(_xlpm._manual_info,$I137:$I139,
    IF(_xlpm._manual_info&lt;&gt;"",_xlpm._manual_info,_xlfn.LET(
        _xlpm._parm_key,$M137,
        _xlpm._parm_value,$L137:$L139,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飞射物 体积增大 + 25%</v>
      </c>
      <c r="J137" s="24" t="s">
        <v>37</v>
      </c>
      <c r="L137" s="14">
        <v>250</v>
      </c>
      <c r="M137" s="16" t="s">
        <v>61</v>
      </c>
      <c r="N137" s="73">
        <f>ROUND(POWER(O137,(5-T137)/5),0)</f>
        <v>5</v>
      </c>
      <c r="O137" s="30">
        <v>5</v>
      </c>
      <c r="P137" s="24" t="b">
        <v>1</v>
      </c>
      <c r="Q137" s="16"/>
      <c r="R137" s="16"/>
      <c r="S137" s="24"/>
      <c r="T137" s="63">
        <v>0</v>
      </c>
      <c r="U137" s="72">
        <f>ROUND(V137*POWER(W137,T137),0)</f>
        <v>8</v>
      </c>
      <c r="V137" s="30">
        <v>8.1</v>
      </c>
      <c r="W137" s="30">
        <v>2.1</v>
      </c>
    </row>
    <row r="138" spans="1:23" x14ac:dyDescent="0.2">
      <c r="A138" s="26">
        <v>302322</v>
      </c>
      <c r="B138" s="73" t="str">
        <f>IF(A138&lt;&gt;"","relic_name_"&amp;IF(C138,LEFT($A138,LEN($A138)-1),$A138),"")</f>
        <v>relic_name_30232</v>
      </c>
      <c r="C138" s="82" t="b">
        <v>1</v>
      </c>
      <c r="D138" s="69" t="str" cm="1">
        <f t="array" ref="D138">_xlfn.LET(
_xlpm.idx,MATCH(relic!$M138,'-id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IFERROR(INDEX(_xlpm.desc_array,MIN(RIGHT($A138,1),_xlpm.array_len)),"")
)</f>
        <v>屋顶羊</v>
      </c>
      <c r="E138" s="68" t="str">
        <f>_xlfn.LET(_xlpm._asset,"relic_layout",
_xlfn.CONCAT(_xlpm._asset,"[",_xlpm._asset,"_",$F138,"]"))</f>
        <v>relic_layout[relic_layout_66]</v>
      </c>
      <c r="F138" s="79">
        <v>66</v>
      </c>
      <c r="G138" s="16" t="str">
        <f t="shared" si="22"/>
        <v>relic_desc_302322</v>
      </c>
      <c r="H138" s="50" t="str">
        <v>飞射物 体积增大 + 40%</v>
      </c>
      <c r="J138" s="24" t="s">
        <v>37</v>
      </c>
      <c r="L138" s="14">
        <v>400</v>
      </c>
      <c r="M138" s="16" t="s">
        <v>61</v>
      </c>
      <c r="N138" s="73">
        <f>ROUND(POWER(O138,(5-T138)/5),0)</f>
        <v>4</v>
      </c>
      <c r="O138" s="30">
        <v>5</v>
      </c>
      <c r="P138" s="24" t="b">
        <v>1</v>
      </c>
      <c r="Q138" s="16"/>
      <c r="R138" s="16"/>
      <c r="S138" s="24"/>
      <c r="T138" s="64">
        <v>1</v>
      </c>
      <c r="U138" s="72">
        <f>ROUND(V138*POWER(W138,T138),0)</f>
        <v>17</v>
      </c>
      <c r="V138" s="30">
        <v>8.1</v>
      </c>
      <c r="W138" s="30">
        <v>2.1</v>
      </c>
    </row>
    <row r="139" spans="1:23" x14ac:dyDescent="0.2">
      <c r="A139" s="26">
        <v>302323</v>
      </c>
      <c r="B139" s="73" t="str">
        <f>IF(A139&lt;&gt;"","relic_name_"&amp;IF(C139,LEFT($A139,LEN($A139)-1),$A139),"")</f>
        <v>relic_name_30232</v>
      </c>
      <c r="C139" s="82" t="b">
        <v>1</v>
      </c>
      <c r="D139" s="69" t="str" cm="1">
        <f t="array" ref="D139">_xlfn.LET(
_xlpm.idx,MATCH(relic!$M139,'-id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IFERROR(INDEX(_xlpm.desc_array,MIN(RIGHT($A139,1),_xlpm.array_len)),"")
)</f>
        <v>屋顶羊</v>
      </c>
      <c r="E139" s="68" t="str">
        <f>_xlfn.LET(_xlpm._asset,"relic_layout",
_xlfn.CONCAT(_xlpm._asset,"[",_xlpm._asset,"_",$F139,"]"))</f>
        <v>relic_layout[relic_layout_66]</v>
      </c>
      <c r="F139" s="79">
        <v>66</v>
      </c>
      <c r="G139" s="16" t="str">
        <f t="shared" si="22"/>
        <v>relic_desc_302323</v>
      </c>
      <c r="H139" s="50" t="str">
        <v>飞射物 体积增大 + 60%</v>
      </c>
      <c r="J139" s="24" t="s">
        <v>37</v>
      </c>
      <c r="L139" s="14">
        <v>600</v>
      </c>
      <c r="M139" s="16" t="s">
        <v>61</v>
      </c>
      <c r="N139" s="73">
        <f>ROUND(POWER(O139,(5-T139)/5),0)</f>
        <v>3</v>
      </c>
      <c r="O139" s="30">
        <v>5</v>
      </c>
      <c r="P139" s="24" t="b">
        <v>1</v>
      </c>
      <c r="Q139" s="16"/>
      <c r="R139" s="16"/>
      <c r="S139" s="24"/>
      <c r="T139" s="65">
        <v>2</v>
      </c>
      <c r="U139" s="72">
        <f>ROUND(V139*POWER(W139,T139),0)</f>
        <v>36</v>
      </c>
      <c r="V139" s="30">
        <v>8.1</v>
      </c>
      <c r="W139" s="30">
        <v>2.1</v>
      </c>
    </row>
    <row r="140" spans="1:23" x14ac:dyDescent="0.2">
      <c r="A140" s="26"/>
      <c r="B140" s="16" t="str">
        <f t="shared" si="24"/>
        <v/>
      </c>
      <c r="D140" s="15" t="str" cm="1">
        <f t="array" ref="D140">_xlfn.LET(
_xlpm.idx,MATCH(relic!$M140,'-id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IFERROR(INDEX(_xlpm.desc_array,MIN(RIGHT($A140,1),_xlpm.array_len)),"")
)</f>
        <v/>
      </c>
      <c r="F140" s="78" t="s">
        <v>117</v>
      </c>
      <c r="G140" s="16" t="str">
        <f t="shared" si="22"/>
        <v/>
      </c>
      <c r="H140" s="71"/>
      <c r="N140" s="16" t="str">
        <f t="shared" ref="N140:N167" si="25">IF($A140&gt;0,5,"")</f>
        <v/>
      </c>
      <c r="P140" s="16" t="str">
        <f t="shared" si="12"/>
        <v/>
      </c>
      <c r="Q140" s="16"/>
      <c r="R140" s="16"/>
      <c r="S140" s="16" t="str">
        <f t="shared" si="13"/>
        <v/>
      </c>
      <c r="U140" s="14" t="str">
        <f t="shared" si="23"/>
        <v/>
      </c>
    </row>
    <row r="141" spans="1:23" x14ac:dyDescent="0.2">
      <c r="A141" s="26">
        <v>303211</v>
      </c>
      <c r="B141" s="16" t="str">
        <f t="shared" si="15"/>
        <v>relic_name_303211</v>
      </c>
      <c r="D141" s="15" t="str" cm="1">
        <f t="array" ref="D141">_xlfn.LET(
_xlpm.idx,MATCH(relic!$M141,'-id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IFERROR(INDEX(_xlpm.desc_array,MIN(RIGHT($A141,1),_xlpm.array_len)),"")
)</f>
        <v>赵日天原件</v>
      </c>
      <c r="E141" s="14" t="str">
        <f>IF($F141&lt;&gt;"",_xlfn.CONCAT("relic_icons[relic_layout_",$F141,"]"),"")</f>
        <v>relic_icons[relic_layout_90]</v>
      </c>
      <c r="F141" s="78">
        <v>90</v>
      </c>
      <c r="G141" s="16" t="str">
        <f t="shared" ref="G141:G167" si="26">IF($A141&lt;&gt;"","relic_desc_"&amp;$A141,"")</f>
        <v>relic_desc_303211</v>
      </c>
      <c r="H141" s="50" t="str" cm="1">
        <f t="array" ref="H141:H143">_xlfn.LET(_xlpm._manual_info,$I141:$I143,
    IF(_xlpm._manual_info&lt;&gt;"",_xlpm._manual_info,_xlfn.LET(
        _xlpm._parm_key,$M141,
        _xlpm._parm_value,$L141:$L143,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车轮 冲刺可用次数 + 1</v>
      </c>
      <c r="J141" s="24" t="s">
        <v>37</v>
      </c>
      <c r="L141" s="14">
        <v>1</v>
      </c>
      <c r="M141" s="16" t="s">
        <v>62</v>
      </c>
      <c r="N141" s="16">
        <f t="shared" si="25"/>
        <v>5</v>
      </c>
      <c r="P141" s="16" t="b">
        <f t="shared" si="12"/>
        <v>1</v>
      </c>
      <c r="Q141" s="16"/>
      <c r="R141" s="16"/>
      <c r="S141" s="16" t="str">
        <f t="shared" si="13"/>
        <v/>
      </c>
      <c r="T141" s="14">
        <v>-1</v>
      </c>
      <c r="U141" s="14">
        <f t="shared" si="23"/>
        <v>5</v>
      </c>
    </row>
    <row r="142" spans="1:23" x14ac:dyDescent="0.2">
      <c r="A142" s="26">
        <v>303212</v>
      </c>
      <c r="B142" s="16" t="str">
        <f t="shared" si="15"/>
        <v>relic_name_303212</v>
      </c>
      <c r="D142" s="15" t="str" cm="1">
        <f t="array" ref="D142">_xlfn.LET(
_xlpm.idx,MATCH(relic!$M142,'-id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IFERROR(INDEX(_xlpm.desc_array,MIN(RIGHT($A142,1),_xlpm.array_len)),"")
)</f>
        <v>赵日天原件</v>
      </c>
      <c r="E142" s="14" t="str">
        <f>IF($F142&lt;&gt;"",_xlfn.CONCAT("relic_icons[relic_layout_",$F142,"]"),"")</f>
        <v>relic_icons[relic_layout_91]</v>
      </c>
      <c r="F142" s="78">
        <v>91</v>
      </c>
      <c r="G142" s="16" t="str">
        <f t="shared" si="26"/>
        <v>relic_desc_303212</v>
      </c>
      <c r="H142" s="50" t="str">
        <v>车轮 冲刺可用次数 + 2</v>
      </c>
      <c r="J142" s="24" t="s">
        <v>37</v>
      </c>
      <c r="L142" s="14">
        <v>2</v>
      </c>
      <c r="M142" s="16" t="s">
        <v>62</v>
      </c>
      <c r="N142" s="16">
        <f t="shared" si="25"/>
        <v>5</v>
      </c>
      <c r="P142" s="16" t="b">
        <f t="shared" si="12"/>
        <v>1</v>
      </c>
      <c r="Q142" s="16"/>
      <c r="R142" s="16"/>
      <c r="S142" s="16">
        <f t="shared" si="13"/>
        <v>303211</v>
      </c>
      <c r="T142" s="14">
        <v>-1</v>
      </c>
      <c r="U142" s="14">
        <f t="shared" si="23"/>
        <v>10</v>
      </c>
    </row>
    <row r="143" spans="1:23" x14ac:dyDescent="0.2">
      <c r="A143" s="26">
        <v>303213</v>
      </c>
      <c r="B143" s="16" t="str">
        <f t="shared" si="15"/>
        <v>relic_name_303213</v>
      </c>
      <c r="D143" s="15" t="str" cm="1">
        <f t="array" ref="D143">_xlfn.LET(
_xlpm.idx,MATCH(relic!$M143,'-id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IFERROR(INDEX(_xlpm.desc_array,MIN(RIGHT($A143,1),_xlpm.array_len)),"")
)</f>
        <v>赵日天原件</v>
      </c>
      <c r="E143" s="14" t="str">
        <f>IF($F143&lt;&gt;"",_xlfn.CONCAT("relic_icons[relic_layout_",$F143,"]"),"")</f>
        <v>relic_icons[relic_layout_92]</v>
      </c>
      <c r="F143" s="78">
        <v>92</v>
      </c>
      <c r="G143" s="16" t="str">
        <f t="shared" si="26"/>
        <v>relic_desc_303213</v>
      </c>
      <c r="H143" s="50" t="str">
        <v>车轮 冲刺可用次数 + 3</v>
      </c>
      <c r="J143" s="24" t="s">
        <v>37</v>
      </c>
      <c r="L143" s="14">
        <v>3</v>
      </c>
      <c r="M143" s="16" t="s">
        <v>62</v>
      </c>
      <c r="N143" s="16">
        <f t="shared" si="25"/>
        <v>5</v>
      </c>
      <c r="P143" s="16" t="b">
        <f t="shared" si="12"/>
        <v>1</v>
      </c>
      <c r="Q143" s="16"/>
      <c r="R143" s="16"/>
      <c r="S143" s="16">
        <f t="shared" si="13"/>
        <v>303212</v>
      </c>
      <c r="T143" s="14">
        <v>-1</v>
      </c>
      <c r="U143" s="14">
        <f t="shared" si="23"/>
        <v>15</v>
      </c>
    </row>
    <row r="144" spans="1:23" x14ac:dyDescent="0.2">
      <c r="A144" s="26"/>
      <c r="B144" s="16" t="str">
        <f t="shared" si="15"/>
        <v/>
      </c>
      <c r="D144" s="15" t="str" cm="1">
        <f t="array" ref="D144">_xlfn.LET(
_xlpm.idx,MATCH(relic!$M144,'-id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IFERROR(INDEX(_xlpm.desc_array,MIN(RIGHT($A144,1),_xlpm.array_len)),"")
)</f>
        <v/>
      </c>
      <c r="F144" s="78" t="s">
        <v>117</v>
      </c>
      <c r="G144" s="16" t="str">
        <f t="shared" si="26"/>
        <v/>
      </c>
      <c r="H144" s="71"/>
      <c r="N144" s="16" t="str">
        <f t="shared" si="25"/>
        <v/>
      </c>
      <c r="P144" s="16" t="str">
        <f t="shared" si="12"/>
        <v/>
      </c>
      <c r="Q144" s="16"/>
      <c r="R144" s="16"/>
      <c r="S144" s="16" t="str">
        <f t="shared" si="13"/>
        <v/>
      </c>
      <c r="U144" s="14" t="str">
        <f t="shared" si="23"/>
        <v/>
      </c>
    </row>
    <row r="145" spans="1:21" x14ac:dyDescent="0.2">
      <c r="A145" s="26">
        <v>303221</v>
      </c>
      <c r="B145" s="16" t="str">
        <f t="shared" si="15"/>
        <v>relic_name_303221</v>
      </c>
      <c r="D145" s="15" t="str" cm="1">
        <f t="array" ref="D145">_xlfn.LET(
_xlpm.idx,MATCH(relic!$M145,'-id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IFERROR(INDEX(_xlpm.desc_array,MIN(RIGHT($A145,1),_xlpm.array_len)),"")
)</f>
        <v>赵日天号</v>
      </c>
      <c r="E145" s="14" t="str">
        <f>IF($F145&lt;&gt;"",_xlfn.CONCAT("relic_icons[relic_layout_",$F145,"]"),"")</f>
        <v>relic_icons[relic_layout_93]</v>
      </c>
      <c r="F145" s="78">
        <v>93</v>
      </c>
      <c r="G145" s="16" t="str">
        <f t="shared" si="26"/>
        <v>relic_desc_303221</v>
      </c>
      <c r="H145" s="50" t="str" cm="1">
        <f t="array" ref="H145:H147">_xlfn.LET(_xlpm._manual_info,$I145:$I147,
    IF(_xlpm._manual_info&lt;&gt;"",_xlpm._manual_info,_xlfn.LET(
        _xlpm._parm_key,$M145,
        _xlpm._parm_value,$L145:$L147,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车轮 冲刺效果提升 + 15%</v>
      </c>
      <c r="J145" s="24" t="s">
        <v>37</v>
      </c>
      <c r="L145" s="14">
        <v>150</v>
      </c>
      <c r="M145" s="16" t="s">
        <v>63</v>
      </c>
      <c r="N145" s="16">
        <f t="shared" si="25"/>
        <v>5</v>
      </c>
      <c r="P145" s="16" t="b">
        <f t="shared" si="12"/>
        <v>1</v>
      </c>
      <c r="Q145" s="16"/>
      <c r="R145" s="16"/>
      <c r="S145" s="16" t="str">
        <f t="shared" si="13"/>
        <v/>
      </c>
      <c r="T145" s="14">
        <v>-1</v>
      </c>
      <c r="U145" s="14">
        <f t="shared" si="23"/>
        <v>5</v>
      </c>
    </row>
    <row r="146" spans="1:21" x14ac:dyDescent="0.2">
      <c r="A146" s="26">
        <v>303222</v>
      </c>
      <c r="B146" s="16" t="str">
        <f t="shared" si="15"/>
        <v>relic_name_303222</v>
      </c>
      <c r="D146" s="15" t="str" cm="1">
        <f t="array" ref="D146">_xlfn.LET(
_xlpm.idx,MATCH(relic!$M146,'-id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IFERROR(INDEX(_xlpm.desc_array,MIN(RIGHT($A146,1),_xlpm.array_len)),"")
)</f>
        <v>赵日天号</v>
      </c>
      <c r="E146" s="14" t="str">
        <f>IF($F146&lt;&gt;"",_xlfn.CONCAT("relic_icons[relic_layout_",$F146,"]"),"")</f>
        <v>relic_icons[relic_layout_94]</v>
      </c>
      <c r="F146" s="78">
        <v>94</v>
      </c>
      <c r="G146" s="16" t="str">
        <f t="shared" si="26"/>
        <v>relic_desc_303222</v>
      </c>
      <c r="H146" s="50" t="str">
        <v>车轮 冲刺效果提升 + 30%</v>
      </c>
      <c r="J146" s="24" t="s">
        <v>37</v>
      </c>
      <c r="L146" s="14">
        <v>300</v>
      </c>
      <c r="M146" s="16" t="s">
        <v>63</v>
      </c>
      <c r="N146" s="16">
        <f t="shared" si="25"/>
        <v>5</v>
      </c>
      <c r="P146" s="16" t="b">
        <f t="shared" si="12"/>
        <v>1</v>
      </c>
      <c r="Q146" s="16"/>
      <c r="R146" s="16"/>
      <c r="S146" s="16">
        <f t="shared" si="13"/>
        <v>303221</v>
      </c>
      <c r="T146" s="14">
        <v>-1</v>
      </c>
      <c r="U146" s="14">
        <f t="shared" si="23"/>
        <v>10</v>
      </c>
    </row>
    <row r="147" spans="1:21" x14ac:dyDescent="0.2">
      <c r="A147" s="26">
        <v>303223</v>
      </c>
      <c r="B147" s="16" t="str">
        <f t="shared" si="15"/>
        <v>relic_name_303223</v>
      </c>
      <c r="D147" s="15" t="str" cm="1">
        <f t="array" ref="D147">_xlfn.LET(
_xlpm.idx,MATCH(relic!$M147,'-id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IFERROR(INDEX(_xlpm.desc_array,MIN(RIGHT($A147,1),_xlpm.array_len)),"")
)</f>
        <v>赵日天号</v>
      </c>
      <c r="E147" s="14" t="str">
        <f>IF($F147&lt;&gt;"",_xlfn.CONCAT("relic_icons[relic_layout_",$F147,"]"),"")</f>
        <v>relic_icons[relic_layout_95]</v>
      </c>
      <c r="F147" s="78">
        <v>95</v>
      </c>
      <c r="G147" s="16" t="str">
        <f t="shared" si="26"/>
        <v>relic_desc_303223</v>
      </c>
      <c r="H147" s="50" t="str">
        <v>车轮 冲刺效果提升 + 45%</v>
      </c>
      <c r="J147" s="24" t="s">
        <v>37</v>
      </c>
      <c r="L147" s="14">
        <v>450</v>
      </c>
      <c r="M147" s="16" t="s">
        <v>63</v>
      </c>
      <c r="N147" s="16">
        <f t="shared" si="25"/>
        <v>5</v>
      </c>
      <c r="P147" s="16" t="b">
        <f t="shared" si="12"/>
        <v>1</v>
      </c>
      <c r="Q147" s="16"/>
      <c r="R147" s="16"/>
      <c r="S147" s="16">
        <f t="shared" si="13"/>
        <v>303222</v>
      </c>
      <c r="T147" s="14">
        <v>-1</v>
      </c>
      <c r="U147" s="14">
        <f t="shared" si="23"/>
        <v>15</v>
      </c>
    </row>
    <row r="148" spans="1:21" x14ac:dyDescent="0.2">
      <c r="A148" s="26"/>
      <c r="B148" s="16" t="str">
        <f t="shared" si="15"/>
        <v/>
      </c>
      <c r="D148" s="15" t="str" cm="1">
        <f t="array" ref="D148">_xlfn.LET(
_xlpm.idx,MATCH(relic!$M148,'-id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IFERROR(INDEX(_xlpm.desc_array,MIN(RIGHT($A148,1),_xlpm.array_len)),"")
)</f>
        <v/>
      </c>
      <c r="F148" s="78" t="s">
        <v>117</v>
      </c>
      <c r="G148" s="16" t="str">
        <f t="shared" si="26"/>
        <v/>
      </c>
      <c r="H148" s="71"/>
      <c r="N148" s="16" t="str">
        <f t="shared" si="25"/>
        <v/>
      </c>
      <c r="P148" s="16" t="str">
        <f t="shared" si="12"/>
        <v/>
      </c>
      <c r="Q148" s="16"/>
      <c r="R148" s="16"/>
      <c r="S148" s="16" t="str">
        <f t="shared" si="13"/>
        <v/>
      </c>
      <c r="U148" s="14" t="str">
        <f t="shared" si="23"/>
        <v/>
      </c>
    </row>
    <row r="149" spans="1:21" x14ac:dyDescent="0.2">
      <c r="A149" s="26">
        <v>303231</v>
      </c>
      <c r="B149" s="16" t="str">
        <f t="shared" si="15"/>
        <v>relic_name_303231</v>
      </c>
      <c r="D149" s="15" t="str" cm="1">
        <f t="array" ref="D149">_xlfn.LET(
_xlpm.idx,MATCH(relic!$M149,'-id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IFERROR(INDEX(_xlpm.desc_array,MIN(RIGHT($A149,1),_xlpm.array_len)),"")
)</f>
        <v>赵日天能量球</v>
      </c>
      <c r="E149" s="14" t="str">
        <f>IF($F149&lt;&gt;"",_xlfn.CONCAT("relic_icons[relic_layout_",$F149,"]"),"")</f>
        <v>relic_icons[relic_layout_96]</v>
      </c>
      <c r="F149" s="78">
        <v>96</v>
      </c>
      <c r="G149" s="16" t="str">
        <f t="shared" si="26"/>
        <v>relic_desc_303231</v>
      </c>
      <c r="H149" s="50" t="str" cm="1">
        <f t="array" ref="H149:H151">_xlfn.LET(_xlpm._manual_info,$I149:$I151,
    IF(_xlpm._manual_info&lt;&gt;"",_xlpm._manual_info,_xlfn.LET(
        _xlpm._parm_key,$M149,
        _xlpm._parm_value,$L149:$L151,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车轮 冲刺能量恢复 + 12%</v>
      </c>
      <c r="J149" s="24" t="s">
        <v>37</v>
      </c>
      <c r="L149" s="14">
        <v>120</v>
      </c>
      <c r="M149" s="16" t="s">
        <v>64</v>
      </c>
      <c r="N149" s="16">
        <f t="shared" si="25"/>
        <v>5</v>
      </c>
      <c r="P149" s="16" t="b">
        <f t="shared" si="12"/>
        <v>1</v>
      </c>
      <c r="Q149" s="16"/>
      <c r="R149" s="16"/>
      <c r="S149" s="16" t="str">
        <f t="shared" si="13"/>
        <v/>
      </c>
      <c r="T149" s="14">
        <v>-1</v>
      </c>
      <c r="U149" s="14">
        <f t="shared" si="23"/>
        <v>5</v>
      </c>
    </row>
    <row r="150" spans="1:21" x14ac:dyDescent="0.2">
      <c r="A150" s="26">
        <v>303232</v>
      </c>
      <c r="B150" s="16" t="str">
        <f t="shared" si="15"/>
        <v>relic_name_303232</v>
      </c>
      <c r="D150" s="15" t="str" cm="1">
        <f t="array" ref="D150">_xlfn.LET(
_xlpm.idx,MATCH(relic!$M150,'-id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IFERROR(INDEX(_xlpm.desc_array,MIN(RIGHT($A150,1),_xlpm.array_len)),"")
)</f>
        <v>赵日天能量球</v>
      </c>
      <c r="E150" s="14" t="str">
        <f>IF($F150&lt;&gt;"",_xlfn.CONCAT("relic_icons[relic_layout_",$F150,"]"),"")</f>
        <v>relic_icons[relic_layout_97]</v>
      </c>
      <c r="F150" s="78">
        <v>97</v>
      </c>
      <c r="G150" s="16" t="str">
        <f t="shared" si="26"/>
        <v>relic_desc_303232</v>
      </c>
      <c r="H150" s="50" t="str">
        <v>车轮 冲刺能量恢复 + 24%</v>
      </c>
      <c r="J150" s="24" t="s">
        <v>37</v>
      </c>
      <c r="L150" s="14">
        <v>240</v>
      </c>
      <c r="M150" s="16" t="s">
        <v>64</v>
      </c>
      <c r="N150" s="16">
        <f t="shared" si="25"/>
        <v>5</v>
      </c>
      <c r="P150" s="16" t="b">
        <f t="shared" si="12"/>
        <v>1</v>
      </c>
      <c r="Q150" s="16"/>
      <c r="R150" s="16"/>
      <c r="S150" s="16">
        <f t="shared" si="13"/>
        <v>303231</v>
      </c>
      <c r="T150" s="14">
        <v>-1</v>
      </c>
      <c r="U150" s="14">
        <f>IF(A150&lt;&gt;"",RIGHT(A150)*5,"")</f>
        <v>10</v>
      </c>
    </row>
    <row r="151" spans="1:21" x14ac:dyDescent="0.2">
      <c r="A151" s="26">
        <v>303233</v>
      </c>
      <c r="B151" s="16" t="str">
        <f t="shared" si="15"/>
        <v>relic_name_303233</v>
      </c>
      <c r="D151" s="15" t="str" cm="1">
        <f t="array" ref="D151">_xlfn.LET(
_xlpm.idx,MATCH(relic!$M151,'-id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IFERROR(INDEX(_xlpm.desc_array,MIN(RIGHT($A151,1),_xlpm.array_len)),"")
)</f>
        <v>赵日天能量球</v>
      </c>
      <c r="E151" s="14" t="str">
        <f>IF($F151&lt;&gt;"",_xlfn.CONCAT("relic_icons[relic_layout_",$F151,"]"),"")</f>
        <v>relic_icons[relic_layout_98]</v>
      </c>
      <c r="F151" s="78">
        <v>98</v>
      </c>
      <c r="G151" s="16" t="str">
        <f t="shared" si="26"/>
        <v>relic_desc_303233</v>
      </c>
      <c r="H151" s="50" t="str">
        <v>车轮 冲刺能量恢复 + 36%</v>
      </c>
      <c r="J151" s="24" t="s">
        <v>37</v>
      </c>
      <c r="L151" s="14">
        <v>360</v>
      </c>
      <c r="M151" s="16" t="s">
        <v>64</v>
      </c>
      <c r="N151" s="16">
        <f t="shared" si="25"/>
        <v>5</v>
      </c>
      <c r="P151" s="16" t="b">
        <f t="shared" si="12"/>
        <v>1</v>
      </c>
      <c r="Q151" s="16"/>
      <c r="R151" s="16"/>
      <c r="S151" s="16">
        <f t="shared" si="13"/>
        <v>303232</v>
      </c>
      <c r="T151" s="14">
        <v>-1</v>
      </c>
      <c r="U151" s="14">
        <f t="shared" ref="U151:U167" si="27">IF(A151&lt;&gt;"",RIGHT(A151)*5,"")</f>
        <v>15</v>
      </c>
    </row>
    <row r="152" spans="1:21" x14ac:dyDescent="0.2">
      <c r="A152" s="26"/>
      <c r="B152" s="16" t="str">
        <f t="shared" ref="B152:B155" si="28">IF(A152&lt;&gt;"","relic_name_"&amp;$A152,"")</f>
        <v/>
      </c>
      <c r="D152" s="15" t="str" cm="1">
        <f t="array" ref="D152">_xlfn.LET(
_xlpm.idx,MATCH(relic!$M152,'-id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IFERROR(INDEX(_xlpm.desc_array,MIN(RIGHT($A152,1),_xlpm.array_len)),"")
)</f>
        <v/>
      </c>
      <c r="F152" s="78" t="s">
        <v>117</v>
      </c>
      <c r="G152" s="16" t="str">
        <f t="shared" si="26"/>
        <v/>
      </c>
      <c r="H152" s="71"/>
      <c r="N152" s="16" t="str">
        <f t="shared" si="25"/>
        <v/>
      </c>
      <c r="P152" s="16" t="str">
        <f t="shared" si="12"/>
        <v/>
      </c>
      <c r="Q152" s="16"/>
      <c r="R152" s="16"/>
      <c r="S152" s="16" t="str">
        <f t="shared" si="13"/>
        <v/>
      </c>
      <c r="U152" s="14" t="str">
        <f t="shared" si="27"/>
        <v/>
      </c>
    </row>
    <row r="153" spans="1:21" x14ac:dyDescent="0.2">
      <c r="A153" s="26">
        <v>303241</v>
      </c>
      <c r="B153" s="16" t="str">
        <f t="shared" si="28"/>
        <v>relic_name_303241</v>
      </c>
      <c r="D153" s="15" t="str" cm="1">
        <f t="array" ref="D153">_xlfn.LET(
_xlpm.idx,MATCH(relic!$M153,'-id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IFERROR(INDEX(_xlpm.desc_array,MIN(RIGHT($A153,1),_xlpm.array_len)),"")
)</f>
        <v>赵日天核心</v>
      </c>
      <c r="E153" s="14" t="str">
        <f>IF($F153&lt;&gt;"",_xlfn.CONCAT("relic_icons[relic_layout_",$F153,"]"),"")</f>
        <v>relic_icons[relic_layout_99]</v>
      </c>
      <c r="F153" s="78">
        <v>99</v>
      </c>
      <c r="G153" s="16" t="str">
        <f t="shared" si="26"/>
        <v>relic_desc_303241</v>
      </c>
      <c r="H153" s="50" t="str" cm="1">
        <f t="array" ref="H153:H155">_xlfn.LET(_xlpm._manual_info,$I153:$I155,
    IF(_xlpm._manual_info&lt;&gt;"",_xlpm._manual_info,_xlfn.LET(
        _xlpm._parm_key,$M153,
        _xlpm._parm_value,$L153:$L155,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车轮 动力增强 + 8%</v>
      </c>
      <c r="J153" s="24" t="s">
        <v>37</v>
      </c>
      <c r="L153" s="14">
        <v>80</v>
      </c>
      <c r="M153" s="16" t="s">
        <v>65</v>
      </c>
      <c r="N153" s="16">
        <f t="shared" si="25"/>
        <v>5</v>
      </c>
      <c r="P153" s="16" t="b">
        <f t="shared" si="12"/>
        <v>1</v>
      </c>
      <c r="Q153" s="16"/>
      <c r="R153" s="16"/>
      <c r="S153" s="16" t="str">
        <f t="shared" si="13"/>
        <v/>
      </c>
      <c r="T153" s="14">
        <v>-1</v>
      </c>
      <c r="U153" s="14">
        <f t="shared" si="27"/>
        <v>5</v>
      </c>
    </row>
    <row r="154" spans="1:21" x14ac:dyDescent="0.2">
      <c r="A154" s="26">
        <v>303242</v>
      </c>
      <c r="B154" s="16" t="str">
        <f t="shared" si="28"/>
        <v>relic_name_303242</v>
      </c>
      <c r="D154" s="15" t="str" cm="1">
        <f t="array" ref="D154">_xlfn.LET(
_xlpm.idx,MATCH(relic!$M154,'-id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IFERROR(INDEX(_xlpm.desc_array,MIN(RIGHT($A154,1),_xlpm.array_len)),"")
)</f>
        <v>赵日天核心</v>
      </c>
      <c r="E154" s="14" t="str">
        <f>IF($F154&lt;&gt;"",_xlfn.CONCAT("relic_icons[relic_layout_",$F154,"]"),"")</f>
        <v>relic_icons[relic_layout_100]</v>
      </c>
      <c r="F154" s="78">
        <v>100</v>
      </c>
      <c r="G154" s="16" t="str">
        <f t="shared" si="26"/>
        <v>relic_desc_303242</v>
      </c>
      <c r="H154" s="50" t="str">
        <v>车轮 动力增强 + 16%</v>
      </c>
      <c r="J154" s="24" t="s">
        <v>37</v>
      </c>
      <c r="L154" s="14">
        <v>160</v>
      </c>
      <c r="M154" s="16" t="s">
        <v>65</v>
      </c>
      <c r="N154" s="16">
        <f t="shared" si="25"/>
        <v>5</v>
      </c>
      <c r="P154" s="16" t="b">
        <f t="shared" ref="P154:P167" si="29">IF($A154&gt;0,TRUE,"")</f>
        <v>1</v>
      </c>
      <c r="Q154" s="16"/>
      <c r="R154" s="16"/>
      <c r="S154" s="16">
        <f t="shared" ref="S154:S167" si="30">_xlfn.LET(_xlpm.end,IFERROR(VALUE(RIGHT($A154,1)),0),
IF(_xlpm.end&gt;1,$A153,""))</f>
        <v>303241</v>
      </c>
      <c r="T154" s="14">
        <v>-1</v>
      </c>
      <c r="U154" s="14">
        <f t="shared" si="27"/>
        <v>10</v>
      </c>
    </row>
    <row r="155" spans="1:21" x14ac:dyDescent="0.2">
      <c r="A155" s="26">
        <v>303243</v>
      </c>
      <c r="B155" s="16" t="str">
        <f t="shared" si="28"/>
        <v>relic_name_303243</v>
      </c>
      <c r="D155" s="15" t="str" cm="1">
        <f t="array" ref="D155">_xlfn.LET(
_xlpm.idx,MATCH(relic!$M155,'-id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IFERROR(INDEX(_xlpm.desc_array,MIN(RIGHT($A155,1),_xlpm.array_len)),"")
)</f>
        <v>赵日天核心</v>
      </c>
      <c r="E155" s="14" t="str">
        <f>IF($F155&lt;&gt;"",_xlfn.CONCAT("relic_icons[relic_layout_",$F155,"]"),"")</f>
        <v>relic_icons[relic_layout_101]</v>
      </c>
      <c r="F155" s="78">
        <v>101</v>
      </c>
      <c r="G155" s="16" t="str">
        <f t="shared" si="26"/>
        <v>relic_desc_303243</v>
      </c>
      <c r="H155" s="50" t="str">
        <v>车轮 动力增强 + 24%</v>
      </c>
      <c r="J155" s="24" t="s">
        <v>37</v>
      </c>
      <c r="L155" s="14">
        <v>240</v>
      </c>
      <c r="M155" s="16" t="s">
        <v>65</v>
      </c>
      <c r="N155" s="16">
        <f t="shared" si="25"/>
        <v>5</v>
      </c>
      <c r="P155" s="16" t="b">
        <f t="shared" si="29"/>
        <v>1</v>
      </c>
      <c r="Q155" s="16"/>
      <c r="R155" s="16"/>
      <c r="S155" s="16">
        <f t="shared" si="30"/>
        <v>303242</v>
      </c>
      <c r="T155" s="14">
        <v>-1</v>
      </c>
      <c r="U155" s="14">
        <f t="shared" si="27"/>
        <v>15</v>
      </c>
    </row>
    <row r="156" spans="1:21" x14ac:dyDescent="0.2">
      <c r="A156" s="26"/>
      <c r="B156" s="16" t="str">
        <f t="shared" ref="B156:B167" si="31">IF(A156&lt;&gt;"","relic_name_"&amp;$A156,"")</f>
        <v/>
      </c>
      <c r="D156" s="15" t="str" cm="1">
        <f t="array" ref="D156">_xlfn.LET(
_xlpm.idx,MATCH(relic!$M156,'-id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IFERROR(INDEX(_xlpm.desc_array,MIN(RIGHT($A156,1),_xlpm.array_len)),"")
)</f>
        <v/>
      </c>
      <c r="F156" s="78" t="s">
        <v>117</v>
      </c>
      <c r="G156" s="16" t="str">
        <f t="shared" si="26"/>
        <v/>
      </c>
      <c r="H156" s="71"/>
      <c r="N156" s="16" t="str">
        <f t="shared" si="25"/>
        <v/>
      </c>
      <c r="P156" s="16" t="str">
        <f t="shared" si="29"/>
        <v/>
      </c>
      <c r="Q156" s="16"/>
      <c r="R156" s="16"/>
      <c r="S156" s="16" t="str">
        <f t="shared" si="30"/>
        <v/>
      </c>
      <c r="U156" s="14" t="str">
        <f t="shared" si="27"/>
        <v/>
      </c>
    </row>
    <row r="157" spans="1:21" x14ac:dyDescent="0.2">
      <c r="A157" s="26">
        <v>306211</v>
      </c>
      <c r="B157" s="16" t="str">
        <f t="shared" si="31"/>
        <v>relic_name_306211</v>
      </c>
      <c r="D157" s="15" t="str" cm="1">
        <f t="array" ref="D157">_xlfn.LET(
_xlpm.idx,MATCH(relic!$M157,'-id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IFERROR(INDEX(_xlpm.desc_array,MIN(RIGHT($A157,1),_xlpm.array_len)),"")
)</f>
        <v>警官帽</v>
      </c>
      <c r="E157" s="14" t="str">
        <f>IF($F157&lt;&gt;"",_xlfn.CONCAT("relic_icons[relic_layout_",$F157,"]"),"")</f>
        <v>relic_icons[relic_layout_102]</v>
      </c>
      <c r="F157" s="78">
        <v>102</v>
      </c>
      <c r="G157" s="16" t="str">
        <f t="shared" si="26"/>
        <v>relic_desc_306211</v>
      </c>
      <c r="H157" s="50" t="str" cm="1">
        <f t="array" ref="H157:H159">_xlfn.LET(_xlpm._manual_info,$I157:$I159,
    IF(_xlpm._manual_info&lt;&gt;"",_xlpm._manual_info,_xlfn.LET(
        _xlpm._parm_key,$M157,
        _xlpm._parm_value,$L157:$L159,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撞角 稳定性 + 30%</v>
      </c>
      <c r="J157" s="24" t="s">
        <v>37</v>
      </c>
      <c r="L157" s="14">
        <v>300</v>
      </c>
      <c r="M157" s="16" t="s">
        <v>66</v>
      </c>
      <c r="N157" s="16">
        <f t="shared" si="25"/>
        <v>5</v>
      </c>
      <c r="P157" s="16" t="b">
        <f t="shared" si="29"/>
        <v>1</v>
      </c>
      <c r="Q157" s="16"/>
      <c r="R157" s="16"/>
      <c r="S157" s="16" t="str">
        <f t="shared" si="30"/>
        <v/>
      </c>
      <c r="T157" s="14">
        <v>-1</v>
      </c>
      <c r="U157" s="14">
        <f t="shared" si="27"/>
        <v>5</v>
      </c>
    </row>
    <row r="158" spans="1:21" x14ac:dyDescent="0.2">
      <c r="A158" s="26">
        <v>306212</v>
      </c>
      <c r="B158" s="16" t="str">
        <f t="shared" si="31"/>
        <v>relic_name_306212</v>
      </c>
      <c r="D158" s="15" t="str" cm="1">
        <f t="array" ref="D158">_xlfn.LET(
_xlpm.idx,MATCH(relic!$M158,'-id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IFERROR(INDEX(_xlpm.desc_array,MIN(RIGHT($A158,1),_xlpm.array_len)),"")
)</f>
        <v>警官帽</v>
      </c>
      <c r="E158" s="14" t="str">
        <f>IF($F158&lt;&gt;"",_xlfn.CONCAT("relic_icons[relic_layout_",$F158,"]"),"")</f>
        <v>relic_icons[relic_layout_103]</v>
      </c>
      <c r="F158" s="78">
        <v>103</v>
      </c>
      <c r="G158" s="16" t="str">
        <f t="shared" si="26"/>
        <v>relic_desc_306212</v>
      </c>
      <c r="H158" s="50" t="str">
        <v>撞角 稳定性 + 60%</v>
      </c>
      <c r="J158" s="24" t="s">
        <v>37</v>
      </c>
      <c r="L158" s="14">
        <v>600</v>
      </c>
      <c r="M158" s="16" t="s">
        <v>66</v>
      </c>
      <c r="N158" s="16">
        <f t="shared" si="25"/>
        <v>5</v>
      </c>
      <c r="P158" s="16" t="b">
        <f t="shared" si="29"/>
        <v>1</v>
      </c>
      <c r="Q158" s="16"/>
      <c r="R158" s="16"/>
      <c r="S158" s="16">
        <f t="shared" si="30"/>
        <v>306211</v>
      </c>
      <c r="T158" s="14">
        <v>-1</v>
      </c>
      <c r="U158" s="14">
        <f t="shared" si="27"/>
        <v>10</v>
      </c>
    </row>
    <row r="159" spans="1:21" x14ac:dyDescent="0.2">
      <c r="A159" s="26">
        <v>306213</v>
      </c>
      <c r="B159" s="16" t="str">
        <f t="shared" si="31"/>
        <v>relic_name_306213</v>
      </c>
      <c r="D159" s="15" t="str" cm="1">
        <f t="array" ref="D159">_xlfn.LET(
_xlpm.idx,MATCH(relic!$M159,'-id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IFERROR(INDEX(_xlpm.desc_array,MIN(RIGHT($A159,1),_xlpm.array_len)),"")
)</f>
        <v>警官帽</v>
      </c>
      <c r="E159" s="14" t="str">
        <f>IF($F159&lt;&gt;"",_xlfn.CONCAT("relic_icons[relic_layout_",$F159,"]"),"")</f>
        <v>relic_icons[relic_layout_104]</v>
      </c>
      <c r="F159" s="78">
        <v>104</v>
      </c>
      <c r="G159" s="16" t="str">
        <f t="shared" si="26"/>
        <v>relic_desc_306213</v>
      </c>
      <c r="H159" s="50" t="str">
        <v>撞角 稳定性 + 90%</v>
      </c>
      <c r="J159" s="24" t="s">
        <v>37</v>
      </c>
      <c r="L159" s="14">
        <v>900</v>
      </c>
      <c r="M159" s="16" t="s">
        <v>66</v>
      </c>
      <c r="N159" s="16">
        <f t="shared" si="25"/>
        <v>5</v>
      </c>
      <c r="P159" s="16" t="b">
        <f t="shared" si="29"/>
        <v>1</v>
      </c>
      <c r="Q159" s="16"/>
      <c r="R159" s="16"/>
      <c r="S159" s="16">
        <f t="shared" si="30"/>
        <v>306212</v>
      </c>
      <c r="T159" s="14">
        <v>-1</v>
      </c>
      <c r="U159" s="14">
        <f t="shared" si="27"/>
        <v>15</v>
      </c>
    </row>
    <row r="160" spans="1:21" x14ac:dyDescent="0.2">
      <c r="A160" s="26"/>
      <c r="B160" s="16" t="str">
        <f t="shared" si="31"/>
        <v/>
      </c>
      <c r="D160" s="15" t="str" cm="1">
        <f t="array" ref="D160">_xlfn.LET(
_xlpm.idx,MATCH(relic!$M160,'-id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IFERROR(INDEX(_xlpm.desc_array,MIN(RIGHT($A160,1),_xlpm.array_len)),"")
)</f>
        <v/>
      </c>
      <c r="F160" s="78" t="s">
        <v>117</v>
      </c>
      <c r="G160" s="16" t="str">
        <f t="shared" si="26"/>
        <v/>
      </c>
      <c r="H160" s="71"/>
      <c r="N160" s="16" t="str">
        <f t="shared" si="25"/>
        <v/>
      </c>
      <c r="P160" s="16" t="str">
        <f t="shared" si="29"/>
        <v/>
      </c>
      <c r="Q160" s="16"/>
      <c r="R160" s="16"/>
      <c r="S160" s="16" t="str">
        <f t="shared" si="30"/>
        <v/>
      </c>
      <c r="U160" s="14" t="str">
        <f t="shared" si="27"/>
        <v/>
      </c>
    </row>
    <row r="161" spans="1:23" x14ac:dyDescent="0.2">
      <c r="A161" s="26">
        <v>306221</v>
      </c>
      <c r="B161" s="16" t="str">
        <f t="shared" si="31"/>
        <v>relic_name_306221</v>
      </c>
      <c r="D161" s="15" t="str" cm="1">
        <f t="array" ref="D161">_xlfn.LET(
_xlpm.idx,MATCH(relic!$M161,'-id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IFERROR(INDEX(_xlpm.desc_array,MIN(RIGHT($A161,1),_xlpm.array_len)),"")
)</f>
        <v>花洒</v>
      </c>
      <c r="E161" s="14" t="str">
        <f>IF($F161&lt;&gt;"",_xlfn.CONCAT("relic_icons[relic_layout_",$F161,"]"),"")</f>
        <v>relic_icons[relic_layout_105]</v>
      </c>
      <c r="F161" s="78">
        <v>105</v>
      </c>
      <c r="G161" s="16" t="str">
        <f t="shared" si="26"/>
        <v>relic_desc_306221</v>
      </c>
      <c r="H161" s="50" t="str" cm="1">
        <f t="array" ref="H161:H163">_xlfn.LET(_xlpm._manual_info,$I161:$I163,
    IF(_xlpm._manual_info&lt;&gt;"",_xlpm._manual_info,_xlfn.LET(
        _xlpm._parm_key,$M161,
        _xlpm._parm_value,$L161:$L163,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撞角 操纵性 + 15%</v>
      </c>
      <c r="J161" s="24" t="s">
        <v>37</v>
      </c>
      <c r="L161" s="14">
        <v>150</v>
      </c>
      <c r="M161" s="16" t="s">
        <v>67</v>
      </c>
      <c r="N161" s="16">
        <f t="shared" si="25"/>
        <v>5</v>
      </c>
      <c r="P161" s="16" t="b">
        <f t="shared" si="29"/>
        <v>1</v>
      </c>
      <c r="Q161" s="16"/>
      <c r="R161" s="16"/>
      <c r="S161" s="16" t="str">
        <f t="shared" si="30"/>
        <v/>
      </c>
      <c r="T161" s="14">
        <v>-1</v>
      </c>
      <c r="U161" s="14">
        <f t="shared" si="27"/>
        <v>5</v>
      </c>
    </row>
    <row r="162" spans="1:23" x14ac:dyDescent="0.2">
      <c r="A162" s="26">
        <v>306222</v>
      </c>
      <c r="B162" s="16" t="str">
        <f t="shared" si="31"/>
        <v>relic_name_306222</v>
      </c>
      <c r="D162" s="15" t="str" cm="1">
        <f t="array" ref="D162">_xlfn.LET(
_xlpm.idx,MATCH(relic!$M162,'-id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IFERROR(INDEX(_xlpm.desc_array,MIN(RIGHT($A162,1),_xlpm.array_len)),"")
)</f>
        <v>花洒</v>
      </c>
      <c r="E162" s="14" t="str">
        <f>IF($F162&lt;&gt;"",_xlfn.CONCAT("relic_icons[relic_layout_",$F162,"]"),"")</f>
        <v>relic_icons[relic_layout_106]</v>
      </c>
      <c r="F162" s="78">
        <v>106</v>
      </c>
      <c r="G162" s="16" t="str">
        <f t="shared" si="26"/>
        <v>relic_desc_306222</v>
      </c>
      <c r="H162" s="50" t="str">
        <v>撞角 操纵性 + 30%</v>
      </c>
      <c r="J162" s="24" t="s">
        <v>37</v>
      </c>
      <c r="L162" s="14">
        <v>300</v>
      </c>
      <c r="M162" s="16" t="s">
        <v>67</v>
      </c>
      <c r="N162" s="16">
        <f t="shared" si="25"/>
        <v>5</v>
      </c>
      <c r="P162" s="16" t="b">
        <f t="shared" si="29"/>
        <v>1</v>
      </c>
      <c r="Q162" s="16"/>
      <c r="R162" s="16"/>
      <c r="S162" s="16">
        <f t="shared" si="30"/>
        <v>306221</v>
      </c>
      <c r="T162" s="14">
        <v>-1</v>
      </c>
      <c r="U162" s="14">
        <f t="shared" si="27"/>
        <v>10</v>
      </c>
    </row>
    <row r="163" spans="1:23" x14ac:dyDescent="0.2">
      <c r="A163" s="26">
        <v>306223</v>
      </c>
      <c r="B163" s="16" t="str">
        <f t="shared" si="31"/>
        <v>relic_name_306223</v>
      </c>
      <c r="D163" s="15" t="str" cm="1">
        <f t="array" ref="D163">_xlfn.LET(
_xlpm.idx,MATCH(relic!$M163,'-id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IFERROR(INDEX(_xlpm.desc_array,MIN(RIGHT($A163,1),_xlpm.array_len)),"")
)</f>
        <v>花洒</v>
      </c>
      <c r="E163" s="14" t="str">
        <f>IF($F163&lt;&gt;"",_xlfn.CONCAT("relic_icons[relic_layout_",$F163,"]"),"")</f>
        <v>relic_icons[relic_layout_107]</v>
      </c>
      <c r="F163" s="78">
        <v>107</v>
      </c>
      <c r="G163" s="16" t="str">
        <f t="shared" si="26"/>
        <v>relic_desc_306223</v>
      </c>
      <c r="H163" s="50" t="str">
        <v>撞角 操纵性 + 45%</v>
      </c>
      <c r="J163" s="24" t="s">
        <v>37</v>
      </c>
      <c r="L163" s="14">
        <v>450</v>
      </c>
      <c r="M163" s="16" t="s">
        <v>67</v>
      </c>
      <c r="N163" s="16">
        <f t="shared" si="25"/>
        <v>5</v>
      </c>
      <c r="P163" s="16" t="b">
        <f t="shared" si="29"/>
        <v>1</v>
      </c>
      <c r="Q163" s="16"/>
      <c r="R163" s="16"/>
      <c r="S163" s="16">
        <f t="shared" si="30"/>
        <v>306222</v>
      </c>
      <c r="T163" s="14">
        <v>-1</v>
      </c>
      <c r="U163" s="14">
        <f t="shared" si="27"/>
        <v>15</v>
      </c>
    </row>
    <row r="164" spans="1:23" x14ac:dyDescent="0.2">
      <c r="A164" s="26"/>
      <c r="B164" s="16" t="str">
        <f t="shared" si="31"/>
        <v/>
      </c>
      <c r="D164" s="15" t="str" cm="1">
        <f t="array" ref="D164">_xlfn.LET(
_xlpm.idx,MATCH(relic!$M164,'-id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IFERROR(INDEX(_xlpm.desc_array,MIN(RIGHT($A164,1),_xlpm.array_len)),"")
)</f>
        <v/>
      </c>
      <c r="F164" s="78" t="s">
        <v>117</v>
      </c>
      <c r="G164" s="16" t="str">
        <f t="shared" si="26"/>
        <v/>
      </c>
      <c r="H164" s="71"/>
      <c r="N164" s="16" t="str">
        <f t="shared" si="25"/>
        <v/>
      </c>
      <c r="P164" s="16" t="str">
        <f t="shared" si="29"/>
        <v/>
      </c>
      <c r="Q164" s="16"/>
      <c r="R164" s="16"/>
      <c r="S164" s="16" t="str">
        <f t="shared" si="30"/>
        <v/>
      </c>
      <c r="U164" s="14" t="str">
        <f t="shared" si="27"/>
        <v/>
      </c>
    </row>
    <row r="165" spans="1:23" x14ac:dyDescent="0.2">
      <c r="A165" s="26">
        <v>306231</v>
      </c>
      <c r="B165" s="16" t="str">
        <f t="shared" si="31"/>
        <v>relic_name_306231</v>
      </c>
      <c r="D165" s="15" t="str" cm="1">
        <f t="array" ref="D165">_xlfn.LET(
_xlpm.idx,MATCH(relic!$M165,'-id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IFERROR(INDEX(_xlpm.desc_array,MIN(RIGHT($A165,1),_xlpm.array_len)),"")
)</f>
        <v>牢房门</v>
      </c>
      <c r="E165" s="14" t="str">
        <f>IF($F165&lt;&gt;"",_xlfn.CONCAT("relic_icons[relic_layout_",$F165,"]"),"")</f>
        <v>relic_icons[relic_layout_108]</v>
      </c>
      <c r="F165" s="78">
        <v>108</v>
      </c>
      <c r="G165" s="16" t="str">
        <f t="shared" si="26"/>
        <v>relic_desc_306231</v>
      </c>
      <c r="H165" s="50" t="str" cm="1">
        <f t="array" ref="H165:H167">_xlfn.LET(_xlpm._manual_info,$I165:$I167,
    IF(_xlpm._manual_info&lt;&gt;"",_xlpm._manual_info,_xlfn.LET(
        _xlpm._parm_key,$M165,
        _xlpm._parm_value,$L165:$L167,
        _xlpm._desc,_xlfn.XLOOKUP(_xlpm._parm_key,'-id 配置说明'!$A:$A,'-id 配置说明'!$F:$F),
        _xlpm._tp,_xlfn.XLOOKUP(_xlpm._parm_key,'-id 配置说明'!$A:$A,'-id 配置说明'!$B:$B),
        _xlpm._expr,INDEX(_xlfn.TEXTSPLIT(_xlpm._desc," = "),2)&amp;" + "&amp;_xlfn.SWITCH(_xlpm._tp,"pts",TEXT(_xlpm._parm_value/1000,"0%"),"add",_xlpm._parm_value),
        IFERROR(_xlpm._expr,"")
    ))
)</f>
        <v>撞角 速度伤害附加 + 20%</v>
      </c>
      <c r="J165" s="24" t="s">
        <v>37</v>
      </c>
      <c r="L165" s="14">
        <v>200</v>
      </c>
      <c r="M165" s="16" t="s">
        <v>68</v>
      </c>
      <c r="N165" s="16">
        <f t="shared" si="25"/>
        <v>5</v>
      </c>
      <c r="P165" s="16" t="b">
        <f t="shared" si="29"/>
        <v>1</v>
      </c>
      <c r="Q165" s="16"/>
      <c r="R165" s="16"/>
      <c r="S165" s="16" t="str">
        <f t="shared" si="30"/>
        <v/>
      </c>
      <c r="T165" s="14">
        <v>-1</v>
      </c>
      <c r="U165" s="14">
        <f t="shared" si="27"/>
        <v>5</v>
      </c>
    </row>
    <row r="166" spans="1:23" x14ac:dyDescent="0.2">
      <c r="A166" s="26">
        <v>306232</v>
      </c>
      <c r="B166" s="16" t="str">
        <f t="shared" si="31"/>
        <v>relic_name_306232</v>
      </c>
      <c r="D166" s="15" t="str" cm="1">
        <f t="array" ref="D166">_xlfn.LET(
_xlpm.idx,MATCH(relic!$M166,'-id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IFERROR(INDEX(_xlpm.desc_array,MIN(RIGHT($A166,1),_xlpm.array_len)),"")
)</f>
        <v>牢房门</v>
      </c>
      <c r="E166" s="14" t="str">
        <f>IF($F166&lt;&gt;"",_xlfn.CONCAT("relic_icons[relic_layout_",$F166,"]"),"")</f>
        <v>relic_icons[relic_layout_109]</v>
      </c>
      <c r="F166" s="78">
        <v>109</v>
      </c>
      <c r="G166" s="16" t="str">
        <f t="shared" si="26"/>
        <v>relic_desc_306232</v>
      </c>
      <c r="H166" s="50" t="str">
        <v>撞角 速度伤害附加 + 40%</v>
      </c>
      <c r="J166" s="24" t="s">
        <v>37</v>
      </c>
      <c r="L166" s="14">
        <v>400</v>
      </c>
      <c r="M166" s="16" t="s">
        <v>68</v>
      </c>
      <c r="N166" s="16">
        <f t="shared" si="25"/>
        <v>5</v>
      </c>
      <c r="P166" s="16" t="b">
        <f t="shared" si="29"/>
        <v>1</v>
      </c>
      <c r="Q166" s="16"/>
      <c r="R166" s="16"/>
      <c r="S166" s="16">
        <f t="shared" si="30"/>
        <v>306231</v>
      </c>
      <c r="T166" s="14">
        <v>-1</v>
      </c>
      <c r="U166" s="14">
        <f t="shared" si="27"/>
        <v>10</v>
      </c>
    </row>
    <row r="167" spans="1:23" x14ac:dyDescent="0.2">
      <c r="A167" s="26">
        <v>306233</v>
      </c>
      <c r="B167" s="16" t="str">
        <f t="shared" si="31"/>
        <v>relic_name_306233</v>
      </c>
      <c r="D167" s="15" t="str" cm="1">
        <f t="array" ref="D167">_xlfn.LET(
_xlpm.idx,MATCH(relic!$M167,'-id 配置说明'!$A:$A,0),
_xlpm.desc_1,INDEX('-id 配置说明'!$J:$J,_xlpm.idx),
_xlpm.desc_2,INDEX('-id 配置说明'!$K:$K,_xlpm.idx),
_xlpm.desc_array,_xlfn.TEXTSPLIT(_xlpm.desc_2,"；"),
_xlpm.array_len,COLUMNS(_xlpm.desc_array),
IFERROR(INDEX(_xlpm.desc_array,MIN(RIGHT($A167,1),_xlpm.array_len)),"")
)</f>
        <v>牢房门</v>
      </c>
      <c r="E167" s="14" t="str">
        <f>IF($F167&lt;&gt;"",_xlfn.CONCAT("relic_icons[relic_layout_",$F167,"]"),"")</f>
        <v>relic_icons[relic_layout_110]</v>
      </c>
      <c r="F167" s="78">
        <v>110</v>
      </c>
      <c r="G167" s="16" t="str">
        <f t="shared" si="26"/>
        <v>relic_desc_306233</v>
      </c>
      <c r="H167" s="50" t="str">
        <v>撞角 速度伤害附加 + 60%</v>
      </c>
      <c r="J167" s="24" t="s">
        <v>37</v>
      </c>
      <c r="L167" s="14">
        <v>600</v>
      </c>
      <c r="M167" s="16" t="s">
        <v>68</v>
      </c>
      <c r="N167" s="16">
        <f t="shared" si="25"/>
        <v>5</v>
      </c>
      <c r="P167" s="16" t="b">
        <f t="shared" si="29"/>
        <v>1</v>
      </c>
      <c r="Q167" s="16"/>
      <c r="R167" s="16"/>
      <c r="S167" s="16">
        <f t="shared" si="30"/>
        <v>306232</v>
      </c>
      <c r="T167" s="14">
        <v>-1</v>
      </c>
      <c r="U167" s="14">
        <f t="shared" si="27"/>
        <v>15</v>
      </c>
    </row>
    <row r="171" spans="1:23" x14ac:dyDescent="0.2">
      <c r="A171" s="39">
        <v>310201</v>
      </c>
      <c r="B171" s="16" t="str">
        <f t="shared" ref="B171:B188" si="32">IF(A171&lt;&gt;"","relic_name_"&amp;$A171,"")</f>
        <v>relic_name_310201</v>
      </c>
      <c r="D171" s="69" t="s">
        <v>277</v>
      </c>
      <c r="E171" s="68" t="str">
        <f>_xlfn.LET(_xlpm._asset,"relic_layout",
_xlfn.CONCAT(_xlpm._asset,"[",_xlpm._asset,"_",$F171,"]"))</f>
        <v>relic_layout[relic_layout_28]</v>
      </c>
      <c r="F171" s="80">
        <v>28</v>
      </c>
      <c r="G171" s="16" t="str">
        <f t="shared" ref="G171:G219" si="33">IF($A171&lt;&gt;"","relic_desc_"&amp;$A171,"")</f>
        <v>relic_desc_310201</v>
      </c>
      <c r="H171" s="15" t="str" cm="1">
        <f t="array" ref="H171">IF($I171&lt;&gt;"",$I171,
_xlfn.LET(
_xlpm.idx,MATCH(relic!$M171,'-id 配置说明'!$A:$A,0),
_xlpm.desc,INDEX('-id 配置说明'!$F:$F,_xlpm.idx),
_xlpm.tp,INDEX('-id 配置说明'!$B:$B,_xlpm.idx),
_xlpm.expr,RIGHT(_xlpm.desc,LEN(_xlpm.desc)-FIND("=",_xlpm.desc))&amp;" + "&amp;_xlfn.SWITCH(_xlpm.tp,"pts",TEXT($L171/1000,"0%"),"add",$L171),
IFERROR(_xlpm.expr,"")
))</f>
        <v>你的子弹失去重力，变得失重</v>
      </c>
      <c r="I171" s="15" t="s">
        <v>280</v>
      </c>
      <c r="J171" s="24" t="s">
        <v>37</v>
      </c>
      <c r="K171" s="15" t="s">
        <v>271</v>
      </c>
      <c r="L171" s="14">
        <v>-1000</v>
      </c>
      <c r="M171" s="41" t="s">
        <v>265</v>
      </c>
      <c r="N171" s="14">
        <v>1</v>
      </c>
      <c r="P171" s="14" t="b">
        <v>1</v>
      </c>
      <c r="R171" s="14">
        <v>310202</v>
      </c>
      <c r="T171" s="51">
        <v>1</v>
      </c>
      <c r="U171" s="14">
        <v>5</v>
      </c>
    </row>
    <row r="172" spans="1:23" x14ac:dyDescent="0.2">
      <c r="A172" s="39">
        <v>310202</v>
      </c>
      <c r="B172" s="16" t="str">
        <f t="shared" si="32"/>
        <v>relic_name_310202</v>
      </c>
      <c r="D172" s="69" t="s">
        <v>278</v>
      </c>
      <c r="E172" s="68" t="str">
        <f>_xlfn.LET(_xlpm._asset,"relic_layout",
_xlfn.CONCAT(_xlpm._asset,"[",_xlpm._asset,"_",$F172,"]"))</f>
        <v>relic_layout[relic_layout_28]</v>
      </c>
      <c r="F172" s="80">
        <v>28</v>
      </c>
      <c r="G172" s="16" t="str">
        <f t="shared" si="33"/>
        <v>relic_desc_310202</v>
      </c>
      <c r="H172" s="15" t="str" cm="1">
        <f t="array" ref="H172">IF($I172&lt;&gt;"",$I172,
_xlfn.LET(
_xlpm.idx,MATCH(relic!$M172,'-id 配置说明'!$A:$A,0),
_xlpm.desc,INDEX('-id 配置说明'!$F:$F,_xlpm.idx),
_xlpm.tp,INDEX('-id 配置说明'!$B:$B,_xlpm.idx),
_xlpm.expr,RIGHT(_xlpm.desc,LEN(_xlpm.desc)-FIND("=",_xlpm.desc))&amp;" + "&amp;_xlfn.SWITCH(_xlpm.tp,"pts",TEXT($L172/1000,"0%"),"add",$L172),
IFERROR(_xlpm.expr,"")
))</f>
        <v>你的子弹开始受到向上的浮力</v>
      </c>
      <c r="I172" s="15" t="s">
        <v>279</v>
      </c>
      <c r="J172" s="24" t="s">
        <v>37</v>
      </c>
      <c r="K172" s="15" t="s">
        <v>271</v>
      </c>
      <c r="L172" s="14">
        <v>-2000</v>
      </c>
      <c r="M172" s="41" t="s">
        <v>265</v>
      </c>
      <c r="N172" s="14">
        <v>1</v>
      </c>
      <c r="P172" s="14" t="b">
        <v>0</v>
      </c>
      <c r="S172" s="14">
        <v>310201</v>
      </c>
      <c r="T172" s="51">
        <v>1</v>
      </c>
      <c r="U172" s="14">
        <v>10</v>
      </c>
    </row>
    <row r="174" spans="1:23" x14ac:dyDescent="0.2">
      <c r="A174" s="39">
        <v>310203</v>
      </c>
      <c r="B174" s="73" t="str">
        <f>IF(A174&lt;&gt;"","relic_name_"&amp;$A174,"")</f>
        <v>relic_name_310203</v>
      </c>
      <c r="C174" s="82" t="s">
        <v>386</v>
      </c>
      <c r="D174" s="69" t="s">
        <v>365</v>
      </c>
      <c r="E174" s="68" t="str">
        <f>_xlfn.LET(_xlpm._asset,"relic_layout",
_xlfn.CONCAT(_xlpm._asset,"[",_xlpm._asset,"_",$F174,"]"))</f>
        <v>relic_layout[relic_layout_52]</v>
      </c>
      <c r="F174" s="79">
        <v>52</v>
      </c>
      <c r="G174" s="16" t="str">
        <f t="shared" si="33"/>
        <v>relic_desc_310203</v>
      </c>
      <c r="H174" s="15" t="str" cm="1">
        <f t="array" ref="H174">IF($I174&lt;&gt;"",$I174,
_xlfn.LET(
_xlpm.idx,MATCH(relic!$M174,'-id 配置说明'!$A:$A,0),
_xlpm.desc,INDEX('-id 配置说明'!$F:$F,_xlpm.idx),
_xlpm.tp,INDEX('-id 配置说明'!$B:$B,_xlpm.idx),
_xlpm.expr,RIGHT(_xlpm.desc,LEN(_xlpm.desc)-FIND("=",_xlpm.desc))&amp;" + "&amp;_xlfn.SWITCH(_xlpm.tp,"pts",TEXT($L174/1000,"0%"),"add",$L174),
IFERROR(_xlpm.expr,"")
))</f>
        <v>你的飞射物飞到屏幕上方时，创造1个冰雹攻击敌人</v>
      </c>
      <c r="I174" s="15" t="s">
        <v>428</v>
      </c>
      <c r="J174" s="44" t="s">
        <v>246</v>
      </c>
      <c r="K174" s="15" t="s">
        <v>437</v>
      </c>
      <c r="L174" s="40" t="s">
        <v>434</v>
      </c>
      <c r="N174" s="73">
        <f>ROUND(POWER(O174,(5-T174)/5),0)</f>
        <v>1</v>
      </c>
      <c r="O174" s="30">
        <v>1</v>
      </c>
      <c r="P174" s="24" t="b">
        <v>1</v>
      </c>
      <c r="Q174" s="68"/>
      <c r="R174" s="74" t="s">
        <v>433</v>
      </c>
      <c r="S174" s="68"/>
      <c r="T174" s="63">
        <v>0</v>
      </c>
      <c r="U174" s="72">
        <f>ROUND(V174*POWER(W174,T174),0)</f>
        <v>9</v>
      </c>
      <c r="V174" s="30">
        <v>9</v>
      </c>
      <c r="W174" s="30">
        <v>2.56</v>
      </c>
    </row>
    <row r="175" spans="1:23" x14ac:dyDescent="0.2">
      <c r="A175" s="39">
        <v>310204</v>
      </c>
      <c r="B175" s="73" t="str">
        <f>IF(A175&lt;&gt;"","relic_name_"&amp;$A175,"")</f>
        <v>relic_name_310204</v>
      </c>
      <c r="C175" s="82" t="s">
        <v>386</v>
      </c>
      <c r="D175" s="69" t="s">
        <v>425</v>
      </c>
      <c r="E175" s="68" t="str">
        <f t="shared" ref="E175:E219" si="34">_xlfn.LET(_xlpm._asset,"relic_layout",
_xlfn.CONCAT(_xlpm._asset,"[",_xlpm._asset,"_",$F175,"]"))</f>
        <v>relic_layout[relic_layout_52]</v>
      </c>
      <c r="F175" s="79">
        <v>52</v>
      </c>
      <c r="G175" s="16" t="str">
        <f t="shared" si="33"/>
        <v>relic_desc_310204</v>
      </c>
      <c r="H175" s="15" t="str" cm="1">
        <f t="array" ref="H175">IF($I175&lt;&gt;"",$I175,
_xlfn.LET(
_xlpm.idx,MATCH(relic!$M175,'-id 配置说明'!$A:$A,0),
_xlpm.desc,INDEX('-id 配置说明'!$F:$F,_xlpm.idx),
_xlpm.tp,INDEX('-id 配置说明'!$B:$B,_xlpm.idx),
_xlpm.expr,RIGHT(_xlpm.desc,LEN(_xlpm.desc)-FIND("=",_xlpm.desc))&amp;" + "&amp;_xlfn.SWITCH(_xlpm.tp,"pts",TEXT($L175/1000,"0%"),"add",$L175),
IFERROR(_xlpm.expr,"")
))</f>
        <v>[升级] 你的飞射物飞到屏幕上方时，创造2个冰雹攻击敌人</v>
      </c>
      <c r="I175" s="15" t="s">
        <v>429</v>
      </c>
      <c r="J175" s="44" t="s">
        <v>246</v>
      </c>
      <c r="K175" s="15" t="s">
        <v>437</v>
      </c>
      <c r="L175" s="40" t="s">
        <v>435</v>
      </c>
      <c r="N175" s="73">
        <f>ROUND(POWER(O175,(5-T175)/5),0)</f>
        <v>1</v>
      </c>
      <c r="O175" s="30">
        <v>1</v>
      </c>
      <c r="P175" s="24" t="b">
        <v>0</v>
      </c>
      <c r="Q175" s="68">
        <v>310203</v>
      </c>
      <c r="R175" s="74">
        <v>310205</v>
      </c>
      <c r="S175" s="68">
        <v>310203</v>
      </c>
      <c r="T175" s="64">
        <v>1</v>
      </c>
      <c r="U175" s="72">
        <f>ROUND(V175*POWER(W175,T175),0)</f>
        <v>23</v>
      </c>
      <c r="V175" s="30">
        <v>9</v>
      </c>
      <c r="W175" s="30">
        <v>2.56</v>
      </c>
    </row>
    <row r="176" spans="1:23" x14ac:dyDescent="0.2">
      <c r="A176" s="39">
        <v>310205</v>
      </c>
      <c r="B176" s="73" t="str">
        <f>IF(A176&lt;&gt;"","relic_name_"&amp;$A176,"")</f>
        <v>relic_name_310205</v>
      </c>
      <c r="C176" s="82" t="s">
        <v>386</v>
      </c>
      <c r="D176" s="69" t="s">
        <v>426</v>
      </c>
      <c r="E176" s="68" t="str">
        <f t="shared" si="34"/>
        <v>relic_layout[relic_layout_52]</v>
      </c>
      <c r="F176" s="79">
        <v>52</v>
      </c>
      <c r="G176" s="16" t="str">
        <f t="shared" si="33"/>
        <v>relic_desc_310205</v>
      </c>
      <c r="H176" s="15" t="str" cm="1">
        <f t="array" ref="H176">IF($I176&lt;&gt;"",$I176,
_xlfn.LET(
_xlpm.idx,MATCH(relic!$M176,'-id 配置说明'!$A:$A,0),
_xlpm.desc,INDEX('-id 配置说明'!$F:$F,_xlpm.idx),
_xlpm.tp,INDEX('-id 配置说明'!$B:$B,_xlpm.idx),
_xlpm.expr,RIGHT(_xlpm.desc,LEN(_xlpm.desc)-FIND("=",_xlpm.desc))&amp;" + "&amp;_xlfn.SWITCH(_xlpm.tp,"pts",TEXT($L176/1000,"0%"),"add",$L176),
IFERROR(_xlpm.expr,"")
))</f>
        <v>[升级] 你的飞射物飞到屏幕上方时，创造4个冰雹攻击敌人</v>
      </c>
      <c r="I176" s="15" t="s">
        <v>430</v>
      </c>
      <c r="J176" s="44" t="s">
        <v>246</v>
      </c>
      <c r="K176" s="15" t="s">
        <v>437</v>
      </c>
      <c r="L176" s="40" t="s">
        <v>436</v>
      </c>
      <c r="N176" s="73">
        <f>ROUND(POWER(O176,(5-T176)/5),0)</f>
        <v>1</v>
      </c>
      <c r="O176" s="30">
        <v>1</v>
      </c>
      <c r="P176" s="24" t="b">
        <v>0</v>
      </c>
      <c r="Q176" s="68">
        <v>310204</v>
      </c>
      <c r="R176" s="68"/>
      <c r="S176" s="68">
        <v>310204</v>
      </c>
      <c r="T176" s="65">
        <v>2</v>
      </c>
      <c r="U176" s="72">
        <f>ROUND(V176*POWER(W176,T176),0)</f>
        <v>59</v>
      </c>
      <c r="V176" s="30">
        <v>9</v>
      </c>
      <c r="W176" s="30">
        <v>2.56</v>
      </c>
    </row>
    <row r="178" spans="1:23" x14ac:dyDescent="0.2">
      <c r="A178" s="39">
        <v>310206</v>
      </c>
      <c r="B178" s="73" t="str">
        <f>IF(A178&lt;&gt;"","relic_name_"&amp;$A178,"")</f>
        <v>relic_name_310206</v>
      </c>
      <c r="C178" s="82" t="s">
        <v>386</v>
      </c>
      <c r="D178" s="69" t="s">
        <v>419</v>
      </c>
      <c r="E178" s="68" t="str">
        <f t="shared" si="34"/>
        <v>relic_layout[relic_layout_12]</v>
      </c>
      <c r="F178" s="79">
        <v>12</v>
      </c>
      <c r="G178" s="16" t="str">
        <f t="shared" si="33"/>
        <v>relic_desc_310206</v>
      </c>
      <c r="H178" s="15" t="str" cm="1">
        <f t="array" ref="H178">IF($I178&lt;&gt;"",$I178,
_xlfn.LET(
_xlpm.idx,MATCH(relic!$M178,'-id 配置说明'!$A:$A,0),
_xlpm.desc,INDEX('-id 配置说明'!$F:$F,_xlpm.idx),
_xlpm.tp,INDEX('-id 配置说明'!$B:$B,_xlpm.idx),
_xlpm.expr,RIGHT(_xlpm.desc,LEN(_xlpm.desc)-FIND("=",_xlpm.desc))&amp;" + "&amp;_xlfn.SWITCH(_xlpm.tp,"pts",TEXT($L178/1000,"0%"),"add",$L178),
IFERROR(_xlpm.expr,"")
))</f>
        <v>首次命中敌人后，发生裂变。（新子弹方向随机，速度初始化，寿命继承，已裂变次数继承）</v>
      </c>
      <c r="I178" s="15" t="s">
        <v>266</v>
      </c>
      <c r="J178" s="44" t="s">
        <v>248</v>
      </c>
      <c r="K178" s="15" t="s">
        <v>275</v>
      </c>
      <c r="L178" s="40">
        <v>-1</v>
      </c>
      <c r="M178" s="41" t="s">
        <v>269</v>
      </c>
      <c r="N178" s="73">
        <f>ROUND(POWER(O178,(5-T178)/5),0)</f>
        <v>1</v>
      </c>
      <c r="O178" s="30">
        <v>1</v>
      </c>
      <c r="P178" s="68" t="b">
        <v>1</v>
      </c>
      <c r="Q178" s="74" t="s">
        <v>317</v>
      </c>
      <c r="R178" s="68"/>
      <c r="S178" s="68"/>
      <c r="T178" s="67">
        <v>4</v>
      </c>
      <c r="U178" s="72">
        <f>ROUND(V178*POWER(W178,T178),0)</f>
        <v>387</v>
      </c>
      <c r="V178" s="30">
        <v>9</v>
      </c>
      <c r="W178" s="30">
        <v>2.56</v>
      </c>
    </row>
    <row r="179" spans="1:23" x14ac:dyDescent="0.2">
      <c r="A179" s="39">
        <v>310207</v>
      </c>
      <c r="B179" s="73" t="str">
        <f>IF(A179&lt;&gt;"","relic_name_"&amp;$A179,"")</f>
        <v>relic_name_310207</v>
      </c>
      <c r="C179" s="82" t="s">
        <v>386</v>
      </c>
      <c r="D179" s="69" t="s">
        <v>420</v>
      </c>
      <c r="E179" s="68" t="str">
        <f t="shared" si="34"/>
        <v>relic_layout[relic_layout_13]</v>
      </c>
      <c r="F179" s="79">
        <v>13</v>
      </c>
      <c r="G179" s="16" t="str">
        <f t="shared" si="33"/>
        <v>relic_desc_310207</v>
      </c>
      <c r="H179" s="15" t="str" cm="1">
        <f t="array" ref="H179">IF($I179&lt;&gt;"",$I179,
_xlfn.LET(
_xlpm.idx,MATCH(relic!$M179,'-id 配置说明'!$A:$A,0),
_xlpm.desc,INDEX('-id 配置说明'!$F:$F,_xlpm.idx),
_xlpm.tp,INDEX('-id 配置说明'!$B:$B,_xlpm.idx),
_xlpm.expr,RIGHT(_xlpm.desc,LEN(_xlpm.desc)-FIND("=",_xlpm.desc))&amp;" + "&amp;_xlfn.SWITCH(_xlpm.tp,"pts",TEXT($L179/1000,"0%"),"add",$L179),
IFERROR(_xlpm.expr,"")
))</f>
        <v>每次击杀敌人时，发生裂变。（新子弹方向随机，速度初始化，寿命继承，已裂变次数继承）</v>
      </c>
      <c r="I179" s="15" t="s">
        <v>267</v>
      </c>
      <c r="J179" s="44" t="s">
        <v>248</v>
      </c>
      <c r="K179" s="15" t="s">
        <v>275</v>
      </c>
      <c r="L179" s="40">
        <v>-1</v>
      </c>
      <c r="M179" s="41" t="s">
        <v>268</v>
      </c>
      <c r="N179" s="73">
        <f>ROUND(POWER(O179,(5-T179)/5),0)</f>
        <v>1</v>
      </c>
      <c r="O179" s="30">
        <v>1</v>
      </c>
      <c r="P179" s="68" t="b">
        <v>1</v>
      </c>
      <c r="Q179" s="74" t="s">
        <v>318</v>
      </c>
      <c r="R179" s="68"/>
      <c r="S179" s="68"/>
      <c r="T179" s="67">
        <v>4</v>
      </c>
      <c r="U179" s="72">
        <f>ROUND(V179*POWER(W179,T179),0)</f>
        <v>387</v>
      </c>
      <c r="V179" s="30">
        <v>9</v>
      </c>
      <c r="W179" s="30">
        <v>2.56</v>
      </c>
    </row>
    <row r="180" spans="1:23" x14ac:dyDescent="0.2">
      <c r="A180" s="39">
        <v>310208</v>
      </c>
      <c r="B180" s="73" t="str">
        <f>IF(A180&lt;&gt;"","relic_name_"&amp;$A180,"")</f>
        <v>relic_name_310208</v>
      </c>
      <c r="C180" s="82" t="s">
        <v>386</v>
      </c>
      <c r="D180" s="69" t="s">
        <v>421</v>
      </c>
      <c r="E180" s="68" t="str">
        <f t="shared" si="34"/>
        <v>relic_layout[relic_layout_14]</v>
      </c>
      <c r="F180" s="79">
        <v>14</v>
      </c>
      <c r="G180" s="16" t="str">
        <f t="shared" si="33"/>
        <v>relic_desc_310208</v>
      </c>
      <c r="H180" s="15" t="str" cm="1">
        <f t="array" ref="H180">IF($I180&lt;&gt;"",$I180,
_xlfn.LET(
_xlpm.idx,MATCH(relic!$M180,'-id 配置说明'!$A:$A,0),
_xlpm.desc,INDEX('-id 配置说明'!$F:$F,_xlpm.idx),
_xlpm.tp,INDEX('-id 配置说明'!$B:$B,_xlpm.idx),
_xlpm.expr,RIGHT(_xlpm.desc,LEN(_xlpm.desc)-FIND("=",_xlpm.desc))&amp;" + "&amp;_xlfn.SWITCH(_xlpm.tp,"pts",TEXT($L180/1000,"0%"),"add",$L180),
IFERROR(_xlpm.expr,"")
))</f>
        <v>销毁时，50%几率发生裂变。（新子弹方向随机，速度初始化，寿命重置，已裂变次数继承）</v>
      </c>
      <c r="I180" s="15" t="s">
        <v>276</v>
      </c>
      <c r="J180" s="44" t="s">
        <v>248</v>
      </c>
      <c r="K180" s="15" t="s">
        <v>275</v>
      </c>
      <c r="L180" s="40">
        <v>500</v>
      </c>
      <c r="M180" s="41" t="s">
        <v>270</v>
      </c>
      <c r="N180" s="73">
        <f>ROUND(POWER(O180,(5-T180)/5),0)</f>
        <v>1</v>
      </c>
      <c r="O180" s="30">
        <v>1</v>
      </c>
      <c r="P180" s="68" t="b">
        <v>1</v>
      </c>
      <c r="Q180" s="74" t="s">
        <v>319</v>
      </c>
      <c r="R180" s="68"/>
      <c r="S180" s="68"/>
      <c r="T180" s="66">
        <v>3</v>
      </c>
      <c r="U180" s="72">
        <f>ROUND(V180*POWER(W180,T180),0)</f>
        <v>151</v>
      </c>
      <c r="V180" s="30">
        <v>9</v>
      </c>
      <c r="W180" s="30">
        <v>2.56</v>
      </c>
    </row>
    <row r="182" spans="1:23" x14ac:dyDescent="0.2">
      <c r="A182" s="39">
        <v>310209</v>
      </c>
      <c r="B182" s="16" t="str">
        <f>IF(A182&lt;&gt;"","relic_name_"&amp;$A182,"")</f>
        <v>relic_name_310209</v>
      </c>
      <c r="D182" s="69" t="s">
        <v>422</v>
      </c>
      <c r="E182" s="68" t="str">
        <f t="shared" si="34"/>
        <v>relic_layout[relic_layout_33]</v>
      </c>
      <c r="F182" s="79">
        <v>33</v>
      </c>
      <c r="G182" s="16" t="str">
        <f t="shared" si="33"/>
        <v>relic_desc_310209</v>
      </c>
      <c r="H182" s="15" t="str" cm="1">
        <f t="array" ref="H182">IF($I182&lt;&gt;"",$I182,
_xlfn.LET(
_xlpm.idx,MATCH(relic!$M182,'-id 配置说明'!$A:$A,0),
_xlpm.desc,INDEX('-id 配置说明'!$F:$F,_xlpm.idx),
_xlpm.tp,INDEX('-id 配置说明'!$B:$B,_xlpm.idx),
_xlpm.expr,RIGHT(_xlpm.desc,LEN(_xlpm.desc)-FIND("=",_xlpm.desc))&amp;" + "&amp;_xlfn.SWITCH(_xlpm.tp,"pts",TEXT($L182/1000,"0%"),"add",$L182),
IFERROR(_xlpm.expr,"")
))</f>
        <v>你的子弹会在发射后0.5秒内返回</v>
      </c>
      <c r="I182" s="15" t="s">
        <v>282</v>
      </c>
      <c r="J182" s="44" t="s">
        <v>249</v>
      </c>
      <c r="K182" s="15" t="s">
        <v>272</v>
      </c>
      <c r="L182" s="14">
        <v>60</v>
      </c>
      <c r="N182" s="14">
        <v>1</v>
      </c>
      <c r="P182" s="14" t="b">
        <v>1</v>
      </c>
      <c r="Q182" s="40" t="s">
        <v>262</v>
      </c>
      <c r="T182" s="51">
        <v>1</v>
      </c>
      <c r="U182" s="45">
        <v>10</v>
      </c>
    </row>
    <row r="183" spans="1:23" x14ac:dyDescent="0.2">
      <c r="A183" s="39">
        <v>310210</v>
      </c>
      <c r="B183" s="16" t="str">
        <f t="shared" si="32"/>
        <v>relic_name_310210</v>
      </c>
      <c r="D183" s="69" t="s">
        <v>423</v>
      </c>
      <c r="E183" s="68" t="str">
        <f t="shared" si="34"/>
        <v>relic_layout[relic_layout_34]</v>
      </c>
      <c r="F183" s="79">
        <v>34</v>
      </c>
      <c r="G183" s="16" t="str">
        <f t="shared" si="33"/>
        <v>relic_desc_310210</v>
      </c>
      <c r="H183" s="15" t="str" cm="1">
        <f t="array" ref="H183">IF($I183&lt;&gt;"",$I183,
_xlfn.LET(
_xlpm.idx,MATCH(relic!$M183,'-id 配置说明'!$A:$A,0),
_xlpm.desc,INDEX('-id 配置说明'!$F:$F,_xlpm.idx),
_xlpm.tp,INDEX('-id 配置说明'!$B:$B,_xlpm.idx),
_xlpm.expr,RIGHT(_xlpm.desc,LEN(_xlpm.desc)-FIND("=",_xlpm.desc))&amp;" + "&amp;_xlfn.SWITCH(_xlpm.tp,"pts",TEXT($L183/1000,"0%"),"add",$L183),
IFERROR(_xlpm.expr,"")
))</f>
        <v>你的子弹会在发射后1秒内返回</v>
      </c>
      <c r="I183" s="15" t="s">
        <v>281</v>
      </c>
      <c r="J183" s="44" t="s">
        <v>249</v>
      </c>
      <c r="K183" s="15" t="s">
        <v>272</v>
      </c>
      <c r="L183" s="14">
        <v>120</v>
      </c>
      <c r="N183" s="14">
        <v>1</v>
      </c>
      <c r="P183" s="14" t="b">
        <v>1</v>
      </c>
      <c r="Q183" s="40" t="s">
        <v>263</v>
      </c>
      <c r="T183" s="51">
        <v>1</v>
      </c>
      <c r="U183" s="14">
        <v>10</v>
      </c>
    </row>
    <row r="184" spans="1:23" x14ac:dyDescent="0.2">
      <c r="A184" s="39">
        <v>310211</v>
      </c>
      <c r="B184" s="16" t="str">
        <f t="shared" si="32"/>
        <v>relic_name_310211</v>
      </c>
      <c r="D184" s="69" t="s">
        <v>424</v>
      </c>
      <c r="E184" s="68" t="str">
        <f t="shared" si="34"/>
        <v>relic_layout[relic_layout_35]</v>
      </c>
      <c r="F184" s="79">
        <v>35</v>
      </c>
      <c r="G184" s="16" t="str">
        <f t="shared" si="33"/>
        <v>relic_desc_310211</v>
      </c>
      <c r="H184" s="15" t="str" cm="1">
        <f t="array" ref="H184">IF($I184&lt;&gt;"",$I184,
_xlfn.LET(
_xlpm.idx,MATCH(relic!$M184,'-id 配置说明'!$A:$A,0),
_xlpm.desc,INDEX('-id 配置说明'!$F:$F,_xlpm.idx),
_xlpm.tp,INDEX('-id 配置说明'!$B:$B,_xlpm.idx),
_xlpm.expr,RIGHT(_xlpm.desc,LEN(_xlpm.desc)-FIND("=",_xlpm.desc))&amp;" + "&amp;_xlfn.SWITCH(_xlpm.tp,"pts",TEXT($L184/1000,"0%"),"add",$L184),
IFERROR(_xlpm.expr,"")
))</f>
        <v>你的子弹会在发射后2秒内返回</v>
      </c>
      <c r="I184" s="15" t="s">
        <v>283</v>
      </c>
      <c r="J184" s="44" t="s">
        <v>249</v>
      </c>
      <c r="K184" s="15" t="s">
        <v>272</v>
      </c>
      <c r="L184" s="14">
        <v>240</v>
      </c>
      <c r="N184" s="14">
        <v>1</v>
      </c>
      <c r="P184" s="14" t="b">
        <v>1</v>
      </c>
      <c r="Q184" s="40" t="s">
        <v>264</v>
      </c>
      <c r="T184" s="51">
        <v>1</v>
      </c>
      <c r="U184" s="14">
        <v>10</v>
      </c>
    </row>
    <row r="186" spans="1:23" x14ac:dyDescent="0.2">
      <c r="A186" s="39">
        <v>310212</v>
      </c>
      <c r="B186" s="16" t="str">
        <f t="shared" si="32"/>
        <v>relic_name_310212</v>
      </c>
      <c r="D186" s="69" t="s">
        <v>284</v>
      </c>
      <c r="E186" s="68" t="str">
        <f t="shared" si="34"/>
        <v>relic_layout[relic_layout_28]</v>
      </c>
      <c r="F186" s="80">
        <v>28</v>
      </c>
      <c r="G186" s="16" t="str">
        <f t="shared" si="33"/>
        <v>relic_desc_310212</v>
      </c>
      <c r="H186" s="15" t="str" cm="1">
        <f t="array" ref="H186">IF($I186&lt;&gt;"",$I186,
_xlfn.LET(
_xlpm.idx,MATCH(relic!$M186,'-id 配置说明'!$A:$A,0),
_xlpm.desc,INDEX('-id 配置说明'!$F:$F,_xlpm.idx),
_xlpm.tp,INDEX('-id 配置说明'!$B:$B,_xlpm.idx),
_xlpm.expr,RIGHT(_xlpm.desc,LEN(_xlpm.desc)-FIND("=",_xlpm.desc))&amp;" + "&amp;_xlfn.SWITCH(_xlpm.tp,"pts",TEXT($L186/1000,"0%"),"add",$L186),
IFERROR(_xlpm.expr,"")
))</f>
        <v>你的子弹会在发射后逐渐失去速度 【你的子弹伤害不再受速度影响】</v>
      </c>
      <c r="I186" s="48" t="s">
        <v>315</v>
      </c>
      <c r="J186" s="47" t="s">
        <v>250</v>
      </c>
      <c r="K186" s="15" t="s">
        <v>314</v>
      </c>
      <c r="L186" s="40">
        <v>970</v>
      </c>
      <c r="M186" s="41" t="s">
        <v>251</v>
      </c>
      <c r="N186" s="14">
        <v>1</v>
      </c>
      <c r="P186" s="14" t="b">
        <v>1</v>
      </c>
      <c r="R186" s="14">
        <v>310213</v>
      </c>
      <c r="T186" s="14">
        <v>-1</v>
      </c>
      <c r="U186" s="14">
        <v>5</v>
      </c>
    </row>
    <row r="187" spans="1:23" x14ac:dyDescent="0.2">
      <c r="A187" s="39">
        <v>310213</v>
      </c>
      <c r="B187" s="16" t="str">
        <f t="shared" si="32"/>
        <v>relic_name_310213</v>
      </c>
      <c r="D187" s="69" t="s">
        <v>284</v>
      </c>
      <c r="E187" s="68" t="str">
        <f t="shared" si="34"/>
        <v>relic_layout[relic_layout_28]</v>
      </c>
      <c r="F187" s="80">
        <v>28</v>
      </c>
      <c r="G187" s="16" t="str">
        <f t="shared" si="33"/>
        <v>relic_desc_310213</v>
      </c>
      <c r="H187" s="15" t="str" cm="1">
        <f t="array" ref="H187">IF($I187&lt;&gt;"",$I187,
_xlfn.LET(
_xlpm.idx,MATCH(relic!$M187,'-id 配置说明'!$A:$A,0),
_xlpm.desc,INDEX('-id 配置说明'!$F:$F,_xlpm.idx),
_xlpm.tp,INDEX('-id 配置说明'!$B:$B,_xlpm.idx),
_xlpm.expr,RIGHT(_xlpm.desc,LEN(_xlpm.desc)-FIND("=",_xlpm.desc))&amp;" + "&amp;_xlfn.SWITCH(_xlpm.tp,"pts",TEXT($L187/1000,"0%"),"add",$L187),
IFERROR(_xlpm.expr,"")
))</f>
        <v>这一效果也将作用于敌方及中立子弹【敌人的子弹伤害依然受速度影响】。</v>
      </c>
      <c r="I187" s="48" t="s">
        <v>316</v>
      </c>
      <c r="J187" s="47" t="s">
        <v>250</v>
      </c>
      <c r="K187" s="15" t="s">
        <v>314</v>
      </c>
      <c r="L187" s="40">
        <v>970</v>
      </c>
      <c r="M187" s="41" t="s">
        <v>252</v>
      </c>
      <c r="N187" s="14">
        <v>1</v>
      </c>
      <c r="P187" s="14" t="b">
        <v>0</v>
      </c>
      <c r="S187" s="14">
        <v>310212</v>
      </c>
      <c r="T187" s="14">
        <v>-1</v>
      </c>
      <c r="U187" s="14">
        <v>10</v>
      </c>
    </row>
    <row r="188" spans="1:23" x14ac:dyDescent="0.2">
      <c r="A188" s="39">
        <v>310214</v>
      </c>
      <c r="B188" s="16" t="str">
        <f t="shared" si="32"/>
        <v>relic_name_310214</v>
      </c>
      <c r="D188" s="15" t="s">
        <v>285</v>
      </c>
      <c r="E188" s="68" t="str">
        <f t="shared" si="34"/>
        <v>relic_layout[relic_layout_28]</v>
      </c>
      <c r="F188" s="80">
        <v>28</v>
      </c>
      <c r="G188" s="16" t="str">
        <f t="shared" si="33"/>
        <v>relic_desc_310214</v>
      </c>
      <c r="H188" s="15" t="str" cm="1">
        <f t="array" ref="H188">IF($I188&lt;&gt;"",$I188,
_xlfn.LET(
_xlpm.idx,MATCH(relic!$M188,'-id 配置说明'!$A:$A,0),
_xlpm.desc,INDEX('-id 配置说明'!$F:$F,_xlpm.idx),
_xlpm.tp,INDEX('-id 配置说明'!$B:$B,_xlpm.idx),
_xlpm.expr,RIGHT(_xlpm.desc,LEN(_xlpm.desc)-FIND("=",_xlpm.desc))&amp;" + "&amp;_xlfn.SWITCH(_xlpm.tp,"pts",TEXT($L188/1000,"0%"),"add",$L188),
IFERROR(_xlpm.expr,"")
))</f>
        <v>落在脚边（屏幕内）的飞射物在销毁时会被回收（特殊拖尾，飞至车体位置），10%概率使设备弹药+1</v>
      </c>
      <c r="I188" s="15" t="s">
        <v>238</v>
      </c>
      <c r="J188" s="43" t="s">
        <v>258</v>
      </c>
      <c r="K188" s="15" t="s">
        <v>273</v>
      </c>
      <c r="L188" s="40" t="s">
        <v>259</v>
      </c>
      <c r="N188" s="14">
        <v>1</v>
      </c>
      <c r="P188" s="14" t="b">
        <v>1</v>
      </c>
      <c r="R188" s="14">
        <v>310215</v>
      </c>
      <c r="T188" s="46"/>
      <c r="U188" s="46"/>
    </row>
    <row r="189" spans="1:23" x14ac:dyDescent="0.2">
      <c r="A189" s="39">
        <v>310215</v>
      </c>
      <c r="B189" s="16" t="str">
        <f t="shared" ref="B189:B196" si="35">IF(A189&lt;&gt;"","relic_name_"&amp;$A189,"")</f>
        <v>relic_name_310215</v>
      </c>
      <c r="D189" s="15" t="s">
        <v>233</v>
      </c>
      <c r="E189" s="68" t="str">
        <f t="shared" si="34"/>
        <v>relic_layout[relic_layout_28]</v>
      </c>
      <c r="F189" s="80">
        <v>28</v>
      </c>
      <c r="G189" s="16" t="str">
        <f t="shared" si="33"/>
        <v>relic_desc_310215</v>
      </c>
      <c r="H189" s="15" t="str" cm="1">
        <f t="array" ref="H189">IF($I189&lt;&gt;"",$I189,
_xlfn.LET(
_xlpm.idx,MATCH(relic!$M189,'-id 配置说明'!$A:$A,0),
_xlpm.desc,INDEX('-id 配置说明'!$F:$F,_xlpm.idx),
_xlpm.tp,INDEX('-id 配置说明'!$B:$B,_xlpm.idx),
_xlpm.expr,RIGHT(_xlpm.desc,LEN(_xlpm.desc)-FIND("=",_xlpm.desc))&amp;" + "&amp;_xlfn.SWITCH(_xlpm.tp,"pts",TEXT($L189/1000,"0%"),"add",$L189),
IFERROR(_xlpm.expr,"")
))</f>
        <v>回收弹药的效果现在可以作用至其他设备。当原设备弹匣容量已满时，将随机恢复其他弹药未满的设备。</v>
      </c>
      <c r="I189" s="15" t="s">
        <v>239</v>
      </c>
      <c r="J189" s="43" t="s">
        <v>258</v>
      </c>
      <c r="K189" s="15" t="s">
        <v>273</v>
      </c>
      <c r="L189" s="40" t="s">
        <v>260</v>
      </c>
      <c r="N189" s="14">
        <v>1</v>
      </c>
      <c r="P189" s="14" t="b">
        <v>0</v>
      </c>
      <c r="R189" s="14">
        <v>310216</v>
      </c>
      <c r="S189" s="14">
        <v>310214</v>
      </c>
      <c r="T189" s="46"/>
      <c r="U189" s="46"/>
    </row>
    <row r="190" spans="1:23" x14ac:dyDescent="0.2">
      <c r="A190" s="39">
        <v>310216</v>
      </c>
      <c r="B190" s="16" t="str">
        <f t="shared" si="35"/>
        <v>relic_name_310216</v>
      </c>
      <c r="D190" s="15" t="s">
        <v>234</v>
      </c>
      <c r="E190" s="68" t="str">
        <f t="shared" si="34"/>
        <v>relic_layout[relic_layout_28]</v>
      </c>
      <c r="F190" s="80">
        <v>28</v>
      </c>
      <c r="G190" s="16" t="str">
        <f t="shared" si="33"/>
        <v>relic_desc_310216</v>
      </c>
      <c r="H190" s="15" t="str" cm="1">
        <f t="array" ref="H190">IF($I190&lt;&gt;"",$I190,
_xlfn.LET(
_xlpm.idx,MATCH(relic!$M190,'-id 配置说明'!$A:$A,0),
_xlpm.desc,INDEX('-id 配置说明'!$F:$F,_xlpm.idx),
_xlpm.tp,INDEX('-id 配置说明'!$B:$B,_xlpm.idx),
_xlpm.expr,RIGHT(_xlpm.desc,LEN(_xlpm.desc)-FIND("=",_xlpm.desc))&amp;" + "&amp;_xlfn.SWITCH(_xlpm.tp,"pts",TEXT($L190/1000,"0%"),"add",$L190),
IFERROR(_xlpm.expr,"")
))</f>
        <v>现在可以回收敌人及中立物体的弹药。</v>
      </c>
      <c r="I190" s="15" t="s">
        <v>240</v>
      </c>
      <c r="J190" s="43" t="s">
        <v>258</v>
      </c>
      <c r="K190" s="15" t="s">
        <v>273</v>
      </c>
      <c r="L190" s="40" t="s">
        <v>261</v>
      </c>
      <c r="N190" s="14">
        <v>1</v>
      </c>
      <c r="P190" s="14" t="b">
        <v>0</v>
      </c>
      <c r="S190" s="14">
        <v>310215</v>
      </c>
      <c r="T190" s="46"/>
      <c r="U190" s="46"/>
    </row>
    <row r="191" spans="1:23" x14ac:dyDescent="0.2">
      <c r="A191" s="39">
        <v>310217</v>
      </c>
      <c r="B191" s="73" t="str">
        <f>IF(A191&lt;&gt;"","relic_name_"&amp;$A191,"")</f>
        <v>relic_name_310217</v>
      </c>
      <c r="C191" s="82" t="s">
        <v>386</v>
      </c>
      <c r="D191" s="69" t="s">
        <v>427</v>
      </c>
      <c r="E191" s="68" t="str">
        <f t="shared" si="34"/>
        <v>relic_layout[relic_layout_50]</v>
      </c>
      <c r="F191" s="79">
        <v>50</v>
      </c>
      <c r="G191" s="16" t="str">
        <f t="shared" si="33"/>
        <v>relic_desc_310217</v>
      </c>
      <c r="H191" s="15" t="str" cm="1">
        <f t="array" ref="H191">IF($I191&lt;&gt;"",$I191,
_xlfn.LET(
_xlpm.idx,MATCH(relic!$M191,'-id 配置说明'!$A:$A,0),
_xlpm.desc,INDEX('-id 配置说明'!$F:$F,_xlpm.idx),
_xlpm.tp,INDEX('-id 配置说明'!$B:$B,_xlpm.idx),
_xlpm.expr,RIGHT(_xlpm.desc,LEN(_xlpm.desc)-FIND("=",_xlpm.desc))&amp;" + "&amp;_xlfn.SWITCH(_xlpm.tp,"pts",TEXT($L191/1000,"0%"),"add",$L191),
IFERROR(_xlpm.expr,"")
))</f>
        <v>飞射物现在碰到镜头边缘时会弹回</v>
      </c>
      <c r="I191" s="15" t="s">
        <v>241</v>
      </c>
      <c r="J191" s="44" t="s">
        <v>256</v>
      </c>
      <c r="K191" s="15" t="s">
        <v>257</v>
      </c>
      <c r="N191" s="73">
        <f>ROUND(POWER(O191,(5-T191)/5),0)</f>
        <v>1</v>
      </c>
      <c r="O191" s="30">
        <v>1</v>
      </c>
      <c r="P191" s="24" t="b">
        <v>1</v>
      </c>
      <c r="Q191" s="68"/>
      <c r="R191" s="68"/>
      <c r="S191" s="68"/>
      <c r="T191" s="67">
        <v>4</v>
      </c>
      <c r="U191" s="72">
        <f>ROUND(V191*POWER(W191,T191),0)</f>
        <v>356</v>
      </c>
      <c r="V191" s="30">
        <v>8.3000000000000007</v>
      </c>
      <c r="W191" s="30">
        <v>2.56</v>
      </c>
    </row>
    <row r="192" spans="1:23" x14ac:dyDescent="0.2">
      <c r="A192" s="39">
        <v>310218</v>
      </c>
      <c r="B192" s="73" t="str">
        <f>IF(A192&lt;&gt;"","relic_name_"&amp;$A192,"")</f>
        <v>relic_name_310218</v>
      </c>
      <c r="C192" s="82" t="s">
        <v>386</v>
      </c>
      <c r="D192" s="69" t="s">
        <v>439</v>
      </c>
      <c r="E192" s="68" t="str">
        <f t="shared" si="34"/>
        <v>relic_layout[relic_layout_51]</v>
      </c>
      <c r="F192" s="79">
        <v>51</v>
      </c>
      <c r="G192" s="16" t="str">
        <f t="shared" si="33"/>
        <v>relic_desc_310218</v>
      </c>
      <c r="H192" s="15" t="str" cm="1">
        <f t="array" ref="H192">IF($I192&lt;&gt;"",$I192,
_xlfn.LET(
_xlpm.idx,MATCH(relic!$M192,'-id 配置说明'!$A:$A,0),
_xlpm.desc,INDEX('-id 配置说明'!$F:$F,_xlpm.idx),
_xlpm.tp,INDEX('-id 配置说明'!$B:$B,_xlpm.idx),
_xlpm.expr,RIGHT(_xlpm.desc,LEN(_xlpm.desc)-FIND("=",_xlpm.desc))&amp;" + "&amp;_xlfn.SWITCH(_xlpm.tp,"pts",TEXT($L192/1000,"0%"),"add",$L192),
IFERROR(_xlpm.expr,"")
))</f>
        <v>[强化] 你的飞射物飞到屏幕左右边缘时，也会生成冰雹。</v>
      </c>
      <c r="I192" s="15" t="s">
        <v>431</v>
      </c>
      <c r="J192" s="44" t="s">
        <v>432</v>
      </c>
      <c r="K192" s="15" t="s">
        <v>257</v>
      </c>
      <c r="L192" s="40"/>
      <c r="M192" s="14"/>
      <c r="N192" s="73">
        <f>ROUND(POWER(O192,(5-T192)/5),0)</f>
        <v>1</v>
      </c>
      <c r="O192" s="30">
        <v>1</v>
      </c>
      <c r="P192" s="44" t="b">
        <v>0</v>
      </c>
      <c r="Q192" s="68"/>
      <c r="R192" s="68"/>
      <c r="S192" s="68"/>
      <c r="T192" s="66">
        <v>3</v>
      </c>
      <c r="U192" s="72">
        <f>ROUND(V192*POWER(W192,T192),0)</f>
        <v>139</v>
      </c>
      <c r="V192" s="30">
        <v>8.3000000000000007</v>
      </c>
      <c r="W192" s="30">
        <v>2.56</v>
      </c>
    </row>
    <row r="193" spans="1:23" x14ac:dyDescent="0.2">
      <c r="A193" s="39">
        <v>310219</v>
      </c>
      <c r="B193" s="73" t="str">
        <f>IF(A193&lt;&gt;"","relic_name_"&amp;$A193,"")</f>
        <v>relic_name_310219</v>
      </c>
      <c r="C193" s="82" t="s">
        <v>386</v>
      </c>
      <c r="D193" s="69" t="s">
        <v>438</v>
      </c>
      <c r="E193" s="68" t="str">
        <f t="shared" si="34"/>
        <v>relic_layout[relic_layout_63]</v>
      </c>
      <c r="F193" s="79">
        <v>63</v>
      </c>
      <c r="G193" s="16" t="str">
        <f t="shared" si="33"/>
        <v>relic_desc_310219</v>
      </c>
      <c r="H193" s="15" t="str" cm="1">
        <f t="array" ref="H193">IF($I193&lt;&gt;"",$I193,
_xlfn.LET(
_xlpm.idx,MATCH(relic!$M193,'-id 配置说明'!$A:$A,0),
_xlpm.desc,INDEX('-id 配置说明'!$F:$F,_xlpm.idx),
_xlpm.tp,INDEX('-id 配置说明'!$B:$B,_xlpm.idx),
_xlpm.expr,RIGHT(_xlpm.desc,LEN(_xlpm.desc)-FIND("=",_xlpm.desc))&amp;" + "&amp;_xlfn.SWITCH(_xlpm.tp,"pts",TEXT($L193/1000,"0%"),"add",$L193),
IFERROR(_xlpm.expr,"")
))</f>
        <v>飞射物反弹时，速度被重置为初始速度。</v>
      </c>
      <c r="I193" s="15" t="s">
        <v>242</v>
      </c>
      <c r="J193" s="44" t="s">
        <v>254</v>
      </c>
      <c r="K193" s="15" t="s">
        <v>257</v>
      </c>
      <c r="N193" s="73">
        <f>ROUND(POWER(O193,(5-T193)/5),0)</f>
        <v>1</v>
      </c>
      <c r="O193" s="30">
        <v>1</v>
      </c>
      <c r="P193" s="24" t="b">
        <v>1</v>
      </c>
      <c r="Q193" s="68"/>
      <c r="R193" s="68"/>
      <c r="S193" s="68"/>
      <c r="T193" s="66">
        <v>3</v>
      </c>
      <c r="U193" s="72">
        <f>ROUND(V193*POWER(W193,T193),0)</f>
        <v>131</v>
      </c>
      <c r="V193" s="30">
        <v>7.8</v>
      </c>
      <c r="W193" s="30">
        <v>2.56</v>
      </c>
    </row>
    <row r="194" spans="1:23" x14ac:dyDescent="0.2">
      <c r="A194" s="39">
        <v>310220</v>
      </c>
      <c r="B194" s="16" t="str">
        <f t="shared" si="35"/>
        <v>relic_name_310220</v>
      </c>
      <c r="D194" s="15" t="s">
        <v>235</v>
      </c>
      <c r="E194" s="68" t="str">
        <f t="shared" si="34"/>
        <v>relic_layout[relic_layout_28]</v>
      </c>
      <c r="F194" s="80">
        <v>28</v>
      </c>
      <c r="G194" s="16" t="str">
        <f t="shared" si="33"/>
        <v>relic_desc_310220</v>
      </c>
      <c r="H194" s="15" t="str" cm="1">
        <f t="array" ref="H194">IF($I194&lt;&gt;"",$I194,
_xlfn.LET(
_xlpm.idx,MATCH(relic!$M194,'-id 配置说明'!$A:$A,0),
_xlpm.desc,INDEX('-id 配置说明'!$F:$F,_xlpm.idx),
_xlpm.tp,INDEX('-id 配置说明'!$B:$B,_xlpm.idx),
_xlpm.expr,RIGHT(_xlpm.desc,LEN(_xlpm.desc)-FIND("=",_xlpm.desc))&amp;" + "&amp;_xlfn.SWITCH(_xlpm.tp,"pts",TEXT($L194/1000,"0%"),"add",$L194),
IFERROR(_xlpm.expr,"")
))</f>
        <v>你的子弹现在可以击毁敌人的子弹（敌方子弹与玩家子弹一同消失）</v>
      </c>
      <c r="I194" s="15" t="s">
        <v>243</v>
      </c>
      <c r="J194" s="43" t="s">
        <v>255</v>
      </c>
      <c r="K194" s="15" t="s">
        <v>274</v>
      </c>
      <c r="L194" s="14">
        <v>0</v>
      </c>
      <c r="N194" s="14">
        <v>1</v>
      </c>
      <c r="P194" s="14" t="b">
        <v>1</v>
      </c>
      <c r="R194" s="14">
        <v>310221</v>
      </c>
      <c r="T194" s="46"/>
      <c r="U194" s="46"/>
    </row>
    <row r="195" spans="1:23" x14ac:dyDescent="0.2">
      <c r="A195" s="39">
        <v>310221</v>
      </c>
      <c r="B195" s="16" t="str">
        <f t="shared" si="35"/>
        <v>relic_name_310221</v>
      </c>
      <c r="D195" s="15" t="s">
        <v>236</v>
      </c>
      <c r="E195" s="68" t="str">
        <f t="shared" si="34"/>
        <v>relic_layout[relic_layout_28]</v>
      </c>
      <c r="F195" s="80">
        <v>28</v>
      </c>
      <c r="G195" s="16" t="str">
        <f t="shared" si="33"/>
        <v>relic_desc_310221</v>
      </c>
      <c r="H195" s="15" t="str" cm="1">
        <f t="array" ref="H195">IF($I195&lt;&gt;"",$I195,
_xlfn.LET(
_xlpm.idx,MATCH(relic!$M195,'-id 配置说明'!$A:$A,0),
_xlpm.desc,INDEX('-id 配置说明'!$F:$F,_xlpm.idx),
_xlpm.tp,INDEX('-id 配置说明'!$B:$B,_xlpm.idx),
_xlpm.expr,RIGHT(_xlpm.desc,LEN(_xlpm.desc)-FIND("=",_xlpm.desc))&amp;" + "&amp;_xlfn.SWITCH(_xlpm.tp,"pts",TEXT($L195/1000,"0%"),"add",$L195),
IFERROR(_xlpm.expr,"")
))</f>
        <v>你的子弹现在可以无伤击毁敌人的子弹（敌方子弹被击毁，玩家子弹不受影响）</v>
      </c>
      <c r="I195" s="15" t="s">
        <v>244</v>
      </c>
      <c r="J195" s="43" t="s">
        <v>255</v>
      </c>
      <c r="K195" s="15" t="s">
        <v>274</v>
      </c>
      <c r="L195" s="14">
        <v>1</v>
      </c>
      <c r="N195" s="14">
        <v>1</v>
      </c>
      <c r="P195" s="14" t="b">
        <v>0</v>
      </c>
      <c r="R195" s="14">
        <v>310222</v>
      </c>
      <c r="S195" s="14">
        <v>310220</v>
      </c>
      <c r="T195" s="46"/>
      <c r="U195" s="46"/>
    </row>
    <row r="196" spans="1:23" x14ac:dyDescent="0.2">
      <c r="A196" s="39">
        <v>310222</v>
      </c>
      <c r="B196" s="16" t="str">
        <f t="shared" si="35"/>
        <v>relic_name_310222</v>
      </c>
      <c r="D196" s="15" t="s">
        <v>237</v>
      </c>
      <c r="E196" s="68" t="str">
        <f t="shared" si="34"/>
        <v>relic_layout[relic_layout_28]</v>
      </c>
      <c r="F196" s="80">
        <v>28</v>
      </c>
      <c r="G196" s="16" t="str">
        <f t="shared" si="33"/>
        <v>relic_desc_310222</v>
      </c>
      <c r="H196" s="15" t="str" cm="1">
        <f t="array" ref="H196">IF($I196&lt;&gt;"",$I196,
_xlfn.LET(
_xlpm.idx,MATCH(relic!$M196,'-id 配置说明'!$A:$A,0),
_xlpm.desc,INDEX('-id 配置说明'!$F:$F,_xlpm.idx),
_xlpm.tp,INDEX('-id 配置说明'!$B:$B,_xlpm.idx),
_xlpm.expr,RIGHT(_xlpm.desc,LEN(_xlpm.desc)-FIND("=",_xlpm.desc))&amp;" + "&amp;_xlfn.SWITCH(_xlpm.tp,"pts",TEXT($L196/1000,"0%"),"add",$L196),
IFERROR(_xlpm.expr,"")
))</f>
        <v>你的子弹现在可以无伤击飞敌人的子弹（敌方子弹被弹回并修改阵营，玩家子弹飞行不受影响）</v>
      </c>
      <c r="I196" s="15" t="s">
        <v>245</v>
      </c>
      <c r="J196" s="43" t="s">
        <v>255</v>
      </c>
      <c r="K196" s="15" t="s">
        <v>274</v>
      </c>
      <c r="L196" s="14">
        <v>2</v>
      </c>
      <c r="N196" s="14">
        <v>1</v>
      </c>
      <c r="P196" s="14" t="b">
        <v>0</v>
      </c>
      <c r="S196" s="14">
        <v>310221</v>
      </c>
      <c r="T196" s="46"/>
      <c r="U196" s="46"/>
    </row>
    <row r="198" spans="1:23" x14ac:dyDescent="0.2">
      <c r="A198" s="39">
        <v>310223</v>
      </c>
      <c r="B198" s="73" t="str">
        <f>IF(A198&lt;&gt;"","relic_name_"&amp;$A198,"")</f>
        <v>relic_name_310223</v>
      </c>
      <c r="C198" s="82" t="s">
        <v>386</v>
      </c>
      <c r="D198" s="69" t="s">
        <v>359</v>
      </c>
      <c r="E198" s="68" t="str">
        <f t="shared" si="34"/>
        <v>relic_layout[relic_layout_30]</v>
      </c>
      <c r="F198" s="79">
        <v>30</v>
      </c>
      <c r="G198" s="16" t="str">
        <f t="shared" si="33"/>
        <v>relic_desc_310223</v>
      </c>
      <c r="H198" s="15" t="str" cm="1">
        <f t="array" ref="H198">IF($I198&lt;&gt;"",$I198,
_xlfn.LET(
_xlpm.idx,MATCH(relic!$M198,'-id 配置说明'!$A:$A,0),
_xlpm.desc,INDEX('-id 配置说明'!$F:$F,_xlpm.idx),
_xlpm.tp,INDEX('-id 配置说明'!$B:$B,_xlpm.idx),
_xlpm.expr,RIGHT(_xlpm.desc,LEN(_xlpm.desc)-FIND("=",_xlpm.desc))&amp;" + "&amp;_xlfn.SWITCH(_xlpm.tp,"pts",TEXT($L198/1000,"0%"),"add",$L198),
IFERROR(_xlpm.expr,"")
))</f>
        <v>飞射物每反弹一次，体积与伤害 + 10%（上限为3次）</v>
      </c>
      <c r="I198" s="15" t="s">
        <v>362</v>
      </c>
      <c r="J198" s="44" t="s">
        <v>253</v>
      </c>
      <c r="K198" s="15" t="s">
        <v>357</v>
      </c>
      <c r="L198" s="40" t="s">
        <v>363</v>
      </c>
      <c r="M198" s="14"/>
      <c r="N198" s="73">
        <f>ROUND(POWER(O198,(5-T198)/5),0)</f>
        <v>1</v>
      </c>
      <c r="O198" s="30">
        <v>1</v>
      </c>
      <c r="P198" s="24" t="b">
        <v>1</v>
      </c>
      <c r="Q198" s="68"/>
      <c r="R198" s="24">
        <v>310224</v>
      </c>
      <c r="S198" s="24"/>
      <c r="T198" s="66">
        <v>3</v>
      </c>
      <c r="U198" s="72">
        <f>ROUND(V198*POWER(W198,T198),0)</f>
        <v>131</v>
      </c>
      <c r="V198" s="30">
        <v>7.8</v>
      </c>
      <c r="W198" s="30">
        <v>2.56</v>
      </c>
    </row>
    <row r="199" spans="1:23" x14ac:dyDescent="0.2">
      <c r="A199" s="39">
        <v>310224</v>
      </c>
      <c r="B199" s="73" t="str">
        <f>IF(A199&lt;&gt;"","relic_name_"&amp;$A199,"")</f>
        <v>relic_name_310224</v>
      </c>
      <c r="C199" s="82" t="s">
        <v>386</v>
      </c>
      <c r="D199" s="69" t="s">
        <v>360</v>
      </c>
      <c r="E199" s="68" t="str">
        <f t="shared" si="34"/>
        <v>relic_layout[relic_layout_31]</v>
      </c>
      <c r="F199" s="79">
        <v>31</v>
      </c>
      <c r="G199" s="16" t="str">
        <f t="shared" si="33"/>
        <v>relic_desc_310224</v>
      </c>
      <c r="H199" s="15" t="str" cm="1">
        <f t="array" ref="H199">IF($I199&lt;&gt;"",$I199,
_xlfn.LET(
_xlpm.idx,MATCH(relic!$M199,'-id 配置说明'!$A:$A,0),
_xlpm.desc,INDEX('-id 配置说明'!$F:$F,_xlpm.idx),
_xlpm.tp,INDEX('-id 配置说明'!$B:$B,_xlpm.idx),
_xlpm.expr,RIGHT(_xlpm.desc,LEN(_xlpm.desc)-FIND("=",_xlpm.desc))&amp;" + "&amp;_xlfn.SWITCH(_xlpm.tp,"pts",TEXT($L199/1000,"0%"),"add",$L199),
IFERROR(_xlpm.expr,"")
))</f>
        <v>[升级] 飞射物每反弹一次，体积与伤害 + 30%（上限为4次）</v>
      </c>
      <c r="I199" s="15" t="s">
        <v>367</v>
      </c>
      <c r="J199" s="44" t="s">
        <v>253</v>
      </c>
      <c r="K199" s="15" t="s">
        <v>357</v>
      </c>
      <c r="L199" s="40" t="s">
        <v>364</v>
      </c>
      <c r="M199" s="14"/>
      <c r="N199" s="73">
        <f>ROUND(POWER(O199,(5-T199)/5),0)</f>
        <v>1</v>
      </c>
      <c r="O199" s="30">
        <v>1</v>
      </c>
      <c r="P199" s="24" t="b">
        <v>0</v>
      </c>
      <c r="Q199" s="68">
        <v>310223</v>
      </c>
      <c r="R199" s="24">
        <v>310225</v>
      </c>
      <c r="S199" s="24">
        <v>310223</v>
      </c>
      <c r="T199" s="67">
        <v>4</v>
      </c>
      <c r="U199" s="72">
        <f>ROUND(V199*POWER(W199,T199),0)</f>
        <v>335</v>
      </c>
      <c r="V199" s="30">
        <v>7.8</v>
      </c>
      <c r="W199" s="30">
        <v>2.56</v>
      </c>
    </row>
    <row r="200" spans="1:23" x14ac:dyDescent="0.2">
      <c r="A200" s="39">
        <v>310225</v>
      </c>
      <c r="B200" s="73" t="str">
        <f>IF(A200&lt;&gt;"","relic_name_"&amp;$A200,"")</f>
        <v>relic_name_310225</v>
      </c>
      <c r="C200" s="82" t="s">
        <v>386</v>
      </c>
      <c r="D200" s="69" t="s">
        <v>361</v>
      </c>
      <c r="E200" s="68" t="str">
        <f t="shared" si="34"/>
        <v>relic_layout[relic_layout_32]</v>
      </c>
      <c r="F200" s="79">
        <v>32</v>
      </c>
      <c r="G200" s="16" t="str">
        <f t="shared" si="33"/>
        <v>relic_desc_310225</v>
      </c>
      <c r="H200" s="15" t="str" cm="1">
        <f t="array" ref="H200">IF($I200&lt;&gt;"",$I200,
_xlfn.LET(
_xlpm.idx,MATCH(relic!$M200,'-id 配置说明'!$A:$A,0),
_xlpm.desc,INDEX('-id 配置说明'!$F:$F,_xlpm.idx),
_xlpm.tp,INDEX('-id 配置说明'!$B:$B,_xlpm.idx),
_xlpm.expr,RIGHT(_xlpm.desc,LEN(_xlpm.desc)-FIND("=",_xlpm.desc))&amp;" + "&amp;_xlfn.SWITCH(_xlpm.tp,"pts",TEXT($L200/1000,"0%"),"add",$L200),
IFERROR(_xlpm.expr,"")
))</f>
        <v>[升级] 飞射物每反弹一次，体积与伤害 + 50%（上限为5次）</v>
      </c>
      <c r="I200" s="15" t="s">
        <v>368</v>
      </c>
      <c r="J200" s="44" t="s">
        <v>253</v>
      </c>
      <c r="K200" s="15" t="s">
        <v>357</v>
      </c>
      <c r="L200" s="40" t="s">
        <v>358</v>
      </c>
      <c r="M200" s="14"/>
      <c r="N200" s="73">
        <f>ROUND(POWER(O200,(5-T200)/5),0)</f>
        <v>1</v>
      </c>
      <c r="O200" s="30">
        <v>1</v>
      </c>
      <c r="P200" s="24" t="b">
        <v>0</v>
      </c>
      <c r="Q200" s="68">
        <v>310224</v>
      </c>
      <c r="R200" s="24"/>
      <c r="S200" s="24">
        <v>310224</v>
      </c>
      <c r="T200" s="67">
        <v>4</v>
      </c>
      <c r="U200" s="72">
        <f>ROUND(V200*POWER(W200,T200),0)</f>
        <v>335</v>
      </c>
      <c r="V200" s="30">
        <v>7.8</v>
      </c>
      <c r="W200" s="30">
        <v>2.56</v>
      </c>
    </row>
    <row r="202" spans="1:23" x14ac:dyDescent="0.2">
      <c r="A202" s="39">
        <v>310401</v>
      </c>
      <c r="B202" s="16" t="str">
        <f t="shared" ref="B202:B207" si="36">IF(A202&lt;&gt;"","relic_name_"&amp;$A202,"")</f>
        <v>relic_name_310401</v>
      </c>
      <c r="D202" s="69" t="s">
        <v>288</v>
      </c>
      <c r="E202" s="68" t="str">
        <f t="shared" si="34"/>
        <v>relic_layout[relic_layout_28]</v>
      </c>
      <c r="F202" s="80">
        <v>28</v>
      </c>
      <c r="G202" s="16" t="str">
        <f t="shared" si="33"/>
        <v>relic_desc_310401</v>
      </c>
      <c r="H202" s="15" t="str" cm="1">
        <f t="array" ref="H202">IF($I202&lt;&gt;"",$I202,
_xlfn.LET(
_xlpm.idx,MATCH(relic!$M202,'-id 配置说明'!$A:$A,0),
_xlpm.desc,INDEX('-id 配置说明'!$F:$F,_xlpm.idx),
_xlpm.tp,INDEX('-id 配置说明'!$B:$B,_xlpm.idx),
_xlpm.expr,RIGHT(_xlpm.desc,LEN(_xlpm.desc)-FIND("=",_xlpm.desc))&amp;" + "&amp;_xlfn.SWITCH(_xlpm.tp,"pts",TEXT($L202/1000,"0%"),"add",$L202),
IFERROR(_xlpm.expr,"")
))</f>
        <v>开枪时，对枪口附近（一定的扇形范围）的敌人造成一定比例的击退（激光武器只有第一帧有效果）</v>
      </c>
      <c r="I202" s="15" t="s">
        <v>294</v>
      </c>
      <c r="J202" s="44" t="s">
        <v>308</v>
      </c>
      <c r="K202" s="15" t="s">
        <v>309</v>
      </c>
      <c r="L202" s="40" t="s">
        <v>307</v>
      </c>
      <c r="M202" s="41"/>
      <c r="N202" s="14">
        <v>1</v>
      </c>
      <c r="P202" s="14" t="b">
        <v>1</v>
      </c>
      <c r="T202" s="64">
        <v>1</v>
      </c>
      <c r="U202" s="14">
        <v>11</v>
      </c>
    </row>
    <row r="203" spans="1:23" x14ac:dyDescent="0.2">
      <c r="A203" s="39">
        <v>310402</v>
      </c>
      <c r="B203" s="16" t="str">
        <f t="shared" si="36"/>
        <v>relic_name_310402</v>
      </c>
      <c r="D203" s="69" t="s">
        <v>289</v>
      </c>
      <c r="E203" s="68" t="str">
        <f t="shared" si="34"/>
        <v>relic_layout[relic_layout_28]</v>
      </c>
      <c r="F203" s="80">
        <v>28</v>
      </c>
      <c r="G203" s="16" t="str">
        <f t="shared" si="33"/>
        <v>relic_desc_310402</v>
      </c>
      <c r="H203" s="15" t="str" cm="1">
        <f t="array" ref="H203">IF($I203&lt;&gt;"",$I203,
_xlfn.LET(
_xlpm.idx,MATCH(relic!$M203,'-id 配置说明'!$A:$A,0),
_xlpm.desc,INDEX('-id 配置说明'!$F:$F,_xlpm.idx),
_xlpm.tp,INDEX('-id 配置说明'!$B:$B,_xlpm.idx),
_xlpm.expr,RIGHT(_xlpm.desc,LEN(_xlpm.desc)-FIND("=",_xlpm.desc))&amp;" + "&amp;_xlfn.SWITCH(_xlpm.tp,"pts",TEXT($L203/1000,"0%"),"add",$L203),
IFERROR(_xlpm.expr,"")
))</f>
        <v>开枪时，对枪口附近（一定的扇形范围）的敌人造成一定比例的震荡伤害（激光武器只有第一帧有效果）</v>
      </c>
      <c r="I203" s="15" t="s">
        <v>295</v>
      </c>
      <c r="J203" s="44" t="s">
        <v>300</v>
      </c>
      <c r="K203" s="15" t="s">
        <v>310</v>
      </c>
      <c r="L203" s="40" t="s">
        <v>307</v>
      </c>
      <c r="M203" s="41" t="s">
        <v>304</v>
      </c>
      <c r="N203" s="14">
        <v>1</v>
      </c>
      <c r="P203" s="14" t="b">
        <v>1</v>
      </c>
      <c r="T203" s="64">
        <v>1</v>
      </c>
      <c r="U203" s="14">
        <v>14</v>
      </c>
    </row>
    <row r="204" spans="1:23" x14ac:dyDescent="0.2">
      <c r="A204" s="39">
        <v>310403</v>
      </c>
      <c r="B204" s="16" t="str">
        <f t="shared" si="36"/>
        <v>relic_name_310403</v>
      </c>
      <c r="D204" s="69" t="s">
        <v>290</v>
      </c>
      <c r="E204" s="68" t="str">
        <f t="shared" si="34"/>
        <v>relic_layout[relic_layout_28]</v>
      </c>
      <c r="F204" s="80">
        <v>28</v>
      </c>
      <c r="G204" s="16" t="str">
        <f t="shared" si="33"/>
        <v>relic_desc_310403</v>
      </c>
      <c r="H204" s="15" t="str" cm="1">
        <f t="array" ref="H204">IF($I204&lt;&gt;"",$I204,
_xlfn.LET(
_xlpm.idx,MATCH(relic!$M204,'-id 配置说明'!$A:$A,0),
_xlpm.desc,INDEX('-id 配置说明'!$F:$F,_xlpm.idx),
_xlpm.tp,INDEX('-id 配置说明'!$B:$B,_xlpm.idx),
_xlpm.expr,RIGHT(_xlpm.desc,LEN(_xlpm.desc)-FIND("=",_xlpm.desc))&amp;" + "&amp;_xlfn.SWITCH(_xlpm.tp,"pts",TEXT($L204/1000,"0%"),"add",$L204),
IFERROR(_xlpm.expr,"")
))</f>
        <v>开枪时，对枪口附近（一定的扇形范围）的敌人造成一定比例的燃烧伤害（激光武器只有第一帧有效果）</v>
      </c>
      <c r="I204" s="15" t="s">
        <v>296</v>
      </c>
      <c r="J204" s="44" t="s">
        <v>300</v>
      </c>
      <c r="K204" s="15" t="s">
        <v>310</v>
      </c>
      <c r="L204" s="40" t="s">
        <v>307</v>
      </c>
      <c r="M204" s="41" t="s">
        <v>305</v>
      </c>
      <c r="N204" s="14">
        <v>1</v>
      </c>
      <c r="P204" s="14" t="b">
        <v>1</v>
      </c>
      <c r="T204" s="64">
        <v>1</v>
      </c>
      <c r="U204" s="14">
        <v>14</v>
      </c>
    </row>
    <row r="205" spans="1:23" x14ac:dyDescent="0.2">
      <c r="A205" s="39">
        <v>310404</v>
      </c>
      <c r="B205" s="16" t="str">
        <f t="shared" si="36"/>
        <v>relic_name_310404</v>
      </c>
      <c r="D205" s="69" t="s">
        <v>291</v>
      </c>
      <c r="E205" s="68" t="str">
        <f t="shared" si="34"/>
        <v>relic_layout[relic_layout_28]</v>
      </c>
      <c r="F205" s="80">
        <v>28</v>
      </c>
      <c r="G205" s="16" t="str">
        <f t="shared" si="33"/>
        <v>relic_desc_310404</v>
      </c>
      <c r="H205" s="15" t="str" cm="1">
        <f t="array" ref="H205">IF($I205&lt;&gt;"",$I205,
_xlfn.LET(
_xlpm.idx,MATCH(relic!$M205,'-id 配置说明'!$A:$A,0),
_xlpm.desc,INDEX('-id 配置说明'!$F:$F,_xlpm.idx),
_xlpm.tp,INDEX('-id 配置说明'!$B:$B,_xlpm.idx),
_xlpm.expr,RIGHT(_xlpm.desc,LEN(_xlpm.desc)-FIND("=",_xlpm.desc))&amp;" + "&amp;_xlfn.SWITCH(_xlpm.tp,"pts",TEXT($L205/1000,"0%"),"add",$L205),
IFERROR(_xlpm.expr,"")
))</f>
        <v>开枪时，对枪口附近（一定的扇形范围）的敌人造成一定比例的光照伤害（激光武器只有第一帧有效果）</v>
      </c>
      <c r="I205" s="15" t="s">
        <v>297</v>
      </c>
      <c r="J205" s="44" t="s">
        <v>300</v>
      </c>
      <c r="K205" s="15" t="s">
        <v>310</v>
      </c>
      <c r="L205" s="40" t="s">
        <v>307</v>
      </c>
      <c r="M205" s="41" t="s">
        <v>306</v>
      </c>
      <c r="N205" s="14">
        <v>1</v>
      </c>
      <c r="P205" s="14" t="b">
        <v>1</v>
      </c>
      <c r="T205" s="64">
        <v>1</v>
      </c>
      <c r="U205" s="14">
        <v>14</v>
      </c>
    </row>
    <row r="206" spans="1:23" x14ac:dyDescent="0.2">
      <c r="A206" s="39">
        <v>310405</v>
      </c>
      <c r="B206" s="16" t="str">
        <f t="shared" si="36"/>
        <v>relic_name_310405</v>
      </c>
      <c r="D206" s="15" t="s">
        <v>292</v>
      </c>
      <c r="E206" s="68" t="str">
        <f t="shared" si="34"/>
        <v>relic_layout[relic_layout_28]</v>
      </c>
      <c r="F206" s="80">
        <v>28</v>
      </c>
      <c r="G206" s="16" t="str">
        <f t="shared" si="33"/>
        <v>relic_desc_310405</v>
      </c>
      <c r="H206" s="15" t="str" cm="1">
        <f t="array" ref="H206">IF($I206&lt;&gt;"",$I206,
_xlfn.LET(
_xlpm.idx,MATCH(relic!$M206,'-id 配置说明'!$A:$A,0),
_xlpm.desc,INDEX('-id 配置说明'!$F:$F,_xlpm.idx),
_xlpm.tp,INDEX('-id 配置说明'!$B:$B,_xlpm.idx),
_xlpm.expr,RIGHT(_xlpm.desc,LEN(_xlpm.desc)-FIND("=",_xlpm.desc))&amp;" + "&amp;_xlfn.SWITCH(_xlpm.tp,"pts",TEXT($L206/1000,"0%"),"add",$L206),
IFERROR(_xlpm.expr,"")
))</f>
        <v>若敌人距离小于最小攻击距离，远程武器可以使用枪托进行打击，造成高额击退（此攻击有内置cd）。</v>
      </c>
      <c r="I206" s="15" t="s">
        <v>298</v>
      </c>
      <c r="J206" s="43" t="s">
        <v>301</v>
      </c>
      <c r="K206" s="15" t="s">
        <v>311</v>
      </c>
      <c r="N206" s="14">
        <v>1</v>
      </c>
      <c r="P206" s="14" t="b">
        <v>1</v>
      </c>
      <c r="R206" s="14">
        <v>310406</v>
      </c>
      <c r="T206" s="46"/>
      <c r="U206" s="46"/>
    </row>
    <row r="207" spans="1:23" x14ac:dyDescent="0.2">
      <c r="A207" s="39">
        <v>310406</v>
      </c>
      <c r="B207" s="16" t="str">
        <f t="shared" si="36"/>
        <v>relic_name_310406</v>
      </c>
      <c r="D207" s="15" t="s">
        <v>293</v>
      </c>
      <c r="E207" s="68" t="str">
        <f t="shared" si="34"/>
        <v>relic_layout[relic_layout_28]</v>
      </c>
      <c r="F207" s="80">
        <v>28</v>
      </c>
      <c r="G207" s="16" t="str">
        <f t="shared" si="33"/>
        <v>relic_desc_310406</v>
      </c>
      <c r="H207" s="15" t="str" cm="1">
        <f t="array" ref="H207">IF($I207&lt;&gt;"",$I207,
_xlfn.LET(
_xlpm.idx,MATCH(relic!$M207,'-id 配置说明'!$A:$A,0),
_xlpm.desc,INDEX('-id 配置说明'!$F:$F,_xlpm.idx),
_xlpm.tp,INDEX('-id 配置说明'!$B:$B,_xlpm.idx),
_xlpm.expr,RIGHT(_xlpm.desc,LEN(_xlpm.desc)-FIND("=",_xlpm.desc))&amp;" + "&amp;_xlfn.SWITCH(_xlpm.tp,"pts",TEXT($L207/1000,"0%"),"add",$L207),
IFERROR(_xlpm.expr,"")
))</f>
        <v>枪托打击伤害附加高额震荡伤害（可以将敌人击晕）</v>
      </c>
      <c r="I207" s="15" t="s">
        <v>299</v>
      </c>
      <c r="J207" s="43" t="s">
        <v>301</v>
      </c>
      <c r="K207" s="15" t="s">
        <v>311</v>
      </c>
      <c r="L207" s="40"/>
      <c r="M207" s="41"/>
      <c r="N207" s="14">
        <v>1</v>
      </c>
      <c r="P207" s="14" t="b">
        <v>0</v>
      </c>
      <c r="Q207" s="40"/>
      <c r="S207" s="14">
        <v>310405</v>
      </c>
      <c r="T207" s="46"/>
      <c r="U207" s="46"/>
    </row>
    <row r="209" spans="1:23" x14ac:dyDescent="0.2">
      <c r="A209" s="39">
        <v>310407</v>
      </c>
      <c r="B209" s="73" t="str">
        <f>IF(A209&lt;&gt;"","relic_name_"&amp;$A209,"")</f>
        <v>relic_name_310407</v>
      </c>
      <c r="C209" s="82" t="s">
        <v>386</v>
      </c>
      <c r="D209" s="69" t="s">
        <v>416</v>
      </c>
      <c r="E209" s="68" t="str">
        <f t="shared" si="34"/>
        <v>relic_layout[relic_layout_6]</v>
      </c>
      <c r="F209" s="79">
        <v>6</v>
      </c>
      <c r="G209" s="16" t="str">
        <f t="shared" si="33"/>
        <v>relic_desc_310407</v>
      </c>
      <c r="H209" s="15" t="str" cm="1">
        <f t="array" ref="H209">IF($I209&lt;&gt;"",$I209,
_xlfn.LET(
_xlpm.idx,MATCH(relic!$M209,'-id 配置说明'!$A:$A,0),
_xlpm.desc,INDEX('-id 配置说明'!$F:$F,_xlpm.idx),
_xlpm.tp,INDEX('-id 配置说明'!$B:$B,_xlpm.idx),
_xlpm.expr,RIGHT(_xlpm.desc,LEN(_xlpm.desc)-FIND("=",_xlpm.desc))&amp;" + "&amp;_xlfn.SWITCH(_xlpm.tp,"pts",TEXT($L209/1000,"0%"),"add",$L209),
IFERROR(_xlpm.expr,"")
))</f>
        <v>弹匣内子弹数量得到恢复时，有10%概率立刻射出1发免费的子弹</v>
      </c>
      <c r="I209" s="15" t="s">
        <v>366</v>
      </c>
      <c r="J209" s="44" t="s">
        <v>302</v>
      </c>
      <c r="K209" s="15" t="s">
        <v>303</v>
      </c>
      <c r="L209" s="40">
        <v>100</v>
      </c>
      <c r="M209" s="41"/>
      <c r="N209" s="73">
        <f>ROUND(POWER(O209,(5-T209)/5),0)</f>
        <v>1</v>
      </c>
      <c r="O209" s="30">
        <v>1</v>
      </c>
      <c r="P209" s="24" t="b">
        <v>1</v>
      </c>
      <c r="Q209" s="74"/>
      <c r="R209" s="68">
        <v>310408</v>
      </c>
      <c r="S209" s="68"/>
      <c r="T209" s="64">
        <v>1</v>
      </c>
      <c r="U209" s="72">
        <f>ROUND(V209*POWER(W209,T209),0)</f>
        <v>19</v>
      </c>
      <c r="V209" s="30">
        <v>8.1999999999999993</v>
      </c>
      <c r="W209" s="30">
        <v>2.3199999999999998</v>
      </c>
    </row>
    <row r="210" spans="1:23" x14ac:dyDescent="0.2">
      <c r="A210" s="39">
        <v>310408</v>
      </c>
      <c r="B210" s="73" t="str">
        <f>IF(A210&lt;&gt;"","relic_name_"&amp;$A210,"")</f>
        <v>relic_name_310408</v>
      </c>
      <c r="C210" s="82" t="s">
        <v>386</v>
      </c>
      <c r="D210" s="69" t="s">
        <v>417</v>
      </c>
      <c r="E210" s="68" t="str">
        <f t="shared" si="34"/>
        <v>relic_layout[relic_layout_7]</v>
      </c>
      <c r="F210" s="79">
        <v>7</v>
      </c>
      <c r="G210" s="16" t="str">
        <f t="shared" si="33"/>
        <v>relic_desc_310408</v>
      </c>
      <c r="H210" s="15" t="str" cm="1">
        <f t="array" ref="H210">IF($I210&lt;&gt;"",$I210,
_xlfn.LET(
_xlpm.idx,MATCH(relic!$M210,'-id 配置说明'!$A:$A,0),
_xlpm.desc,INDEX('-id 配置说明'!$F:$F,_xlpm.idx),
_xlpm.tp,INDEX('-id 配置说明'!$B:$B,_xlpm.idx),
_xlpm.expr,RIGHT(_xlpm.desc,LEN(_xlpm.desc)-FIND("=",_xlpm.desc))&amp;" + "&amp;_xlfn.SWITCH(_xlpm.tp,"pts",TEXT($L210/1000,"0%"),"add",$L210),
IFERROR(_xlpm.expr,"")
))</f>
        <v>[升级] 弹匣内子弹数量得到恢复时，有20%概率立刻射出1发免费的子弹</v>
      </c>
      <c r="I210" s="15" t="s">
        <v>369</v>
      </c>
      <c r="J210" s="44" t="s">
        <v>302</v>
      </c>
      <c r="K210" s="15" t="s">
        <v>303</v>
      </c>
      <c r="L210" s="40">
        <v>200</v>
      </c>
      <c r="M210" s="41"/>
      <c r="N210" s="73">
        <f>ROUND(POWER(O210,(5-T210)/5),0)</f>
        <v>1</v>
      </c>
      <c r="O210" s="30">
        <v>1</v>
      </c>
      <c r="P210" s="24" t="b">
        <v>0</v>
      </c>
      <c r="Q210" s="74">
        <v>310407</v>
      </c>
      <c r="R210" s="68">
        <v>310409</v>
      </c>
      <c r="S210" s="68">
        <v>310407</v>
      </c>
      <c r="T210" s="65">
        <v>2</v>
      </c>
      <c r="U210" s="72">
        <f>ROUND(V210*POWER(W210,T210),0)</f>
        <v>44</v>
      </c>
      <c r="V210" s="30">
        <v>8.1999999999999993</v>
      </c>
      <c r="W210" s="30">
        <v>2.3199999999999998</v>
      </c>
    </row>
    <row r="211" spans="1:23" x14ac:dyDescent="0.2">
      <c r="A211" s="39">
        <v>310409</v>
      </c>
      <c r="B211" s="73" t="str">
        <f>IF(A211&lt;&gt;"","relic_name_"&amp;$A211,"")</f>
        <v>relic_name_310409</v>
      </c>
      <c r="C211" s="82" t="s">
        <v>386</v>
      </c>
      <c r="D211" s="69" t="s">
        <v>418</v>
      </c>
      <c r="E211" s="68" t="str">
        <f t="shared" si="34"/>
        <v>relic_layout[relic_layout_8]</v>
      </c>
      <c r="F211" s="79">
        <v>8</v>
      </c>
      <c r="G211" s="16" t="str">
        <f t="shared" si="33"/>
        <v>relic_desc_310409</v>
      </c>
      <c r="H211" s="15" t="str" cm="1">
        <f t="array" ref="H211">IF($I211&lt;&gt;"",$I211,
_xlfn.LET(
_xlpm.idx,MATCH(relic!$M211,'-id 配置说明'!$A:$A,0),
_xlpm.desc,INDEX('-id 配置说明'!$F:$F,_xlpm.idx),
_xlpm.tp,INDEX('-id 配置说明'!$B:$B,_xlpm.idx),
_xlpm.expr,RIGHT(_xlpm.desc,LEN(_xlpm.desc)-FIND("=",_xlpm.desc))&amp;" + "&amp;_xlfn.SWITCH(_xlpm.tp,"pts",TEXT($L211/1000,"0%"),"add",$L211),
IFERROR(_xlpm.expr,"")
))</f>
        <v>[升级] 弹匣内子弹数量得到恢复时，有40%概率立刻射出1发免费的子弹</v>
      </c>
      <c r="I211" s="15" t="s">
        <v>370</v>
      </c>
      <c r="J211" s="44" t="s">
        <v>302</v>
      </c>
      <c r="K211" s="15" t="s">
        <v>303</v>
      </c>
      <c r="L211" s="40">
        <v>400</v>
      </c>
      <c r="M211" s="41"/>
      <c r="N211" s="73">
        <f>ROUND(POWER(O211,(5-T211)/5),0)</f>
        <v>1</v>
      </c>
      <c r="O211" s="30">
        <v>1</v>
      </c>
      <c r="P211" s="24" t="b">
        <v>0</v>
      </c>
      <c r="Q211" s="74">
        <v>310408</v>
      </c>
      <c r="R211" s="68"/>
      <c r="S211" s="68">
        <v>310408</v>
      </c>
      <c r="T211" s="66">
        <v>3</v>
      </c>
      <c r="U211" s="72">
        <f>ROUND(V211*POWER(W211,T211),0)</f>
        <v>102</v>
      </c>
      <c r="V211" s="30">
        <v>8.1999999999999993</v>
      </c>
      <c r="W211" s="30">
        <v>2.3199999999999998</v>
      </c>
    </row>
    <row r="213" spans="1:23" x14ac:dyDescent="0.2">
      <c r="A213" s="39">
        <v>310501</v>
      </c>
      <c r="B213" s="73" t="str">
        <f t="shared" ref="B213:B219" si="37">IF(A213&lt;&gt;"","relic_name_"&amp;$A213,"")</f>
        <v>relic_name_310501</v>
      </c>
      <c r="C213" s="82" t="s">
        <v>386</v>
      </c>
      <c r="D213" s="69" t="s">
        <v>395</v>
      </c>
      <c r="E213" s="68" t="str">
        <f t="shared" si="34"/>
        <v>relic_layout[relic_layout_15]</v>
      </c>
      <c r="F213" s="79">
        <v>15</v>
      </c>
      <c r="G213" s="16" t="str">
        <f t="shared" si="33"/>
        <v>relic_desc_310501</v>
      </c>
      <c r="H213" s="15" t="str" cm="1">
        <f t="array" ref="H213">IF($I213&lt;&gt;"",$I213,
_xlfn.LET(
_xlpm.idx,MATCH(relic!$M213,'-id 配置说明'!$A:$A,0),
_xlpm.desc,INDEX('-id 配置说明'!$F:$F,_xlpm.idx),
_xlpm.tp,INDEX('-id 配置说明'!$B:$B,_xlpm.idx),
_xlpm.expr,RIGHT(_xlpm.desc,LEN(_xlpm.desc)-FIND("=",_xlpm.desc))&amp;" + "&amp;_xlfn.SWITCH(_xlpm.tp,"pts",TEXT($L213/1000,"0%"),"add",$L213),
IFERROR(_xlpm.expr,"")
))</f>
        <v>近战设备每次造成暴击伤害，有15%概率在目标处生成1枚铜币</v>
      </c>
      <c r="I213" s="15" t="s">
        <v>399</v>
      </c>
      <c r="J213" s="24" t="s">
        <v>389</v>
      </c>
      <c r="K213" s="15" t="s">
        <v>392</v>
      </c>
      <c r="L213" s="40" t="s">
        <v>402</v>
      </c>
      <c r="N213" s="73">
        <f t="shared" ref="N213:N219" si="38">ROUND(POWER(O213,(5-T213)/5),0)</f>
        <v>1</v>
      </c>
      <c r="O213" s="30">
        <v>1</v>
      </c>
      <c r="P213" s="24" t="b">
        <v>1</v>
      </c>
      <c r="Q213" s="68"/>
      <c r="R213" s="24">
        <v>310502</v>
      </c>
      <c r="S213" s="24"/>
      <c r="T213" s="65">
        <v>2</v>
      </c>
      <c r="U213" s="72">
        <f t="shared" ref="U213:U219" si="39">ROUND(V213*POWER(W213,T213),0)</f>
        <v>48</v>
      </c>
      <c r="V213" s="30">
        <v>9.9</v>
      </c>
      <c r="W213" s="30">
        <v>2.2000000000000002</v>
      </c>
    </row>
    <row r="214" spans="1:23" x14ac:dyDescent="0.2">
      <c r="A214" s="39">
        <v>310502</v>
      </c>
      <c r="B214" s="73" t="str">
        <f t="shared" si="37"/>
        <v>relic_name_310502</v>
      </c>
      <c r="C214" s="82" t="s">
        <v>386</v>
      </c>
      <c r="D214" s="69" t="s">
        <v>396</v>
      </c>
      <c r="E214" s="68" t="str">
        <f t="shared" si="34"/>
        <v>relic_layout[relic_layout_16]</v>
      </c>
      <c r="F214" s="79">
        <v>16</v>
      </c>
      <c r="G214" s="16" t="str">
        <f t="shared" si="33"/>
        <v>relic_desc_310502</v>
      </c>
      <c r="H214" s="15" t="str" cm="1">
        <f t="array" ref="H214">IF($I214&lt;&gt;"",$I214,
_xlfn.LET(
_xlpm.idx,MATCH(relic!$M214,'-id 配置说明'!$A:$A,0),
_xlpm.desc,INDEX('-id 配置说明'!$F:$F,_xlpm.idx),
_xlpm.tp,INDEX('-id 配置说明'!$B:$B,_xlpm.idx),
_xlpm.expr,RIGHT(_xlpm.desc,LEN(_xlpm.desc)-FIND("=",_xlpm.desc))&amp;" + "&amp;_xlfn.SWITCH(_xlpm.tp,"pts",TEXT($L214/1000,"0%"),"add",$L214),
IFERROR(_xlpm.expr,"")
))</f>
        <v>[升级] 近战设备每次造成暴击伤害，有30%概率在目标处生成1枚铜币</v>
      </c>
      <c r="I214" s="15" t="s">
        <v>400</v>
      </c>
      <c r="J214" s="24" t="s">
        <v>389</v>
      </c>
      <c r="K214" s="15" t="s">
        <v>392</v>
      </c>
      <c r="L214" s="40" t="s">
        <v>394</v>
      </c>
      <c r="N214" s="73">
        <f t="shared" si="38"/>
        <v>1</v>
      </c>
      <c r="O214" s="30">
        <v>1</v>
      </c>
      <c r="P214" s="24" t="b">
        <v>0</v>
      </c>
      <c r="Q214" s="68">
        <v>310501</v>
      </c>
      <c r="R214" s="24">
        <v>310503</v>
      </c>
      <c r="S214" s="24">
        <v>310501</v>
      </c>
      <c r="T214" s="66">
        <v>3</v>
      </c>
      <c r="U214" s="72">
        <f t="shared" si="39"/>
        <v>105</v>
      </c>
      <c r="V214" s="30">
        <v>9.9</v>
      </c>
      <c r="W214" s="30">
        <v>2.2000000000000002</v>
      </c>
    </row>
    <row r="215" spans="1:23" x14ac:dyDescent="0.2">
      <c r="A215" s="39">
        <v>310503</v>
      </c>
      <c r="B215" s="73" t="str">
        <f t="shared" si="37"/>
        <v>relic_name_310503</v>
      </c>
      <c r="C215" s="82" t="s">
        <v>386</v>
      </c>
      <c r="D215" s="69" t="s">
        <v>397</v>
      </c>
      <c r="E215" s="68" t="str">
        <f t="shared" si="34"/>
        <v>relic_layout[relic_layout_17]</v>
      </c>
      <c r="F215" s="79">
        <v>17</v>
      </c>
      <c r="G215" s="16" t="str">
        <f t="shared" si="33"/>
        <v>relic_desc_310503</v>
      </c>
      <c r="H215" s="15" t="str" cm="1">
        <f t="array" ref="H215">IF($I215&lt;&gt;"",$I215,
_xlfn.LET(
_xlpm.idx,MATCH(relic!$M215,'-id 配置说明'!$A:$A,0),
_xlpm.desc,INDEX('-id 配置说明'!$F:$F,_xlpm.idx),
_xlpm.tp,INDEX('-id 配置说明'!$B:$B,_xlpm.idx),
_xlpm.expr,RIGHT(_xlpm.desc,LEN(_xlpm.desc)-FIND("=",_xlpm.desc))&amp;" + "&amp;_xlfn.SWITCH(_xlpm.tp,"pts",TEXT($L215/1000,"0%"),"add",$L215),
IFERROR(_xlpm.expr,"")
))</f>
        <v>[升级] 近战设备每次造成暴击伤害，有60%概率在目标处生成1枚铜币</v>
      </c>
      <c r="I215" s="15" t="s">
        <v>401</v>
      </c>
      <c r="J215" s="24" t="s">
        <v>389</v>
      </c>
      <c r="K215" s="15" t="s">
        <v>392</v>
      </c>
      <c r="L215" s="40" t="s">
        <v>403</v>
      </c>
      <c r="N215" s="73">
        <f t="shared" si="38"/>
        <v>1</v>
      </c>
      <c r="O215" s="30">
        <v>1</v>
      </c>
      <c r="P215" s="24" t="b">
        <v>0</v>
      </c>
      <c r="Q215" s="68">
        <v>310502</v>
      </c>
      <c r="R215" s="24"/>
      <c r="S215" s="24">
        <v>310502</v>
      </c>
      <c r="T215" s="67">
        <v>4</v>
      </c>
      <c r="U215" s="72">
        <f t="shared" si="39"/>
        <v>232</v>
      </c>
      <c r="V215" s="30">
        <v>9.9</v>
      </c>
      <c r="W215" s="30">
        <v>2.2000000000000002</v>
      </c>
    </row>
    <row r="216" spans="1:23" x14ac:dyDescent="0.2">
      <c r="A216" s="39">
        <v>310504</v>
      </c>
      <c r="B216" s="73" t="str">
        <f t="shared" si="37"/>
        <v>relic_name_310504</v>
      </c>
      <c r="C216" s="82" t="s">
        <v>386</v>
      </c>
      <c r="D216" s="69" t="s">
        <v>404</v>
      </c>
      <c r="E216" s="68" t="str">
        <f t="shared" si="34"/>
        <v>relic_layout[relic_layout_36]</v>
      </c>
      <c r="F216" s="79">
        <v>36</v>
      </c>
      <c r="G216" s="16" t="str">
        <f t="shared" si="33"/>
        <v>relic_desc_310504</v>
      </c>
      <c r="H216" s="15" t="str" cm="1">
        <f t="array" ref="H216">IF($I216&lt;&gt;"",$I216,
_xlfn.LET(
_xlpm.idx,MATCH(relic!$M216,'-id 配置说明'!$A:$A,0),
_xlpm.desc,INDEX('-id 配置说明'!$F:$F,_xlpm.idx),
_xlpm.tp,INDEX('-id 配置说明'!$B:$B,_xlpm.idx),
_xlpm.expr,RIGHT(_xlpm.desc,LEN(_xlpm.desc)-FIND("=",_xlpm.desc))&amp;" + "&amp;_xlfn.SWITCH(_xlpm.tp,"pts",TEXT($L216/1000,"0%"),"add",$L216),
IFERROR(_xlpm.expr,"")
))</f>
        <v>近战设备每次暴击，有20%几率秒杀目标（目标当前生命值不能超过设备伤害的6倍）</v>
      </c>
      <c r="I216" s="15" t="s">
        <v>398</v>
      </c>
      <c r="J216" s="24" t="s">
        <v>390</v>
      </c>
      <c r="K216" s="15" t="s">
        <v>393</v>
      </c>
      <c r="L216" s="40" t="s">
        <v>407</v>
      </c>
      <c r="N216" s="73">
        <f t="shared" si="38"/>
        <v>1</v>
      </c>
      <c r="O216" s="30">
        <v>1</v>
      </c>
      <c r="P216" s="24" t="b">
        <v>1</v>
      </c>
      <c r="Q216" s="68"/>
      <c r="R216" s="24">
        <v>310505</v>
      </c>
      <c r="S216" s="24"/>
      <c r="T216" s="65">
        <v>2</v>
      </c>
      <c r="U216" s="72">
        <f t="shared" si="39"/>
        <v>45</v>
      </c>
      <c r="V216" s="30">
        <v>8.3000000000000007</v>
      </c>
      <c r="W216" s="30">
        <v>2.3199999999999998</v>
      </c>
    </row>
    <row r="217" spans="1:23" x14ac:dyDescent="0.2">
      <c r="A217" s="39">
        <v>310505</v>
      </c>
      <c r="B217" s="73" t="str">
        <f t="shared" si="37"/>
        <v>relic_name_310505</v>
      </c>
      <c r="C217" s="82" t="s">
        <v>386</v>
      </c>
      <c r="D217" s="69" t="s">
        <v>405</v>
      </c>
      <c r="E217" s="68" t="str">
        <f t="shared" si="34"/>
        <v>relic_layout[relic_layout_37]</v>
      </c>
      <c r="F217" s="79">
        <v>37</v>
      </c>
      <c r="G217" s="16" t="str">
        <f t="shared" si="33"/>
        <v>relic_desc_310505</v>
      </c>
      <c r="H217" s="15" t="str" cm="1">
        <f t="array" ref="H217">IF($I217&lt;&gt;"",$I217,
_xlfn.LET(
_xlpm.idx,MATCH(relic!$M217,'-id 配置说明'!$A:$A,0),
_xlpm.desc,INDEX('-id 配置说明'!$F:$F,_xlpm.idx),
_xlpm.tp,INDEX('-id 配置说明'!$B:$B,_xlpm.idx),
_xlpm.expr,RIGHT(_xlpm.desc,LEN(_xlpm.desc)-FIND("=",_xlpm.desc))&amp;" + "&amp;_xlfn.SWITCH(_xlpm.tp,"pts",TEXT($L217/1000,"0%"),"add",$L217),
IFERROR(_xlpm.expr,"")
))</f>
        <v>[升级] 近战设备每次暴击，有40%几率秒杀目标（目标当前生命值不能超过设备伤害的9倍）</v>
      </c>
      <c r="I217" s="15" t="s">
        <v>413</v>
      </c>
      <c r="J217" s="24" t="s">
        <v>390</v>
      </c>
      <c r="K217" s="15" t="s">
        <v>393</v>
      </c>
      <c r="L217" s="40" t="s">
        <v>408</v>
      </c>
      <c r="N217" s="73">
        <f t="shared" si="38"/>
        <v>1</v>
      </c>
      <c r="O217" s="30">
        <v>1</v>
      </c>
      <c r="P217" s="24" t="b">
        <v>0</v>
      </c>
      <c r="Q217" s="68"/>
      <c r="R217" s="24">
        <v>310506</v>
      </c>
      <c r="S217" s="24">
        <v>310504</v>
      </c>
      <c r="T217" s="66">
        <v>3</v>
      </c>
      <c r="U217" s="72">
        <f t="shared" si="39"/>
        <v>104</v>
      </c>
      <c r="V217" s="30">
        <v>8.3000000000000007</v>
      </c>
      <c r="W217" s="30">
        <v>2.3199999999999998</v>
      </c>
    </row>
    <row r="218" spans="1:23" x14ac:dyDescent="0.2">
      <c r="A218" s="39">
        <v>310506</v>
      </c>
      <c r="B218" s="73" t="str">
        <f t="shared" si="37"/>
        <v>relic_name_310506</v>
      </c>
      <c r="C218" s="82" t="s">
        <v>386</v>
      </c>
      <c r="D218" s="69" t="s">
        <v>406</v>
      </c>
      <c r="E218" s="68" t="str">
        <f t="shared" si="34"/>
        <v>relic_layout[relic_layout_38]</v>
      </c>
      <c r="F218" s="79">
        <v>38</v>
      </c>
      <c r="G218" s="16" t="str">
        <f t="shared" si="33"/>
        <v>relic_desc_310506</v>
      </c>
      <c r="H218" s="15" t="str" cm="1">
        <f t="array" ref="H218">IF($I218&lt;&gt;"",$I218,
_xlfn.LET(
_xlpm.idx,MATCH(relic!$M218,'-id 配置说明'!$A:$A,0),
_xlpm.desc,INDEX('-id 配置说明'!$F:$F,_xlpm.idx),
_xlpm.tp,INDEX('-id 配置说明'!$B:$B,_xlpm.idx),
_xlpm.expr,RIGHT(_xlpm.desc,LEN(_xlpm.desc)-FIND("=",_xlpm.desc))&amp;" + "&amp;_xlfn.SWITCH(_xlpm.tp,"pts",TEXT($L218/1000,"0%"),"add",$L218),
IFERROR(_xlpm.expr,"")
))</f>
        <v>[升级] 近战设备每次暴击，有60%几率秒杀目标（目标当前生命值不能超过设备伤害的12倍）</v>
      </c>
      <c r="I218" s="15" t="s">
        <v>414</v>
      </c>
      <c r="J218" s="24" t="s">
        <v>390</v>
      </c>
      <c r="K218" s="15" t="s">
        <v>393</v>
      </c>
      <c r="L218" s="40" t="s">
        <v>409</v>
      </c>
      <c r="N218" s="73">
        <f t="shared" si="38"/>
        <v>1</v>
      </c>
      <c r="O218" s="30">
        <v>1</v>
      </c>
      <c r="P218" s="24" t="b">
        <v>0</v>
      </c>
      <c r="Q218" s="68">
        <v>310505</v>
      </c>
      <c r="R218" s="24"/>
      <c r="S218" s="24">
        <v>310505</v>
      </c>
      <c r="T218" s="67">
        <v>4</v>
      </c>
      <c r="U218" s="72">
        <f t="shared" si="39"/>
        <v>240</v>
      </c>
      <c r="V218" s="30">
        <v>8.3000000000000007</v>
      </c>
      <c r="W218" s="30">
        <v>2.3199999999999998</v>
      </c>
    </row>
    <row r="219" spans="1:23" x14ac:dyDescent="0.2">
      <c r="A219" s="39">
        <v>310507</v>
      </c>
      <c r="B219" s="73" t="str">
        <f t="shared" si="37"/>
        <v>relic_name_310507</v>
      </c>
      <c r="C219" s="82" t="s">
        <v>386</v>
      </c>
      <c r="D219" s="69" t="s">
        <v>410</v>
      </c>
      <c r="E219" s="68" t="str">
        <f t="shared" si="34"/>
        <v>relic_layout[relic_layout_67]</v>
      </c>
      <c r="F219" s="79">
        <v>67</v>
      </c>
      <c r="G219" s="16" t="str">
        <f t="shared" si="33"/>
        <v>relic_desc_310507</v>
      </c>
      <c r="H219" s="15" t="str" cm="1">
        <f t="array" ref="H219">IF($I219&lt;&gt;"",$I219,
_xlfn.LET(
_xlpm.idx,MATCH(relic!$M219,'-id 配置说明'!$A:$A,0),
_xlpm.desc,INDEX('-id 配置说明'!$F:$F,_xlpm.idx),
_xlpm.tp,INDEX('-id 配置说明'!$B:$B,_xlpm.idx),
_xlpm.expr,RIGHT(_xlpm.desc,LEN(_xlpm.desc)-FIND("=",_xlpm.desc))&amp;" + "&amp;_xlfn.SWITCH(_xlpm.tp,"pts",TEXT($L219/1000,"0%"),"add",$L219),
IFERROR(_xlpm.expr,"")
))</f>
        <v>近战设备获得32点额外火焰伤害，但每次发动攻击，有5%的概率点燃自身。</v>
      </c>
      <c r="I219" s="15" t="s">
        <v>415</v>
      </c>
      <c r="J219" s="24" t="s">
        <v>391</v>
      </c>
      <c r="K219" s="15" t="s">
        <v>411</v>
      </c>
      <c r="L219" s="40" t="s">
        <v>412</v>
      </c>
      <c r="N219" s="73">
        <f t="shared" si="38"/>
        <v>1</v>
      </c>
      <c r="O219" s="30">
        <v>1</v>
      </c>
      <c r="P219" s="24" t="b">
        <v>1</v>
      </c>
      <c r="Q219" s="68">
        <v>310506</v>
      </c>
      <c r="R219" s="68"/>
      <c r="S219" s="68"/>
      <c r="T219" s="65">
        <v>2</v>
      </c>
      <c r="U219" s="72">
        <f t="shared" si="39"/>
        <v>46</v>
      </c>
      <c r="V219" s="30">
        <v>8.5</v>
      </c>
      <c r="W219" s="30">
        <v>2.3199999999999998</v>
      </c>
    </row>
  </sheetData>
  <phoneticPr fontId="11" type="noConversion"/>
  <conditionalFormatting sqref="A1:A1048576">
    <cfRule type="duplicateValues" dxfId="1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63FC-6CA5-4CCD-B7F2-9C794A9E9014}">
  <sheetPr>
    <tabColor theme="9" tint="0.79998168889431442"/>
  </sheetPr>
  <dimension ref="A1:K143"/>
  <sheetViews>
    <sheetView workbookViewId="0">
      <pane ySplit="3" topLeftCell="A55" activePane="bottomLeft" state="frozen"/>
      <selection pane="bottomLeft" activeCell="D22" sqref="D22"/>
    </sheetView>
  </sheetViews>
  <sheetFormatPr defaultColWidth="9.125" defaultRowHeight="14.25" x14ac:dyDescent="0.2"/>
  <cols>
    <col min="1" max="2" width="11.375" style="14" customWidth="1"/>
    <col min="3" max="3" width="13.625" style="38" bestFit="1" customWidth="1"/>
    <col min="4" max="4" width="84" style="38" customWidth="1"/>
    <col min="5" max="5" width="9" style="14" bestFit="1" customWidth="1"/>
  </cols>
  <sheetData>
    <row r="1" spans="1:11" s="11" customFormat="1" x14ac:dyDescent="0.2">
      <c r="A1" s="11" t="s">
        <v>221</v>
      </c>
      <c r="B1" s="11" t="s">
        <v>5</v>
      </c>
      <c r="C1" s="35"/>
      <c r="D1" s="35"/>
      <c r="E1" s="11" t="s">
        <v>224</v>
      </c>
    </row>
    <row r="2" spans="1:11" s="12" customFormat="1" x14ac:dyDescent="0.2">
      <c r="A2" s="12" t="s">
        <v>220</v>
      </c>
      <c r="B2" s="12" t="s">
        <v>220</v>
      </c>
      <c r="C2" s="36"/>
      <c r="D2" s="36"/>
      <c r="E2" s="12" t="s">
        <v>207</v>
      </c>
    </row>
    <row r="3" spans="1:11" s="13" customFormat="1" ht="28.5" x14ac:dyDescent="0.2">
      <c r="A3" s="27" t="s">
        <v>222</v>
      </c>
      <c r="B3" s="27" t="s">
        <v>223</v>
      </c>
      <c r="C3" s="37" t="s">
        <v>226</v>
      </c>
      <c r="D3" s="37" t="s">
        <v>227</v>
      </c>
      <c r="E3" s="27" t="s">
        <v>225</v>
      </c>
    </row>
    <row r="4" spans="1:11" x14ac:dyDescent="0.2">
      <c r="A4" s="14">
        <v>1</v>
      </c>
      <c r="B4" s="14">
        <v>300011</v>
      </c>
      <c r="C4" s="38" t="str">
        <f>_xlfn.XLOOKUP($B4,relic!A:A,relic!D:D,"")</f>
        <v>阿菊</v>
      </c>
      <c r="D4" s="38" t="str">
        <f>VLOOKUP($B4,relic!A:H,7,0)</f>
        <v>relic_desc_300011</v>
      </c>
      <c r="E4" s="14">
        <v>1</v>
      </c>
      <c r="H4" t="str">
        <f>IF(E4,B4&amp;"="&amp;E4,"")</f>
        <v>300011=1</v>
      </c>
      <c r="K4" t="str">
        <f>_xlfn.TEXTJOIN(";",1,H:H)</f>
        <v>300011=1;300012=1;300013=1;300021=1;300022=1;300023=1;300031=1;300032=1;300033=1;300041=1;300042=1;300043=1;300051=1;300052=1;300053=1;300061=1;300062=1;300063=1;300071=1;300072=1;300073=1;300081=1;300082=1;300083=1;300091=1;300092=1;300093=1;301011=1;301012=1;301013=1;301021=1;301022=1;301023=1;301031=1;301032=1;301033=1;301041=1;301042=1;301043=1;301051=1;301052=1;301053=1;301061=1;301062=1;301063=1;301211=1;301212=1;301213=1;301221=1;301222=1;301223=1;301231=1;301232=1;301233=1;302011=1;302012=1;302013=1;302021=1;302022=1;302023=1;302031=1;302032=1;302033=1;302041=1;302042=1;302043=1;302051=1;302052=1;302053=1;302061=1;302062=1;302063=1;302211=1;302212=1;302213=1;302231=1;302232=1;302233=1;302311=1;302312=1;302313=1;302321=1;302322=1;302323=1;310201=10;310202=10;310203=10;310204=10;310205=10;310206=10;310207=10;310208=10;310209=10;310210=10;310211=10;310212=10;310213=10;310217=10;310218=10;310219=10;310401=10;310402=10;310403=10;310404=10;310407=10;310408=10;310409=10</v>
      </c>
    </row>
    <row r="5" spans="1:11" x14ac:dyDescent="0.2">
      <c r="A5" s="14">
        <v>1</v>
      </c>
      <c r="B5" s="14">
        <v>300012</v>
      </c>
      <c r="C5" s="38" t="str">
        <f>_xlfn.XLOOKUP($B5,relic!A:A,relic!D:D,"")</f>
        <v>阿菊</v>
      </c>
      <c r="D5" s="38" t="str">
        <f>VLOOKUP($B5,relic!A:H,7,0)</f>
        <v>relic_desc_300012</v>
      </c>
      <c r="E5" s="14">
        <v>1</v>
      </c>
      <c r="H5" t="str">
        <f t="shared" ref="H5:H68" si="0">IF(E5,B5&amp;"="&amp;E5,"")</f>
        <v>300012=1</v>
      </c>
    </row>
    <row r="6" spans="1:11" x14ac:dyDescent="0.2">
      <c r="A6" s="14">
        <v>1</v>
      </c>
      <c r="B6" s="14">
        <v>300013</v>
      </c>
      <c r="C6" s="38" t="str">
        <f>_xlfn.XLOOKUP($B6,relic!A:A,relic!D:D,"")</f>
        <v>阿菊</v>
      </c>
      <c r="D6" s="38" t="str">
        <f>VLOOKUP($B6,relic!A:H,7,0)</f>
        <v>relic_desc_300013</v>
      </c>
      <c r="E6" s="14">
        <v>1</v>
      </c>
      <c r="H6" t="str">
        <f t="shared" si="0"/>
        <v>300013=1</v>
      </c>
    </row>
    <row r="7" spans="1:11" x14ac:dyDescent="0.2">
      <c r="A7" s="14">
        <v>1</v>
      </c>
      <c r="B7" s="14">
        <v>300021</v>
      </c>
      <c r="C7" s="38" t="str">
        <f>_xlfn.XLOOKUP($B7,relic!A:A,relic!D:D,"")</f>
        <v>火星蝶</v>
      </c>
      <c r="D7" s="38" t="str">
        <f>VLOOKUP($B7,relic!A:H,7,0)</f>
        <v>relic_desc_300021</v>
      </c>
      <c r="E7" s="14">
        <v>1</v>
      </c>
      <c r="H7" t="str">
        <f t="shared" si="0"/>
        <v>300021=1</v>
      </c>
    </row>
    <row r="8" spans="1:11" x14ac:dyDescent="0.2">
      <c r="A8" s="14">
        <v>1</v>
      </c>
      <c r="B8" s="14">
        <v>300022</v>
      </c>
      <c r="C8" s="38" t="str">
        <f>_xlfn.XLOOKUP($B8,relic!A:A,relic!D:D,"")</f>
        <v>火星蝶</v>
      </c>
      <c r="D8" s="38" t="str">
        <f>VLOOKUP($B8,relic!A:H,7,0)</f>
        <v>relic_desc_300022</v>
      </c>
      <c r="E8" s="14">
        <v>1</v>
      </c>
      <c r="H8" t="str">
        <f t="shared" si="0"/>
        <v>300022=1</v>
      </c>
    </row>
    <row r="9" spans="1:11" x14ac:dyDescent="0.2">
      <c r="A9" s="14">
        <v>1</v>
      </c>
      <c r="B9" s="14">
        <v>300023</v>
      </c>
      <c r="C9" s="38" t="str">
        <f>_xlfn.XLOOKUP($B9,relic!A:A,relic!D:D,"")</f>
        <v>火星蝶</v>
      </c>
      <c r="D9" s="38" t="str">
        <f>VLOOKUP($B9,relic!A:H,7,0)</f>
        <v>relic_desc_300023</v>
      </c>
      <c r="E9" s="14">
        <v>1</v>
      </c>
      <c r="H9" t="str">
        <f t="shared" si="0"/>
        <v>300023=1</v>
      </c>
    </row>
    <row r="10" spans="1:11" x14ac:dyDescent="0.2">
      <c r="A10" s="14">
        <v>1</v>
      </c>
      <c r="B10" s="14">
        <v>300031</v>
      </c>
      <c r="C10" s="38" t="str">
        <f>_xlfn.XLOOKUP($B10,relic!A:A,relic!D:D,"")</f>
        <v>肌肉金轮草</v>
      </c>
      <c r="D10" s="38" t="str">
        <f>VLOOKUP($B10,relic!A:H,7,0)</f>
        <v>relic_desc_300031</v>
      </c>
      <c r="E10" s="14">
        <v>1</v>
      </c>
      <c r="H10" t="str">
        <f t="shared" si="0"/>
        <v>300031=1</v>
      </c>
    </row>
    <row r="11" spans="1:11" x14ac:dyDescent="0.2">
      <c r="A11" s="14">
        <v>1</v>
      </c>
      <c r="B11" s="14">
        <v>300032</v>
      </c>
      <c r="C11" s="38" t="str">
        <f>_xlfn.XLOOKUP($B11,relic!A:A,relic!D:D,"")</f>
        <v>肌肉金轮草</v>
      </c>
      <c r="D11" s="38" t="str">
        <f>VLOOKUP($B11,relic!A:H,7,0)</f>
        <v>relic_desc_300032</v>
      </c>
      <c r="E11" s="14">
        <v>1</v>
      </c>
      <c r="H11" t="str">
        <f t="shared" si="0"/>
        <v>300032=1</v>
      </c>
    </row>
    <row r="12" spans="1:11" x14ac:dyDescent="0.2">
      <c r="A12" s="14">
        <v>1</v>
      </c>
      <c r="B12" s="14">
        <v>300033</v>
      </c>
      <c r="C12" s="38" t="str">
        <f>_xlfn.XLOOKUP($B12,relic!A:A,relic!D:D,"")</f>
        <v>肌肉金轮草</v>
      </c>
      <c r="D12" s="38" t="str">
        <f>VLOOKUP($B12,relic!A:H,7,0)</f>
        <v>relic_desc_300033</v>
      </c>
      <c r="E12" s="14">
        <v>1</v>
      </c>
      <c r="H12" t="str">
        <f t="shared" si="0"/>
        <v>300033=1</v>
      </c>
    </row>
    <row r="13" spans="1:11" x14ac:dyDescent="0.2">
      <c r="A13" s="14">
        <v>1</v>
      </c>
      <c r="B13" s="14">
        <v>300041</v>
      </c>
      <c r="C13" s="38" t="str">
        <f>_xlfn.XLOOKUP($B13,relic!A:A,relic!D:D,"")</f>
        <v>托利莲</v>
      </c>
      <c r="D13" s="38" t="str">
        <f>VLOOKUP($B13,relic!A:H,7,0)</f>
        <v>relic_desc_300041</v>
      </c>
      <c r="E13" s="14">
        <v>1</v>
      </c>
      <c r="H13" t="str">
        <f t="shared" si="0"/>
        <v>300041=1</v>
      </c>
    </row>
    <row r="14" spans="1:11" x14ac:dyDescent="0.2">
      <c r="A14" s="14">
        <v>1</v>
      </c>
      <c r="B14" s="14">
        <v>300042</v>
      </c>
      <c r="C14" s="38" t="str">
        <f>_xlfn.XLOOKUP($B14,relic!A:A,relic!D:D,"")</f>
        <v>托利莲</v>
      </c>
      <c r="D14" s="38" t="str">
        <f>VLOOKUP($B14,relic!A:H,7,0)</f>
        <v>relic_desc_300042</v>
      </c>
      <c r="E14" s="14">
        <v>1</v>
      </c>
      <c r="H14" t="str">
        <f t="shared" si="0"/>
        <v>300042=1</v>
      </c>
    </row>
    <row r="15" spans="1:11" x14ac:dyDescent="0.2">
      <c r="A15" s="14">
        <v>1</v>
      </c>
      <c r="B15" s="14">
        <v>300043</v>
      </c>
      <c r="C15" s="38" t="str">
        <f>_xlfn.XLOOKUP($B15,relic!A:A,relic!D:D,"")</f>
        <v>托利莲</v>
      </c>
      <c r="D15" s="38" t="str">
        <f>VLOOKUP($B15,relic!A:H,7,0)</f>
        <v>relic_desc_300043</v>
      </c>
      <c r="E15" s="14">
        <v>1</v>
      </c>
      <c r="H15" t="str">
        <f t="shared" si="0"/>
        <v>300043=1</v>
      </c>
    </row>
    <row r="16" spans="1:11" x14ac:dyDescent="0.2">
      <c r="A16" s="14">
        <v>1</v>
      </c>
      <c r="B16" s="14">
        <v>300051</v>
      </c>
      <c r="C16" s="38" t="str">
        <f>_xlfn.XLOOKUP($B16,relic!A:A,relic!D:D,"")</f>
        <v>紫水晶</v>
      </c>
      <c r="D16" s="38" t="str">
        <f>VLOOKUP($B16,relic!A:H,7,0)</f>
        <v>relic_desc_300051</v>
      </c>
      <c r="E16" s="14">
        <v>1</v>
      </c>
      <c r="H16" t="str">
        <f t="shared" si="0"/>
        <v>300051=1</v>
      </c>
    </row>
    <row r="17" spans="1:8" x14ac:dyDescent="0.2">
      <c r="A17" s="14">
        <v>1</v>
      </c>
      <c r="B17" s="14">
        <v>300052</v>
      </c>
      <c r="C17" s="38" t="str">
        <f>_xlfn.XLOOKUP($B17,relic!A:A,relic!D:D,"")</f>
        <v>粉水晶</v>
      </c>
      <c r="D17" s="38" t="str">
        <f>VLOOKUP($B17,relic!A:H,7,0)</f>
        <v>relic_desc_300052</v>
      </c>
      <c r="E17" s="14">
        <v>1</v>
      </c>
      <c r="H17" t="str">
        <f t="shared" si="0"/>
        <v>300052=1</v>
      </c>
    </row>
    <row r="18" spans="1:8" x14ac:dyDescent="0.2">
      <c r="A18" s="14">
        <v>1</v>
      </c>
      <c r="B18" s="14">
        <v>300053</v>
      </c>
      <c r="C18" s="38" t="str">
        <f>_xlfn.XLOOKUP($B18,relic!A:A,relic!D:D,"")</f>
        <v>黄水晶</v>
      </c>
      <c r="D18" s="38" t="str">
        <f>VLOOKUP($B18,relic!A:H,7,0)</f>
        <v>relic_desc_300053</v>
      </c>
      <c r="E18" s="14">
        <v>1</v>
      </c>
      <c r="H18" t="str">
        <f t="shared" si="0"/>
        <v>300053=1</v>
      </c>
    </row>
    <row r="19" spans="1:8" x14ac:dyDescent="0.2">
      <c r="A19" s="14">
        <v>1</v>
      </c>
      <c r="B19" s="14">
        <v>300061</v>
      </c>
      <c r="C19" s="38" t="str">
        <f>_xlfn.XLOOKUP($B19,relic!A:A,relic!D:D,"")</f>
        <v>国王骰子</v>
      </c>
      <c r="D19" s="38" t="str">
        <f>VLOOKUP($B19,relic!A:H,7,0)</f>
        <v>relic_desc_300061</v>
      </c>
      <c r="E19" s="14">
        <v>1</v>
      </c>
      <c r="H19" t="str">
        <f t="shared" si="0"/>
        <v>300061=1</v>
      </c>
    </row>
    <row r="20" spans="1:8" x14ac:dyDescent="0.2">
      <c r="A20" s="14">
        <v>1</v>
      </c>
      <c r="B20" s="14">
        <v>300062</v>
      </c>
      <c r="C20" s="38" t="str">
        <f>_xlfn.XLOOKUP($B20,relic!A:A,relic!D:D,"")</f>
        <v>国王骰子</v>
      </c>
      <c r="D20" s="38" t="str">
        <f>VLOOKUP($B20,relic!A:H,7,0)</f>
        <v>relic_desc_300062</v>
      </c>
      <c r="E20" s="14">
        <v>1</v>
      </c>
      <c r="H20" t="str">
        <f t="shared" si="0"/>
        <v>300062=1</v>
      </c>
    </row>
    <row r="21" spans="1:8" x14ac:dyDescent="0.2">
      <c r="A21" s="14">
        <v>1</v>
      </c>
      <c r="B21" s="14">
        <v>300063</v>
      </c>
      <c r="C21" s="38" t="str">
        <f>_xlfn.XLOOKUP($B21,relic!A:A,relic!D:D,"")</f>
        <v>国王骰子</v>
      </c>
      <c r="D21" s="38" t="str">
        <f>VLOOKUP($B21,relic!A:H,7,0)</f>
        <v>relic_desc_300063</v>
      </c>
      <c r="E21" s="14">
        <v>1</v>
      </c>
      <c r="H21" t="str">
        <f t="shared" si="0"/>
        <v>300063=1</v>
      </c>
    </row>
    <row r="22" spans="1:8" x14ac:dyDescent="0.2">
      <c r="A22" s="14">
        <v>1</v>
      </c>
      <c r="B22" s="14">
        <v>300071</v>
      </c>
      <c r="C22" s="38" t="str">
        <f>_xlfn.XLOOKUP($B22,relic!A:A,relic!D:D,"")</f>
        <v>守护符</v>
      </c>
      <c r="D22" s="38" t="str">
        <f>VLOOKUP($B22,relic!A:H,7,0)</f>
        <v>relic_desc_300071</v>
      </c>
      <c r="E22" s="14">
        <v>1</v>
      </c>
      <c r="H22" t="str">
        <f t="shared" si="0"/>
        <v>300071=1</v>
      </c>
    </row>
    <row r="23" spans="1:8" x14ac:dyDescent="0.2">
      <c r="A23" s="14">
        <v>1</v>
      </c>
      <c r="B23" s="14">
        <v>300072</v>
      </c>
      <c r="C23" s="38" t="str">
        <f>_xlfn.XLOOKUP($B23,relic!A:A,relic!D:D,"")</f>
        <v>守护符</v>
      </c>
      <c r="D23" s="38" t="str">
        <f>VLOOKUP($B23,relic!A:H,7,0)</f>
        <v>relic_desc_300072</v>
      </c>
      <c r="E23" s="14">
        <v>1</v>
      </c>
      <c r="H23" t="str">
        <f t="shared" si="0"/>
        <v>300072=1</v>
      </c>
    </row>
    <row r="24" spans="1:8" x14ac:dyDescent="0.2">
      <c r="A24" s="14">
        <v>1</v>
      </c>
      <c r="B24" s="14">
        <v>300073</v>
      </c>
      <c r="C24" s="38" t="str">
        <f>_xlfn.XLOOKUP($B24,relic!A:A,relic!D:D,"")</f>
        <v>守护符</v>
      </c>
      <c r="D24" s="38" t="str">
        <f>VLOOKUP($B24,relic!A:H,7,0)</f>
        <v>relic_desc_300073</v>
      </c>
      <c r="E24" s="14">
        <v>1</v>
      </c>
      <c r="H24" t="str">
        <f t="shared" si="0"/>
        <v>300073=1</v>
      </c>
    </row>
    <row r="25" spans="1:8" x14ac:dyDescent="0.2">
      <c r="A25" s="14">
        <v>1</v>
      </c>
      <c r="B25" s="14">
        <v>300081</v>
      </c>
      <c r="C25" s="38" t="str">
        <f>_xlfn.XLOOKUP($B25,relic!A:A,relic!D:D,"")</f>
        <v>文护符</v>
      </c>
      <c r="D25" s="38" t="str">
        <f>VLOOKUP($B25,relic!A:H,7,0)</f>
        <v>relic_desc_300081</v>
      </c>
      <c r="E25" s="14">
        <v>1</v>
      </c>
      <c r="H25" t="str">
        <f t="shared" si="0"/>
        <v>300081=1</v>
      </c>
    </row>
    <row r="26" spans="1:8" x14ac:dyDescent="0.2">
      <c r="A26" s="14">
        <v>1</v>
      </c>
      <c r="B26" s="14">
        <v>300082</v>
      </c>
      <c r="C26" s="38" t="str">
        <f>_xlfn.XLOOKUP($B26,relic!A:A,relic!D:D,"")</f>
        <v>文护符</v>
      </c>
      <c r="D26" s="38" t="str">
        <f>VLOOKUP($B26,relic!A:H,7,0)</f>
        <v>relic_desc_300082</v>
      </c>
      <c r="E26" s="14">
        <v>1</v>
      </c>
      <c r="H26" t="str">
        <f t="shared" si="0"/>
        <v>300082=1</v>
      </c>
    </row>
    <row r="27" spans="1:8" x14ac:dyDescent="0.2">
      <c r="A27" s="14">
        <v>1</v>
      </c>
      <c r="B27" s="14">
        <v>300083</v>
      </c>
      <c r="C27" s="38" t="str">
        <f>_xlfn.XLOOKUP($B27,relic!A:A,relic!D:D,"")</f>
        <v>文护符</v>
      </c>
      <c r="D27" s="38" t="str">
        <f>VLOOKUP($B27,relic!A:H,7,0)</f>
        <v>relic_desc_300083</v>
      </c>
      <c r="E27" s="14">
        <v>1</v>
      </c>
      <c r="H27" t="str">
        <f t="shared" si="0"/>
        <v>300083=1</v>
      </c>
    </row>
    <row r="28" spans="1:8" x14ac:dyDescent="0.2">
      <c r="A28" s="14">
        <v>1</v>
      </c>
      <c r="B28" s="14">
        <v>300091</v>
      </c>
      <c r="C28" s="38" t="str">
        <f>_xlfn.XLOOKUP($B28,relic!A:A,relic!D:D,"")</f>
        <v>礼护符</v>
      </c>
      <c r="D28" s="38" t="str">
        <f>VLOOKUP($B28,relic!A:H,7,0)</f>
        <v>relic_desc_300091</v>
      </c>
      <c r="E28" s="14">
        <v>1</v>
      </c>
      <c r="H28" t="str">
        <f t="shared" si="0"/>
        <v>300091=1</v>
      </c>
    </row>
    <row r="29" spans="1:8" x14ac:dyDescent="0.2">
      <c r="A29" s="14">
        <v>1</v>
      </c>
      <c r="B29" s="14">
        <v>300092</v>
      </c>
      <c r="C29" s="38" t="str">
        <f>_xlfn.XLOOKUP($B29,relic!A:A,relic!D:D,"")</f>
        <v>礼护符</v>
      </c>
      <c r="D29" s="38" t="str">
        <f>VLOOKUP($B29,relic!A:H,7,0)</f>
        <v>relic_desc_300092</v>
      </c>
      <c r="E29" s="14">
        <v>1</v>
      </c>
      <c r="H29" t="str">
        <f t="shared" si="0"/>
        <v>300092=1</v>
      </c>
    </row>
    <row r="30" spans="1:8" x14ac:dyDescent="0.2">
      <c r="A30" s="14">
        <v>1</v>
      </c>
      <c r="B30" s="14">
        <v>300093</v>
      </c>
      <c r="C30" s="38" t="str">
        <f>_xlfn.XLOOKUP($B30,relic!A:A,relic!D:D,"")</f>
        <v>礼护符</v>
      </c>
      <c r="D30" s="38" t="str">
        <f>VLOOKUP($B30,relic!A:H,7,0)</f>
        <v>relic_desc_300093</v>
      </c>
      <c r="E30" s="14">
        <v>1</v>
      </c>
      <c r="H30" t="str">
        <f t="shared" si="0"/>
        <v>300093=1</v>
      </c>
    </row>
    <row r="31" spans="1:8" x14ac:dyDescent="0.2">
      <c r="A31" s="14">
        <v>1</v>
      </c>
      <c r="B31" s="14">
        <v>301011</v>
      </c>
      <c r="C31" s="38" t="str">
        <f>_xlfn.XLOOKUP($B31,relic!A:A,relic!D:D,"")</f>
        <v>镐子</v>
      </c>
      <c r="D31" s="38" t="str">
        <f>VLOOKUP($B31,relic!A:H,7,0)</f>
        <v>relic_desc_301011</v>
      </c>
      <c r="E31" s="14">
        <v>1</v>
      </c>
      <c r="H31" t="str">
        <f t="shared" si="0"/>
        <v>301011=1</v>
      </c>
    </row>
    <row r="32" spans="1:8" x14ac:dyDescent="0.2">
      <c r="A32" s="14">
        <v>1</v>
      </c>
      <c r="B32" s="14">
        <v>301012</v>
      </c>
      <c r="C32" s="38" t="str">
        <f>_xlfn.XLOOKUP($B32,relic!A:A,relic!D:D,"")</f>
        <v>镐子</v>
      </c>
      <c r="D32" s="38" t="str">
        <f>VLOOKUP($B32,relic!A:H,7,0)</f>
        <v>relic_desc_301012</v>
      </c>
      <c r="E32" s="14">
        <v>1</v>
      </c>
      <c r="H32" t="str">
        <f t="shared" si="0"/>
        <v>301012=1</v>
      </c>
    </row>
    <row r="33" spans="1:8" x14ac:dyDescent="0.2">
      <c r="A33" s="14">
        <v>1</v>
      </c>
      <c r="B33" s="14">
        <v>301013</v>
      </c>
      <c r="C33" s="38" t="str">
        <f>_xlfn.XLOOKUP($B33,relic!A:A,relic!D:D,"")</f>
        <v>镐子</v>
      </c>
      <c r="D33" s="38" t="str">
        <f>VLOOKUP($B33,relic!A:H,7,0)</f>
        <v>relic_desc_301013</v>
      </c>
      <c r="E33" s="14">
        <v>1</v>
      </c>
      <c r="H33" t="str">
        <f t="shared" si="0"/>
        <v>301013=1</v>
      </c>
    </row>
    <row r="34" spans="1:8" x14ac:dyDescent="0.2">
      <c r="A34" s="14">
        <v>1</v>
      </c>
      <c r="B34" s="14">
        <v>301021</v>
      </c>
      <c r="C34" s="38" t="str">
        <f>_xlfn.XLOOKUP($B34,relic!A:A,relic!D:D,"")</f>
        <v>锄头</v>
      </c>
      <c r="D34" s="38" t="str">
        <f>VLOOKUP($B34,relic!A:H,7,0)</f>
        <v>relic_desc_301021</v>
      </c>
      <c r="E34" s="14">
        <v>1</v>
      </c>
      <c r="H34" t="str">
        <f t="shared" si="0"/>
        <v>301021=1</v>
      </c>
    </row>
    <row r="35" spans="1:8" x14ac:dyDescent="0.2">
      <c r="A35" s="14">
        <v>1</v>
      </c>
      <c r="B35" s="14">
        <v>301022</v>
      </c>
      <c r="C35" s="38" t="str">
        <f>_xlfn.XLOOKUP($B35,relic!A:A,relic!D:D,"")</f>
        <v>锄头</v>
      </c>
      <c r="D35" s="38" t="str">
        <f>VLOOKUP($B35,relic!A:H,7,0)</f>
        <v>relic_desc_301022</v>
      </c>
      <c r="E35" s="14">
        <v>1</v>
      </c>
      <c r="H35" t="str">
        <f t="shared" si="0"/>
        <v>301022=1</v>
      </c>
    </row>
    <row r="36" spans="1:8" x14ac:dyDescent="0.2">
      <c r="A36" s="14">
        <v>1</v>
      </c>
      <c r="B36" s="14">
        <v>301023</v>
      </c>
      <c r="C36" s="38" t="str">
        <f>_xlfn.XLOOKUP($B36,relic!A:A,relic!D:D,"")</f>
        <v>锄头</v>
      </c>
      <c r="D36" s="38" t="str">
        <f>VLOOKUP($B36,relic!A:H,7,0)</f>
        <v>relic_desc_301023</v>
      </c>
      <c r="E36" s="14">
        <v>1</v>
      </c>
      <c r="H36" t="str">
        <f t="shared" si="0"/>
        <v>301023=1</v>
      </c>
    </row>
    <row r="37" spans="1:8" x14ac:dyDescent="0.2">
      <c r="A37" s="14">
        <v>1</v>
      </c>
      <c r="B37" s="14">
        <v>301031</v>
      </c>
      <c r="C37" s="38" t="str">
        <f>_xlfn.XLOOKUP($B37,relic!A:A,relic!D:D,"")</f>
        <v>斧头</v>
      </c>
      <c r="D37" s="38" t="str">
        <f>VLOOKUP($B37,relic!A:H,7,0)</f>
        <v>relic_desc_301031</v>
      </c>
      <c r="E37" s="14">
        <v>1</v>
      </c>
      <c r="H37" t="str">
        <f t="shared" si="0"/>
        <v>301031=1</v>
      </c>
    </row>
    <row r="38" spans="1:8" x14ac:dyDescent="0.2">
      <c r="A38" s="14">
        <v>1</v>
      </c>
      <c r="B38" s="14">
        <v>301032</v>
      </c>
      <c r="C38" s="38" t="str">
        <f>_xlfn.XLOOKUP($B38,relic!A:A,relic!D:D,"")</f>
        <v>斧头</v>
      </c>
      <c r="D38" s="38" t="str">
        <f>VLOOKUP($B38,relic!A:H,7,0)</f>
        <v>relic_desc_301032</v>
      </c>
      <c r="E38" s="14">
        <v>1</v>
      </c>
      <c r="H38" t="str">
        <f t="shared" si="0"/>
        <v>301032=1</v>
      </c>
    </row>
    <row r="39" spans="1:8" x14ac:dyDescent="0.2">
      <c r="A39" s="14">
        <v>1</v>
      </c>
      <c r="B39" s="14">
        <v>301033</v>
      </c>
      <c r="C39" s="38" t="str">
        <f>_xlfn.XLOOKUP($B39,relic!A:A,relic!D:D,"")</f>
        <v>斧头</v>
      </c>
      <c r="D39" s="38" t="str">
        <f>VLOOKUP($B39,relic!A:H,7,0)</f>
        <v>relic_desc_301033</v>
      </c>
      <c r="E39" s="14">
        <v>1</v>
      </c>
      <c r="H39" t="str">
        <f t="shared" si="0"/>
        <v>301033=1</v>
      </c>
    </row>
    <row r="40" spans="1:8" x14ac:dyDescent="0.2">
      <c r="A40" s="14">
        <v>1</v>
      </c>
      <c r="B40" s="14">
        <v>301041</v>
      </c>
      <c r="C40" s="38" t="str">
        <f>_xlfn.XLOOKUP($B40,relic!A:A,relic!D:D,"")</f>
        <v>扳手</v>
      </c>
      <c r="D40" s="38" t="str">
        <f>VLOOKUP($B40,relic!A:H,7,0)</f>
        <v>relic_desc_301041</v>
      </c>
      <c r="E40" s="14">
        <v>1</v>
      </c>
      <c r="H40" t="str">
        <f t="shared" si="0"/>
        <v>301041=1</v>
      </c>
    </row>
    <row r="41" spans="1:8" x14ac:dyDescent="0.2">
      <c r="A41" s="14">
        <v>1</v>
      </c>
      <c r="B41" s="14">
        <v>301042</v>
      </c>
      <c r="C41" s="38" t="str">
        <f>_xlfn.XLOOKUP($B41,relic!A:A,relic!D:D,"")</f>
        <v>扳手</v>
      </c>
      <c r="D41" s="38" t="str">
        <f>VLOOKUP($B41,relic!A:H,7,0)</f>
        <v>relic_desc_301042</v>
      </c>
      <c r="E41" s="14">
        <v>1</v>
      </c>
      <c r="H41" t="str">
        <f t="shared" si="0"/>
        <v>301042=1</v>
      </c>
    </row>
    <row r="42" spans="1:8" x14ac:dyDescent="0.2">
      <c r="A42" s="14">
        <v>1</v>
      </c>
      <c r="B42" s="14">
        <v>301043</v>
      </c>
      <c r="C42" s="38" t="str">
        <f>_xlfn.XLOOKUP($B42,relic!A:A,relic!D:D,"")</f>
        <v>扳手</v>
      </c>
      <c r="D42" s="38" t="str">
        <f>VLOOKUP($B42,relic!A:H,7,0)</f>
        <v>relic_desc_301043</v>
      </c>
      <c r="E42" s="14">
        <v>1</v>
      </c>
      <c r="H42" t="str">
        <f t="shared" si="0"/>
        <v>301043=1</v>
      </c>
    </row>
    <row r="43" spans="1:8" x14ac:dyDescent="0.2">
      <c r="A43" s="14">
        <v>1</v>
      </c>
      <c r="B43" s="14">
        <v>301051</v>
      </c>
      <c r="C43" s="38" t="str">
        <f>_xlfn.XLOOKUP($B43,relic!A:A,relic!D:D,"")</f>
        <v>起子</v>
      </c>
      <c r="D43" s="38" t="str">
        <f>VLOOKUP($B43,relic!A:H,7,0)</f>
        <v>relic_desc_301051</v>
      </c>
      <c r="E43" s="14">
        <v>1</v>
      </c>
      <c r="H43" t="str">
        <f t="shared" si="0"/>
        <v>301051=1</v>
      </c>
    </row>
    <row r="44" spans="1:8" x14ac:dyDescent="0.2">
      <c r="A44" s="14">
        <v>1</v>
      </c>
      <c r="B44" s="14">
        <v>301052</v>
      </c>
      <c r="C44" s="38" t="str">
        <f>_xlfn.XLOOKUP($B44,relic!A:A,relic!D:D,"")</f>
        <v>起子</v>
      </c>
      <c r="D44" s="38" t="str">
        <f>VLOOKUP($B44,relic!A:H,7,0)</f>
        <v>relic_desc_301052</v>
      </c>
      <c r="E44" s="14">
        <v>1</v>
      </c>
      <c r="H44" t="str">
        <f t="shared" si="0"/>
        <v>301052=1</v>
      </c>
    </row>
    <row r="45" spans="1:8" x14ac:dyDescent="0.2">
      <c r="A45" s="14">
        <v>1</v>
      </c>
      <c r="B45" s="14">
        <v>301053</v>
      </c>
      <c r="C45" s="38" t="str">
        <f>_xlfn.XLOOKUP($B45,relic!A:A,relic!D:D,"")</f>
        <v>起子</v>
      </c>
      <c r="D45" s="38" t="str">
        <f>VLOOKUP($B45,relic!A:H,7,0)</f>
        <v>relic_desc_301053</v>
      </c>
      <c r="E45" s="14">
        <v>1</v>
      </c>
      <c r="H45" t="str">
        <f t="shared" si="0"/>
        <v>301053=1</v>
      </c>
    </row>
    <row r="46" spans="1:8" x14ac:dyDescent="0.2">
      <c r="A46" s="14">
        <v>1</v>
      </c>
      <c r="B46" s="14">
        <v>301061</v>
      </c>
      <c r="C46" s="38" t="str">
        <f>_xlfn.XLOOKUP($B46,relic!A:A,relic!D:D,"")</f>
        <v>钳子</v>
      </c>
      <c r="D46" s="38" t="str">
        <f>VLOOKUP($B46,relic!A:H,7,0)</f>
        <v>relic_desc_301061</v>
      </c>
      <c r="E46" s="14">
        <v>1</v>
      </c>
      <c r="H46" t="str">
        <f t="shared" si="0"/>
        <v>301061=1</v>
      </c>
    </row>
    <row r="47" spans="1:8" x14ac:dyDescent="0.2">
      <c r="A47" s="14">
        <v>1</v>
      </c>
      <c r="B47" s="14">
        <v>301062</v>
      </c>
      <c r="C47" s="38" t="str">
        <f>_xlfn.XLOOKUP($B47,relic!A:A,relic!D:D,"")</f>
        <v>钳子</v>
      </c>
      <c r="D47" s="38" t="str">
        <f>VLOOKUP($B47,relic!A:H,7,0)</f>
        <v>relic_desc_301062</v>
      </c>
      <c r="E47" s="14">
        <v>1</v>
      </c>
      <c r="H47" t="str">
        <f t="shared" si="0"/>
        <v>301062=1</v>
      </c>
    </row>
    <row r="48" spans="1:8" x14ac:dyDescent="0.2">
      <c r="A48" s="14">
        <v>1</v>
      </c>
      <c r="B48" s="14">
        <v>301063</v>
      </c>
      <c r="C48" s="38" t="str">
        <f>_xlfn.XLOOKUP($B48,relic!A:A,relic!D:D,"")</f>
        <v>钳子</v>
      </c>
      <c r="D48" s="38" t="str">
        <f>VLOOKUP($B48,relic!A:H,7,0)</f>
        <v>relic_desc_301063</v>
      </c>
      <c r="E48" s="14">
        <v>1</v>
      </c>
      <c r="H48" t="str">
        <f t="shared" si="0"/>
        <v>301063=1</v>
      </c>
    </row>
    <row r="49" spans="1:8" x14ac:dyDescent="0.2">
      <c r="A49" s="14">
        <v>1</v>
      </c>
      <c r="B49" s="14">
        <v>301211</v>
      </c>
      <c r="C49" s="38" t="str">
        <f>_xlfn.XLOOKUP($B49,relic!A:A,relic!D:D,"")</f>
        <v>麻辣蟹钳</v>
      </c>
      <c r="D49" s="38" t="str">
        <f>VLOOKUP($B49,relic!A:H,7,0)</f>
        <v>relic_desc_301211</v>
      </c>
      <c r="E49" s="14">
        <v>1</v>
      </c>
      <c r="H49" t="str">
        <f t="shared" si="0"/>
        <v>301211=1</v>
      </c>
    </row>
    <row r="50" spans="1:8" x14ac:dyDescent="0.2">
      <c r="A50" s="14">
        <v>1</v>
      </c>
      <c r="B50" s="14">
        <v>301212</v>
      </c>
      <c r="C50" s="38" t="str">
        <f>_xlfn.XLOOKUP($B50,relic!A:A,relic!D:D,"")</f>
        <v>蒜蓉蟹钳</v>
      </c>
      <c r="D50" s="38" t="str">
        <f>VLOOKUP($B50,relic!A:H,7,0)</f>
        <v>relic_desc_301212</v>
      </c>
      <c r="E50" s="14">
        <v>1</v>
      </c>
      <c r="H50" t="str">
        <f t="shared" si="0"/>
        <v>301212=1</v>
      </c>
    </row>
    <row r="51" spans="1:8" x14ac:dyDescent="0.2">
      <c r="A51" s="14">
        <v>1</v>
      </c>
      <c r="B51" s="14">
        <v>301213</v>
      </c>
      <c r="C51" s="38" t="str">
        <f>_xlfn.XLOOKUP($B51,relic!A:A,relic!D:D,"")</f>
        <v>十三香蟹钳</v>
      </c>
      <c r="D51" s="38" t="str">
        <f>VLOOKUP($B51,relic!A:H,7,0)</f>
        <v>relic_desc_301213</v>
      </c>
      <c r="E51" s="14">
        <v>1</v>
      </c>
      <c r="H51" t="str">
        <f t="shared" si="0"/>
        <v>301213=1</v>
      </c>
    </row>
    <row r="52" spans="1:8" x14ac:dyDescent="0.2">
      <c r="A52" s="14">
        <v>1</v>
      </c>
      <c r="B52" s="14">
        <v>301221</v>
      </c>
      <c r="C52" s="38" t="str">
        <f>_xlfn.XLOOKUP($B52,relic!A:A,relic!D:D,"")</f>
        <v>机械义肢</v>
      </c>
      <c r="D52" s="38" t="str">
        <f>VLOOKUP($B52,relic!A:H,7,0)</f>
        <v>relic_desc_301221</v>
      </c>
      <c r="E52" s="14">
        <v>1</v>
      </c>
      <c r="H52" t="str">
        <f t="shared" si="0"/>
        <v>301221=1</v>
      </c>
    </row>
    <row r="53" spans="1:8" x14ac:dyDescent="0.2">
      <c r="A53" s="14">
        <v>1</v>
      </c>
      <c r="B53" s="14">
        <v>301222</v>
      </c>
      <c r="C53" s="38" t="str">
        <f>_xlfn.XLOOKUP($B53,relic!A:A,relic!D:D,"")</f>
        <v>机械义肢</v>
      </c>
      <c r="D53" s="38" t="str">
        <f>VLOOKUP($B53,relic!A:H,7,0)</f>
        <v>relic_desc_301222</v>
      </c>
      <c r="E53" s="14">
        <v>1</v>
      </c>
      <c r="H53" t="str">
        <f t="shared" si="0"/>
        <v>301222=1</v>
      </c>
    </row>
    <row r="54" spans="1:8" x14ac:dyDescent="0.2">
      <c r="A54" s="14">
        <v>1</v>
      </c>
      <c r="B54" s="14">
        <v>301223</v>
      </c>
      <c r="C54" s="38" t="str">
        <f>_xlfn.XLOOKUP($B54,relic!A:A,relic!D:D,"")</f>
        <v>机械义肢</v>
      </c>
      <c r="D54" s="38" t="str">
        <f>VLOOKUP($B54,relic!A:H,7,0)</f>
        <v>relic_desc_301223</v>
      </c>
      <c r="E54" s="14">
        <v>1</v>
      </c>
      <c r="H54" t="str">
        <f t="shared" si="0"/>
        <v>301223=1</v>
      </c>
    </row>
    <row r="55" spans="1:8" x14ac:dyDescent="0.2">
      <c r="A55" s="14">
        <v>1</v>
      </c>
      <c r="B55" s="14">
        <v>301231</v>
      </c>
      <c r="C55" s="38" t="str">
        <f>_xlfn.XLOOKUP($B55,relic!A:A,relic!D:D,"")</f>
        <v>开锁工具</v>
      </c>
      <c r="D55" s="38" t="str">
        <f>VLOOKUP($B55,relic!A:H,7,0)</f>
        <v>relic_desc_301231</v>
      </c>
      <c r="E55" s="14">
        <v>1</v>
      </c>
      <c r="H55" t="str">
        <f t="shared" si="0"/>
        <v>301231=1</v>
      </c>
    </row>
    <row r="56" spans="1:8" x14ac:dyDescent="0.2">
      <c r="A56" s="14">
        <v>1</v>
      </c>
      <c r="B56" s="14">
        <v>301232</v>
      </c>
      <c r="C56" s="38" t="str">
        <f>_xlfn.XLOOKUP($B56,relic!A:A,relic!D:D,"")</f>
        <v>开锁工具</v>
      </c>
      <c r="D56" s="38" t="str">
        <f>VLOOKUP($B56,relic!A:H,7,0)</f>
        <v>relic_desc_301232</v>
      </c>
      <c r="E56" s="14">
        <v>1</v>
      </c>
      <c r="H56" t="str">
        <f t="shared" si="0"/>
        <v>301232=1</v>
      </c>
    </row>
    <row r="57" spans="1:8" x14ac:dyDescent="0.2">
      <c r="A57" s="14">
        <v>1</v>
      </c>
      <c r="B57" s="14">
        <v>301233</v>
      </c>
      <c r="C57" s="38" t="str">
        <f>_xlfn.XLOOKUP($B57,relic!A:A,relic!D:D,"")</f>
        <v>开锁工具</v>
      </c>
      <c r="D57" s="38" t="str">
        <f>VLOOKUP($B57,relic!A:H,7,0)</f>
        <v>relic_desc_301233</v>
      </c>
      <c r="E57" s="14">
        <v>1</v>
      </c>
      <c r="H57" t="str">
        <f t="shared" si="0"/>
        <v>301233=1</v>
      </c>
    </row>
    <row r="58" spans="1:8" x14ac:dyDescent="0.2">
      <c r="A58" s="14">
        <v>1</v>
      </c>
      <c r="B58" s="14">
        <v>302011</v>
      </c>
      <c r="C58" s="38" t="str">
        <f>_xlfn.XLOOKUP($B58,relic!A:A,relic!D:D,"")</f>
        <v>无黄蛋</v>
      </c>
      <c r="D58" s="38" t="str">
        <f>VLOOKUP($B58,relic!A:H,7,0)</f>
        <v>relic_desc_302011</v>
      </c>
      <c r="E58" s="14">
        <v>1</v>
      </c>
      <c r="H58" t="str">
        <f t="shared" si="0"/>
        <v>302011=1</v>
      </c>
    </row>
    <row r="59" spans="1:8" x14ac:dyDescent="0.2">
      <c r="A59" s="14">
        <v>1</v>
      </c>
      <c r="B59" s="14">
        <v>302012</v>
      </c>
      <c r="C59" s="38" t="str">
        <f>_xlfn.XLOOKUP($B59,relic!A:A,relic!D:D,"")</f>
        <v>无黄蛋</v>
      </c>
      <c r="D59" s="38" t="str">
        <f>VLOOKUP($B59,relic!A:H,7,0)</f>
        <v>relic_desc_302012</v>
      </c>
      <c r="E59" s="14">
        <v>1</v>
      </c>
      <c r="H59" t="str">
        <f t="shared" si="0"/>
        <v>302012=1</v>
      </c>
    </row>
    <row r="60" spans="1:8" x14ac:dyDescent="0.2">
      <c r="A60" s="14">
        <v>1</v>
      </c>
      <c r="B60" s="14">
        <v>302013</v>
      </c>
      <c r="C60" s="38" t="str">
        <f>_xlfn.XLOOKUP($B60,relic!A:A,relic!D:D,"")</f>
        <v>无黄蛋</v>
      </c>
      <c r="D60" s="38" t="str">
        <f>VLOOKUP($B60,relic!A:H,7,0)</f>
        <v>relic_desc_302013</v>
      </c>
      <c r="E60" s="14">
        <v>1</v>
      </c>
      <c r="H60" t="str">
        <f t="shared" si="0"/>
        <v>302013=1</v>
      </c>
    </row>
    <row r="61" spans="1:8" x14ac:dyDescent="0.2">
      <c r="A61" s="14">
        <v>1</v>
      </c>
      <c r="B61" s="14">
        <v>302021</v>
      </c>
      <c r="C61" s="38" t="str">
        <f>_xlfn.XLOOKUP($B61,relic!A:A,relic!D:D,"")</f>
        <v>花雕怪味鱼</v>
      </c>
      <c r="D61" s="38" t="str">
        <f>VLOOKUP($B61,relic!A:H,7,0)</f>
        <v>relic_desc_302021</v>
      </c>
      <c r="E61" s="14">
        <v>1</v>
      </c>
      <c r="H61" t="str">
        <f t="shared" si="0"/>
        <v>302021=1</v>
      </c>
    </row>
    <row r="62" spans="1:8" x14ac:dyDescent="0.2">
      <c r="A62" s="14">
        <v>1</v>
      </c>
      <c r="B62" s="14">
        <v>302022</v>
      </c>
      <c r="C62" s="38" t="str">
        <f>_xlfn.XLOOKUP($B62,relic!A:A,relic!D:D,"")</f>
        <v>花雕怪味鱼</v>
      </c>
      <c r="D62" s="38" t="str">
        <f>VLOOKUP($B62,relic!A:H,7,0)</f>
        <v>relic_desc_302022</v>
      </c>
      <c r="E62" s="14">
        <v>1</v>
      </c>
      <c r="H62" t="str">
        <f t="shared" si="0"/>
        <v>302022=1</v>
      </c>
    </row>
    <row r="63" spans="1:8" x14ac:dyDescent="0.2">
      <c r="A63" s="14">
        <v>1</v>
      </c>
      <c r="B63" s="14">
        <v>302023</v>
      </c>
      <c r="C63" s="38" t="str">
        <f>_xlfn.XLOOKUP($B63,relic!A:A,relic!D:D,"")</f>
        <v>花雕怪味鱼</v>
      </c>
      <c r="D63" s="38" t="str">
        <f>VLOOKUP($B63,relic!A:H,7,0)</f>
        <v>relic_desc_302023</v>
      </c>
      <c r="E63" s="14">
        <v>1</v>
      </c>
      <c r="H63" t="str">
        <f t="shared" si="0"/>
        <v>302023=1</v>
      </c>
    </row>
    <row r="64" spans="1:8" x14ac:dyDescent="0.2">
      <c r="A64" s="14">
        <v>1</v>
      </c>
      <c r="B64" s="14">
        <v>302031</v>
      </c>
      <c r="C64" s="38" t="str">
        <f>_xlfn.XLOOKUP($B64,relic!A:A,relic!D:D,"")</f>
        <v>天地一口香</v>
      </c>
      <c r="D64" s="38" t="str">
        <f>VLOOKUP($B64,relic!A:H,7,0)</f>
        <v>relic_desc_302031</v>
      </c>
      <c r="E64" s="14">
        <v>1</v>
      </c>
      <c r="H64" t="str">
        <f t="shared" si="0"/>
        <v>302031=1</v>
      </c>
    </row>
    <row r="65" spans="1:8" x14ac:dyDescent="0.2">
      <c r="A65" s="14">
        <v>1</v>
      </c>
      <c r="B65" s="14">
        <v>302032</v>
      </c>
      <c r="C65" s="38" t="str">
        <f>_xlfn.XLOOKUP($B65,relic!A:A,relic!D:D,"")</f>
        <v>天地一口香</v>
      </c>
      <c r="D65" s="38" t="str">
        <f>VLOOKUP($B65,relic!A:H,7,0)</f>
        <v>relic_desc_302032</v>
      </c>
      <c r="E65" s="14">
        <v>1</v>
      </c>
      <c r="H65" t="str">
        <f t="shared" si="0"/>
        <v>302032=1</v>
      </c>
    </row>
    <row r="66" spans="1:8" x14ac:dyDescent="0.2">
      <c r="A66" s="14">
        <v>1</v>
      </c>
      <c r="B66" s="14">
        <v>302033</v>
      </c>
      <c r="C66" s="38" t="str">
        <f>_xlfn.XLOOKUP($B66,relic!A:A,relic!D:D,"")</f>
        <v>天地一口香</v>
      </c>
      <c r="D66" s="38" t="str">
        <f>VLOOKUP($B66,relic!A:H,7,0)</f>
        <v>relic_desc_302033</v>
      </c>
      <c r="E66" s="14">
        <v>1</v>
      </c>
      <c r="H66" t="str">
        <f t="shared" si="0"/>
        <v>302033=1</v>
      </c>
    </row>
    <row r="67" spans="1:8" x14ac:dyDescent="0.2">
      <c r="A67" s="14">
        <v>1</v>
      </c>
      <c r="B67" s="14">
        <v>302041</v>
      </c>
      <c r="C67" s="38" t="str">
        <f>_xlfn.XLOOKUP($B67,relic!A:A,relic!D:D,"")</f>
        <v>子母春茧</v>
      </c>
      <c r="D67" s="38" t="str">
        <f>VLOOKUP($B67,relic!A:H,7,0)</f>
        <v>relic_desc_302041</v>
      </c>
      <c r="E67" s="14">
        <v>1</v>
      </c>
      <c r="H67" t="str">
        <f t="shared" si="0"/>
        <v>302041=1</v>
      </c>
    </row>
    <row r="68" spans="1:8" x14ac:dyDescent="0.2">
      <c r="A68" s="14">
        <v>1</v>
      </c>
      <c r="B68" s="14">
        <v>302042</v>
      </c>
      <c r="C68" s="38" t="str">
        <f>_xlfn.XLOOKUP($B68,relic!A:A,relic!D:D,"")</f>
        <v>子母春茧</v>
      </c>
      <c r="D68" s="38" t="str">
        <f>VLOOKUP($B68,relic!A:H,7,0)</f>
        <v>relic_desc_302042</v>
      </c>
      <c r="E68" s="14">
        <v>1</v>
      </c>
      <c r="H68" t="str">
        <f t="shared" si="0"/>
        <v>302042=1</v>
      </c>
    </row>
    <row r="69" spans="1:8" x14ac:dyDescent="0.2">
      <c r="A69" s="14">
        <v>1</v>
      </c>
      <c r="B69" s="14">
        <v>302043</v>
      </c>
      <c r="C69" s="38" t="str">
        <f>_xlfn.XLOOKUP($B69,relic!A:A,relic!D:D,"")</f>
        <v>子母春茧</v>
      </c>
      <c r="D69" s="38" t="str">
        <f>VLOOKUP($B69,relic!A:H,7,0)</f>
        <v>relic_desc_302043</v>
      </c>
      <c r="E69" s="14">
        <v>1</v>
      </c>
      <c r="H69" t="str">
        <f t="shared" ref="H69:H132" si="1">IF(E69,B69&amp;"="&amp;E69,"")</f>
        <v>302043=1</v>
      </c>
    </row>
    <row r="70" spans="1:8" x14ac:dyDescent="0.2">
      <c r="A70" s="14">
        <v>1</v>
      </c>
      <c r="B70" s="14">
        <v>302051</v>
      </c>
      <c r="C70" s="38" t="str">
        <f>_xlfn.XLOOKUP($B70,relic!A:A,relic!D:D,"")</f>
        <v>义结金兰</v>
      </c>
      <c r="D70" s="38" t="str">
        <f>VLOOKUP($B70,relic!A:H,7,0)</f>
        <v>relic_desc_302051</v>
      </c>
      <c r="E70" s="14">
        <v>1</v>
      </c>
      <c r="H70" t="str">
        <f t="shared" si="1"/>
        <v>302051=1</v>
      </c>
    </row>
    <row r="71" spans="1:8" x14ac:dyDescent="0.2">
      <c r="A71" s="14">
        <v>1</v>
      </c>
      <c r="B71" s="14">
        <v>302052</v>
      </c>
      <c r="C71" s="38" t="str">
        <f>_xlfn.XLOOKUP($B71,relic!A:A,relic!D:D,"")</f>
        <v>义结金兰</v>
      </c>
      <c r="D71" s="38" t="str">
        <f>VLOOKUP($B71,relic!A:H,7,0)</f>
        <v>relic_desc_302052</v>
      </c>
      <c r="E71" s="14">
        <v>1</v>
      </c>
      <c r="H71" t="str">
        <f t="shared" si="1"/>
        <v>302052=1</v>
      </c>
    </row>
    <row r="72" spans="1:8" x14ac:dyDescent="0.2">
      <c r="A72" s="14">
        <v>1</v>
      </c>
      <c r="B72" s="14">
        <v>302053</v>
      </c>
      <c r="C72" s="38" t="str">
        <f>_xlfn.XLOOKUP($B72,relic!A:A,relic!D:D,"")</f>
        <v>义结金兰</v>
      </c>
      <c r="D72" s="38" t="str">
        <f>VLOOKUP($B72,relic!A:H,7,0)</f>
        <v>relic_desc_302053</v>
      </c>
      <c r="E72" s="14">
        <v>1</v>
      </c>
      <c r="H72" t="str">
        <f t="shared" si="1"/>
        <v>302053=1</v>
      </c>
    </row>
    <row r="73" spans="1:8" x14ac:dyDescent="0.2">
      <c r="A73" s="14">
        <v>1</v>
      </c>
      <c r="B73" s="14">
        <v>302061</v>
      </c>
      <c r="C73" s="38" t="str">
        <f>_xlfn.XLOOKUP($B73,relic!A:A,relic!D:D,"")</f>
        <v>猴儿酒</v>
      </c>
      <c r="D73" s="38" t="str">
        <f>VLOOKUP($B73,relic!A:H,7,0)</f>
        <v>relic_desc_302061</v>
      </c>
      <c r="E73" s="14">
        <v>1</v>
      </c>
      <c r="H73" t="str">
        <f t="shared" si="1"/>
        <v>302061=1</v>
      </c>
    </row>
    <row r="74" spans="1:8" x14ac:dyDescent="0.2">
      <c r="A74" s="14">
        <v>1</v>
      </c>
      <c r="B74" s="14">
        <v>302062</v>
      </c>
      <c r="C74" s="38" t="str">
        <f>_xlfn.XLOOKUP($B74,relic!A:A,relic!D:D,"")</f>
        <v>猴儿酒</v>
      </c>
      <c r="D74" s="38" t="str">
        <f>VLOOKUP($B74,relic!A:H,7,0)</f>
        <v>relic_desc_302062</v>
      </c>
      <c r="E74" s="14">
        <v>1</v>
      </c>
      <c r="H74" t="str">
        <f t="shared" si="1"/>
        <v>302062=1</v>
      </c>
    </row>
    <row r="75" spans="1:8" x14ac:dyDescent="0.2">
      <c r="A75" s="14">
        <v>1</v>
      </c>
      <c r="B75" s="14">
        <v>302063</v>
      </c>
      <c r="C75" s="38" t="str">
        <f>_xlfn.XLOOKUP($B75,relic!A:A,relic!D:D,"")</f>
        <v>猴儿酒</v>
      </c>
      <c r="D75" s="38" t="str">
        <f>VLOOKUP($B75,relic!A:H,7,0)</f>
        <v>relic_desc_302063</v>
      </c>
      <c r="E75" s="14">
        <v>1</v>
      </c>
      <c r="H75" t="str">
        <f t="shared" si="1"/>
        <v>302063=1</v>
      </c>
    </row>
    <row r="76" spans="1:8" x14ac:dyDescent="0.2">
      <c r="A76" s="14">
        <v>1</v>
      </c>
      <c r="B76" s="14">
        <v>302211</v>
      </c>
      <c r="C76" s="38" t="str">
        <f>_xlfn.XLOOKUP($B76,relic!A:A,relic!D:D,"")</f>
        <v>工头喇叭</v>
      </c>
      <c r="D76" s="38" t="str">
        <f>VLOOKUP($B76,relic!A:H,7,0)</f>
        <v>relic_desc_302211</v>
      </c>
      <c r="E76" s="14">
        <v>1</v>
      </c>
      <c r="H76" t="str">
        <f t="shared" si="1"/>
        <v>302211=1</v>
      </c>
    </row>
    <row r="77" spans="1:8" x14ac:dyDescent="0.2">
      <c r="A77" s="14">
        <v>1</v>
      </c>
      <c r="B77" s="14">
        <v>302212</v>
      </c>
      <c r="C77" s="38" t="str">
        <f>_xlfn.XLOOKUP($B77,relic!A:A,relic!D:D,"")</f>
        <v>工头喇叭</v>
      </c>
      <c r="D77" s="38" t="str">
        <f>VLOOKUP($B77,relic!A:H,7,0)</f>
        <v>relic_desc_302212</v>
      </c>
      <c r="E77" s="14">
        <v>1</v>
      </c>
      <c r="H77" t="str">
        <f t="shared" si="1"/>
        <v>302212=1</v>
      </c>
    </row>
    <row r="78" spans="1:8" x14ac:dyDescent="0.2">
      <c r="A78" s="14">
        <v>1</v>
      </c>
      <c r="B78" s="14">
        <v>302213</v>
      </c>
      <c r="C78" s="38" t="str">
        <f>_xlfn.XLOOKUP($B78,relic!A:A,relic!D:D,"")</f>
        <v>工头喇叭</v>
      </c>
      <c r="D78" s="38" t="str">
        <f>VLOOKUP($B78,relic!A:H,7,0)</f>
        <v>relic_desc_302213</v>
      </c>
      <c r="E78" s="14">
        <v>1</v>
      </c>
      <c r="H78" t="str">
        <f t="shared" si="1"/>
        <v>302213=1</v>
      </c>
    </row>
    <row r="79" spans="1:8" x14ac:dyDescent="0.2">
      <c r="A79" s="14">
        <v>1</v>
      </c>
      <c r="B79" s="14">
        <v>302221</v>
      </c>
      <c r="C79" s="38" t="str">
        <f>_xlfn.XLOOKUP($B79,relic!A:A,relic!D:D,"")</f>
        <v>典狱长徽章</v>
      </c>
      <c r="D79" s="38" t="str">
        <f>VLOOKUP($B79,relic!A:H,7,0)</f>
        <v>relic_desc_302221</v>
      </c>
      <c r="E79" s="42">
        <v>0</v>
      </c>
      <c r="H79" t="str">
        <f t="shared" si="1"/>
        <v/>
      </c>
    </row>
    <row r="80" spans="1:8" x14ac:dyDescent="0.2">
      <c r="A80" s="14">
        <v>1</v>
      </c>
      <c r="B80" s="14">
        <v>302222</v>
      </c>
      <c r="C80" s="38" t="str">
        <f>_xlfn.XLOOKUP($B80,relic!A:A,relic!D:D,"")</f>
        <v>典狱长徽章</v>
      </c>
      <c r="D80" s="38" t="str">
        <f>VLOOKUP($B80,relic!A:H,7,0)</f>
        <v>relic_desc_302222</v>
      </c>
      <c r="E80" s="42">
        <v>0</v>
      </c>
      <c r="H80" t="str">
        <f t="shared" si="1"/>
        <v/>
      </c>
    </row>
    <row r="81" spans="1:8" x14ac:dyDescent="0.2">
      <c r="A81" s="14">
        <v>1</v>
      </c>
      <c r="B81" s="14">
        <v>302223</v>
      </c>
      <c r="C81" s="38" t="str">
        <f>_xlfn.XLOOKUP($B81,relic!A:A,relic!D:D,"")</f>
        <v>典狱长徽章</v>
      </c>
      <c r="D81" s="38" t="str">
        <f>VLOOKUP($B81,relic!A:H,7,0)</f>
        <v>relic_desc_302223</v>
      </c>
      <c r="E81" s="42">
        <v>0</v>
      </c>
      <c r="H81" t="str">
        <f t="shared" si="1"/>
        <v/>
      </c>
    </row>
    <row r="82" spans="1:8" x14ac:dyDescent="0.2">
      <c r="A82" s="14">
        <v>1</v>
      </c>
      <c r="B82" s="14">
        <v>302231</v>
      </c>
      <c r="C82" s="38" t="str">
        <f>_xlfn.XLOOKUP($B82,relic!A:A,relic!D:D,"")</f>
        <v>太阳勋章</v>
      </c>
      <c r="D82" s="38" t="str">
        <f>VLOOKUP($B82,relic!A:H,7,0)</f>
        <v>relic_desc_302231</v>
      </c>
      <c r="E82" s="14">
        <v>1</v>
      </c>
      <c r="H82" t="str">
        <f t="shared" si="1"/>
        <v>302231=1</v>
      </c>
    </row>
    <row r="83" spans="1:8" x14ac:dyDescent="0.2">
      <c r="A83" s="14">
        <v>1</v>
      </c>
      <c r="B83" s="14">
        <v>302232</v>
      </c>
      <c r="C83" s="38" t="str">
        <f>_xlfn.XLOOKUP($B83,relic!A:A,relic!D:D,"")</f>
        <v>太阳勋章</v>
      </c>
      <c r="D83" s="38" t="str">
        <f>VLOOKUP($B83,relic!A:H,7,0)</f>
        <v>relic_desc_302232</v>
      </c>
      <c r="E83" s="14">
        <v>1</v>
      </c>
      <c r="H83" t="str">
        <f t="shared" si="1"/>
        <v>302232=1</v>
      </c>
    </row>
    <row r="84" spans="1:8" x14ac:dyDescent="0.2">
      <c r="A84" s="14">
        <v>1</v>
      </c>
      <c r="B84" s="14">
        <v>302233</v>
      </c>
      <c r="C84" s="38" t="str">
        <f>_xlfn.XLOOKUP($B84,relic!A:A,relic!D:D,"")</f>
        <v>太阳勋章</v>
      </c>
      <c r="D84" s="38" t="str">
        <f>VLOOKUP($B84,relic!A:H,7,0)</f>
        <v>relic_desc_302233</v>
      </c>
      <c r="E84" s="14">
        <v>1</v>
      </c>
      <c r="H84" t="str">
        <f t="shared" si="1"/>
        <v>302233=1</v>
      </c>
    </row>
    <row r="85" spans="1:8" x14ac:dyDescent="0.2">
      <c r="A85" s="14">
        <v>1</v>
      </c>
      <c r="B85" s="14">
        <v>302311</v>
      </c>
      <c r="C85" s="38" t="str">
        <f>_xlfn.XLOOKUP($B85,relic!A:A,relic!D:D,"")</f>
        <v>箱子</v>
      </c>
      <c r="D85" s="38" t="str">
        <f>VLOOKUP($B85,relic!A:H,7,0)</f>
        <v>relic_desc_302311</v>
      </c>
      <c r="E85" s="14">
        <v>1</v>
      </c>
      <c r="H85" t="str">
        <f t="shared" si="1"/>
        <v>302311=1</v>
      </c>
    </row>
    <row r="86" spans="1:8" x14ac:dyDescent="0.2">
      <c r="A86" s="14">
        <v>1</v>
      </c>
      <c r="B86" s="14">
        <v>302312</v>
      </c>
      <c r="C86" s="38" t="str">
        <f>_xlfn.XLOOKUP($B86,relic!A:A,relic!D:D,"")</f>
        <v>箱子</v>
      </c>
      <c r="D86" s="38" t="str">
        <f>VLOOKUP($B86,relic!A:H,7,0)</f>
        <v>relic_desc_302312</v>
      </c>
      <c r="E86" s="14">
        <v>1</v>
      </c>
      <c r="H86" t="str">
        <f t="shared" si="1"/>
        <v>302312=1</v>
      </c>
    </row>
    <row r="87" spans="1:8" x14ac:dyDescent="0.2">
      <c r="A87" s="14">
        <v>1</v>
      </c>
      <c r="B87" s="14">
        <v>302313</v>
      </c>
      <c r="C87" s="38" t="str">
        <f>_xlfn.XLOOKUP($B87,relic!A:A,relic!D:D,"")</f>
        <v>箱子</v>
      </c>
      <c r="D87" s="38" t="str">
        <f>VLOOKUP($B87,relic!A:H,7,0)</f>
        <v>relic_desc_302313</v>
      </c>
      <c r="E87" s="14">
        <v>1</v>
      </c>
      <c r="H87" t="str">
        <f t="shared" si="1"/>
        <v>302313=1</v>
      </c>
    </row>
    <row r="88" spans="1:8" x14ac:dyDescent="0.2">
      <c r="A88" s="14">
        <v>1</v>
      </c>
      <c r="B88" s="14">
        <v>302321</v>
      </c>
      <c r="C88" s="38" t="str">
        <f>_xlfn.XLOOKUP($B88,relic!A:A,relic!D:D,"")</f>
        <v>屋顶羊</v>
      </c>
      <c r="D88" s="38" t="str">
        <f>VLOOKUP($B88,relic!A:H,7,0)</f>
        <v>relic_desc_302321</v>
      </c>
      <c r="E88" s="14">
        <v>1</v>
      </c>
      <c r="H88" t="str">
        <f t="shared" si="1"/>
        <v>302321=1</v>
      </c>
    </row>
    <row r="89" spans="1:8" x14ac:dyDescent="0.2">
      <c r="A89" s="14">
        <v>1</v>
      </c>
      <c r="B89" s="14">
        <v>302322</v>
      </c>
      <c r="C89" s="38" t="str">
        <f>_xlfn.XLOOKUP($B89,relic!A:A,relic!D:D,"")</f>
        <v>屋顶羊</v>
      </c>
      <c r="D89" s="38" t="str">
        <f>VLOOKUP($B89,relic!A:H,7,0)</f>
        <v>relic_desc_302322</v>
      </c>
      <c r="E89" s="14">
        <v>1</v>
      </c>
      <c r="H89" t="str">
        <f t="shared" si="1"/>
        <v>302322=1</v>
      </c>
    </row>
    <row r="90" spans="1:8" x14ac:dyDescent="0.2">
      <c r="A90" s="14">
        <v>1</v>
      </c>
      <c r="B90" s="14">
        <v>302323</v>
      </c>
      <c r="C90" s="38" t="str">
        <f>_xlfn.XLOOKUP($B90,relic!A:A,relic!D:D,"")</f>
        <v>屋顶羊</v>
      </c>
      <c r="D90" s="38" t="str">
        <f>VLOOKUP($B90,relic!A:H,7,0)</f>
        <v>relic_desc_302323</v>
      </c>
      <c r="E90" s="14">
        <v>1</v>
      </c>
      <c r="H90" t="str">
        <f t="shared" si="1"/>
        <v>302323=1</v>
      </c>
    </row>
    <row r="91" spans="1:8" x14ac:dyDescent="0.2">
      <c r="A91" s="14">
        <v>1</v>
      </c>
      <c r="B91" s="14">
        <v>303211</v>
      </c>
      <c r="C91" s="38" t="str">
        <f>_xlfn.XLOOKUP($B91,relic!A:A,relic!D:D,"")</f>
        <v>赵日天原件</v>
      </c>
      <c r="D91" s="38" t="str">
        <f>VLOOKUP($B91,relic!A:H,7,0)</f>
        <v>relic_desc_303211</v>
      </c>
      <c r="E91" s="42">
        <v>0</v>
      </c>
      <c r="H91" t="str">
        <f t="shared" si="1"/>
        <v/>
      </c>
    </row>
    <row r="92" spans="1:8" x14ac:dyDescent="0.2">
      <c r="A92" s="14">
        <v>1</v>
      </c>
      <c r="B92" s="14">
        <v>303212</v>
      </c>
      <c r="C92" s="38" t="str">
        <f>_xlfn.XLOOKUP($B92,relic!A:A,relic!D:D,"")</f>
        <v>赵日天原件</v>
      </c>
      <c r="D92" s="38" t="str">
        <f>VLOOKUP($B92,relic!A:H,7,0)</f>
        <v>relic_desc_303212</v>
      </c>
      <c r="E92" s="42">
        <v>0</v>
      </c>
      <c r="H92" t="str">
        <f t="shared" si="1"/>
        <v/>
      </c>
    </row>
    <row r="93" spans="1:8" x14ac:dyDescent="0.2">
      <c r="A93" s="14">
        <v>1</v>
      </c>
      <c r="B93" s="14">
        <v>303213</v>
      </c>
      <c r="C93" s="38" t="str">
        <f>_xlfn.XLOOKUP($B93,relic!A:A,relic!D:D,"")</f>
        <v>赵日天原件</v>
      </c>
      <c r="D93" s="38" t="str">
        <f>VLOOKUP($B93,relic!A:H,7,0)</f>
        <v>relic_desc_303213</v>
      </c>
      <c r="E93" s="42">
        <v>0</v>
      </c>
      <c r="H93" t="str">
        <f t="shared" si="1"/>
        <v/>
      </c>
    </row>
    <row r="94" spans="1:8" x14ac:dyDescent="0.2">
      <c r="A94" s="14">
        <v>1</v>
      </c>
      <c r="B94" s="14">
        <v>303221</v>
      </c>
      <c r="C94" s="38" t="str">
        <f>_xlfn.XLOOKUP($B94,relic!A:A,relic!D:D,"")</f>
        <v>赵日天号</v>
      </c>
      <c r="D94" s="38" t="str">
        <f>VLOOKUP($B94,relic!A:H,7,0)</f>
        <v>relic_desc_303221</v>
      </c>
      <c r="E94" s="42">
        <v>0</v>
      </c>
      <c r="H94" t="str">
        <f t="shared" si="1"/>
        <v/>
      </c>
    </row>
    <row r="95" spans="1:8" x14ac:dyDescent="0.2">
      <c r="A95" s="14">
        <v>1</v>
      </c>
      <c r="B95" s="14">
        <v>303222</v>
      </c>
      <c r="C95" s="38" t="str">
        <f>_xlfn.XLOOKUP($B95,relic!A:A,relic!D:D,"")</f>
        <v>赵日天号</v>
      </c>
      <c r="D95" s="38" t="str">
        <f>VLOOKUP($B95,relic!A:H,7,0)</f>
        <v>relic_desc_303222</v>
      </c>
      <c r="E95" s="42">
        <v>0</v>
      </c>
      <c r="H95" t="str">
        <f t="shared" si="1"/>
        <v/>
      </c>
    </row>
    <row r="96" spans="1:8" x14ac:dyDescent="0.2">
      <c r="A96" s="14">
        <v>1</v>
      </c>
      <c r="B96" s="14">
        <v>303223</v>
      </c>
      <c r="C96" s="38" t="str">
        <f>_xlfn.XLOOKUP($B96,relic!A:A,relic!D:D,"")</f>
        <v>赵日天号</v>
      </c>
      <c r="D96" s="38" t="str">
        <f>VLOOKUP($B96,relic!A:H,7,0)</f>
        <v>relic_desc_303223</v>
      </c>
      <c r="E96" s="42">
        <v>0</v>
      </c>
      <c r="H96" t="str">
        <f t="shared" si="1"/>
        <v/>
      </c>
    </row>
    <row r="97" spans="1:8" x14ac:dyDescent="0.2">
      <c r="A97" s="14">
        <v>1</v>
      </c>
      <c r="B97" s="14">
        <v>303231</v>
      </c>
      <c r="C97" s="38" t="str">
        <f>_xlfn.XLOOKUP($B97,relic!A:A,relic!D:D,"")</f>
        <v>赵日天能量球</v>
      </c>
      <c r="D97" s="38" t="str">
        <f>VLOOKUP($B97,relic!A:H,7,0)</f>
        <v>relic_desc_303231</v>
      </c>
      <c r="E97" s="42">
        <v>0</v>
      </c>
      <c r="H97" t="str">
        <f t="shared" si="1"/>
        <v/>
      </c>
    </row>
    <row r="98" spans="1:8" x14ac:dyDescent="0.2">
      <c r="A98" s="14">
        <v>1</v>
      </c>
      <c r="B98" s="14">
        <v>303232</v>
      </c>
      <c r="C98" s="38" t="str">
        <f>_xlfn.XLOOKUP($B98,relic!A:A,relic!D:D,"")</f>
        <v>赵日天能量球</v>
      </c>
      <c r="D98" s="38" t="str">
        <f>VLOOKUP($B98,relic!A:H,7,0)</f>
        <v>relic_desc_303232</v>
      </c>
      <c r="E98" s="42">
        <v>0</v>
      </c>
      <c r="H98" t="str">
        <f t="shared" si="1"/>
        <v/>
      </c>
    </row>
    <row r="99" spans="1:8" x14ac:dyDescent="0.2">
      <c r="A99" s="14">
        <v>1</v>
      </c>
      <c r="B99" s="14">
        <v>303233</v>
      </c>
      <c r="C99" s="38" t="str">
        <f>_xlfn.XLOOKUP($B99,relic!A:A,relic!D:D,"")</f>
        <v>赵日天能量球</v>
      </c>
      <c r="D99" s="38" t="str">
        <f>VLOOKUP($B99,relic!A:H,7,0)</f>
        <v>relic_desc_303233</v>
      </c>
      <c r="E99" s="42">
        <v>0</v>
      </c>
      <c r="H99" t="str">
        <f t="shared" si="1"/>
        <v/>
      </c>
    </row>
    <row r="100" spans="1:8" x14ac:dyDescent="0.2">
      <c r="A100" s="14">
        <v>1</v>
      </c>
      <c r="B100" s="14">
        <v>303241</v>
      </c>
      <c r="C100" s="38" t="str">
        <f>_xlfn.XLOOKUP($B100,relic!A:A,relic!D:D,"")</f>
        <v>赵日天核心</v>
      </c>
      <c r="D100" s="38" t="str">
        <f>VLOOKUP($B100,relic!A:H,7,0)</f>
        <v>relic_desc_303241</v>
      </c>
      <c r="E100" s="42">
        <v>0</v>
      </c>
      <c r="H100" t="str">
        <f t="shared" si="1"/>
        <v/>
      </c>
    </row>
    <row r="101" spans="1:8" x14ac:dyDescent="0.2">
      <c r="A101" s="14">
        <v>1</v>
      </c>
      <c r="B101" s="14">
        <v>303242</v>
      </c>
      <c r="C101" s="38" t="str">
        <f>_xlfn.XLOOKUP($B101,relic!A:A,relic!D:D,"")</f>
        <v>赵日天核心</v>
      </c>
      <c r="D101" s="38" t="str">
        <f>VLOOKUP($B101,relic!A:H,7,0)</f>
        <v>relic_desc_303242</v>
      </c>
      <c r="E101" s="42">
        <v>0</v>
      </c>
      <c r="H101" t="str">
        <f t="shared" si="1"/>
        <v/>
      </c>
    </row>
    <row r="102" spans="1:8" x14ac:dyDescent="0.2">
      <c r="A102" s="14">
        <v>1</v>
      </c>
      <c r="B102" s="14">
        <v>303243</v>
      </c>
      <c r="C102" s="38" t="str">
        <f>_xlfn.XLOOKUP($B102,relic!A:A,relic!D:D,"")</f>
        <v>赵日天核心</v>
      </c>
      <c r="D102" s="38" t="str">
        <f>VLOOKUP($B102,relic!A:H,7,0)</f>
        <v>relic_desc_303243</v>
      </c>
      <c r="E102" s="42">
        <v>0</v>
      </c>
      <c r="H102" t="str">
        <f t="shared" si="1"/>
        <v/>
      </c>
    </row>
    <row r="103" spans="1:8" x14ac:dyDescent="0.2">
      <c r="A103" s="14">
        <v>1</v>
      </c>
      <c r="B103" s="14">
        <v>306211</v>
      </c>
      <c r="C103" s="38" t="str">
        <f>_xlfn.XLOOKUP($B103,relic!A:A,relic!D:D,"")</f>
        <v>警官帽</v>
      </c>
      <c r="D103" s="38" t="str">
        <f>VLOOKUP($B103,relic!A:H,7,0)</f>
        <v>relic_desc_306211</v>
      </c>
      <c r="E103" s="42">
        <v>0</v>
      </c>
      <c r="H103" t="str">
        <f t="shared" si="1"/>
        <v/>
      </c>
    </row>
    <row r="104" spans="1:8" x14ac:dyDescent="0.2">
      <c r="A104" s="14">
        <v>1</v>
      </c>
      <c r="B104" s="14">
        <v>306212</v>
      </c>
      <c r="C104" s="38" t="str">
        <f>_xlfn.XLOOKUP($B104,relic!A:A,relic!D:D,"")</f>
        <v>警官帽</v>
      </c>
      <c r="D104" s="38" t="str">
        <f>VLOOKUP($B104,relic!A:H,7,0)</f>
        <v>relic_desc_306212</v>
      </c>
      <c r="E104" s="42">
        <v>0</v>
      </c>
      <c r="H104" t="str">
        <f t="shared" si="1"/>
        <v/>
      </c>
    </row>
    <row r="105" spans="1:8" x14ac:dyDescent="0.2">
      <c r="A105" s="14">
        <v>1</v>
      </c>
      <c r="B105" s="14">
        <v>306213</v>
      </c>
      <c r="C105" s="38" t="str">
        <f>_xlfn.XLOOKUP($B105,relic!A:A,relic!D:D,"")</f>
        <v>警官帽</v>
      </c>
      <c r="D105" s="38" t="str">
        <f>VLOOKUP($B105,relic!A:H,7,0)</f>
        <v>relic_desc_306213</v>
      </c>
      <c r="E105" s="42">
        <v>0</v>
      </c>
      <c r="H105" t="str">
        <f t="shared" si="1"/>
        <v/>
      </c>
    </row>
    <row r="106" spans="1:8" x14ac:dyDescent="0.2">
      <c r="A106" s="14">
        <v>1</v>
      </c>
      <c r="B106" s="14">
        <v>306221</v>
      </c>
      <c r="C106" s="38" t="str">
        <f>_xlfn.XLOOKUP($B106,relic!A:A,relic!D:D,"")</f>
        <v>花洒</v>
      </c>
      <c r="D106" s="38" t="str">
        <f>VLOOKUP($B106,relic!A:H,7,0)</f>
        <v>relic_desc_306221</v>
      </c>
      <c r="E106" s="42">
        <v>0</v>
      </c>
      <c r="H106" t="str">
        <f t="shared" si="1"/>
        <v/>
      </c>
    </row>
    <row r="107" spans="1:8" x14ac:dyDescent="0.2">
      <c r="A107" s="14">
        <v>1</v>
      </c>
      <c r="B107" s="14">
        <v>306222</v>
      </c>
      <c r="C107" s="38" t="str">
        <f>_xlfn.XLOOKUP($B107,relic!A:A,relic!D:D,"")</f>
        <v>花洒</v>
      </c>
      <c r="D107" s="38" t="str">
        <f>VLOOKUP($B107,relic!A:H,7,0)</f>
        <v>relic_desc_306222</v>
      </c>
      <c r="E107" s="42">
        <v>0</v>
      </c>
      <c r="H107" t="str">
        <f t="shared" si="1"/>
        <v/>
      </c>
    </row>
    <row r="108" spans="1:8" x14ac:dyDescent="0.2">
      <c r="A108" s="14">
        <v>1</v>
      </c>
      <c r="B108" s="14">
        <v>306223</v>
      </c>
      <c r="C108" s="38" t="str">
        <f>_xlfn.XLOOKUP($B108,relic!A:A,relic!D:D,"")</f>
        <v>花洒</v>
      </c>
      <c r="D108" s="38" t="str">
        <f>VLOOKUP($B108,relic!A:H,7,0)</f>
        <v>relic_desc_306223</v>
      </c>
      <c r="E108" s="42">
        <v>0</v>
      </c>
      <c r="H108" t="str">
        <f t="shared" si="1"/>
        <v/>
      </c>
    </row>
    <row r="109" spans="1:8" x14ac:dyDescent="0.2">
      <c r="A109" s="14">
        <v>1</v>
      </c>
      <c r="B109" s="14">
        <v>306231</v>
      </c>
      <c r="C109" s="38" t="str">
        <f>_xlfn.XLOOKUP($B109,relic!A:A,relic!D:D,"")</f>
        <v>牢房门</v>
      </c>
      <c r="D109" s="38" t="str">
        <f>VLOOKUP($B109,relic!A:H,7,0)</f>
        <v>relic_desc_306231</v>
      </c>
      <c r="E109" s="42">
        <v>0</v>
      </c>
      <c r="H109" t="str">
        <f t="shared" si="1"/>
        <v/>
      </c>
    </row>
    <row r="110" spans="1:8" x14ac:dyDescent="0.2">
      <c r="A110" s="14">
        <v>1</v>
      </c>
      <c r="B110" s="14">
        <v>306232</v>
      </c>
      <c r="C110" s="38" t="str">
        <f>_xlfn.XLOOKUP($B110,relic!A:A,relic!D:D,"")</f>
        <v>牢房门</v>
      </c>
      <c r="D110" s="38" t="str">
        <f>VLOOKUP($B110,relic!A:H,7,0)</f>
        <v>relic_desc_306232</v>
      </c>
      <c r="E110" s="42">
        <v>0</v>
      </c>
      <c r="H110" t="str">
        <f t="shared" si="1"/>
        <v/>
      </c>
    </row>
    <row r="111" spans="1:8" x14ac:dyDescent="0.2">
      <c r="A111" s="14">
        <v>1</v>
      </c>
      <c r="B111" s="14">
        <v>306233</v>
      </c>
      <c r="C111" s="38" t="str">
        <f>_xlfn.XLOOKUP($B111,relic!A:A,relic!D:D,"")</f>
        <v>牢房门</v>
      </c>
      <c r="D111" s="38" t="str">
        <f>VLOOKUP($B111,relic!A:H,7,0)</f>
        <v>relic_desc_306233</v>
      </c>
      <c r="E111" s="42">
        <v>0</v>
      </c>
      <c r="H111" t="str">
        <f t="shared" si="1"/>
        <v/>
      </c>
    </row>
    <row r="112" spans="1:8" x14ac:dyDescent="0.2">
      <c r="A112" s="14">
        <v>1</v>
      </c>
      <c r="B112" s="14">
        <v>310201</v>
      </c>
      <c r="C112" s="38" t="str">
        <f>_xlfn.XLOOKUP($B112,relic!A:A,relic!D:D,"")</f>
        <v>弹药失重</v>
      </c>
      <c r="D112" s="38" t="str">
        <f>VLOOKUP($B112,relic!A:H,7,0)</f>
        <v>relic_desc_310201</v>
      </c>
      <c r="E112" s="14">
        <v>10</v>
      </c>
      <c r="H112" t="str">
        <f t="shared" si="1"/>
        <v>310201=10</v>
      </c>
    </row>
    <row r="113" spans="1:8" x14ac:dyDescent="0.2">
      <c r="A113" s="14">
        <v>1</v>
      </c>
      <c r="B113" s="14">
        <v>310202</v>
      </c>
      <c r="C113" s="38" t="str">
        <f>_xlfn.XLOOKUP($B113,relic!A:A,relic!D:D,"")</f>
        <v>弹药浮起</v>
      </c>
      <c r="D113" s="38" t="str">
        <f>VLOOKUP($B113,relic!A:H,7,0)</f>
        <v>relic_desc_310202</v>
      </c>
      <c r="E113" s="14">
        <v>10</v>
      </c>
      <c r="H113" t="str">
        <f t="shared" si="1"/>
        <v>310202=10</v>
      </c>
    </row>
    <row r="114" spans="1:8" x14ac:dyDescent="0.2">
      <c r="A114" s="14">
        <v>1</v>
      </c>
      <c r="B114" s="14">
        <v>310203</v>
      </c>
      <c r="C114" s="38" t="str">
        <f>_xlfn.XLOOKUP($B114,relic!A:A,relic!D:D,"")</f>
        <v>花洒 Lv.1</v>
      </c>
      <c r="D114" s="38" t="str">
        <f>VLOOKUP($B114,relic!A:H,7,0)</f>
        <v>relic_desc_310203</v>
      </c>
      <c r="E114" s="14">
        <v>10</v>
      </c>
      <c r="H114" t="str">
        <f t="shared" si="1"/>
        <v>310203=10</v>
      </c>
    </row>
    <row r="115" spans="1:8" x14ac:dyDescent="0.2">
      <c r="A115" s="14">
        <v>1</v>
      </c>
      <c r="B115" s="14">
        <v>310204</v>
      </c>
      <c r="C115" s="38" t="str">
        <f>_xlfn.XLOOKUP($B115,relic!A:A,relic!D:D,"")</f>
        <v>花洒 Lv.2</v>
      </c>
      <c r="D115" s="38" t="str">
        <f>VLOOKUP($B115,relic!A:H,7,0)</f>
        <v>relic_desc_310204</v>
      </c>
      <c r="E115" s="14">
        <v>10</v>
      </c>
      <c r="H115" t="str">
        <f t="shared" si="1"/>
        <v>310204=10</v>
      </c>
    </row>
    <row r="116" spans="1:8" x14ac:dyDescent="0.2">
      <c r="A116" s="14">
        <v>1</v>
      </c>
      <c r="B116" s="14">
        <v>310205</v>
      </c>
      <c r="C116" s="38" t="str">
        <f>_xlfn.XLOOKUP($B116,relic!A:A,relic!D:D,"")</f>
        <v>花洒 Lv.3</v>
      </c>
      <c r="D116" s="38" t="str">
        <f>VLOOKUP($B116,relic!A:H,7,0)</f>
        <v>relic_desc_310205</v>
      </c>
      <c r="E116" s="14">
        <v>10</v>
      </c>
      <c r="H116" t="str">
        <f t="shared" si="1"/>
        <v>310205=10</v>
      </c>
    </row>
    <row r="117" spans="1:8" x14ac:dyDescent="0.2">
      <c r="A117" s="14">
        <v>1</v>
      </c>
      <c r="B117" s="14">
        <v>310206</v>
      </c>
      <c r="C117" s="38" t="str">
        <f>_xlfn.XLOOKUP($B117,relic!A:A,relic!D:D,"")</f>
        <v xml:space="preserve">蟹钳 蒜蓉 </v>
      </c>
      <c r="D117" s="38" t="str">
        <f>VLOOKUP($B117,relic!A:H,7,0)</f>
        <v>relic_desc_310206</v>
      </c>
      <c r="E117" s="14">
        <v>10</v>
      </c>
      <c r="H117" t="str">
        <f t="shared" si="1"/>
        <v>310206=10</v>
      </c>
    </row>
    <row r="118" spans="1:8" x14ac:dyDescent="0.2">
      <c r="A118" s="14">
        <v>1</v>
      </c>
      <c r="B118" s="14">
        <v>310207</v>
      </c>
      <c r="C118" s="38" t="str">
        <f>_xlfn.XLOOKUP($B118,relic!A:A,relic!D:D,"")</f>
        <v>蟹钳 麻辣</v>
      </c>
      <c r="D118" s="38" t="str">
        <f>VLOOKUP($B118,relic!A:H,7,0)</f>
        <v>relic_desc_310207</v>
      </c>
      <c r="E118" s="14">
        <v>10</v>
      </c>
      <c r="H118" t="str">
        <f t="shared" si="1"/>
        <v>310207=10</v>
      </c>
    </row>
    <row r="119" spans="1:8" x14ac:dyDescent="0.2">
      <c r="A119" s="14">
        <v>1</v>
      </c>
      <c r="B119" s="14">
        <v>310208</v>
      </c>
      <c r="C119" s="38" t="str">
        <f>_xlfn.XLOOKUP($B119,relic!A:A,relic!D:D,"")</f>
        <v>蟹钳 十三香</v>
      </c>
      <c r="D119" s="38" t="str">
        <f>VLOOKUP($B119,relic!A:H,7,0)</f>
        <v>relic_desc_310208</v>
      </c>
      <c r="E119" s="14">
        <v>10</v>
      </c>
      <c r="H119" t="str">
        <f t="shared" si="1"/>
        <v>310208=10</v>
      </c>
    </row>
    <row r="120" spans="1:8" x14ac:dyDescent="0.2">
      <c r="A120" s="14">
        <v>1</v>
      </c>
      <c r="B120" s="14">
        <v>310209</v>
      </c>
      <c r="C120" s="38" t="str">
        <f>_xlfn.XLOOKUP($B120,relic!A:A,relic!D:D,"")</f>
        <v>弹药返回A</v>
      </c>
      <c r="D120" s="38" t="str">
        <f>VLOOKUP($B120,relic!A:H,7,0)</f>
        <v>relic_desc_310209</v>
      </c>
      <c r="E120" s="14">
        <v>10</v>
      </c>
      <c r="H120" t="str">
        <f t="shared" si="1"/>
        <v>310209=10</v>
      </c>
    </row>
    <row r="121" spans="1:8" x14ac:dyDescent="0.2">
      <c r="A121" s="14">
        <v>1</v>
      </c>
      <c r="B121" s="14">
        <v>310210</v>
      </c>
      <c r="C121" s="38" t="str">
        <f>_xlfn.XLOOKUP($B121,relic!A:A,relic!D:D,"")</f>
        <v>弹药返回B</v>
      </c>
      <c r="D121" s="38" t="str">
        <f>VLOOKUP($B121,relic!A:H,7,0)</f>
        <v>relic_desc_310210</v>
      </c>
      <c r="E121" s="14">
        <v>10</v>
      </c>
      <c r="H121" t="str">
        <f t="shared" si="1"/>
        <v>310210=10</v>
      </c>
    </row>
    <row r="122" spans="1:8" x14ac:dyDescent="0.2">
      <c r="A122" s="14">
        <v>1</v>
      </c>
      <c r="B122" s="14">
        <v>310211</v>
      </c>
      <c r="C122" s="38" t="str">
        <f>_xlfn.XLOOKUP($B122,relic!A:A,relic!D:D,"")</f>
        <v>弹药返回C</v>
      </c>
      <c r="D122" s="38" t="str">
        <f>VLOOKUP($B122,relic!A:H,7,0)</f>
        <v>relic_desc_310211</v>
      </c>
      <c r="E122" s="14">
        <v>10</v>
      </c>
      <c r="H122" t="str">
        <f t="shared" si="1"/>
        <v>310211=10</v>
      </c>
    </row>
    <row r="123" spans="1:8" x14ac:dyDescent="0.2">
      <c r="A123" s="14">
        <v>1</v>
      </c>
      <c r="B123" s="14">
        <v>310212</v>
      </c>
      <c r="C123" s="38" t="str">
        <f>_xlfn.XLOOKUP($B123,relic!A:A,relic!D:D,"")</f>
        <v>弹药凝滞</v>
      </c>
      <c r="D123" s="38" t="str">
        <f>VLOOKUP($B123,relic!A:H,7,0)</f>
        <v>relic_desc_310212</v>
      </c>
      <c r="E123" s="14">
        <v>10</v>
      </c>
      <c r="H123" t="str">
        <f t="shared" si="1"/>
        <v>310212=10</v>
      </c>
    </row>
    <row r="124" spans="1:8" x14ac:dyDescent="0.2">
      <c r="A124" s="14">
        <v>1</v>
      </c>
      <c r="B124" s="14">
        <v>310213</v>
      </c>
      <c r="C124" s="38" t="str">
        <f>_xlfn.XLOOKUP($B124,relic!A:A,relic!D:D,"")</f>
        <v>弹药凝滞</v>
      </c>
      <c r="D124" s="38" t="str">
        <f>VLOOKUP($B124,relic!A:H,7,0)</f>
        <v>relic_desc_310213</v>
      </c>
      <c r="E124" s="14">
        <v>10</v>
      </c>
      <c r="H124" t="str">
        <f t="shared" si="1"/>
        <v>310213=10</v>
      </c>
    </row>
    <row r="125" spans="1:8" x14ac:dyDescent="0.2">
      <c r="A125" s="14">
        <v>1</v>
      </c>
      <c r="B125" s="14">
        <v>310214</v>
      </c>
      <c r="C125" s="38" t="str">
        <f>_xlfn.XLOOKUP($B125,relic!A:A,relic!D:D,"")</f>
        <v>弹药回收1</v>
      </c>
      <c r="D125" s="38" t="str">
        <f>VLOOKUP($B125,relic!A:H,7,0)</f>
        <v>relic_desc_310214</v>
      </c>
      <c r="E125" s="42">
        <v>0</v>
      </c>
      <c r="H125" t="str">
        <f t="shared" si="1"/>
        <v/>
      </c>
    </row>
    <row r="126" spans="1:8" x14ac:dyDescent="0.2">
      <c r="A126" s="14">
        <v>1</v>
      </c>
      <c r="B126" s="14">
        <v>310215</v>
      </c>
      <c r="C126" s="38" t="str">
        <f>_xlfn.XLOOKUP($B126,relic!A:A,relic!D:D,"")</f>
        <v>弹药回收2</v>
      </c>
      <c r="D126" s="38" t="str">
        <f>VLOOKUP($B126,relic!A:H,7,0)</f>
        <v>relic_desc_310215</v>
      </c>
      <c r="E126" s="42">
        <v>0</v>
      </c>
      <c r="H126" t="str">
        <f t="shared" si="1"/>
        <v/>
      </c>
    </row>
    <row r="127" spans="1:8" x14ac:dyDescent="0.2">
      <c r="A127" s="14">
        <v>1</v>
      </c>
      <c r="B127" s="14">
        <v>310216</v>
      </c>
      <c r="C127" s="38" t="str">
        <f>_xlfn.XLOOKUP($B127,relic!A:A,relic!D:D,"")</f>
        <v>弹药回收3</v>
      </c>
      <c r="D127" s="38" t="str">
        <f>VLOOKUP($B127,relic!A:H,7,0)</f>
        <v>relic_desc_310216</v>
      </c>
      <c r="E127" s="42">
        <v>0</v>
      </c>
      <c r="H127" t="str">
        <f t="shared" si="1"/>
        <v/>
      </c>
    </row>
    <row r="128" spans="1:8" x14ac:dyDescent="0.2">
      <c r="A128" s="14">
        <v>1</v>
      </c>
      <c r="B128" s="14">
        <v>310217</v>
      </c>
      <c r="C128" s="38" t="str">
        <f>_xlfn.XLOOKUP($B128,relic!A:A,relic!D:D,"")</f>
        <v>牢门</v>
      </c>
      <c r="D128" s="38" t="str">
        <f>VLOOKUP($B128,relic!A:H,7,0)</f>
        <v>relic_desc_310217</v>
      </c>
      <c r="E128" s="14">
        <v>10</v>
      </c>
      <c r="H128" t="str">
        <f t="shared" si="1"/>
        <v>310217=10</v>
      </c>
    </row>
    <row r="129" spans="1:8" x14ac:dyDescent="0.2">
      <c r="A129" s="14">
        <v>1</v>
      </c>
      <c r="B129" s="14">
        <v>310218</v>
      </c>
      <c r="C129" s="38" t="str">
        <f>_xlfn.XLOOKUP($B129,relic!A:A,relic!D:D,"")</f>
        <v>警卫制服</v>
      </c>
      <c r="D129" s="38" t="str">
        <f>VLOOKUP($B129,relic!A:H,7,0)</f>
        <v>relic_desc_310218</v>
      </c>
      <c r="E129" s="14">
        <v>10</v>
      </c>
      <c r="H129" t="str">
        <f t="shared" si="1"/>
        <v>310218=10</v>
      </c>
    </row>
    <row r="130" spans="1:8" x14ac:dyDescent="0.2">
      <c r="A130" s="14">
        <v>1</v>
      </c>
      <c r="B130" s="14">
        <v>310219</v>
      </c>
      <c r="C130" s="38" t="str">
        <f>_xlfn.XLOOKUP($B130,relic!A:A,relic!D:D,"")</f>
        <v>工头喇叭</v>
      </c>
      <c r="D130" s="38" t="str">
        <f>VLOOKUP($B130,relic!A:H,7,0)</f>
        <v>relic_desc_310219</v>
      </c>
      <c r="E130" s="14">
        <v>10</v>
      </c>
      <c r="H130" t="str">
        <f t="shared" si="1"/>
        <v>310219=10</v>
      </c>
    </row>
    <row r="131" spans="1:8" x14ac:dyDescent="0.2">
      <c r="A131" s="14">
        <v>1</v>
      </c>
      <c r="B131" s="14">
        <v>310220</v>
      </c>
      <c r="C131" s="38" t="str">
        <f>_xlfn.XLOOKUP($B131,relic!A:A,relic!D:D,"")</f>
        <v>子弹碰撞1</v>
      </c>
      <c r="D131" s="38" t="str">
        <f>VLOOKUP($B131,relic!A:H,7,0)</f>
        <v>relic_desc_310220</v>
      </c>
      <c r="E131" s="42">
        <v>0</v>
      </c>
      <c r="H131" t="str">
        <f t="shared" si="1"/>
        <v/>
      </c>
    </row>
    <row r="132" spans="1:8" x14ac:dyDescent="0.2">
      <c r="A132" s="14">
        <v>1</v>
      </c>
      <c r="B132" s="14">
        <v>310221</v>
      </c>
      <c r="C132" s="38" t="str">
        <f>_xlfn.XLOOKUP($B132,relic!A:A,relic!D:D,"")</f>
        <v>子弹碰撞2</v>
      </c>
      <c r="D132" s="38" t="str">
        <f>VLOOKUP($B132,relic!A:H,7,0)</f>
        <v>relic_desc_310221</v>
      </c>
      <c r="E132" s="42">
        <v>0</v>
      </c>
      <c r="H132" t="str">
        <f t="shared" si="1"/>
        <v/>
      </c>
    </row>
    <row r="133" spans="1:8" x14ac:dyDescent="0.2">
      <c r="A133" s="14">
        <v>1</v>
      </c>
      <c r="B133" s="14">
        <v>310222</v>
      </c>
      <c r="C133" s="38" t="str">
        <f>_xlfn.XLOOKUP($B133,relic!A:A,relic!D:D,"")</f>
        <v>子弹碰撞3</v>
      </c>
      <c r="D133" s="38" t="str">
        <f>VLOOKUP($B133,relic!A:H,7,0)</f>
        <v>relic_desc_310222</v>
      </c>
      <c r="E133" s="42">
        <v>0</v>
      </c>
      <c r="H133" t="str">
        <f t="shared" ref="H133:H143" si="2">IF(E133,B133&amp;"="&amp;E133,"")</f>
        <v/>
      </c>
    </row>
    <row r="134" spans="1:8" x14ac:dyDescent="0.2">
      <c r="C134" s="38">
        <f>_xlfn.XLOOKUP($B134,relic!A:A,relic!D:D,"")</f>
        <v>0</v>
      </c>
      <c r="H134" t="str">
        <f t="shared" si="2"/>
        <v/>
      </c>
    </row>
    <row r="135" spans="1:8" x14ac:dyDescent="0.2">
      <c r="A135" s="14">
        <v>1</v>
      </c>
      <c r="B135" s="14">
        <v>310401</v>
      </c>
      <c r="C135" s="38" t="str">
        <f>_xlfn.XLOOKUP($B135,relic!A:A,relic!D:D,"")</f>
        <v>枪口风暴</v>
      </c>
      <c r="D135" s="38" t="str">
        <f>VLOOKUP($B135,relic!A:H,7,0)</f>
        <v>relic_desc_310401</v>
      </c>
      <c r="E135" s="14">
        <v>10</v>
      </c>
      <c r="H135" t="str">
        <f t="shared" si="2"/>
        <v>310401=10</v>
      </c>
    </row>
    <row r="136" spans="1:8" x14ac:dyDescent="0.2">
      <c r="A136" s="14">
        <v>1</v>
      </c>
      <c r="B136" s="14">
        <v>310402</v>
      </c>
      <c r="C136" s="38" t="str">
        <f>_xlfn.XLOOKUP($B136,relic!A:A,relic!D:D,"")</f>
        <v>枪焰冲击</v>
      </c>
      <c r="D136" s="38" t="str">
        <f>VLOOKUP($B136,relic!A:H,7,0)</f>
        <v>relic_desc_310402</v>
      </c>
      <c r="E136" s="14">
        <v>10</v>
      </c>
      <c r="H136" t="str">
        <f t="shared" si="2"/>
        <v>310402=10</v>
      </c>
    </row>
    <row r="137" spans="1:8" x14ac:dyDescent="0.2">
      <c r="A137" s="14">
        <v>1</v>
      </c>
      <c r="B137" s="14">
        <v>310403</v>
      </c>
      <c r="C137" s="38" t="str">
        <f>_xlfn.XLOOKUP($B137,relic!A:A,relic!D:D,"")</f>
        <v>枪焰燃烧</v>
      </c>
      <c r="D137" s="38" t="str">
        <f>VLOOKUP($B137,relic!A:H,7,0)</f>
        <v>relic_desc_310403</v>
      </c>
      <c r="E137" s="14">
        <v>10</v>
      </c>
      <c r="H137" t="str">
        <f t="shared" si="2"/>
        <v>310403=10</v>
      </c>
    </row>
    <row r="138" spans="1:8" x14ac:dyDescent="0.2">
      <c r="A138" s="14">
        <v>1</v>
      </c>
      <c r="B138" s="14">
        <v>310404</v>
      </c>
      <c r="C138" s="38" t="str">
        <f>_xlfn.XLOOKUP($B138,relic!A:A,relic!D:D,"")</f>
        <v>枪焰闪耀</v>
      </c>
      <c r="D138" s="38" t="str">
        <f>VLOOKUP($B138,relic!A:H,7,0)</f>
        <v>relic_desc_310404</v>
      </c>
      <c r="E138" s="14">
        <v>10</v>
      </c>
      <c r="H138" t="str">
        <f t="shared" si="2"/>
        <v>310404=10</v>
      </c>
    </row>
    <row r="139" spans="1:8" x14ac:dyDescent="0.2">
      <c r="A139" s="14">
        <v>1</v>
      </c>
      <c r="B139" s="14">
        <v>310405</v>
      </c>
      <c r="C139" s="38" t="str">
        <f>_xlfn.XLOOKUP($B139,relic!A:A,relic!D:D,"")</f>
        <v>枪托打击</v>
      </c>
      <c r="D139" s="38" t="str">
        <f>VLOOKUP($B139,relic!A:H,7,0)</f>
        <v>relic_desc_310405</v>
      </c>
      <c r="E139" s="42">
        <v>0</v>
      </c>
      <c r="H139" t="str">
        <f t="shared" si="2"/>
        <v/>
      </c>
    </row>
    <row r="140" spans="1:8" x14ac:dyDescent="0.2">
      <c r="A140" s="14">
        <v>1</v>
      </c>
      <c r="B140" s="14">
        <v>310406</v>
      </c>
      <c r="C140" s="38" t="str">
        <f>_xlfn.XLOOKUP($B140,relic!A:A,relic!D:D,"")</f>
        <v>枪托重击</v>
      </c>
      <c r="D140" s="38" t="str">
        <f>VLOOKUP($B140,relic!A:H,7,0)</f>
        <v>relic_desc_310406</v>
      </c>
      <c r="E140" s="42">
        <v>0</v>
      </c>
      <c r="H140" t="str">
        <f t="shared" si="2"/>
        <v/>
      </c>
    </row>
    <row r="141" spans="1:8" x14ac:dyDescent="0.2">
      <c r="A141" s="14">
        <v>1</v>
      </c>
      <c r="B141" s="14">
        <v>310407</v>
      </c>
      <c r="C141" s="38" t="str">
        <f>_xlfn.XLOOKUP($B141,relic!A:A,relic!D:D,"")</f>
        <v>作弊骰 Lv.1</v>
      </c>
      <c r="D141" s="38" t="str">
        <f>VLOOKUP($B141,relic!A:H,7,0)</f>
        <v>relic_desc_310407</v>
      </c>
      <c r="E141" s="14">
        <v>10</v>
      </c>
      <c r="H141" t="str">
        <f t="shared" si="2"/>
        <v>310407=10</v>
      </c>
    </row>
    <row r="142" spans="1:8" x14ac:dyDescent="0.2">
      <c r="A142" s="14">
        <v>1</v>
      </c>
      <c r="B142" s="14">
        <v>310408</v>
      </c>
      <c r="C142" s="38" t="str">
        <f>_xlfn.XLOOKUP($B142,relic!A:A,relic!D:D,"")</f>
        <v>作弊骰 Lv.2</v>
      </c>
      <c r="D142" s="38" t="str">
        <f>VLOOKUP($B142,relic!A:H,7,0)</f>
        <v>relic_desc_310408</v>
      </c>
      <c r="E142" s="14">
        <v>10</v>
      </c>
      <c r="H142" t="str">
        <f t="shared" si="2"/>
        <v>310408=10</v>
      </c>
    </row>
    <row r="143" spans="1:8" x14ac:dyDescent="0.2">
      <c r="A143" s="14">
        <v>1</v>
      </c>
      <c r="B143" s="14">
        <v>310409</v>
      </c>
      <c r="C143" s="38" t="str">
        <f>_xlfn.XLOOKUP($B143,relic!A:A,relic!D:D,"")</f>
        <v>作弊骰 Lv.3</v>
      </c>
      <c r="D143" s="38" t="str">
        <f>VLOOKUP($B143,relic!A:H,7,0)</f>
        <v>relic_desc_310409</v>
      </c>
      <c r="E143" s="14">
        <v>10</v>
      </c>
      <c r="H143" t="str">
        <f t="shared" si="2"/>
        <v>310409=10</v>
      </c>
    </row>
  </sheetData>
  <phoneticPr fontId="11" type="noConversion"/>
  <conditionalFormatting sqref="A2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BEC4-2A10-494C-AC03-C03911B54B2D}">
  <dimension ref="A1:D8"/>
  <sheetViews>
    <sheetView workbookViewId="0">
      <selection activeCell="H16" sqref="H16"/>
    </sheetView>
  </sheetViews>
  <sheetFormatPr defaultColWidth="9" defaultRowHeight="14.25" x14ac:dyDescent="0.2"/>
  <cols>
    <col min="1" max="1" width="9" style="61"/>
    <col min="2" max="2" width="9.5" style="62" customWidth="1"/>
    <col min="3" max="3" width="17.75" style="61" bestFit="1" customWidth="1"/>
    <col min="4" max="4" width="24.25" style="61" bestFit="1" customWidth="1"/>
    <col min="5" max="16384" width="9" style="61"/>
  </cols>
  <sheetData>
    <row r="1" spans="1:4" s="52" customFormat="1" ht="15.75" x14ac:dyDescent="0.2">
      <c r="A1" s="52" t="s">
        <v>0</v>
      </c>
      <c r="B1" s="53"/>
      <c r="C1" s="52" t="s">
        <v>330</v>
      </c>
      <c r="D1" s="52" t="s">
        <v>331</v>
      </c>
    </row>
    <row r="2" spans="1:4" s="54" customFormat="1" ht="15.75" x14ac:dyDescent="0.2">
      <c r="A2" s="54" t="s">
        <v>7</v>
      </c>
      <c r="B2" s="53"/>
      <c r="C2" s="54" t="s">
        <v>8</v>
      </c>
      <c r="D2" s="54" t="s">
        <v>320</v>
      </c>
    </row>
    <row r="3" spans="1:4" s="58" customFormat="1" x14ac:dyDescent="0.2">
      <c r="A3" s="55" t="s">
        <v>321</v>
      </c>
      <c r="B3" s="56" t="s">
        <v>322</v>
      </c>
      <c r="C3" s="57" t="s">
        <v>323</v>
      </c>
      <c r="D3" s="57" t="s">
        <v>324</v>
      </c>
    </row>
    <row r="4" spans="1:4" x14ac:dyDescent="0.2">
      <c r="A4" s="59">
        <v>0</v>
      </c>
      <c r="B4" s="60" t="s">
        <v>325</v>
      </c>
      <c r="C4" s="59" t="s">
        <v>332</v>
      </c>
      <c r="D4" s="61" t="s">
        <v>337</v>
      </c>
    </row>
    <row r="5" spans="1:4" x14ac:dyDescent="0.2">
      <c r="A5" s="59">
        <v>1</v>
      </c>
      <c r="B5" s="60" t="s">
        <v>326</v>
      </c>
      <c r="C5" s="59" t="s">
        <v>333</v>
      </c>
      <c r="D5" s="61" t="s">
        <v>338</v>
      </c>
    </row>
    <row r="6" spans="1:4" x14ac:dyDescent="0.2">
      <c r="A6" s="59">
        <v>2</v>
      </c>
      <c r="B6" s="60" t="s">
        <v>327</v>
      </c>
      <c r="C6" s="59" t="s">
        <v>334</v>
      </c>
      <c r="D6" s="61" t="s">
        <v>339</v>
      </c>
    </row>
    <row r="7" spans="1:4" x14ac:dyDescent="0.2">
      <c r="A7" s="61">
        <v>3</v>
      </c>
      <c r="B7" s="60" t="s">
        <v>328</v>
      </c>
      <c r="C7" s="59" t="s">
        <v>335</v>
      </c>
      <c r="D7" s="61" t="s">
        <v>340</v>
      </c>
    </row>
    <row r="8" spans="1:4" x14ac:dyDescent="0.2">
      <c r="A8" s="59">
        <v>4</v>
      </c>
      <c r="B8" s="60" t="s">
        <v>329</v>
      </c>
      <c r="C8" s="59" t="s">
        <v>336</v>
      </c>
      <c r="D8" s="61" t="s">
        <v>341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86E3-CB9C-4EB9-BA80-C1CA3F35CF49}">
  <sheetPr>
    <tabColor theme="1" tint="0.499984740745262"/>
  </sheetPr>
  <dimension ref="A1:M208"/>
  <sheetViews>
    <sheetView topLeftCell="A7" workbookViewId="0">
      <selection activeCell="I48" sqref="I48"/>
    </sheetView>
  </sheetViews>
  <sheetFormatPr defaultRowHeight="14.25" x14ac:dyDescent="0.2"/>
  <cols>
    <col min="1" max="1" width="9" style="16"/>
    <col min="2" max="2" width="18.25" style="16" bestFit="1" customWidth="1"/>
    <col min="3" max="3" width="14.375" style="16" bestFit="1" customWidth="1"/>
    <col min="4" max="4" width="9.375" style="16" bestFit="1" customWidth="1"/>
    <col min="5" max="5" width="17.125" style="16" bestFit="1" customWidth="1"/>
    <col min="6" max="6" width="96.25" style="16" bestFit="1" customWidth="1"/>
    <col min="7" max="7" width="9" style="16"/>
    <col min="8" max="8" width="16.5" style="16" bestFit="1" customWidth="1"/>
    <col min="9" max="9" width="15.125" style="16" bestFit="1" customWidth="1"/>
    <col min="10" max="10" width="9" style="16"/>
    <col min="11" max="11" width="10.25" style="16" customWidth="1"/>
    <col min="12" max="12" width="16.625" style="16" bestFit="1" customWidth="1"/>
    <col min="13" max="13" width="71.25" style="16" customWidth="1"/>
    <col min="14" max="16384" width="9" style="16"/>
  </cols>
  <sheetData>
    <row r="1" spans="1:13" s="49" customFormat="1" x14ac:dyDescent="0.2">
      <c r="A1" s="41" t="s">
        <v>378</v>
      </c>
      <c r="B1" s="41" t="s">
        <v>380</v>
      </c>
      <c r="C1" s="41" t="s">
        <v>379</v>
      </c>
      <c r="D1" s="41" t="s">
        <v>342</v>
      </c>
      <c r="E1" s="41" t="s">
        <v>382</v>
      </c>
      <c r="F1" s="41" t="s">
        <v>381</v>
      </c>
      <c r="G1" s="41" t="s">
        <v>383</v>
      </c>
      <c r="I1" s="49" t="s">
        <v>384</v>
      </c>
      <c r="L1" s="49" t="s">
        <v>385</v>
      </c>
    </row>
    <row r="2" spans="1:13" x14ac:dyDescent="0.2">
      <c r="A2" s="16">
        <v>300011</v>
      </c>
      <c r="B2" s="16" t="str">
        <f>_xlfn.XLOOKUP(表2[[#This Row],[relic id]],relic!$A:$A,relic!B:B,"")</f>
        <v>relic_name_30001</v>
      </c>
      <c r="C2" s="16" t="str">
        <f>_xlfn.XLOOKUP(表2[[#This Row],[relic id]],relic!$A:$A,relic!D:D,"")</f>
        <v>阿菊</v>
      </c>
      <c r="D2" s="16">
        <f>IF(表2[[#This Row],[relic id]]&lt;&gt;"",_xlfn.XLOOKUP(表2[[#This Row],[relic id]],relic!$A:$A,relic!$T:$T),"")</f>
        <v>0</v>
      </c>
      <c r="E2" s="16" t="str">
        <f>_xlfn.XLOOKUP(表2[[#This Row],[relic id]],relic!$A:$A,relic!G:G,"")</f>
        <v>relic_desc_300011</v>
      </c>
      <c r="F2" s="16" t="str">
        <f>_xlfn.XLOOKUP(表2[[#This Row],[relic id]],relic!$A:$A,relic!H:H,"")</f>
        <v>所有设备 伤害 + 15%</v>
      </c>
      <c r="G2" s="24" t="b">
        <v>1</v>
      </c>
      <c r="I2" s="16" t="str" cm="1">
        <f t="array" ref="I2:J38">_xlfn.UNIQUE(_xlfn._xlws.FILTER(表2[[relic name key]:[relic name]],表2[picked]))</f>
        <v>relic_name_30001</v>
      </c>
      <c r="J2" s="16" t="str">
        <v>阿菊</v>
      </c>
      <c r="L2" s="16" t="str" cm="1">
        <f t="array" ref="L2:M80">_xlfn.UNIQUE(_xlfn._xlws.FILTER(表2[[relic desc key]:[relic desc]],表2[picked]))</f>
        <v>relic_desc_300011</v>
      </c>
      <c r="M2" s="16" t="str">
        <v>所有设备 伤害 + 15%</v>
      </c>
    </row>
    <row r="3" spans="1:13" x14ac:dyDescent="0.2">
      <c r="A3" s="16">
        <v>300012</v>
      </c>
      <c r="B3" s="16" t="str">
        <f>_xlfn.XLOOKUP(表2[[#This Row],[relic id]],relic!$A:$A,relic!B:B,"")</f>
        <v>relic_name_30001</v>
      </c>
      <c r="C3" s="16" t="str">
        <f>_xlfn.XLOOKUP(表2[[#This Row],[relic id]],relic!$A:$A,relic!D:D,"")</f>
        <v>阿菊</v>
      </c>
      <c r="D3" s="16">
        <f>IF(表2[[#This Row],[relic id]]&lt;&gt;"",_xlfn.XLOOKUP(表2[[#This Row],[relic id]],relic!$A:$A,relic!$T:$T),"")</f>
        <v>1</v>
      </c>
      <c r="E3" s="16" t="str">
        <f>_xlfn.XLOOKUP(表2[[#This Row],[relic id]],relic!$A:$A,relic!G:G,"")</f>
        <v>relic_desc_300012</v>
      </c>
      <c r="F3" s="16" t="str">
        <f>_xlfn.XLOOKUP(表2[[#This Row],[relic id]],relic!$A:$A,relic!H:H,"")</f>
        <v>所有设备 伤害 + 30%</v>
      </c>
      <c r="G3" s="24" t="b">
        <v>1</v>
      </c>
      <c r="I3" s="16" t="str">
        <v>relic_name_30002</v>
      </c>
      <c r="J3" s="16" t="str">
        <v>火星蝶</v>
      </c>
      <c r="L3" s="16" t="str">
        <v>relic_desc_300012</v>
      </c>
      <c r="M3" s="16" t="str">
        <v>所有设备 伤害 + 30%</v>
      </c>
    </row>
    <row r="4" spans="1:13" x14ac:dyDescent="0.2">
      <c r="A4" s="16">
        <v>300013</v>
      </c>
      <c r="B4" s="16" t="str">
        <f>_xlfn.XLOOKUP(表2[[#This Row],[relic id]],relic!$A:$A,relic!B:B,"")</f>
        <v>relic_name_30001</v>
      </c>
      <c r="C4" s="16" t="str">
        <f>_xlfn.XLOOKUP(表2[[#This Row],[relic id]],relic!$A:$A,relic!D:D,"")</f>
        <v>阿菊</v>
      </c>
      <c r="D4" s="16">
        <f>IF(表2[[#This Row],[relic id]]&lt;&gt;"",_xlfn.XLOOKUP(表2[[#This Row],[relic id]],relic!$A:$A,relic!$T:$T),"")</f>
        <v>2</v>
      </c>
      <c r="E4" s="16" t="str">
        <f>_xlfn.XLOOKUP(表2[[#This Row],[relic id]],relic!$A:$A,relic!G:G,"")</f>
        <v>relic_desc_300013</v>
      </c>
      <c r="F4" s="16" t="str">
        <f>_xlfn.XLOOKUP(表2[[#This Row],[relic id]],relic!$A:$A,relic!H:H,"")</f>
        <v>所有设备 伤害 + 60%</v>
      </c>
      <c r="G4" s="24" t="b">
        <v>1</v>
      </c>
      <c r="I4" s="16" t="str">
        <v>relic_name_30003</v>
      </c>
      <c r="J4" s="16" t="str">
        <v>肌肉金轮草</v>
      </c>
      <c r="L4" s="16" t="str">
        <v>relic_desc_300013</v>
      </c>
      <c r="M4" s="16" t="str">
        <v>所有设备 伤害 + 60%</v>
      </c>
    </row>
    <row r="5" spans="1:13" x14ac:dyDescent="0.2">
      <c r="A5" s="16">
        <v>300014</v>
      </c>
      <c r="B5" s="16" t="str">
        <f>_xlfn.XLOOKUP(表2[[#This Row],[relic id]],relic!$A:$A,relic!B:B,"")</f>
        <v>relic_name_30001</v>
      </c>
      <c r="C5" s="16" t="str">
        <f>_xlfn.XLOOKUP(表2[[#This Row],[relic id]],relic!$A:$A,relic!D:D,"")</f>
        <v>阿菊</v>
      </c>
      <c r="D5" s="16">
        <f>IF(表2[[#This Row],[relic id]]&lt;&gt;"",_xlfn.XLOOKUP(表2[[#This Row],[relic id]],relic!$A:$A,relic!$T:$T),"")</f>
        <v>3</v>
      </c>
      <c r="E5" s="16" t="str">
        <f>_xlfn.XLOOKUP(表2[[#This Row],[relic id]],relic!$A:$A,relic!G:G,"")</f>
        <v>relic_desc_300014</v>
      </c>
      <c r="F5" s="16" t="str">
        <f>_xlfn.XLOOKUP(表2[[#This Row],[relic id]],relic!$A:$A,relic!H:H,"")</f>
        <v>所有设备 伤害 + 120%</v>
      </c>
      <c r="G5" s="24" t="b">
        <v>1</v>
      </c>
      <c r="I5" s="16" t="str">
        <v>relic_name_30004</v>
      </c>
      <c r="J5" s="16" t="str">
        <v>托利莲</v>
      </c>
      <c r="L5" s="16" t="str">
        <v>relic_desc_300014</v>
      </c>
      <c r="M5" s="16" t="str">
        <v>所有设备 伤害 + 120%</v>
      </c>
    </row>
    <row r="6" spans="1:13" x14ac:dyDescent="0.2">
      <c r="B6" s="16">
        <f>_xlfn.XLOOKUP(表2[[#This Row],[relic id]],relic!$A:$A,relic!B:B,"")</f>
        <v>0</v>
      </c>
      <c r="C6" s="16">
        <f>_xlfn.XLOOKUP(表2[[#This Row],[relic id]],relic!$A:$A,relic!D:D,"")</f>
        <v>0</v>
      </c>
      <c r="D6" s="16" t="str">
        <f>IF(表2[[#This Row],[relic id]]&lt;&gt;"",_xlfn.XLOOKUP(表2[[#This Row],[relic id]],relic!$A:$A,relic!$T:$T),"")</f>
        <v/>
      </c>
      <c r="E6" s="16">
        <f>_xlfn.XLOOKUP(表2[[#This Row],[relic id]],relic!$A:$A,relic!G:G,"")</f>
        <v>0</v>
      </c>
      <c r="F6" s="16">
        <f>_xlfn.XLOOKUP(表2[[#This Row],[relic id]],relic!$A:$A,relic!H:H,"")</f>
        <v>0</v>
      </c>
      <c r="I6" s="16" t="str">
        <v>relic_name_30007</v>
      </c>
      <c r="J6" s="16" t="str">
        <v>守护符</v>
      </c>
      <c r="L6" s="16" t="str">
        <v>relic_desc_300021</v>
      </c>
      <c r="M6" s="16" t="str">
        <v>所有设备 额外伤害 + 6</v>
      </c>
    </row>
    <row r="7" spans="1:13" x14ac:dyDescent="0.2">
      <c r="A7" s="16">
        <v>300021</v>
      </c>
      <c r="B7" s="16" t="str">
        <f>_xlfn.XLOOKUP(表2[[#This Row],[relic id]],relic!$A:$A,relic!B:B,"")</f>
        <v>relic_name_30002</v>
      </c>
      <c r="C7" s="16" t="str">
        <f>_xlfn.XLOOKUP(表2[[#This Row],[relic id]],relic!$A:$A,relic!D:D,"")</f>
        <v>火星蝶</v>
      </c>
      <c r="D7" s="16">
        <f>IF(表2[[#This Row],[relic id]]&lt;&gt;"",_xlfn.XLOOKUP(表2[[#This Row],[relic id]],relic!$A:$A,relic!$T:$T),"")</f>
        <v>1</v>
      </c>
      <c r="E7" s="16" t="str">
        <f>_xlfn.XLOOKUP(表2[[#This Row],[relic id]],relic!$A:$A,relic!G:G,"")</f>
        <v>relic_desc_300021</v>
      </c>
      <c r="F7" s="16" t="str">
        <f>_xlfn.XLOOKUP(表2[[#This Row],[relic id]],relic!$A:$A,relic!H:H,"")</f>
        <v>所有设备 额外伤害 + 6</v>
      </c>
      <c r="G7" s="24" t="b">
        <v>1</v>
      </c>
      <c r="I7" s="16" t="str">
        <v>relic_name_30008</v>
      </c>
      <c r="J7" s="16" t="str">
        <v>文护符</v>
      </c>
      <c r="L7" s="16" t="str">
        <v>relic_desc_300022</v>
      </c>
      <c r="M7" s="16" t="str">
        <v>所有设备 额外伤害 + 12</v>
      </c>
    </row>
    <row r="8" spans="1:13" x14ac:dyDescent="0.2">
      <c r="A8" s="16">
        <v>300022</v>
      </c>
      <c r="B8" s="16" t="str">
        <f>_xlfn.XLOOKUP(表2[[#This Row],[relic id]],relic!$A:$A,relic!B:B,"")</f>
        <v>relic_name_30002</v>
      </c>
      <c r="C8" s="16" t="str">
        <f>_xlfn.XLOOKUP(表2[[#This Row],[relic id]],relic!$A:$A,relic!D:D,"")</f>
        <v>火星蝶</v>
      </c>
      <c r="D8" s="16">
        <f>IF(表2[[#This Row],[relic id]]&lt;&gt;"",_xlfn.XLOOKUP(表2[[#This Row],[relic id]],relic!$A:$A,relic!$T:$T),"")</f>
        <v>2</v>
      </c>
      <c r="E8" s="16" t="str">
        <f>_xlfn.XLOOKUP(表2[[#This Row],[relic id]],relic!$A:$A,relic!G:G,"")</f>
        <v>relic_desc_300022</v>
      </c>
      <c r="F8" s="16" t="str">
        <f>_xlfn.XLOOKUP(表2[[#This Row],[relic id]],relic!$A:$A,relic!H:H,"")</f>
        <v>所有设备 额外伤害 + 12</v>
      </c>
      <c r="G8" s="24" t="b">
        <v>1</v>
      </c>
      <c r="I8" s="16" t="str">
        <v>relic_name_30101</v>
      </c>
      <c r="J8" s="16" t="str">
        <v>镐子</v>
      </c>
      <c r="L8" s="16" t="str">
        <v>relic_desc_300023</v>
      </c>
      <c r="M8" s="16" t="str">
        <v>所有设备 额外伤害 + 24</v>
      </c>
    </row>
    <row r="9" spans="1:13" x14ac:dyDescent="0.2">
      <c r="A9" s="16">
        <v>300023</v>
      </c>
      <c r="B9" s="16" t="str">
        <f>_xlfn.XLOOKUP(表2[[#This Row],[relic id]],relic!$A:$A,relic!B:B,"")</f>
        <v>relic_name_30002</v>
      </c>
      <c r="C9" s="16" t="str">
        <f>_xlfn.XLOOKUP(表2[[#This Row],[relic id]],relic!$A:$A,relic!D:D,"")</f>
        <v>火星蝶</v>
      </c>
      <c r="D9" s="16">
        <f>IF(表2[[#This Row],[relic id]]&lt;&gt;"",_xlfn.XLOOKUP(表2[[#This Row],[relic id]],relic!$A:$A,relic!$T:$T),"")</f>
        <v>3</v>
      </c>
      <c r="E9" s="16" t="str">
        <f>_xlfn.XLOOKUP(表2[[#This Row],[relic id]],relic!$A:$A,relic!G:G,"")</f>
        <v>relic_desc_300023</v>
      </c>
      <c r="F9" s="16" t="str">
        <f>_xlfn.XLOOKUP(表2[[#This Row],[relic id]],relic!$A:$A,relic!H:H,"")</f>
        <v>所有设备 额外伤害 + 24</v>
      </c>
      <c r="G9" s="24" t="b">
        <v>1</v>
      </c>
      <c r="I9" s="16" t="str">
        <v>relic_name_30103</v>
      </c>
      <c r="J9" s="16" t="str">
        <v>斧头</v>
      </c>
      <c r="L9" s="16" t="str">
        <v>relic_desc_300031</v>
      </c>
      <c r="M9" s="16" t="str">
        <v>所有设备 暴击几率 + 4%</v>
      </c>
    </row>
    <row r="10" spans="1:13" x14ac:dyDescent="0.2">
      <c r="B10" s="16">
        <f>_xlfn.XLOOKUP(表2[[#This Row],[relic id]],relic!$A:$A,relic!B:B,"")</f>
        <v>0</v>
      </c>
      <c r="C10" s="16">
        <f>_xlfn.XLOOKUP(表2[[#This Row],[relic id]],relic!$A:$A,relic!D:D,"")</f>
        <v>0</v>
      </c>
      <c r="D10" s="16" t="str">
        <f>IF(表2[[#This Row],[relic id]]&lt;&gt;"",_xlfn.XLOOKUP(表2[[#This Row],[relic id]],relic!$A:$A,relic!$T:$T),"")</f>
        <v/>
      </c>
      <c r="E10" s="16">
        <f>_xlfn.XLOOKUP(表2[[#This Row],[relic id]],relic!$A:$A,relic!G:G,"")</f>
        <v>0</v>
      </c>
      <c r="F10" s="16">
        <f>_xlfn.XLOOKUP(表2[[#This Row],[relic id]],relic!$A:$A,relic!H:H,"")</f>
        <v>0</v>
      </c>
      <c r="I10" s="16" t="str">
        <v>relic_name_30104</v>
      </c>
      <c r="J10" s="16" t="str">
        <v>扳手</v>
      </c>
      <c r="L10" s="16" t="str">
        <v>relic_desc_300032</v>
      </c>
      <c r="M10" s="16" t="str">
        <v>所有设备 暴击几率 + 6%</v>
      </c>
    </row>
    <row r="11" spans="1:13" x14ac:dyDescent="0.2">
      <c r="A11" s="16">
        <v>300031</v>
      </c>
      <c r="B11" s="16" t="str">
        <f>_xlfn.XLOOKUP(表2[[#This Row],[relic id]],relic!$A:$A,relic!B:B,"")</f>
        <v>relic_name_30003</v>
      </c>
      <c r="C11" s="16" t="str">
        <f>_xlfn.XLOOKUP(表2[[#This Row],[relic id]],relic!$A:$A,relic!D:D,"")</f>
        <v>肌肉金轮草</v>
      </c>
      <c r="D11" s="16">
        <f>IF(表2[[#This Row],[relic id]]&lt;&gt;"",_xlfn.XLOOKUP(表2[[#This Row],[relic id]],relic!$A:$A,relic!$T:$T),"")</f>
        <v>0</v>
      </c>
      <c r="E11" s="16" t="str">
        <f>_xlfn.XLOOKUP(表2[[#This Row],[relic id]],relic!$A:$A,relic!G:G,"")</f>
        <v>relic_desc_300031</v>
      </c>
      <c r="F11" s="16" t="str">
        <f>_xlfn.XLOOKUP(表2[[#This Row],[relic id]],relic!$A:$A,relic!H:H,"")</f>
        <v>所有设备 暴击几率 + 4%</v>
      </c>
      <c r="G11" s="24" t="b">
        <v>1</v>
      </c>
      <c r="I11" s="16" t="str">
        <v>relic_name_30105</v>
      </c>
      <c r="J11" s="16" t="str">
        <v>起子</v>
      </c>
      <c r="L11" s="16" t="str">
        <v>relic_desc_300033</v>
      </c>
      <c r="M11" s="16" t="str">
        <v>所有设备 暴击几率 + 9%</v>
      </c>
    </row>
    <row r="12" spans="1:13" x14ac:dyDescent="0.2">
      <c r="A12" s="16">
        <v>300032</v>
      </c>
      <c r="B12" s="16" t="str">
        <f>_xlfn.XLOOKUP(表2[[#This Row],[relic id]],relic!$A:$A,relic!B:B,"")</f>
        <v>relic_name_30003</v>
      </c>
      <c r="C12" s="16" t="str">
        <f>_xlfn.XLOOKUP(表2[[#This Row],[relic id]],relic!$A:$A,relic!D:D,"")</f>
        <v>肌肉金轮草</v>
      </c>
      <c r="D12" s="16">
        <f>IF(表2[[#This Row],[relic id]]&lt;&gt;"",_xlfn.XLOOKUP(表2[[#This Row],[relic id]],relic!$A:$A,relic!$T:$T),"")</f>
        <v>1</v>
      </c>
      <c r="E12" s="16" t="str">
        <f>_xlfn.XLOOKUP(表2[[#This Row],[relic id]],relic!$A:$A,relic!G:G,"")</f>
        <v>relic_desc_300032</v>
      </c>
      <c r="F12" s="16" t="str">
        <f>_xlfn.XLOOKUP(表2[[#This Row],[relic id]],relic!$A:$A,relic!H:H,"")</f>
        <v>所有设备 暴击几率 + 6%</v>
      </c>
      <c r="G12" s="24" t="b">
        <v>1</v>
      </c>
      <c r="I12" s="16" t="str">
        <v>relic_name_30201</v>
      </c>
      <c r="J12" s="16" t="str">
        <v>无黄蛋</v>
      </c>
      <c r="L12" s="16" t="str">
        <v>relic_desc_300034</v>
      </c>
      <c r="M12" s="16" t="str">
        <v>所有设备 暴击几率 + 13%</v>
      </c>
    </row>
    <row r="13" spans="1:13" x14ac:dyDescent="0.2">
      <c r="A13" s="16">
        <v>300033</v>
      </c>
      <c r="B13" s="16" t="str">
        <f>_xlfn.XLOOKUP(表2[[#This Row],[relic id]],relic!$A:$A,relic!B:B,"")</f>
        <v>relic_name_30003</v>
      </c>
      <c r="C13" s="16" t="str">
        <f>_xlfn.XLOOKUP(表2[[#This Row],[relic id]],relic!$A:$A,relic!D:D,"")</f>
        <v>肌肉金轮草</v>
      </c>
      <c r="D13" s="16">
        <f>IF(表2[[#This Row],[relic id]]&lt;&gt;"",_xlfn.XLOOKUP(表2[[#This Row],[relic id]],relic!$A:$A,relic!$T:$T),"")</f>
        <v>2</v>
      </c>
      <c r="E13" s="16" t="str">
        <f>_xlfn.XLOOKUP(表2[[#This Row],[relic id]],relic!$A:$A,relic!G:G,"")</f>
        <v>relic_desc_300033</v>
      </c>
      <c r="F13" s="16" t="str">
        <f>_xlfn.XLOOKUP(表2[[#This Row],[relic id]],relic!$A:$A,relic!H:H,"")</f>
        <v>所有设备 暴击几率 + 9%</v>
      </c>
      <c r="G13" s="24" t="b">
        <v>1</v>
      </c>
      <c r="I13" s="16" t="str">
        <v>relic_name_30203</v>
      </c>
      <c r="J13" s="16" t="str">
        <v>天地一口香</v>
      </c>
      <c r="L13" s="16" t="str">
        <v>relic_desc_300041</v>
      </c>
      <c r="M13" s="16" t="str">
        <v>所有设备 暴击伤害 + 10%</v>
      </c>
    </row>
    <row r="14" spans="1:13" x14ac:dyDescent="0.2">
      <c r="A14" s="16">
        <v>300034</v>
      </c>
      <c r="B14" s="16" t="str">
        <f>_xlfn.XLOOKUP(表2[[#This Row],[relic id]],relic!$A:$A,relic!B:B,"")</f>
        <v>relic_name_30003</v>
      </c>
      <c r="C14" s="16" t="str">
        <f>_xlfn.XLOOKUP(表2[[#This Row],[relic id]],relic!$A:$A,relic!D:D,"")</f>
        <v>肌肉金轮草</v>
      </c>
      <c r="D14" s="16">
        <f>IF(表2[[#This Row],[relic id]]&lt;&gt;"",_xlfn.XLOOKUP(表2[[#This Row],[relic id]],relic!$A:$A,relic!$T:$T),"")</f>
        <v>3</v>
      </c>
      <c r="E14" s="16" t="str">
        <f>_xlfn.XLOOKUP(表2[[#This Row],[relic id]],relic!$A:$A,relic!G:G,"")</f>
        <v>relic_desc_300034</v>
      </c>
      <c r="F14" s="16" t="str">
        <f>_xlfn.XLOOKUP(表2[[#This Row],[relic id]],relic!$A:$A,relic!H:H,"")</f>
        <v>所有设备 暴击几率 + 13%</v>
      </c>
      <c r="G14" s="24" t="b">
        <v>1</v>
      </c>
      <c r="I14" s="16" t="str">
        <v>relic_name_30204</v>
      </c>
      <c r="J14" s="16" t="str">
        <v>子母春茧</v>
      </c>
      <c r="L14" s="16" t="str">
        <v>relic_desc_300042</v>
      </c>
      <c r="M14" s="16" t="str">
        <v>所有设备 暴击伤害 + 20%</v>
      </c>
    </row>
    <row r="15" spans="1:13" x14ac:dyDescent="0.2">
      <c r="B15" s="16">
        <f>_xlfn.XLOOKUP(表2[[#This Row],[relic id]],relic!$A:$A,relic!B:B,"")</f>
        <v>0</v>
      </c>
      <c r="C15" s="16">
        <f>_xlfn.XLOOKUP(表2[[#This Row],[relic id]],relic!$A:$A,relic!D:D,"")</f>
        <v>0</v>
      </c>
      <c r="D15" s="16" t="str">
        <f>IF(表2[[#This Row],[relic id]]&lt;&gt;"",_xlfn.XLOOKUP(表2[[#This Row],[relic id]],relic!$A:$A,relic!$T:$T),"")</f>
        <v/>
      </c>
      <c r="E15" s="16">
        <f>_xlfn.XLOOKUP(表2[[#This Row],[relic id]],relic!$A:$A,relic!G:G,"")</f>
        <v>0</v>
      </c>
      <c r="F15" s="16">
        <f>_xlfn.XLOOKUP(表2[[#This Row],[relic id]],relic!$A:$A,relic!H:H,"")</f>
        <v>0</v>
      </c>
      <c r="I15" s="16" t="str">
        <v>relic_name_30223</v>
      </c>
      <c r="J15" s="16" t="str">
        <v>太阳勋章</v>
      </c>
      <c r="L15" s="16" t="str">
        <v>relic_desc_300043</v>
      </c>
      <c r="M15" s="16" t="str">
        <v>所有设备 暴击伤害 + 40%</v>
      </c>
    </row>
    <row r="16" spans="1:13" x14ac:dyDescent="0.2">
      <c r="A16" s="16">
        <v>300041</v>
      </c>
      <c r="B16" s="16" t="str">
        <f>_xlfn.XLOOKUP(表2[[#This Row],[relic id]],relic!$A:$A,relic!B:B,"")</f>
        <v>relic_name_30004</v>
      </c>
      <c r="C16" s="16" t="str">
        <f>_xlfn.XLOOKUP(表2[[#This Row],[relic id]],relic!$A:$A,relic!D:D,"")</f>
        <v>托利莲</v>
      </c>
      <c r="D16" s="16">
        <f>IF(表2[[#This Row],[relic id]]&lt;&gt;"",_xlfn.XLOOKUP(表2[[#This Row],[relic id]],relic!$A:$A,relic!$T:$T),"")</f>
        <v>0</v>
      </c>
      <c r="E16" s="16" t="str">
        <f>_xlfn.XLOOKUP(表2[[#This Row],[relic id]],relic!$A:$A,relic!G:G,"")</f>
        <v>relic_desc_300041</v>
      </c>
      <c r="F16" s="16" t="str">
        <f>_xlfn.XLOOKUP(表2[[#This Row],[relic id]],relic!$A:$A,relic!H:H,"")</f>
        <v>所有设备 暴击伤害 + 10%</v>
      </c>
      <c r="G16" s="24" t="b">
        <v>1</v>
      </c>
      <c r="I16" s="16" t="str">
        <v>relic_name_30232</v>
      </c>
      <c r="J16" s="16" t="str">
        <v>屋顶羊</v>
      </c>
      <c r="L16" s="16" t="str">
        <v>relic_desc_300044</v>
      </c>
      <c r="M16" s="16" t="str">
        <v>所有设备 暴击伤害 + 80%</v>
      </c>
    </row>
    <row r="17" spans="1:13" x14ac:dyDescent="0.2">
      <c r="A17" s="16">
        <v>300042</v>
      </c>
      <c r="B17" s="16" t="str">
        <f>_xlfn.XLOOKUP(表2[[#This Row],[relic id]],relic!$A:$A,relic!B:B,"")</f>
        <v>relic_name_30004</v>
      </c>
      <c r="C17" s="16" t="str">
        <f>_xlfn.XLOOKUP(表2[[#This Row],[relic id]],relic!$A:$A,relic!D:D,"")</f>
        <v>托利莲</v>
      </c>
      <c r="D17" s="16">
        <f>IF(表2[[#This Row],[relic id]]&lt;&gt;"",_xlfn.XLOOKUP(表2[[#This Row],[relic id]],relic!$A:$A,relic!$T:$T),"")</f>
        <v>1</v>
      </c>
      <c r="E17" s="16" t="str">
        <f>_xlfn.XLOOKUP(表2[[#This Row],[relic id]],relic!$A:$A,relic!G:G,"")</f>
        <v>relic_desc_300042</v>
      </c>
      <c r="F17" s="16" t="str">
        <f>_xlfn.XLOOKUP(表2[[#This Row],[relic id]],relic!$A:$A,relic!H:H,"")</f>
        <v>所有设备 暴击伤害 + 20%</v>
      </c>
      <c r="G17" s="24" t="b">
        <v>1</v>
      </c>
      <c r="I17" s="16" t="str">
        <v>relic_name_310203</v>
      </c>
      <c r="J17" s="16" t="str">
        <v>花洒 Lv.1</v>
      </c>
      <c r="L17" s="16" t="str">
        <v>relic_desc_300071</v>
      </c>
      <c r="M17" s="16" t="str">
        <v>所有设备 护甲 + 10</v>
      </c>
    </row>
    <row r="18" spans="1:13" x14ac:dyDescent="0.2">
      <c r="A18" s="16">
        <v>300043</v>
      </c>
      <c r="B18" s="16" t="str">
        <f>_xlfn.XLOOKUP(表2[[#This Row],[relic id]],relic!$A:$A,relic!B:B,"")</f>
        <v>relic_name_30004</v>
      </c>
      <c r="C18" s="16" t="str">
        <f>_xlfn.XLOOKUP(表2[[#This Row],[relic id]],relic!$A:$A,relic!D:D,"")</f>
        <v>托利莲</v>
      </c>
      <c r="D18" s="16">
        <f>IF(表2[[#This Row],[relic id]]&lt;&gt;"",_xlfn.XLOOKUP(表2[[#This Row],[relic id]],relic!$A:$A,relic!$T:$T),"")</f>
        <v>2</v>
      </c>
      <c r="E18" s="16" t="str">
        <f>_xlfn.XLOOKUP(表2[[#This Row],[relic id]],relic!$A:$A,relic!G:G,"")</f>
        <v>relic_desc_300043</v>
      </c>
      <c r="F18" s="16" t="str">
        <f>_xlfn.XLOOKUP(表2[[#This Row],[relic id]],relic!$A:$A,relic!H:H,"")</f>
        <v>所有设备 暴击伤害 + 40%</v>
      </c>
      <c r="G18" s="24" t="b">
        <v>1</v>
      </c>
      <c r="I18" s="16" t="str">
        <v>relic_name_310204</v>
      </c>
      <c r="J18" s="16" t="str">
        <v>花洒 Lv.2</v>
      </c>
      <c r="L18" s="16" t="str">
        <v>relic_desc_300072</v>
      </c>
      <c r="M18" s="16" t="str">
        <v>所有设备 护甲 + 20</v>
      </c>
    </row>
    <row r="19" spans="1:13" x14ac:dyDescent="0.2">
      <c r="A19" s="16">
        <v>300044</v>
      </c>
      <c r="B19" s="16" t="str">
        <f>_xlfn.XLOOKUP(表2[[#This Row],[relic id]],relic!$A:$A,relic!B:B,"")</f>
        <v>relic_name_30004</v>
      </c>
      <c r="C19" s="16" t="str">
        <f>_xlfn.XLOOKUP(表2[[#This Row],[relic id]],relic!$A:$A,relic!D:D,"")</f>
        <v>托利莲</v>
      </c>
      <c r="D19" s="16">
        <f>IF(表2[[#This Row],[relic id]]&lt;&gt;"",_xlfn.XLOOKUP(表2[[#This Row],[relic id]],relic!$A:$A,relic!$T:$T),"")</f>
        <v>3</v>
      </c>
      <c r="E19" s="16" t="str">
        <f>_xlfn.XLOOKUP(表2[[#This Row],[relic id]],relic!$A:$A,relic!G:G,"")</f>
        <v>relic_desc_300044</v>
      </c>
      <c r="F19" s="16" t="str">
        <f>_xlfn.XLOOKUP(表2[[#This Row],[relic id]],relic!$A:$A,relic!H:H,"")</f>
        <v>所有设备 暴击伤害 + 80%</v>
      </c>
      <c r="G19" s="24" t="b">
        <v>1</v>
      </c>
      <c r="I19" s="16" t="str">
        <v>relic_name_310205</v>
      </c>
      <c r="J19" s="16" t="str">
        <v>花洒 Lv.3</v>
      </c>
      <c r="L19" s="16" t="str">
        <v>relic_desc_300073</v>
      </c>
      <c r="M19" s="16" t="str">
        <v>所有设备 护甲 + 40</v>
      </c>
    </row>
    <row r="20" spans="1:13" x14ac:dyDescent="0.2">
      <c r="B20" s="16">
        <f>_xlfn.XLOOKUP(表2[[#This Row],[relic id]],relic!$A:$A,relic!B:B,"")</f>
        <v>0</v>
      </c>
      <c r="C20" s="16">
        <f>_xlfn.XLOOKUP(表2[[#This Row],[relic id]],relic!$A:$A,relic!D:D,"")</f>
        <v>0</v>
      </c>
      <c r="D20" s="16" t="str">
        <f>IF(表2[[#This Row],[relic id]]&lt;&gt;"",_xlfn.XLOOKUP(表2[[#This Row],[relic id]],relic!$A:$A,relic!$T:$T),"")</f>
        <v/>
      </c>
      <c r="E20" s="16">
        <f>_xlfn.XLOOKUP(表2[[#This Row],[relic id]],relic!$A:$A,relic!G:G,"")</f>
        <v>0</v>
      </c>
      <c r="F20" s="16">
        <f>_xlfn.XLOOKUP(表2[[#This Row],[relic id]],relic!$A:$A,relic!H:H,"")</f>
        <v>0</v>
      </c>
      <c r="I20" s="16" t="str">
        <v>relic_name_310206</v>
      </c>
      <c r="J20" s="16" t="str">
        <v xml:space="preserve">蟹钳 蒜蓉 </v>
      </c>
      <c r="L20" s="16" t="str">
        <v>relic_desc_300074</v>
      </c>
      <c r="M20" s="16" t="str">
        <v>所有设备 护甲 + 80</v>
      </c>
    </row>
    <row r="21" spans="1:13" x14ac:dyDescent="0.2">
      <c r="A21" s="16">
        <v>300051</v>
      </c>
      <c r="B21" s="16" t="str">
        <f>_xlfn.XLOOKUP(表2[[#This Row],[relic id]],relic!$A:$A,relic!B:B,"")</f>
        <v>relic_name_300051</v>
      </c>
      <c r="C21" s="16" t="str">
        <f>_xlfn.XLOOKUP(表2[[#This Row],[relic id]],relic!$A:$A,relic!D:D,"")</f>
        <v>紫水晶</v>
      </c>
      <c r="D21" s="16">
        <f>IF(表2[[#This Row],[relic id]]&lt;&gt;"",_xlfn.XLOOKUP(表2[[#This Row],[relic id]],relic!$A:$A,relic!$T:$T),"")</f>
        <v>0</v>
      </c>
      <c r="E21" s="16" t="str">
        <f>_xlfn.XLOOKUP(表2[[#This Row],[relic id]],relic!$A:$A,relic!G:G,"")</f>
        <v>relic_desc_300051</v>
      </c>
      <c r="F21" s="16" t="str">
        <f>_xlfn.XLOOKUP(表2[[#This Row],[relic id]],relic!$A:$A,relic!H:H,"")</f>
        <v>所有设备 击退 + 5%</v>
      </c>
      <c r="I21" s="16" t="str">
        <v>relic_name_310207</v>
      </c>
      <c r="J21" s="16" t="str">
        <v>蟹钳 麻辣</v>
      </c>
      <c r="L21" s="16" t="str">
        <v>relic_desc_300081</v>
      </c>
      <c r="M21" s="16" t="str">
        <v>所有设备 耐久 + 15%</v>
      </c>
    </row>
    <row r="22" spans="1:13" x14ac:dyDescent="0.2">
      <c r="A22" s="16">
        <v>300052</v>
      </c>
      <c r="B22" s="16" t="str">
        <f>_xlfn.XLOOKUP(表2[[#This Row],[relic id]],relic!$A:$A,relic!B:B,"")</f>
        <v>relic_name_300052</v>
      </c>
      <c r="C22" s="16" t="str">
        <f>_xlfn.XLOOKUP(表2[[#This Row],[relic id]],relic!$A:$A,relic!D:D,"")</f>
        <v>粉水晶</v>
      </c>
      <c r="D22" s="16">
        <f>IF(表2[[#This Row],[relic id]]&lt;&gt;"",_xlfn.XLOOKUP(表2[[#This Row],[relic id]],relic!$A:$A,relic!$T:$T),"")</f>
        <v>1</v>
      </c>
      <c r="E22" s="16" t="str">
        <f>_xlfn.XLOOKUP(表2[[#This Row],[relic id]],relic!$A:$A,relic!G:G,"")</f>
        <v>relic_desc_300052</v>
      </c>
      <c r="F22" s="16" t="str">
        <f>_xlfn.XLOOKUP(表2[[#This Row],[relic id]],relic!$A:$A,relic!H:H,"")</f>
        <v>所有设备 击退 + 10%</v>
      </c>
      <c r="I22" s="16" t="str">
        <v>relic_name_310208</v>
      </c>
      <c r="J22" s="16" t="str">
        <v>蟹钳 十三香</v>
      </c>
      <c r="L22" s="16" t="str">
        <v>relic_desc_300082</v>
      </c>
      <c r="M22" s="16" t="str">
        <v>所有设备 耐久 + 25%</v>
      </c>
    </row>
    <row r="23" spans="1:13" x14ac:dyDescent="0.2">
      <c r="A23" s="16">
        <v>300053</v>
      </c>
      <c r="B23" s="16" t="str">
        <f>_xlfn.XLOOKUP(表2[[#This Row],[relic id]],relic!$A:$A,relic!B:B,"")</f>
        <v>relic_name_300053</v>
      </c>
      <c r="C23" s="16" t="str">
        <f>_xlfn.XLOOKUP(表2[[#This Row],[relic id]],relic!$A:$A,relic!D:D,"")</f>
        <v>黄水晶</v>
      </c>
      <c r="D23" s="16">
        <f>IF(表2[[#This Row],[relic id]]&lt;&gt;"",_xlfn.XLOOKUP(表2[[#This Row],[relic id]],relic!$A:$A,relic!$T:$T),"")</f>
        <v>2</v>
      </c>
      <c r="E23" s="16" t="str">
        <f>_xlfn.XLOOKUP(表2[[#This Row],[relic id]],relic!$A:$A,relic!G:G,"")</f>
        <v>relic_desc_300053</v>
      </c>
      <c r="F23" s="16" t="str">
        <f>_xlfn.XLOOKUP(表2[[#This Row],[relic id]],relic!$A:$A,relic!H:H,"")</f>
        <v>所有设备 击退 + 15%</v>
      </c>
      <c r="I23" s="16" t="str">
        <v>relic_name_310217</v>
      </c>
      <c r="J23" s="16" t="str">
        <v>牢门</v>
      </c>
      <c r="L23" s="16" t="str">
        <v>relic_desc_300083</v>
      </c>
      <c r="M23" s="16" t="str">
        <v>所有设备 耐久 + 40%</v>
      </c>
    </row>
    <row r="24" spans="1:13" x14ac:dyDescent="0.2">
      <c r="B24" s="16">
        <f>_xlfn.XLOOKUP(表2[[#This Row],[relic id]],relic!$A:$A,relic!B:B,"")</f>
        <v>0</v>
      </c>
      <c r="C24" s="16">
        <f>_xlfn.XLOOKUP(表2[[#This Row],[relic id]],relic!$A:$A,relic!D:D,"")</f>
        <v>0</v>
      </c>
      <c r="D24" s="16" t="str">
        <f>IF(表2[[#This Row],[relic id]]&lt;&gt;"",_xlfn.XLOOKUP(表2[[#This Row],[relic id]],relic!$A:$A,relic!$T:$T),"")</f>
        <v/>
      </c>
      <c r="E24" s="16">
        <f>_xlfn.XLOOKUP(表2[[#This Row],[relic id]],relic!$A:$A,relic!G:G,"")</f>
        <v>0</v>
      </c>
      <c r="F24" s="16">
        <f>_xlfn.XLOOKUP(表2[[#This Row],[relic id]],relic!$A:$A,relic!H:H,"")</f>
        <v>0</v>
      </c>
      <c r="I24" s="16" t="str">
        <v>relic_name_310218</v>
      </c>
      <c r="J24" s="16" t="str">
        <v>警卫制服</v>
      </c>
      <c r="L24" s="16" t="str">
        <v>relic_desc_300084</v>
      </c>
      <c r="M24" s="16" t="str">
        <v>所有设备 耐久 + 70%</v>
      </c>
    </row>
    <row r="25" spans="1:13" x14ac:dyDescent="0.2">
      <c r="A25" s="16">
        <v>300061</v>
      </c>
      <c r="B25" s="16" t="str">
        <f>_xlfn.XLOOKUP(表2[[#This Row],[relic id]],relic!$A:$A,relic!B:B,"")</f>
        <v>relic_name_300061</v>
      </c>
      <c r="C25" s="16" t="str">
        <f>_xlfn.XLOOKUP(表2[[#This Row],[relic id]],relic!$A:$A,relic!D:D,"")</f>
        <v>国王骰子</v>
      </c>
      <c r="D25" s="16">
        <f>IF(表2[[#This Row],[relic id]]&lt;&gt;"",_xlfn.XLOOKUP(表2[[#This Row],[relic id]],relic!$A:$A,relic!$T:$T),"")</f>
        <v>0</v>
      </c>
      <c r="E25" s="16" t="str">
        <f>_xlfn.XLOOKUP(表2[[#This Row],[relic id]],relic!$A:$A,relic!G:G,"")</f>
        <v>relic_desc_300061</v>
      </c>
      <c r="F25" s="16" t="str">
        <f>_xlfn.XLOOKUP(表2[[#This Row],[relic id]],relic!$A:$A,relic!H:H,"")</f>
        <v>所有设备 破甲 + 10%</v>
      </c>
      <c r="I25" s="16" t="str">
        <v>relic_name_310219</v>
      </c>
      <c r="J25" s="16" t="str">
        <v>工头喇叭</v>
      </c>
      <c r="L25" s="16" t="str">
        <v>relic_desc_301011</v>
      </c>
      <c r="M25" s="16" t="str">
        <v>近战武器 伤害 + 20%</v>
      </c>
    </row>
    <row r="26" spans="1:13" x14ac:dyDescent="0.2">
      <c r="A26" s="16">
        <v>300062</v>
      </c>
      <c r="B26" s="16" t="str">
        <f>_xlfn.XLOOKUP(表2[[#This Row],[relic id]],relic!$A:$A,relic!B:B,"")</f>
        <v>relic_name_300062</v>
      </c>
      <c r="C26" s="16" t="str">
        <f>_xlfn.XLOOKUP(表2[[#This Row],[relic id]],relic!$A:$A,relic!D:D,"")</f>
        <v>国王骰子</v>
      </c>
      <c r="D26" s="16">
        <f>IF(表2[[#This Row],[relic id]]&lt;&gt;"",_xlfn.XLOOKUP(表2[[#This Row],[relic id]],relic!$A:$A,relic!$T:$T),"")</f>
        <v>1</v>
      </c>
      <c r="E26" s="16" t="str">
        <f>_xlfn.XLOOKUP(表2[[#This Row],[relic id]],relic!$A:$A,relic!G:G,"")</f>
        <v>relic_desc_300062</v>
      </c>
      <c r="F26" s="16" t="str">
        <f>_xlfn.XLOOKUP(表2[[#This Row],[relic id]],relic!$A:$A,relic!H:H,"")</f>
        <v>所有设备 破甲 + 20%</v>
      </c>
      <c r="I26" s="16" t="str">
        <v>relic_name_310223</v>
      </c>
      <c r="J26" s="16" t="str">
        <v>蛋糕 Lv.1</v>
      </c>
      <c r="L26" s="16" t="str">
        <v>relic_desc_301012</v>
      </c>
      <c r="M26" s="16" t="str">
        <v>近战武器 伤害 + 40%</v>
      </c>
    </row>
    <row r="27" spans="1:13" x14ac:dyDescent="0.2">
      <c r="A27" s="16">
        <v>300063</v>
      </c>
      <c r="B27" s="16" t="str">
        <f>_xlfn.XLOOKUP(表2[[#This Row],[relic id]],relic!$A:$A,relic!B:B,"")</f>
        <v>relic_name_300063</v>
      </c>
      <c r="C27" s="16" t="str">
        <f>_xlfn.XLOOKUP(表2[[#This Row],[relic id]],relic!$A:$A,relic!D:D,"")</f>
        <v>国王骰子</v>
      </c>
      <c r="D27" s="16">
        <f>IF(表2[[#This Row],[relic id]]&lt;&gt;"",_xlfn.XLOOKUP(表2[[#This Row],[relic id]],relic!$A:$A,relic!$T:$T),"")</f>
        <v>2</v>
      </c>
      <c r="E27" s="16" t="str">
        <f>_xlfn.XLOOKUP(表2[[#This Row],[relic id]],relic!$A:$A,relic!G:G,"")</f>
        <v>relic_desc_300063</v>
      </c>
      <c r="F27" s="16" t="str">
        <f>_xlfn.XLOOKUP(表2[[#This Row],[relic id]],relic!$A:$A,relic!H:H,"")</f>
        <v>所有设备 破甲 + 30%</v>
      </c>
      <c r="I27" s="16" t="str">
        <v>relic_name_310224</v>
      </c>
      <c r="J27" s="16" t="str">
        <v>蛋糕 Lv.2</v>
      </c>
      <c r="L27" s="16" t="str">
        <v>relic_desc_301013</v>
      </c>
      <c r="M27" s="16" t="str">
        <v>近战武器 伤害 + 80%</v>
      </c>
    </row>
    <row r="28" spans="1:13" x14ac:dyDescent="0.2">
      <c r="B28" s="16">
        <f>_xlfn.XLOOKUP(表2[[#This Row],[relic id]],relic!$A:$A,relic!B:B,"")</f>
        <v>0</v>
      </c>
      <c r="C28" s="16">
        <f>_xlfn.XLOOKUP(表2[[#This Row],[relic id]],relic!$A:$A,relic!D:D,"")</f>
        <v>0</v>
      </c>
      <c r="D28" s="16" t="str">
        <f>IF(表2[[#This Row],[relic id]]&lt;&gt;"",_xlfn.XLOOKUP(表2[[#This Row],[relic id]],relic!$A:$A,relic!$T:$T),"")</f>
        <v/>
      </c>
      <c r="E28" s="16">
        <f>_xlfn.XLOOKUP(表2[[#This Row],[relic id]],relic!$A:$A,relic!G:G,"")</f>
        <v>0</v>
      </c>
      <c r="F28" s="16">
        <f>_xlfn.XLOOKUP(表2[[#This Row],[relic id]],relic!$A:$A,relic!H:H,"")</f>
        <v>0</v>
      </c>
      <c r="I28" s="16" t="str">
        <v>relic_name_310225</v>
      </c>
      <c r="J28" s="16" t="str">
        <v>蛋糕 Lv.3</v>
      </c>
      <c r="L28" s="16" t="str">
        <v>relic_desc_301014</v>
      </c>
      <c r="M28" s="16" t="str">
        <v>近战武器 伤害 + 160%</v>
      </c>
    </row>
    <row r="29" spans="1:13" x14ac:dyDescent="0.2">
      <c r="A29" s="16">
        <v>300071</v>
      </c>
      <c r="B29" s="16" t="str">
        <f>_xlfn.XLOOKUP(表2[[#This Row],[relic id]],relic!$A:$A,relic!B:B,"")</f>
        <v>relic_name_30007</v>
      </c>
      <c r="C29" s="16" t="str">
        <f>_xlfn.XLOOKUP(表2[[#This Row],[relic id]],relic!$A:$A,relic!D:D,"")</f>
        <v>守护符</v>
      </c>
      <c r="D29" s="16">
        <f>IF(表2[[#This Row],[relic id]]&lt;&gt;"",_xlfn.XLOOKUP(表2[[#This Row],[relic id]],relic!$A:$A,relic!$T:$T),"")</f>
        <v>0</v>
      </c>
      <c r="E29" s="16" t="str">
        <f>_xlfn.XLOOKUP(表2[[#This Row],[relic id]],relic!$A:$A,relic!G:G,"")</f>
        <v>relic_desc_300071</v>
      </c>
      <c r="F29" s="16" t="str">
        <f>_xlfn.XLOOKUP(表2[[#This Row],[relic id]],relic!$A:$A,relic!H:H,"")</f>
        <v>所有设备 护甲 + 10</v>
      </c>
      <c r="G29" s="24" t="b">
        <v>1</v>
      </c>
      <c r="I29" s="16" t="str">
        <v>relic_name_310407</v>
      </c>
      <c r="J29" s="16" t="str">
        <v>作弊骰 Lv.1</v>
      </c>
      <c r="L29" s="16" t="str">
        <v>relic_desc_301031</v>
      </c>
      <c r="M29" s="16" t="str">
        <v>近战武器 暴击几率 + 5%</v>
      </c>
    </row>
    <row r="30" spans="1:13" x14ac:dyDescent="0.2">
      <c r="A30" s="16">
        <v>300072</v>
      </c>
      <c r="B30" s="16" t="str">
        <f>_xlfn.XLOOKUP(表2[[#This Row],[relic id]],relic!$A:$A,relic!B:B,"")</f>
        <v>relic_name_30007</v>
      </c>
      <c r="C30" s="16" t="str">
        <f>_xlfn.XLOOKUP(表2[[#This Row],[relic id]],relic!$A:$A,relic!D:D,"")</f>
        <v>守护符</v>
      </c>
      <c r="D30" s="16">
        <f>IF(表2[[#This Row],[relic id]]&lt;&gt;"",_xlfn.XLOOKUP(表2[[#This Row],[relic id]],relic!$A:$A,relic!$T:$T),"")</f>
        <v>1</v>
      </c>
      <c r="E30" s="16" t="str">
        <f>_xlfn.XLOOKUP(表2[[#This Row],[relic id]],relic!$A:$A,relic!G:G,"")</f>
        <v>relic_desc_300072</v>
      </c>
      <c r="F30" s="16" t="str">
        <f>_xlfn.XLOOKUP(表2[[#This Row],[relic id]],relic!$A:$A,relic!H:H,"")</f>
        <v>所有设备 护甲 + 20</v>
      </c>
      <c r="G30" s="24" t="b">
        <v>1</v>
      </c>
      <c r="I30" s="16" t="str">
        <v>relic_name_310408</v>
      </c>
      <c r="J30" s="16" t="str">
        <v>作弊骰 Lv.2</v>
      </c>
      <c r="L30" s="16" t="str">
        <v>relic_desc_301032</v>
      </c>
      <c r="M30" s="16" t="str">
        <v>近战武器 暴击几率 + 8%</v>
      </c>
    </row>
    <row r="31" spans="1:13" x14ac:dyDescent="0.2">
      <c r="A31" s="16">
        <v>300073</v>
      </c>
      <c r="B31" s="16" t="str">
        <f>_xlfn.XLOOKUP(表2[[#This Row],[relic id]],relic!$A:$A,relic!B:B,"")</f>
        <v>relic_name_30007</v>
      </c>
      <c r="C31" s="16" t="str">
        <f>_xlfn.XLOOKUP(表2[[#This Row],[relic id]],relic!$A:$A,relic!D:D,"")</f>
        <v>守护符</v>
      </c>
      <c r="D31" s="16">
        <f>IF(表2[[#This Row],[relic id]]&lt;&gt;"",_xlfn.XLOOKUP(表2[[#This Row],[relic id]],relic!$A:$A,relic!$T:$T),"")</f>
        <v>2</v>
      </c>
      <c r="E31" s="16" t="str">
        <f>_xlfn.XLOOKUP(表2[[#This Row],[relic id]],relic!$A:$A,relic!G:G,"")</f>
        <v>relic_desc_300073</v>
      </c>
      <c r="F31" s="16" t="str">
        <f>_xlfn.XLOOKUP(表2[[#This Row],[relic id]],relic!$A:$A,relic!H:H,"")</f>
        <v>所有设备 护甲 + 40</v>
      </c>
      <c r="G31" s="24" t="b">
        <v>1</v>
      </c>
      <c r="I31" s="16" t="str">
        <v>relic_name_310409</v>
      </c>
      <c r="J31" s="16" t="str">
        <v>作弊骰 Lv.3</v>
      </c>
      <c r="L31" s="16" t="str">
        <v>relic_desc_301033</v>
      </c>
      <c r="M31" s="16" t="str">
        <v>近战武器 暴击几率 + 12%</v>
      </c>
    </row>
    <row r="32" spans="1:13" x14ac:dyDescent="0.2">
      <c r="A32" s="16">
        <v>300074</v>
      </c>
      <c r="B32" s="16" t="str">
        <f>_xlfn.XLOOKUP(表2[[#This Row],[relic id]],relic!$A:$A,relic!B:B,"")</f>
        <v>relic_name_30007</v>
      </c>
      <c r="C32" s="16" t="str">
        <f>_xlfn.XLOOKUP(表2[[#This Row],[relic id]],relic!$A:$A,relic!D:D,"")</f>
        <v>守护符</v>
      </c>
      <c r="D32" s="16">
        <f>IF(表2[[#This Row],[relic id]]&lt;&gt;"",_xlfn.XLOOKUP(表2[[#This Row],[relic id]],relic!$A:$A,relic!$T:$T),"")</f>
        <v>3</v>
      </c>
      <c r="E32" s="16" t="str">
        <f>_xlfn.XLOOKUP(表2[[#This Row],[relic id]],relic!$A:$A,relic!G:G,"")</f>
        <v>relic_desc_300074</v>
      </c>
      <c r="F32" s="16" t="str">
        <f>_xlfn.XLOOKUP(表2[[#This Row],[relic id]],relic!$A:$A,relic!H:H,"")</f>
        <v>所有设备 护甲 + 80</v>
      </c>
      <c r="G32" s="24" t="b">
        <v>1</v>
      </c>
      <c r="I32" s="16" t="str">
        <v>relic_name_310501</v>
      </c>
      <c r="J32" s="16" t="str">
        <v>箱子 Lv.1</v>
      </c>
      <c r="L32" s="16" t="str">
        <v>relic_desc_301034</v>
      </c>
      <c r="M32" s="16" t="str">
        <v>近战武器 暴击几率 + 18%</v>
      </c>
    </row>
    <row r="33" spans="1:13" x14ac:dyDescent="0.2">
      <c r="B33" s="16">
        <f>_xlfn.XLOOKUP(表2[[#This Row],[relic id]],relic!$A:$A,relic!B:B,"")</f>
        <v>0</v>
      </c>
      <c r="C33" s="16">
        <f>_xlfn.XLOOKUP(表2[[#This Row],[relic id]],relic!$A:$A,relic!D:D,"")</f>
        <v>0</v>
      </c>
      <c r="D33" s="16" t="str">
        <f>IF(表2[[#This Row],[relic id]]&lt;&gt;"",_xlfn.XLOOKUP(表2[[#This Row],[relic id]],relic!$A:$A,relic!$T:$T),"")</f>
        <v/>
      </c>
      <c r="E33" s="16">
        <f>_xlfn.XLOOKUP(表2[[#This Row],[relic id]],relic!$A:$A,relic!G:G,"")</f>
        <v>0</v>
      </c>
      <c r="F33" s="16">
        <f>_xlfn.XLOOKUP(表2[[#This Row],[relic id]],relic!$A:$A,relic!H:H,"")</f>
        <v>0</v>
      </c>
      <c r="I33" s="16" t="str">
        <v>relic_name_310502</v>
      </c>
      <c r="J33" s="16" t="str">
        <v>箱子 Lv.2</v>
      </c>
      <c r="L33" s="16" t="str">
        <v>relic_desc_301041</v>
      </c>
      <c r="M33" s="16" t="str">
        <v>近战武器 暴击伤害 + 15%</v>
      </c>
    </row>
    <row r="34" spans="1:13" x14ac:dyDescent="0.2">
      <c r="A34" s="16">
        <v>300081</v>
      </c>
      <c r="B34" s="16" t="str">
        <f>_xlfn.XLOOKUP(表2[[#This Row],[relic id]],relic!$A:$A,relic!B:B,"")</f>
        <v>relic_name_30008</v>
      </c>
      <c r="C34" s="16" t="str">
        <f>_xlfn.XLOOKUP(表2[[#This Row],[relic id]],relic!$A:$A,relic!D:D,"")</f>
        <v>文护符</v>
      </c>
      <c r="D34" s="16">
        <f>IF(表2[[#This Row],[relic id]]&lt;&gt;"",_xlfn.XLOOKUP(表2[[#This Row],[relic id]],relic!$A:$A,relic!$T:$T),"")</f>
        <v>0</v>
      </c>
      <c r="E34" s="16" t="str">
        <f>_xlfn.XLOOKUP(表2[[#This Row],[relic id]],relic!$A:$A,relic!G:G,"")</f>
        <v>relic_desc_300081</v>
      </c>
      <c r="F34" s="16" t="str">
        <f>_xlfn.XLOOKUP(表2[[#This Row],[relic id]],relic!$A:$A,relic!H:H,"")</f>
        <v>所有设备 耐久 + 15%</v>
      </c>
      <c r="G34" s="24" t="b">
        <v>1</v>
      </c>
      <c r="I34" s="16" t="str">
        <v>relic_name_310503</v>
      </c>
      <c r="J34" s="16" t="str">
        <v>箱子 Lv.3</v>
      </c>
      <c r="L34" s="16" t="str">
        <v>relic_desc_301042</v>
      </c>
      <c r="M34" s="16" t="str">
        <v>近战武器 暴击伤害 + 30%</v>
      </c>
    </row>
    <row r="35" spans="1:13" x14ac:dyDescent="0.2">
      <c r="A35" s="16">
        <v>300082</v>
      </c>
      <c r="B35" s="16" t="str">
        <f>_xlfn.XLOOKUP(表2[[#This Row],[relic id]],relic!$A:$A,relic!B:B,"")</f>
        <v>relic_name_30008</v>
      </c>
      <c r="C35" s="16" t="str">
        <f>_xlfn.XLOOKUP(表2[[#This Row],[relic id]],relic!$A:$A,relic!D:D,"")</f>
        <v>文护符</v>
      </c>
      <c r="D35" s="16">
        <f>IF(表2[[#This Row],[relic id]]&lt;&gt;"",_xlfn.XLOOKUP(表2[[#This Row],[relic id]],relic!$A:$A,relic!$T:$T),"")</f>
        <v>1</v>
      </c>
      <c r="E35" s="16" t="str">
        <f>_xlfn.XLOOKUP(表2[[#This Row],[relic id]],relic!$A:$A,relic!G:G,"")</f>
        <v>relic_desc_300082</v>
      </c>
      <c r="F35" s="16" t="str">
        <f>_xlfn.XLOOKUP(表2[[#This Row],[relic id]],relic!$A:$A,relic!H:H,"")</f>
        <v>所有设备 耐久 + 25%</v>
      </c>
      <c r="G35" s="24" t="b">
        <v>1</v>
      </c>
      <c r="I35" s="16" t="str">
        <v>relic_name_310504</v>
      </c>
      <c r="J35" s="16" t="str">
        <v>符纸 Lv.1</v>
      </c>
      <c r="L35" s="16" t="str">
        <v>relic_desc_301043</v>
      </c>
      <c r="M35" s="16" t="str">
        <v>近战武器 暴击伤害 + 60%</v>
      </c>
    </row>
    <row r="36" spans="1:13" x14ac:dyDescent="0.2">
      <c r="A36" s="16">
        <v>300083</v>
      </c>
      <c r="B36" s="16" t="str">
        <f>_xlfn.XLOOKUP(表2[[#This Row],[relic id]],relic!$A:$A,relic!B:B,"")</f>
        <v>relic_name_30008</v>
      </c>
      <c r="C36" s="16" t="str">
        <f>_xlfn.XLOOKUP(表2[[#This Row],[relic id]],relic!$A:$A,relic!D:D,"")</f>
        <v>文护符</v>
      </c>
      <c r="D36" s="16">
        <f>IF(表2[[#This Row],[relic id]]&lt;&gt;"",_xlfn.XLOOKUP(表2[[#This Row],[relic id]],relic!$A:$A,relic!$T:$T),"")</f>
        <v>2</v>
      </c>
      <c r="E36" s="16" t="str">
        <f>_xlfn.XLOOKUP(表2[[#This Row],[relic id]],relic!$A:$A,relic!G:G,"")</f>
        <v>relic_desc_300083</v>
      </c>
      <c r="F36" s="16" t="str">
        <f>_xlfn.XLOOKUP(表2[[#This Row],[relic id]],relic!$A:$A,relic!H:H,"")</f>
        <v>所有设备 耐久 + 40%</v>
      </c>
      <c r="G36" s="24" t="b">
        <v>1</v>
      </c>
      <c r="I36" s="16" t="str">
        <v>relic_name_310505</v>
      </c>
      <c r="J36" s="16" t="str">
        <v>符纸 Lv.2</v>
      </c>
      <c r="L36" s="16" t="str">
        <v>relic_desc_301044</v>
      </c>
      <c r="M36" s="16" t="str">
        <v>近战武器 暴击伤害 + 120%</v>
      </c>
    </row>
    <row r="37" spans="1:13" x14ac:dyDescent="0.2">
      <c r="A37" s="16">
        <v>300084</v>
      </c>
      <c r="B37" s="16" t="str">
        <f>_xlfn.XLOOKUP(表2[[#This Row],[relic id]],relic!$A:$A,relic!B:B,"")</f>
        <v>relic_name_30008</v>
      </c>
      <c r="C37" s="16" t="str">
        <f>_xlfn.XLOOKUP(表2[[#This Row],[relic id]],relic!$A:$A,relic!D:D,"")</f>
        <v>文护符</v>
      </c>
      <c r="D37" s="16">
        <f>IF(表2[[#This Row],[relic id]]&lt;&gt;"",_xlfn.XLOOKUP(表2[[#This Row],[relic id]],relic!$A:$A,relic!$T:$T),"")</f>
        <v>3</v>
      </c>
      <c r="E37" s="16" t="str">
        <f>_xlfn.XLOOKUP(表2[[#This Row],[relic id]],relic!$A:$A,relic!G:G,"")</f>
        <v>relic_desc_300084</v>
      </c>
      <c r="F37" s="16" t="str">
        <f>_xlfn.XLOOKUP(表2[[#This Row],[relic id]],relic!$A:$A,relic!H:H,"")</f>
        <v>所有设备 耐久 + 70%</v>
      </c>
      <c r="G37" s="24" t="b">
        <v>1</v>
      </c>
      <c r="I37" s="16" t="str">
        <v>relic_name_310506</v>
      </c>
      <c r="J37" s="16" t="str">
        <v>符纸 Lv.3</v>
      </c>
      <c r="L37" s="16" t="str">
        <v>relic_desc_301051</v>
      </c>
      <c r="M37" s="16" t="str">
        <v>近战武器 击退 + 10%</v>
      </c>
    </row>
    <row r="38" spans="1:13" x14ac:dyDescent="0.2">
      <c r="B38" s="16">
        <f>_xlfn.XLOOKUP(表2[[#This Row],[relic id]],relic!$A:$A,relic!B:B,"")</f>
        <v>0</v>
      </c>
      <c r="C38" s="16">
        <f>_xlfn.XLOOKUP(表2[[#This Row],[relic id]],relic!$A:$A,relic!D:D,"")</f>
        <v>0</v>
      </c>
      <c r="D38" s="16" t="str">
        <f>IF(表2[[#This Row],[relic id]]&lt;&gt;"",_xlfn.XLOOKUP(表2[[#This Row],[relic id]],relic!$A:$A,relic!$T:$T),"")</f>
        <v/>
      </c>
      <c r="E38" s="16">
        <f>_xlfn.XLOOKUP(表2[[#This Row],[relic id]],relic!$A:$A,relic!G:G,"")</f>
        <v>0</v>
      </c>
      <c r="F38" s="16">
        <f>_xlfn.XLOOKUP(表2[[#This Row],[relic id]],relic!$A:$A,relic!H:H,"")</f>
        <v>0</v>
      </c>
      <c r="I38" s="16" t="str">
        <v>relic_name_310507</v>
      </c>
      <c r="J38" s="16" t="str">
        <v>玩火艺人</v>
      </c>
      <c r="L38" s="16" t="str">
        <v>relic_desc_301052</v>
      </c>
      <c r="M38" s="16" t="str">
        <v>近战武器 击退 + 20%</v>
      </c>
    </row>
    <row r="39" spans="1:13" x14ac:dyDescent="0.2">
      <c r="A39" s="16">
        <v>300091</v>
      </c>
      <c r="B39" s="16" t="str">
        <f>_xlfn.XLOOKUP(表2[[#This Row],[relic id]],relic!$A:$A,relic!B:B,"")</f>
        <v>relic_name_300091</v>
      </c>
      <c r="C39" s="16" t="str">
        <f>_xlfn.XLOOKUP(表2[[#This Row],[relic id]],relic!$A:$A,relic!D:D,"")</f>
        <v>礼护符</v>
      </c>
      <c r="D39" s="16">
        <f>IF(表2[[#This Row],[relic id]]&lt;&gt;"",_xlfn.XLOOKUP(表2[[#This Row],[relic id]],relic!$A:$A,relic!$T:$T),"")</f>
        <v>0</v>
      </c>
      <c r="E39" s="16" t="str">
        <f>_xlfn.XLOOKUP(表2[[#This Row],[relic id]],relic!$A:$A,relic!G:G,"")</f>
        <v>relic_desc_300091</v>
      </c>
      <c r="F39" s="16" t="str">
        <f>_xlfn.XLOOKUP(表2[[#This Row],[relic id]],relic!$A:$A,relic!H:H,"")</f>
        <v>所有设备 耐久 + 300</v>
      </c>
      <c r="L39" s="16" t="str">
        <v>relic_desc_301053</v>
      </c>
      <c r="M39" s="16" t="str">
        <v>近战武器 击退 + 40%</v>
      </c>
    </row>
    <row r="40" spans="1:13" x14ac:dyDescent="0.2">
      <c r="A40" s="16">
        <v>300092</v>
      </c>
      <c r="B40" s="16" t="str">
        <f>_xlfn.XLOOKUP(表2[[#This Row],[relic id]],relic!$A:$A,relic!B:B,"")</f>
        <v>relic_name_300092</v>
      </c>
      <c r="C40" s="16" t="str">
        <f>_xlfn.XLOOKUP(表2[[#This Row],[relic id]],relic!$A:$A,relic!D:D,"")</f>
        <v>礼护符</v>
      </c>
      <c r="D40" s="16">
        <f>IF(表2[[#This Row],[relic id]]&lt;&gt;"",_xlfn.XLOOKUP(表2[[#This Row],[relic id]],relic!$A:$A,relic!$T:$T),"")</f>
        <v>1</v>
      </c>
      <c r="E40" s="16" t="str">
        <f>_xlfn.XLOOKUP(表2[[#This Row],[relic id]],relic!$A:$A,relic!G:G,"")</f>
        <v>relic_desc_300092</v>
      </c>
      <c r="F40" s="16" t="str">
        <f>_xlfn.XLOOKUP(表2[[#This Row],[relic id]],relic!$A:$A,relic!H:H,"")</f>
        <v>所有设备 耐久 + 600</v>
      </c>
      <c r="L40" s="16" t="str">
        <v>relic_desc_301054</v>
      </c>
      <c r="M40" s="16" t="str">
        <v>近战武器 击退 + 80%</v>
      </c>
    </row>
    <row r="41" spans="1:13" x14ac:dyDescent="0.2">
      <c r="A41" s="16">
        <v>300093</v>
      </c>
      <c r="B41" s="16" t="str">
        <f>_xlfn.XLOOKUP(表2[[#This Row],[relic id]],relic!$A:$A,relic!B:B,"")</f>
        <v>relic_name_300093</v>
      </c>
      <c r="C41" s="16" t="str">
        <f>_xlfn.XLOOKUP(表2[[#This Row],[relic id]],relic!$A:$A,relic!D:D,"")</f>
        <v>礼护符</v>
      </c>
      <c r="D41" s="16">
        <f>IF(表2[[#This Row],[relic id]]&lt;&gt;"",_xlfn.XLOOKUP(表2[[#This Row],[relic id]],relic!$A:$A,relic!$T:$T),"")</f>
        <v>2</v>
      </c>
      <c r="E41" s="16" t="str">
        <f>_xlfn.XLOOKUP(表2[[#This Row],[relic id]],relic!$A:$A,relic!G:G,"")</f>
        <v>relic_desc_300093</v>
      </c>
      <c r="F41" s="16" t="str">
        <f>_xlfn.XLOOKUP(表2[[#This Row],[relic id]],relic!$A:$A,relic!H:H,"")</f>
        <v>所有设备 耐久 + 1200</v>
      </c>
      <c r="L41" s="16" t="str">
        <v>relic_desc_302011</v>
      </c>
      <c r="M41" s="16" t="str">
        <v>飞射物 伤害 + 20%</v>
      </c>
    </row>
    <row r="42" spans="1:13" x14ac:dyDescent="0.2">
      <c r="B42" s="16">
        <f>_xlfn.XLOOKUP(表2[[#This Row],[relic id]],relic!$A:$A,relic!B:B,"")</f>
        <v>0</v>
      </c>
      <c r="C42" s="16">
        <f>_xlfn.XLOOKUP(表2[[#This Row],[relic id]],relic!$A:$A,relic!D:D,"")</f>
        <v>0</v>
      </c>
      <c r="D42" s="16" t="str">
        <f>IF(表2[[#This Row],[relic id]]&lt;&gt;"",_xlfn.XLOOKUP(表2[[#This Row],[relic id]],relic!$A:$A,relic!$T:$T),"")</f>
        <v/>
      </c>
      <c r="E42" s="16">
        <f>_xlfn.XLOOKUP(表2[[#This Row],[relic id]],relic!$A:$A,relic!G:G,"")</f>
        <v>0</v>
      </c>
      <c r="F42" s="16">
        <f>_xlfn.XLOOKUP(表2[[#This Row],[relic id]],relic!$A:$A,relic!H:H,"")</f>
        <v>0</v>
      </c>
      <c r="L42" s="16" t="str">
        <v>relic_desc_302012</v>
      </c>
      <c r="M42" s="16" t="str">
        <v>飞射物 伤害 + 40%</v>
      </c>
    </row>
    <row r="43" spans="1:13" x14ac:dyDescent="0.2">
      <c r="A43" s="16">
        <v>301011</v>
      </c>
      <c r="B43" s="16" t="str">
        <f>_xlfn.XLOOKUP(表2[[#This Row],[relic id]],relic!$A:$A,relic!B:B,"")</f>
        <v>relic_name_30101</v>
      </c>
      <c r="C43" s="16" t="str">
        <f>_xlfn.XLOOKUP(表2[[#This Row],[relic id]],relic!$A:$A,relic!D:D,"")</f>
        <v>镐子</v>
      </c>
      <c r="D43" s="16">
        <f>IF(表2[[#This Row],[relic id]]&lt;&gt;"",_xlfn.XLOOKUP(表2[[#This Row],[relic id]],relic!$A:$A,relic!$T:$T),"")</f>
        <v>0</v>
      </c>
      <c r="E43" s="16" t="str">
        <f>_xlfn.XLOOKUP(表2[[#This Row],[relic id]],relic!$A:$A,relic!G:G,"")</f>
        <v>relic_desc_301011</v>
      </c>
      <c r="F43" s="16" t="str">
        <f>_xlfn.XLOOKUP(表2[[#This Row],[relic id]],relic!$A:$A,relic!H:H,"")</f>
        <v>近战武器 伤害 + 20%</v>
      </c>
      <c r="G43" s="24" t="b">
        <v>1</v>
      </c>
      <c r="L43" s="16" t="str">
        <v>relic_desc_302013</v>
      </c>
      <c r="M43" s="16" t="str">
        <v>飞射物 伤害 + 80%</v>
      </c>
    </row>
    <row r="44" spans="1:13" x14ac:dyDescent="0.2">
      <c r="A44" s="16">
        <v>301012</v>
      </c>
      <c r="B44" s="16" t="str">
        <f>_xlfn.XLOOKUP(表2[[#This Row],[relic id]],relic!$A:$A,relic!B:B,"")</f>
        <v>relic_name_30101</v>
      </c>
      <c r="C44" s="16" t="str">
        <f>_xlfn.XLOOKUP(表2[[#This Row],[relic id]],relic!$A:$A,relic!D:D,"")</f>
        <v>镐子</v>
      </c>
      <c r="D44" s="16">
        <f>IF(表2[[#This Row],[relic id]]&lt;&gt;"",_xlfn.XLOOKUP(表2[[#This Row],[relic id]],relic!$A:$A,relic!$T:$T),"")</f>
        <v>1</v>
      </c>
      <c r="E44" s="16" t="str">
        <f>_xlfn.XLOOKUP(表2[[#This Row],[relic id]],relic!$A:$A,relic!G:G,"")</f>
        <v>relic_desc_301012</v>
      </c>
      <c r="F44" s="16" t="str">
        <f>_xlfn.XLOOKUP(表2[[#This Row],[relic id]],relic!$A:$A,relic!H:H,"")</f>
        <v>近战武器 伤害 + 40%</v>
      </c>
      <c r="G44" s="24" t="b">
        <v>1</v>
      </c>
      <c r="L44" s="16" t="str">
        <v>relic_desc_302014</v>
      </c>
      <c r="M44" s="16" t="str">
        <v>飞射物 伤害 + 160%</v>
      </c>
    </row>
    <row r="45" spans="1:13" x14ac:dyDescent="0.2">
      <c r="A45" s="16">
        <v>301013</v>
      </c>
      <c r="B45" s="16" t="str">
        <f>_xlfn.XLOOKUP(表2[[#This Row],[relic id]],relic!$A:$A,relic!B:B,"")</f>
        <v>relic_name_30101</v>
      </c>
      <c r="C45" s="16" t="str">
        <f>_xlfn.XLOOKUP(表2[[#This Row],[relic id]],relic!$A:$A,relic!D:D,"")</f>
        <v>镐子</v>
      </c>
      <c r="D45" s="16">
        <f>IF(表2[[#This Row],[relic id]]&lt;&gt;"",_xlfn.XLOOKUP(表2[[#This Row],[relic id]],relic!$A:$A,relic!$T:$T),"")</f>
        <v>2</v>
      </c>
      <c r="E45" s="16" t="str">
        <f>_xlfn.XLOOKUP(表2[[#This Row],[relic id]],relic!$A:$A,relic!G:G,"")</f>
        <v>relic_desc_301013</v>
      </c>
      <c r="F45" s="16" t="str">
        <f>_xlfn.XLOOKUP(表2[[#This Row],[relic id]],relic!$A:$A,relic!H:H,"")</f>
        <v>近战武器 伤害 + 80%</v>
      </c>
      <c r="G45" s="24" t="b">
        <v>1</v>
      </c>
      <c r="L45" s="16" t="str">
        <v>relic_desc_302031</v>
      </c>
      <c r="M45" s="16" t="str">
        <v>飞射物 暴击几率 + 5%</v>
      </c>
    </row>
    <row r="46" spans="1:13" x14ac:dyDescent="0.2">
      <c r="A46" s="16">
        <v>301014</v>
      </c>
      <c r="B46" s="16" t="str">
        <f>_xlfn.XLOOKUP(表2[[#This Row],[relic id]],relic!$A:$A,relic!B:B,"")</f>
        <v>relic_name_30101</v>
      </c>
      <c r="C46" s="16" t="str">
        <f>_xlfn.XLOOKUP(表2[[#This Row],[relic id]],relic!$A:$A,relic!D:D,"")</f>
        <v>镐子</v>
      </c>
      <c r="D46" s="16">
        <f>IF(表2[[#This Row],[relic id]]&lt;&gt;"",_xlfn.XLOOKUP(表2[[#This Row],[relic id]],relic!$A:$A,relic!$T:$T),"")</f>
        <v>3</v>
      </c>
      <c r="E46" s="16" t="str">
        <f>_xlfn.XLOOKUP(表2[[#This Row],[relic id]],relic!$A:$A,relic!G:G,"")</f>
        <v>relic_desc_301014</v>
      </c>
      <c r="F46" s="16" t="str">
        <f>_xlfn.XLOOKUP(表2[[#This Row],[relic id]],relic!$A:$A,relic!H:H,"")</f>
        <v>近战武器 伤害 + 160%</v>
      </c>
      <c r="G46" s="24" t="b">
        <v>1</v>
      </c>
      <c r="L46" s="16" t="str">
        <v>relic_desc_302032</v>
      </c>
      <c r="M46" s="16" t="str">
        <v>飞射物 暴击几率 + 8%</v>
      </c>
    </row>
    <row r="47" spans="1:13" x14ac:dyDescent="0.2">
      <c r="B47" s="16">
        <f>_xlfn.XLOOKUP(表2[[#This Row],[relic id]],relic!$A:$A,relic!B:B,"")</f>
        <v>0</v>
      </c>
      <c r="C47" s="16">
        <f>_xlfn.XLOOKUP(表2[[#This Row],[relic id]],relic!$A:$A,relic!D:D,"")</f>
        <v>0</v>
      </c>
      <c r="D47" s="16" t="str">
        <f>IF(表2[[#This Row],[relic id]]&lt;&gt;"",_xlfn.XLOOKUP(表2[[#This Row],[relic id]],relic!$A:$A,relic!$T:$T),"")</f>
        <v/>
      </c>
      <c r="E47" s="16">
        <f>_xlfn.XLOOKUP(表2[[#This Row],[relic id]],relic!$A:$A,relic!G:G,"")</f>
        <v>0</v>
      </c>
      <c r="F47" s="16">
        <f>_xlfn.XLOOKUP(表2[[#This Row],[relic id]],relic!$A:$A,relic!H:H,"")</f>
        <v>0</v>
      </c>
      <c r="L47" s="16" t="str">
        <v>relic_desc_302033</v>
      </c>
      <c r="M47" s="16" t="str">
        <v>飞射物 暴击几率 + 12%</v>
      </c>
    </row>
    <row r="48" spans="1:13" x14ac:dyDescent="0.2">
      <c r="A48" s="16">
        <v>301021</v>
      </c>
      <c r="B48" s="16" t="str">
        <f>_xlfn.XLOOKUP(表2[[#This Row],[relic id]],relic!$A:$A,relic!B:B,"")</f>
        <v>relic_name_301021</v>
      </c>
      <c r="C48" s="16" t="str">
        <f>_xlfn.XLOOKUP(表2[[#This Row],[relic id]],relic!$A:$A,relic!D:D,"")</f>
        <v>锄头</v>
      </c>
      <c r="D48" s="16">
        <f>IF(表2[[#This Row],[relic id]]&lt;&gt;"",_xlfn.XLOOKUP(表2[[#This Row],[relic id]],relic!$A:$A,relic!$T:$T),"")</f>
        <v>-1</v>
      </c>
      <c r="E48" s="16" t="str">
        <f>_xlfn.XLOOKUP(表2[[#This Row],[relic id]],relic!$A:$A,relic!G:G,"")</f>
        <v>relic_desc_301021</v>
      </c>
      <c r="F48" s="16" t="str">
        <f>_xlfn.XLOOKUP(表2[[#This Row],[relic id]],relic!$A:$A,relic!H:H,"")</f>
        <v>近战武器 伤害 + 2</v>
      </c>
      <c r="L48" s="16" t="str">
        <v>relic_desc_302034</v>
      </c>
      <c r="M48" s="16" t="str">
        <v>飞射物 暴击几率 + 18%</v>
      </c>
    </row>
    <row r="49" spans="1:13" x14ac:dyDescent="0.2">
      <c r="A49" s="16">
        <v>301022</v>
      </c>
      <c r="B49" s="16" t="str">
        <f>_xlfn.XLOOKUP(表2[[#This Row],[relic id]],relic!$A:$A,relic!B:B,"")</f>
        <v>relic_name_301022</v>
      </c>
      <c r="C49" s="16" t="str">
        <f>_xlfn.XLOOKUP(表2[[#This Row],[relic id]],relic!$A:$A,relic!D:D,"")</f>
        <v>锄头</v>
      </c>
      <c r="D49" s="16">
        <f>IF(表2[[#This Row],[relic id]]&lt;&gt;"",_xlfn.XLOOKUP(表2[[#This Row],[relic id]],relic!$A:$A,relic!$T:$T),"")</f>
        <v>-1</v>
      </c>
      <c r="E49" s="16" t="str">
        <f>_xlfn.XLOOKUP(表2[[#This Row],[relic id]],relic!$A:$A,relic!G:G,"")</f>
        <v>relic_desc_301022</v>
      </c>
      <c r="F49" s="16" t="str">
        <f>_xlfn.XLOOKUP(表2[[#This Row],[relic id]],relic!$A:$A,relic!H:H,"")</f>
        <v>近战武器 伤害 + 4</v>
      </c>
      <c r="L49" s="16" t="str">
        <v>relic_desc_302041</v>
      </c>
      <c r="M49" s="16" t="str">
        <v>飞射物 暴击伤害 + 15%</v>
      </c>
    </row>
    <row r="50" spans="1:13" x14ac:dyDescent="0.2">
      <c r="A50" s="16">
        <v>301023</v>
      </c>
      <c r="B50" s="16" t="str">
        <f>_xlfn.XLOOKUP(表2[[#This Row],[relic id]],relic!$A:$A,relic!B:B,"")</f>
        <v>relic_name_301023</v>
      </c>
      <c r="C50" s="16" t="str">
        <f>_xlfn.XLOOKUP(表2[[#This Row],[relic id]],relic!$A:$A,relic!D:D,"")</f>
        <v>锄头</v>
      </c>
      <c r="D50" s="16">
        <f>IF(表2[[#This Row],[relic id]]&lt;&gt;"",_xlfn.XLOOKUP(表2[[#This Row],[relic id]],relic!$A:$A,relic!$T:$T),"")</f>
        <v>-1</v>
      </c>
      <c r="E50" s="16" t="str">
        <f>_xlfn.XLOOKUP(表2[[#This Row],[relic id]],relic!$A:$A,relic!G:G,"")</f>
        <v>relic_desc_301023</v>
      </c>
      <c r="F50" s="16" t="str">
        <f>_xlfn.XLOOKUP(表2[[#This Row],[relic id]],relic!$A:$A,relic!H:H,"")</f>
        <v>近战武器 伤害 + 6</v>
      </c>
      <c r="L50" s="16" t="str">
        <v>relic_desc_302042</v>
      </c>
      <c r="M50" s="16" t="str">
        <v>飞射物 暴击伤害 + 30%</v>
      </c>
    </row>
    <row r="51" spans="1:13" x14ac:dyDescent="0.2">
      <c r="B51" s="16">
        <f>_xlfn.XLOOKUP(表2[[#This Row],[relic id]],relic!$A:$A,relic!B:B,"")</f>
        <v>0</v>
      </c>
      <c r="C51" s="16">
        <f>_xlfn.XLOOKUP(表2[[#This Row],[relic id]],relic!$A:$A,relic!D:D,"")</f>
        <v>0</v>
      </c>
      <c r="D51" s="16" t="str">
        <f>IF(表2[[#This Row],[relic id]]&lt;&gt;"",_xlfn.XLOOKUP(表2[[#This Row],[relic id]],relic!$A:$A,relic!$T:$T),"")</f>
        <v/>
      </c>
      <c r="E51" s="16">
        <f>_xlfn.XLOOKUP(表2[[#This Row],[relic id]],relic!$A:$A,relic!G:G,"")</f>
        <v>0</v>
      </c>
      <c r="F51" s="16">
        <f>_xlfn.XLOOKUP(表2[[#This Row],[relic id]],relic!$A:$A,relic!H:H,"")</f>
        <v>0</v>
      </c>
      <c r="L51" s="16" t="str">
        <v>relic_desc_302043</v>
      </c>
      <c r="M51" s="16" t="str">
        <v>飞射物 暴击伤害 + 60%</v>
      </c>
    </row>
    <row r="52" spans="1:13" x14ac:dyDescent="0.2">
      <c r="A52" s="16">
        <v>301031</v>
      </c>
      <c r="B52" s="16" t="str">
        <f>_xlfn.XLOOKUP(表2[[#This Row],[relic id]],relic!$A:$A,relic!B:B,"")</f>
        <v>relic_name_30103</v>
      </c>
      <c r="C52" s="16" t="str">
        <f>_xlfn.XLOOKUP(表2[[#This Row],[relic id]],relic!$A:$A,relic!D:D,"")</f>
        <v>斧头</v>
      </c>
      <c r="D52" s="16">
        <f>IF(表2[[#This Row],[relic id]]&lt;&gt;"",_xlfn.XLOOKUP(表2[[#This Row],[relic id]],relic!$A:$A,relic!$T:$T),"")</f>
        <v>0</v>
      </c>
      <c r="E52" s="16" t="str">
        <f>_xlfn.XLOOKUP(表2[[#This Row],[relic id]],relic!$A:$A,relic!G:G,"")</f>
        <v>relic_desc_301031</v>
      </c>
      <c r="F52" s="16" t="str">
        <f>_xlfn.XLOOKUP(表2[[#This Row],[relic id]],relic!$A:$A,relic!H:H,"")</f>
        <v>近战武器 暴击几率 + 5%</v>
      </c>
      <c r="G52" s="24" t="b">
        <v>1</v>
      </c>
      <c r="L52" s="16" t="str">
        <v>relic_desc_302044</v>
      </c>
      <c r="M52" s="16" t="str">
        <v>飞射物 暴击伤害 + 120%</v>
      </c>
    </row>
    <row r="53" spans="1:13" x14ac:dyDescent="0.2">
      <c r="A53" s="16">
        <v>301032</v>
      </c>
      <c r="B53" s="16" t="str">
        <f>_xlfn.XLOOKUP(表2[[#This Row],[relic id]],relic!$A:$A,relic!B:B,"")</f>
        <v>relic_name_30103</v>
      </c>
      <c r="C53" s="16" t="str">
        <f>_xlfn.XLOOKUP(表2[[#This Row],[relic id]],relic!$A:$A,relic!D:D,"")</f>
        <v>斧头</v>
      </c>
      <c r="D53" s="16">
        <f>IF(表2[[#This Row],[relic id]]&lt;&gt;"",_xlfn.XLOOKUP(表2[[#This Row],[relic id]],relic!$A:$A,relic!$T:$T),"")</f>
        <v>1</v>
      </c>
      <c r="E53" s="16" t="str">
        <f>_xlfn.XLOOKUP(表2[[#This Row],[relic id]],relic!$A:$A,relic!G:G,"")</f>
        <v>relic_desc_301032</v>
      </c>
      <c r="F53" s="16" t="str">
        <f>_xlfn.XLOOKUP(表2[[#This Row],[relic id]],relic!$A:$A,relic!H:H,"")</f>
        <v>近战武器 暴击几率 + 8%</v>
      </c>
      <c r="G53" s="24" t="b">
        <v>1</v>
      </c>
      <c r="L53" s="16" t="str">
        <v>relic_desc_302231</v>
      </c>
      <c r="M53" s="16" t="str">
        <v>远程武器 齐发数量 + 1</v>
      </c>
    </row>
    <row r="54" spans="1:13" x14ac:dyDescent="0.2">
      <c r="A54" s="16">
        <v>301033</v>
      </c>
      <c r="B54" s="16" t="str">
        <f>_xlfn.XLOOKUP(表2[[#This Row],[relic id]],relic!$A:$A,relic!B:B,"")</f>
        <v>relic_name_30103</v>
      </c>
      <c r="C54" s="16" t="str">
        <f>_xlfn.XLOOKUP(表2[[#This Row],[relic id]],relic!$A:$A,relic!D:D,"")</f>
        <v>斧头</v>
      </c>
      <c r="D54" s="16">
        <f>IF(表2[[#This Row],[relic id]]&lt;&gt;"",_xlfn.XLOOKUP(表2[[#This Row],[relic id]],relic!$A:$A,relic!$T:$T),"")</f>
        <v>2</v>
      </c>
      <c r="E54" s="16" t="str">
        <f>_xlfn.XLOOKUP(表2[[#This Row],[relic id]],relic!$A:$A,relic!G:G,"")</f>
        <v>relic_desc_301033</v>
      </c>
      <c r="F54" s="16" t="str">
        <f>_xlfn.XLOOKUP(表2[[#This Row],[relic id]],relic!$A:$A,relic!H:H,"")</f>
        <v>近战武器 暴击几率 + 12%</v>
      </c>
      <c r="G54" s="24" t="b">
        <v>1</v>
      </c>
      <c r="L54" s="16" t="str">
        <v>relic_desc_302232</v>
      </c>
      <c r="M54" s="16" t="str">
        <v>远程武器 齐发数量 + 2</v>
      </c>
    </row>
    <row r="55" spans="1:13" x14ac:dyDescent="0.2">
      <c r="A55" s="16">
        <v>301034</v>
      </c>
      <c r="B55" s="16" t="str">
        <f>_xlfn.XLOOKUP(表2[[#This Row],[relic id]],relic!$A:$A,relic!B:B,"")</f>
        <v>relic_name_30103</v>
      </c>
      <c r="C55" s="16" t="str">
        <f>_xlfn.XLOOKUP(表2[[#This Row],[relic id]],relic!$A:$A,relic!D:D,"")</f>
        <v>斧头</v>
      </c>
      <c r="D55" s="16">
        <f>IF(表2[[#This Row],[relic id]]&lt;&gt;"",_xlfn.XLOOKUP(表2[[#This Row],[relic id]],relic!$A:$A,relic!$T:$T),"")</f>
        <v>3</v>
      </c>
      <c r="E55" s="16" t="str">
        <f>_xlfn.XLOOKUP(表2[[#This Row],[relic id]],relic!$A:$A,relic!G:G,"")</f>
        <v>relic_desc_301034</v>
      </c>
      <c r="F55" s="16" t="str">
        <f>_xlfn.XLOOKUP(表2[[#This Row],[relic id]],relic!$A:$A,relic!H:H,"")</f>
        <v>近战武器 暴击几率 + 18%</v>
      </c>
      <c r="G55" s="24" t="b">
        <v>1</v>
      </c>
      <c r="L55" s="16" t="str">
        <v>relic_desc_302233</v>
      </c>
      <c r="M55" s="16" t="str">
        <v>远程武器 齐发数量 + 4</v>
      </c>
    </row>
    <row r="56" spans="1:13" x14ac:dyDescent="0.2">
      <c r="B56" s="16">
        <f>_xlfn.XLOOKUP(表2[[#This Row],[relic id]],relic!$A:$A,relic!B:B,"")</f>
        <v>0</v>
      </c>
      <c r="C56" s="16">
        <f>_xlfn.XLOOKUP(表2[[#This Row],[relic id]],relic!$A:$A,relic!D:D,"")</f>
        <v>0</v>
      </c>
      <c r="D56" s="16" t="str">
        <f>IF(表2[[#This Row],[relic id]]&lt;&gt;"",_xlfn.XLOOKUP(表2[[#This Row],[relic id]],relic!$A:$A,relic!$T:$T),"")</f>
        <v/>
      </c>
      <c r="E56" s="16">
        <f>_xlfn.XLOOKUP(表2[[#This Row],[relic id]],relic!$A:$A,relic!G:G,"")</f>
        <v>0</v>
      </c>
      <c r="F56" s="16">
        <f>_xlfn.XLOOKUP(表2[[#This Row],[relic id]],relic!$A:$A,relic!H:H,"")</f>
        <v>0</v>
      </c>
      <c r="L56" s="16" t="str">
        <v>relic_desc_302321</v>
      </c>
      <c r="M56" s="16" t="str">
        <v>飞射物 体积增大 + 25%</v>
      </c>
    </row>
    <row r="57" spans="1:13" x14ac:dyDescent="0.2">
      <c r="A57" s="16">
        <v>301041</v>
      </c>
      <c r="B57" s="16" t="str">
        <f>_xlfn.XLOOKUP(表2[[#This Row],[relic id]],relic!$A:$A,relic!B:B,"")</f>
        <v>relic_name_30104</v>
      </c>
      <c r="C57" s="16" t="str">
        <f>_xlfn.XLOOKUP(表2[[#This Row],[relic id]],relic!$A:$A,relic!D:D,"")</f>
        <v>扳手</v>
      </c>
      <c r="D57" s="16">
        <f>IF(表2[[#This Row],[relic id]]&lt;&gt;"",_xlfn.XLOOKUP(表2[[#This Row],[relic id]],relic!$A:$A,relic!$T:$T),"")</f>
        <v>0</v>
      </c>
      <c r="E57" s="16" t="str">
        <f>_xlfn.XLOOKUP(表2[[#This Row],[relic id]],relic!$A:$A,relic!G:G,"")</f>
        <v>relic_desc_301041</v>
      </c>
      <c r="F57" s="16" t="str">
        <f>_xlfn.XLOOKUP(表2[[#This Row],[relic id]],relic!$A:$A,relic!H:H,"")</f>
        <v>近战武器 暴击伤害 + 15%</v>
      </c>
      <c r="G57" s="24" t="b">
        <v>1</v>
      </c>
      <c r="L57" s="16" t="str">
        <v>relic_desc_302322</v>
      </c>
      <c r="M57" s="16" t="str">
        <v>飞射物 体积增大 + 40%</v>
      </c>
    </row>
    <row r="58" spans="1:13" x14ac:dyDescent="0.2">
      <c r="A58" s="16">
        <v>301042</v>
      </c>
      <c r="B58" s="16" t="str">
        <f>_xlfn.XLOOKUP(表2[[#This Row],[relic id]],relic!$A:$A,relic!B:B,"")</f>
        <v>relic_name_30104</v>
      </c>
      <c r="C58" s="16" t="str">
        <f>_xlfn.XLOOKUP(表2[[#This Row],[relic id]],relic!$A:$A,relic!D:D,"")</f>
        <v>扳手</v>
      </c>
      <c r="D58" s="16">
        <f>IF(表2[[#This Row],[relic id]]&lt;&gt;"",_xlfn.XLOOKUP(表2[[#This Row],[relic id]],relic!$A:$A,relic!$T:$T),"")</f>
        <v>1</v>
      </c>
      <c r="E58" s="16" t="str">
        <f>_xlfn.XLOOKUP(表2[[#This Row],[relic id]],relic!$A:$A,relic!G:G,"")</f>
        <v>relic_desc_301042</v>
      </c>
      <c r="F58" s="16" t="str">
        <f>_xlfn.XLOOKUP(表2[[#This Row],[relic id]],relic!$A:$A,relic!H:H,"")</f>
        <v>近战武器 暴击伤害 + 30%</v>
      </c>
      <c r="G58" s="24" t="b">
        <v>1</v>
      </c>
      <c r="L58" s="16" t="str">
        <v>relic_desc_302323</v>
      </c>
      <c r="M58" s="16" t="str">
        <v>飞射物 体积增大 + 60%</v>
      </c>
    </row>
    <row r="59" spans="1:13" x14ac:dyDescent="0.2">
      <c r="A59" s="16">
        <v>301043</v>
      </c>
      <c r="B59" s="16" t="str">
        <f>_xlfn.XLOOKUP(表2[[#This Row],[relic id]],relic!$A:$A,relic!B:B,"")</f>
        <v>relic_name_30104</v>
      </c>
      <c r="C59" s="16" t="str">
        <f>_xlfn.XLOOKUP(表2[[#This Row],[relic id]],relic!$A:$A,relic!D:D,"")</f>
        <v>扳手</v>
      </c>
      <c r="D59" s="16">
        <f>IF(表2[[#This Row],[relic id]]&lt;&gt;"",_xlfn.XLOOKUP(表2[[#This Row],[relic id]],relic!$A:$A,relic!$T:$T),"")</f>
        <v>2</v>
      </c>
      <c r="E59" s="16" t="str">
        <f>_xlfn.XLOOKUP(表2[[#This Row],[relic id]],relic!$A:$A,relic!G:G,"")</f>
        <v>relic_desc_301043</v>
      </c>
      <c r="F59" s="16" t="str">
        <f>_xlfn.XLOOKUP(表2[[#This Row],[relic id]],relic!$A:$A,relic!H:H,"")</f>
        <v>近战武器 暴击伤害 + 60%</v>
      </c>
      <c r="G59" s="24" t="b">
        <v>1</v>
      </c>
      <c r="L59" s="16" t="str">
        <v>relic_desc_310203</v>
      </c>
      <c r="M59" s="16" t="str">
        <v>你的飞射物飞到屏幕上方时，创造1个冰雹攻击敌人</v>
      </c>
    </row>
    <row r="60" spans="1:13" x14ac:dyDescent="0.2">
      <c r="A60" s="16">
        <v>301044</v>
      </c>
      <c r="B60" s="16" t="str">
        <f>_xlfn.XLOOKUP(表2[[#This Row],[relic id]],relic!$A:$A,relic!B:B,"")</f>
        <v>relic_name_30104</v>
      </c>
      <c r="C60" s="16" t="str">
        <f>_xlfn.XLOOKUP(表2[[#This Row],[relic id]],relic!$A:$A,relic!D:D,"")</f>
        <v>扳手</v>
      </c>
      <c r="D60" s="16">
        <f>IF(表2[[#This Row],[relic id]]&lt;&gt;"",_xlfn.XLOOKUP(表2[[#This Row],[relic id]],relic!$A:$A,relic!$T:$T),"")</f>
        <v>3</v>
      </c>
      <c r="E60" s="16" t="str">
        <f>_xlfn.XLOOKUP(表2[[#This Row],[relic id]],relic!$A:$A,relic!G:G,"")</f>
        <v>relic_desc_301044</v>
      </c>
      <c r="F60" s="16" t="str">
        <f>_xlfn.XLOOKUP(表2[[#This Row],[relic id]],relic!$A:$A,relic!H:H,"")</f>
        <v>近战武器 暴击伤害 + 120%</v>
      </c>
      <c r="G60" s="24" t="b">
        <v>1</v>
      </c>
      <c r="L60" s="16" t="str">
        <v>relic_desc_310204</v>
      </c>
      <c r="M60" s="16" t="str">
        <v>[升级] 你的飞射物飞到屏幕上方时，创造2个冰雹攻击敌人</v>
      </c>
    </row>
    <row r="61" spans="1:13" x14ac:dyDescent="0.2">
      <c r="B61" s="16">
        <f>_xlfn.XLOOKUP(表2[[#This Row],[relic id]],relic!$A:$A,relic!B:B,"")</f>
        <v>0</v>
      </c>
      <c r="C61" s="16">
        <f>_xlfn.XLOOKUP(表2[[#This Row],[relic id]],relic!$A:$A,relic!D:D,"")</f>
        <v>0</v>
      </c>
      <c r="D61" s="16" t="str">
        <f>IF(表2[[#This Row],[relic id]]&lt;&gt;"",_xlfn.XLOOKUP(表2[[#This Row],[relic id]],relic!$A:$A,relic!$T:$T),"")</f>
        <v/>
      </c>
      <c r="E61" s="16">
        <f>_xlfn.XLOOKUP(表2[[#This Row],[relic id]],relic!$A:$A,relic!G:G,"")</f>
        <v>0</v>
      </c>
      <c r="F61" s="16">
        <f>_xlfn.XLOOKUP(表2[[#This Row],[relic id]],relic!$A:$A,relic!H:H,"")</f>
        <v>0</v>
      </c>
      <c r="L61" s="16" t="str">
        <v>relic_desc_310205</v>
      </c>
      <c r="M61" s="16" t="str">
        <v>[升级] 你的飞射物飞到屏幕上方时，创造4个冰雹攻击敌人</v>
      </c>
    </row>
    <row r="62" spans="1:13" x14ac:dyDescent="0.2">
      <c r="A62" s="16">
        <v>301051</v>
      </c>
      <c r="B62" s="16" t="str">
        <f>_xlfn.XLOOKUP(表2[[#This Row],[relic id]],relic!$A:$A,relic!B:B,"")</f>
        <v>relic_name_30105</v>
      </c>
      <c r="C62" s="16" t="str">
        <f>_xlfn.XLOOKUP(表2[[#This Row],[relic id]],relic!$A:$A,relic!D:D,"")</f>
        <v>起子</v>
      </c>
      <c r="D62" s="16">
        <f>IF(表2[[#This Row],[relic id]]&lt;&gt;"",_xlfn.XLOOKUP(表2[[#This Row],[relic id]],relic!$A:$A,relic!$T:$T),"")</f>
        <v>0</v>
      </c>
      <c r="E62" s="16" t="str">
        <f>_xlfn.XLOOKUP(表2[[#This Row],[relic id]],relic!$A:$A,relic!G:G,"")</f>
        <v>relic_desc_301051</v>
      </c>
      <c r="F62" s="16" t="str">
        <f>_xlfn.XLOOKUP(表2[[#This Row],[relic id]],relic!$A:$A,relic!H:H,"")</f>
        <v>近战武器 击退 + 10%</v>
      </c>
      <c r="G62" s="24" t="b">
        <v>1</v>
      </c>
      <c r="L62" s="16" t="str">
        <v>relic_desc_310206</v>
      </c>
      <c r="M62" s="16" t="str">
        <v>首次命中敌人后，发生裂变。（新子弹方向随机，速度初始化，寿命继承，已裂变次数继承）</v>
      </c>
    </row>
    <row r="63" spans="1:13" x14ac:dyDescent="0.2">
      <c r="A63" s="16">
        <v>301052</v>
      </c>
      <c r="B63" s="16" t="str">
        <f>_xlfn.XLOOKUP(表2[[#This Row],[relic id]],relic!$A:$A,relic!B:B,"")</f>
        <v>relic_name_30105</v>
      </c>
      <c r="C63" s="16" t="str">
        <f>_xlfn.XLOOKUP(表2[[#This Row],[relic id]],relic!$A:$A,relic!D:D,"")</f>
        <v>起子</v>
      </c>
      <c r="D63" s="16">
        <f>IF(表2[[#This Row],[relic id]]&lt;&gt;"",_xlfn.XLOOKUP(表2[[#This Row],[relic id]],relic!$A:$A,relic!$T:$T),"")</f>
        <v>1</v>
      </c>
      <c r="E63" s="16" t="str">
        <f>_xlfn.XLOOKUP(表2[[#This Row],[relic id]],relic!$A:$A,relic!G:G,"")</f>
        <v>relic_desc_301052</v>
      </c>
      <c r="F63" s="16" t="str">
        <f>_xlfn.XLOOKUP(表2[[#This Row],[relic id]],relic!$A:$A,relic!H:H,"")</f>
        <v>近战武器 击退 + 20%</v>
      </c>
      <c r="G63" s="24" t="b">
        <v>1</v>
      </c>
      <c r="L63" s="16" t="str">
        <v>relic_desc_310207</v>
      </c>
      <c r="M63" s="16" t="str">
        <v>每次击杀敌人时，发生裂变。（新子弹方向随机，速度初始化，寿命继承，已裂变次数继承）</v>
      </c>
    </row>
    <row r="64" spans="1:13" x14ac:dyDescent="0.2">
      <c r="A64" s="16">
        <v>301053</v>
      </c>
      <c r="B64" s="16" t="str">
        <f>_xlfn.XLOOKUP(表2[[#This Row],[relic id]],relic!$A:$A,relic!B:B,"")</f>
        <v>relic_name_30105</v>
      </c>
      <c r="C64" s="16" t="str">
        <f>_xlfn.XLOOKUP(表2[[#This Row],[relic id]],relic!$A:$A,relic!D:D,"")</f>
        <v>起子</v>
      </c>
      <c r="D64" s="16">
        <f>IF(表2[[#This Row],[relic id]]&lt;&gt;"",_xlfn.XLOOKUP(表2[[#This Row],[relic id]],relic!$A:$A,relic!$T:$T),"")</f>
        <v>2</v>
      </c>
      <c r="E64" s="16" t="str">
        <f>_xlfn.XLOOKUP(表2[[#This Row],[relic id]],relic!$A:$A,relic!G:G,"")</f>
        <v>relic_desc_301053</v>
      </c>
      <c r="F64" s="16" t="str">
        <f>_xlfn.XLOOKUP(表2[[#This Row],[relic id]],relic!$A:$A,relic!H:H,"")</f>
        <v>近战武器 击退 + 40%</v>
      </c>
      <c r="G64" s="24" t="b">
        <v>1</v>
      </c>
      <c r="L64" s="16" t="str">
        <v>relic_desc_310208</v>
      </c>
      <c r="M64" s="16" t="str">
        <v>销毁时，50%几率发生裂变。（新子弹方向随机，速度初始化，寿命重置，已裂变次数继承）</v>
      </c>
    </row>
    <row r="65" spans="1:13" x14ac:dyDescent="0.2">
      <c r="A65" s="16">
        <v>301054</v>
      </c>
      <c r="B65" s="16" t="str">
        <f>_xlfn.XLOOKUP(表2[[#This Row],[relic id]],relic!$A:$A,relic!B:B,"")</f>
        <v>relic_name_30105</v>
      </c>
      <c r="C65" s="16" t="str">
        <f>_xlfn.XLOOKUP(表2[[#This Row],[relic id]],relic!$A:$A,relic!D:D,"")</f>
        <v>起子</v>
      </c>
      <c r="D65" s="16">
        <f>IF(表2[[#This Row],[relic id]]&lt;&gt;"",_xlfn.XLOOKUP(表2[[#This Row],[relic id]],relic!$A:$A,relic!$T:$T),"")</f>
        <v>3</v>
      </c>
      <c r="E65" s="16" t="str">
        <f>_xlfn.XLOOKUP(表2[[#This Row],[relic id]],relic!$A:$A,relic!G:G,"")</f>
        <v>relic_desc_301054</v>
      </c>
      <c r="F65" s="16" t="str">
        <f>_xlfn.XLOOKUP(表2[[#This Row],[relic id]],relic!$A:$A,relic!H:H,"")</f>
        <v>近战武器 击退 + 80%</v>
      </c>
      <c r="G65" s="24" t="b">
        <v>1</v>
      </c>
      <c r="L65" s="16" t="str">
        <v>relic_desc_310217</v>
      </c>
      <c r="M65" s="16" t="str">
        <v>飞射物现在碰到镜头边缘时会弹回</v>
      </c>
    </row>
    <row r="66" spans="1:13" x14ac:dyDescent="0.2">
      <c r="B66" s="16">
        <f>_xlfn.XLOOKUP(表2[[#This Row],[relic id]],relic!$A:$A,relic!B:B,"")</f>
        <v>0</v>
      </c>
      <c r="C66" s="16">
        <f>_xlfn.XLOOKUP(表2[[#This Row],[relic id]],relic!$A:$A,relic!D:D,"")</f>
        <v>0</v>
      </c>
      <c r="D66" s="16" t="str">
        <f>IF(表2[[#This Row],[relic id]]&lt;&gt;"",_xlfn.XLOOKUP(表2[[#This Row],[relic id]],relic!$A:$A,relic!$T:$T),"")</f>
        <v/>
      </c>
      <c r="E66" s="16">
        <f>_xlfn.XLOOKUP(表2[[#This Row],[relic id]],relic!$A:$A,relic!G:G,"")</f>
        <v>0</v>
      </c>
      <c r="F66" s="16">
        <f>_xlfn.XLOOKUP(表2[[#This Row],[relic id]],relic!$A:$A,relic!H:H,"")</f>
        <v>0</v>
      </c>
      <c r="L66" s="16" t="str">
        <v>relic_desc_310218</v>
      </c>
      <c r="M66" s="16" t="str">
        <v>[强化] 你的飞射物飞到屏幕左右边缘时，也会生成冰雹。</v>
      </c>
    </row>
    <row r="67" spans="1:13" x14ac:dyDescent="0.2">
      <c r="A67" s="16">
        <v>301061</v>
      </c>
      <c r="B67" s="16" t="str">
        <f>_xlfn.XLOOKUP(表2[[#This Row],[relic id]],relic!$A:$A,relic!B:B,"")</f>
        <v>relic_name_301061</v>
      </c>
      <c r="C67" s="16" t="str">
        <f>_xlfn.XLOOKUP(表2[[#This Row],[relic id]],relic!$A:$A,relic!D:D,"")</f>
        <v>钳子</v>
      </c>
      <c r="D67" s="16">
        <f>IF(表2[[#This Row],[relic id]]&lt;&gt;"",_xlfn.XLOOKUP(表2[[#This Row],[relic id]],relic!$A:$A,relic!$T:$T),"")</f>
        <v>-1</v>
      </c>
      <c r="E67" s="16" t="str">
        <f>_xlfn.XLOOKUP(表2[[#This Row],[relic id]],relic!$A:$A,relic!G:G,"")</f>
        <v>relic_desc_301061</v>
      </c>
      <c r="F67" s="16" t="str">
        <f>_xlfn.XLOOKUP(表2[[#This Row],[relic id]],relic!$A:$A,relic!H:H,"")</f>
        <v>近战武器 破甲附加值 + 20%</v>
      </c>
      <c r="L67" s="16" t="str">
        <v>relic_desc_310219</v>
      </c>
      <c r="M67" s="16" t="str">
        <v>飞射物反弹时，速度被重置为初始速度。</v>
      </c>
    </row>
    <row r="68" spans="1:13" x14ac:dyDescent="0.2">
      <c r="A68" s="16">
        <v>301062</v>
      </c>
      <c r="B68" s="16" t="str">
        <f>_xlfn.XLOOKUP(表2[[#This Row],[relic id]],relic!$A:$A,relic!B:B,"")</f>
        <v>relic_name_301062</v>
      </c>
      <c r="C68" s="16" t="str">
        <f>_xlfn.XLOOKUP(表2[[#This Row],[relic id]],relic!$A:$A,relic!D:D,"")</f>
        <v>钳子</v>
      </c>
      <c r="D68" s="16">
        <f>IF(表2[[#This Row],[relic id]]&lt;&gt;"",_xlfn.XLOOKUP(表2[[#This Row],[relic id]],relic!$A:$A,relic!$T:$T),"")</f>
        <v>-1</v>
      </c>
      <c r="E68" s="16" t="str">
        <f>_xlfn.XLOOKUP(表2[[#This Row],[relic id]],relic!$A:$A,relic!G:G,"")</f>
        <v>relic_desc_301062</v>
      </c>
      <c r="F68" s="16" t="str">
        <f>_xlfn.XLOOKUP(表2[[#This Row],[relic id]],relic!$A:$A,relic!H:H,"")</f>
        <v>近战武器 破甲附加值 + 40%</v>
      </c>
      <c r="L68" s="16" t="str">
        <v>relic_desc_310223</v>
      </c>
      <c r="M68" s="16" t="str">
        <v>飞射物每反弹一次，体积与伤害 + 10%（上限为3次）</v>
      </c>
    </row>
    <row r="69" spans="1:13" x14ac:dyDescent="0.2">
      <c r="A69" s="16">
        <v>301063</v>
      </c>
      <c r="B69" s="16" t="str">
        <f>_xlfn.XLOOKUP(表2[[#This Row],[relic id]],relic!$A:$A,relic!B:B,"")</f>
        <v>relic_name_301063</v>
      </c>
      <c r="C69" s="16" t="str">
        <f>_xlfn.XLOOKUP(表2[[#This Row],[relic id]],relic!$A:$A,relic!D:D,"")</f>
        <v>钳子</v>
      </c>
      <c r="D69" s="16">
        <f>IF(表2[[#This Row],[relic id]]&lt;&gt;"",_xlfn.XLOOKUP(表2[[#This Row],[relic id]],relic!$A:$A,relic!$T:$T),"")</f>
        <v>-1</v>
      </c>
      <c r="E69" s="16" t="str">
        <f>_xlfn.XLOOKUP(表2[[#This Row],[relic id]],relic!$A:$A,relic!G:G,"")</f>
        <v>relic_desc_301063</v>
      </c>
      <c r="F69" s="16" t="str">
        <f>_xlfn.XLOOKUP(表2[[#This Row],[relic id]],relic!$A:$A,relic!H:H,"")</f>
        <v>近战武器 破甲附加值 + 60%</v>
      </c>
      <c r="L69" s="16" t="str">
        <v>relic_desc_310224</v>
      </c>
      <c r="M69" s="16" t="str">
        <v>[升级] 飞射物每反弹一次，体积与伤害 + 30%（上限为4次）</v>
      </c>
    </row>
    <row r="70" spans="1:13" x14ac:dyDescent="0.2">
      <c r="B70" s="16">
        <f>_xlfn.XLOOKUP(表2[[#This Row],[relic id]],relic!$A:$A,relic!B:B,"")</f>
        <v>0</v>
      </c>
      <c r="C70" s="16">
        <f>_xlfn.XLOOKUP(表2[[#This Row],[relic id]],relic!$A:$A,relic!D:D,"")</f>
        <v>0</v>
      </c>
      <c r="D70" s="16" t="str">
        <f>IF(表2[[#This Row],[relic id]]&lt;&gt;"",_xlfn.XLOOKUP(表2[[#This Row],[relic id]],relic!$A:$A,relic!$T:$T),"")</f>
        <v/>
      </c>
      <c r="E70" s="16">
        <f>_xlfn.XLOOKUP(表2[[#This Row],[relic id]],relic!$A:$A,relic!G:G,"")</f>
        <v>0</v>
      </c>
      <c r="F70" s="16">
        <f>_xlfn.XLOOKUP(表2[[#This Row],[relic id]],relic!$A:$A,relic!H:H,"")</f>
        <v>0</v>
      </c>
      <c r="L70" s="16" t="str">
        <v>relic_desc_310225</v>
      </c>
      <c r="M70" s="16" t="str">
        <v>[升级] 飞射物每反弹一次，体积与伤害 + 50%（上限为5次）</v>
      </c>
    </row>
    <row r="71" spans="1:13" x14ac:dyDescent="0.2">
      <c r="A71" s="16">
        <v>301211</v>
      </c>
      <c r="B71" s="16" t="str">
        <f>_xlfn.XLOOKUP(表2[[#This Row],[relic id]],relic!$A:$A,relic!B:B,"")</f>
        <v>relic_name_301211</v>
      </c>
      <c r="C71" s="16" t="str">
        <f>_xlfn.XLOOKUP(表2[[#This Row],[relic id]],relic!$A:$A,relic!D:D,"")</f>
        <v>麻辣蟹钳</v>
      </c>
      <c r="D71" s="16">
        <f>IF(表2[[#This Row],[relic id]]&lt;&gt;"",_xlfn.XLOOKUP(表2[[#This Row],[relic id]],relic!$A:$A,relic!$T:$T),"")</f>
        <v>-1</v>
      </c>
      <c r="E71" s="16" t="str">
        <f>_xlfn.XLOOKUP(表2[[#This Row],[relic id]],relic!$A:$A,relic!G:G,"")</f>
        <v>relic_desc_301211</v>
      </c>
      <c r="F71" s="16" t="str">
        <f>_xlfn.XLOOKUP(表2[[#This Row],[relic id]],relic!$A:$A,relic!H:H,"")</f>
        <v>近战武器 锋利度耐久 + 20%</v>
      </c>
      <c r="L71" s="16" t="str">
        <v>relic_desc_310407</v>
      </c>
      <c r="M71" s="16" t="str">
        <v>弹匣内子弹数量得到恢复时，有10%概率立刻射出1发免费的子弹</v>
      </c>
    </row>
    <row r="72" spans="1:13" x14ac:dyDescent="0.2">
      <c r="A72" s="16">
        <v>301212</v>
      </c>
      <c r="B72" s="16" t="str">
        <f>_xlfn.XLOOKUP(表2[[#This Row],[relic id]],relic!$A:$A,relic!B:B,"")</f>
        <v>relic_name_301212</v>
      </c>
      <c r="C72" s="16" t="str">
        <f>_xlfn.XLOOKUP(表2[[#This Row],[relic id]],relic!$A:$A,relic!D:D,"")</f>
        <v>蒜蓉蟹钳</v>
      </c>
      <c r="D72" s="16">
        <f>IF(表2[[#This Row],[relic id]]&lt;&gt;"",_xlfn.XLOOKUP(表2[[#This Row],[relic id]],relic!$A:$A,relic!$T:$T),"")</f>
        <v>-1</v>
      </c>
      <c r="E72" s="16" t="str">
        <f>_xlfn.XLOOKUP(表2[[#This Row],[relic id]],relic!$A:$A,relic!G:G,"")</f>
        <v>relic_desc_301212</v>
      </c>
      <c r="F72" s="16" t="str">
        <f>_xlfn.XLOOKUP(表2[[#This Row],[relic id]],relic!$A:$A,relic!H:H,"")</f>
        <v>近战武器 锋利度耐久 + 40%</v>
      </c>
      <c r="L72" s="16" t="str">
        <v>relic_desc_310408</v>
      </c>
      <c r="M72" s="16" t="str">
        <v>[升级] 弹匣内子弹数量得到恢复时，有20%概率立刻射出1发免费的子弹</v>
      </c>
    </row>
    <row r="73" spans="1:13" x14ac:dyDescent="0.2">
      <c r="A73" s="16">
        <v>301213</v>
      </c>
      <c r="B73" s="16" t="str">
        <f>_xlfn.XLOOKUP(表2[[#This Row],[relic id]],relic!$A:$A,relic!B:B,"")</f>
        <v>relic_name_301213</v>
      </c>
      <c r="C73" s="16" t="str">
        <f>_xlfn.XLOOKUP(表2[[#This Row],[relic id]],relic!$A:$A,relic!D:D,"")</f>
        <v>十三香蟹钳</v>
      </c>
      <c r="D73" s="16">
        <f>IF(表2[[#This Row],[relic id]]&lt;&gt;"",_xlfn.XLOOKUP(表2[[#This Row],[relic id]],relic!$A:$A,relic!$T:$T),"")</f>
        <v>-1</v>
      </c>
      <c r="E73" s="16" t="str">
        <f>_xlfn.XLOOKUP(表2[[#This Row],[relic id]],relic!$A:$A,relic!G:G,"")</f>
        <v>relic_desc_301213</v>
      </c>
      <c r="F73" s="16" t="str">
        <f>_xlfn.XLOOKUP(表2[[#This Row],[relic id]],relic!$A:$A,relic!H:H,"")</f>
        <v>近战武器 锋利度耐久 + 60%</v>
      </c>
      <c r="L73" s="16" t="str">
        <v>relic_desc_310409</v>
      </c>
      <c r="M73" s="16" t="str">
        <v>[升级] 弹匣内子弹数量得到恢复时，有40%概率立刻射出1发免费的子弹</v>
      </c>
    </row>
    <row r="74" spans="1:13" x14ac:dyDescent="0.2">
      <c r="B74" s="16">
        <f>_xlfn.XLOOKUP(表2[[#This Row],[relic id]],relic!$A:$A,relic!B:B,"")</f>
        <v>0</v>
      </c>
      <c r="C74" s="16">
        <f>_xlfn.XLOOKUP(表2[[#This Row],[relic id]],relic!$A:$A,relic!D:D,"")</f>
        <v>0</v>
      </c>
      <c r="D74" s="16" t="str">
        <f>IF(表2[[#This Row],[relic id]]&lt;&gt;"",_xlfn.XLOOKUP(表2[[#This Row],[relic id]],relic!$A:$A,relic!$T:$T),"")</f>
        <v/>
      </c>
      <c r="E74" s="16">
        <f>_xlfn.XLOOKUP(表2[[#This Row],[relic id]],relic!$A:$A,relic!G:G,"")</f>
        <v>0</v>
      </c>
      <c r="F74" s="16">
        <f>_xlfn.XLOOKUP(表2[[#This Row],[relic id]],relic!$A:$A,relic!H:H,"")</f>
        <v>0</v>
      </c>
      <c r="L74" s="16" t="str">
        <v>relic_desc_310501</v>
      </c>
      <c r="M74" s="16" t="str">
        <v>近战设备每次造成暴击伤害，有15%概率在目标处生成1枚铜币</v>
      </c>
    </row>
    <row r="75" spans="1:13" x14ac:dyDescent="0.2">
      <c r="A75" s="16">
        <v>301221</v>
      </c>
      <c r="B75" s="16" t="str">
        <f>_xlfn.XLOOKUP(表2[[#This Row],[relic id]],relic!$A:$A,relic!B:B,"")</f>
        <v>relic_name_301221</v>
      </c>
      <c r="C75" s="16" t="str">
        <f>_xlfn.XLOOKUP(表2[[#This Row],[relic id]],relic!$A:$A,relic!D:D,"")</f>
        <v>机械义肢</v>
      </c>
      <c r="D75" s="16">
        <f>IF(表2[[#This Row],[relic id]]&lt;&gt;"",_xlfn.XLOOKUP(表2[[#This Row],[relic id]],relic!$A:$A,relic!$T:$T),"")</f>
        <v>-1</v>
      </c>
      <c r="E75" s="16" t="str">
        <f>_xlfn.XLOOKUP(表2[[#This Row],[relic id]],relic!$A:$A,relic!G:G,"")</f>
        <v>relic_desc_301221</v>
      </c>
      <c r="F75" s="16" t="str">
        <f>_xlfn.XLOOKUP(表2[[#This Row],[relic id]],relic!$A:$A,relic!H:H,"")</f>
        <v>近战武器 锋利度上限 + 15%</v>
      </c>
      <c r="L75" s="16" t="str">
        <v>relic_desc_310502</v>
      </c>
      <c r="M75" s="16" t="str">
        <v>[升级] 近战设备每次造成暴击伤害，有30%概率在目标处生成1枚铜币</v>
      </c>
    </row>
    <row r="76" spans="1:13" x14ac:dyDescent="0.2">
      <c r="A76" s="16">
        <v>301222</v>
      </c>
      <c r="B76" s="16" t="str">
        <f>_xlfn.XLOOKUP(表2[[#This Row],[relic id]],relic!$A:$A,relic!B:B,"")</f>
        <v>relic_name_301222</v>
      </c>
      <c r="C76" s="16" t="str">
        <f>_xlfn.XLOOKUP(表2[[#This Row],[relic id]],relic!$A:$A,relic!D:D,"")</f>
        <v>机械义肢</v>
      </c>
      <c r="D76" s="16">
        <f>IF(表2[[#This Row],[relic id]]&lt;&gt;"",_xlfn.XLOOKUP(表2[[#This Row],[relic id]],relic!$A:$A,relic!$T:$T),"")</f>
        <v>-1</v>
      </c>
      <c r="E76" s="16" t="str">
        <f>_xlfn.XLOOKUP(表2[[#This Row],[relic id]],relic!$A:$A,relic!G:G,"")</f>
        <v>relic_desc_301222</v>
      </c>
      <c r="F76" s="16" t="str">
        <f>_xlfn.XLOOKUP(表2[[#This Row],[relic id]],relic!$A:$A,relic!H:H,"")</f>
        <v>近战武器 锋利度上限 + 30%</v>
      </c>
      <c r="L76" s="16" t="str">
        <v>relic_desc_310503</v>
      </c>
      <c r="M76" s="16" t="str">
        <v>[升级] 近战设备每次造成暴击伤害，有60%概率在目标处生成1枚铜币</v>
      </c>
    </row>
    <row r="77" spans="1:13" x14ac:dyDescent="0.2">
      <c r="A77" s="16">
        <v>301223</v>
      </c>
      <c r="B77" s="16" t="str">
        <f>_xlfn.XLOOKUP(表2[[#This Row],[relic id]],relic!$A:$A,relic!B:B,"")</f>
        <v>relic_name_301223</v>
      </c>
      <c r="C77" s="16" t="str">
        <f>_xlfn.XLOOKUP(表2[[#This Row],[relic id]],relic!$A:$A,relic!D:D,"")</f>
        <v>机械义肢</v>
      </c>
      <c r="D77" s="16">
        <f>IF(表2[[#This Row],[relic id]]&lt;&gt;"",_xlfn.XLOOKUP(表2[[#This Row],[relic id]],relic!$A:$A,relic!$T:$T),"")</f>
        <v>-1</v>
      </c>
      <c r="E77" s="16" t="str">
        <f>_xlfn.XLOOKUP(表2[[#This Row],[relic id]],relic!$A:$A,relic!G:G,"")</f>
        <v>relic_desc_301223</v>
      </c>
      <c r="F77" s="16" t="str">
        <f>_xlfn.XLOOKUP(表2[[#This Row],[relic id]],relic!$A:$A,relic!H:H,"")</f>
        <v>近战武器 锋利度上限 + 45%</v>
      </c>
      <c r="L77" s="16" t="str">
        <v>relic_desc_310504</v>
      </c>
      <c r="M77" s="16" t="str">
        <v>近战设备每次暴击，有20%几率秒杀目标（目标当前生命值不能超过设备伤害的6倍）</v>
      </c>
    </row>
    <row r="78" spans="1:13" x14ac:dyDescent="0.2">
      <c r="B78" s="16">
        <f>_xlfn.XLOOKUP(表2[[#This Row],[relic id]],relic!$A:$A,relic!B:B,"")</f>
        <v>0</v>
      </c>
      <c r="C78" s="16">
        <f>_xlfn.XLOOKUP(表2[[#This Row],[relic id]],relic!$A:$A,relic!D:D,"")</f>
        <v>0</v>
      </c>
      <c r="D78" s="16" t="str">
        <f>IF(表2[[#This Row],[relic id]]&lt;&gt;"",_xlfn.XLOOKUP(表2[[#This Row],[relic id]],relic!$A:$A,relic!$T:$T),"")</f>
        <v/>
      </c>
      <c r="E78" s="16">
        <f>_xlfn.XLOOKUP(表2[[#This Row],[relic id]],relic!$A:$A,relic!G:G,"")</f>
        <v>0</v>
      </c>
      <c r="F78" s="16">
        <f>_xlfn.XLOOKUP(表2[[#This Row],[relic id]],relic!$A:$A,relic!H:H,"")</f>
        <v>0</v>
      </c>
      <c r="L78" s="16" t="str">
        <v>relic_desc_310505</v>
      </c>
      <c r="M78" s="16" t="str">
        <v>[升级] 近战设备每次暴击，有40%几率秒杀目标（目标当前生命值不能超过设备伤害的9倍）</v>
      </c>
    </row>
    <row r="79" spans="1:13" x14ac:dyDescent="0.2">
      <c r="A79" s="16">
        <v>301231</v>
      </c>
      <c r="B79" s="16" t="str">
        <f>_xlfn.XLOOKUP(表2[[#This Row],[relic id]],relic!$A:$A,relic!B:B,"")</f>
        <v>relic_name_301231</v>
      </c>
      <c r="C79" s="16" t="str">
        <f>_xlfn.XLOOKUP(表2[[#This Row],[relic id]],relic!$A:$A,relic!D:D,"")</f>
        <v>开锁工具</v>
      </c>
      <c r="D79" s="16">
        <f>IF(表2[[#This Row],[relic id]]&lt;&gt;"",_xlfn.XLOOKUP(表2[[#This Row],[relic id]],relic!$A:$A,relic!$T:$T),"")</f>
        <v>-1</v>
      </c>
      <c r="E79" s="16" t="str">
        <f>_xlfn.XLOOKUP(表2[[#This Row],[relic id]],relic!$A:$A,relic!G:G,"")</f>
        <v>relic_desc_301231</v>
      </c>
      <c r="F79" s="16" t="str">
        <f>_xlfn.XLOOKUP(表2[[#This Row],[relic id]],relic!$A:$A,relic!H:H,"")</f>
        <v>近战武器 磨刀速率 + 20%</v>
      </c>
      <c r="L79" s="16" t="str">
        <v>relic_desc_310506</v>
      </c>
      <c r="M79" s="16" t="str">
        <v>[升级] 近战设备每次暴击，有60%几率秒杀目标（目标当前生命值不能超过设备伤害的12倍）</v>
      </c>
    </row>
    <row r="80" spans="1:13" x14ac:dyDescent="0.2">
      <c r="A80" s="16">
        <v>301232</v>
      </c>
      <c r="B80" s="16" t="str">
        <f>_xlfn.XLOOKUP(表2[[#This Row],[relic id]],relic!$A:$A,relic!B:B,"")</f>
        <v>relic_name_301232</v>
      </c>
      <c r="C80" s="16" t="str">
        <f>_xlfn.XLOOKUP(表2[[#This Row],[relic id]],relic!$A:$A,relic!D:D,"")</f>
        <v>开锁工具</v>
      </c>
      <c r="D80" s="16">
        <f>IF(表2[[#This Row],[relic id]]&lt;&gt;"",_xlfn.XLOOKUP(表2[[#This Row],[relic id]],relic!$A:$A,relic!$T:$T),"")</f>
        <v>-1</v>
      </c>
      <c r="E80" s="16" t="str">
        <f>_xlfn.XLOOKUP(表2[[#This Row],[relic id]],relic!$A:$A,relic!G:G,"")</f>
        <v>relic_desc_301232</v>
      </c>
      <c r="F80" s="16" t="str">
        <f>_xlfn.XLOOKUP(表2[[#This Row],[relic id]],relic!$A:$A,relic!H:H,"")</f>
        <v>近战武器 磨刀速率 + 40%</v>
      </c>
      <c r="L80" s="16" t="str">
        <v>relic_desc_310507</v>
      </c>
      <c r="M80" s="16" t="str">
        <v>近战设备获得32点额外火焰伤害，但每次发动攻击，有5%的概率点燃自身。</v>
      </c>
    </row>
    <row r="81" spans="1:7" x14ac:dyDescent="0.2">
      <c r="A81" s="16">
        <v>301233</v>
      </c>
      <c r="B81" s="16" t="str">
        <f>_xlfn.XLOOKUP(表2[[#This Row],[relic id]],relic!$A:$A,relic!B:B,"")</f>
        <v>relic_name_301233</v>
      </c>
      <c r="C81" s="16" t="str">
        <f>_xlfn.XLOOKUP(表2[[#This Row],[relic id]],relic!$A:$A,relic!D:D,"")</f>
        <v>开锁工具</v>
      </c>
      <c r="D81" s="16">
        <f>IF(表2[[#This Row],[relic id]]&lt;&gt;"",_xlfn.XLOOKUP(表2[[#This Row],[relic id]],relic!$A:$A,relic!$T:$T),"")</f>
        <v>-1</v>
      </c>
      <c r="E81" s="16" t="str">
        <f>_xlfn.XLOOKUP(表2[[#This Row],[relic id]],relic!$A:$A,relic!G:G,"")</f>
        <v>relic_desc_301233</v>
      </c>
      <c r="F81" s="16" t="str">
        <f>_xlfn.XLOOKUP(表2[[#This Row],[relic id]],relic!$A:$A,relic!H:H,"")</f>
        <v>近战武器 磨刀速率 + 60%</v>
      </c>
    </row>
    <row r="82" spans="1:7" x14ac:dyDescent="0.2">
      <c r="B82" s="16">
        <f>_xlfn.XLOOKUP(表2[[#This Row],[relic id]],relic!$A:$A,relic!B:B,"")</f>
        <v>0</v>
      </c>
      <c r="C82" s="16">
        <f>_xlfn.XLOOKUP(表2[[#This Row],[relic id]],relic!$A:$A,relic!D:D,"")</f>
        <v>0</v>
      </c>
      <c r="D82" s="16" t="str">
        <f>IF(表2[[#This Row],[relic id]]&lt;&gt;"",_xlfn.XLOOKUP(表2[[#This Row],[relic id]],relic!$A:$A,relic!$T:$T),"")</f>
        <v/>
      </c>
      <c r="E82" s="16">
        <f>_xlfn.XLOOKUP(表2[[#This Row],[relic id]],relic!$A:$A,relic!G:G,"")</f>
        <v>0</v>
      </c>
      <c r="F82" s="16">
        <f>_xlfn.XLOOKUP(表2[[#This Row],[relic id]],relic!$A:$A,relic!H:H,"")</f>
        <v>0</v>
      </c>
    </row>
    <row r="83" spans="1:7" x14ac:dyDescent="0.2">
      <c r="A83" s="16">
        <v>302011</v>
      </c>
      <c r="B83" s="16" t="str">
        <f>_xlfn.XLOOKUP(表2[[#This Row],[relic id]],relic!$A:$A,relic!B:B,"")</f>
        <v>relic_name_30201</v>
      </c>
      <c r="C83" s="16" t="str">
        <f>_xlfn.XLOOKUP(表2[[#This Row],[relic id]],relic!$A:$A,relic!D:D,"")</f>
        <v>无黄蛋</v>
      </c>
      <c r="D83" s="16">
        <f>IF(表2[[#This Row],[relic id]]&lt;&gt;"",_xlfn.XLOOKUP(表2[[#This Row],[relic id]],relic!$A:$A,relic!$T:$T),"")</f>
        <v>0</v>
      </c>
      <c r="E83" s="16" t="str">
        <f>_xlfn.XLOOKUP(表2[[#This Row],[relic id]],relic!$A:$A,relic!G:G,"")</f>
        <v>relic_desc_302011</v>
      </c>
      <c r="F83" s="16" t="str">
        <f>_xlfn.XLOOKUP(表2[[#This Row],[relic id]],relic!$A:$A,relic!H:H,"")</f>
        <v>飞射物 伤害 + 20%</v>
      </c>
      <c r="G83" s="24" t="b">
        <v>1</v>
      </c>
    </row>
    <row r="84" spans="1:7" x14ac:dyDescent="0.2">
      <c r="A84" s="16">
        <v>302012</v>
      </c>
      <c r="B84" s="16" t="str">
        <f>_xlfn.XLOOKUP(表2[[#This Row],[relic id]],relic!$A:$A,relic!B:B,"")</f>
        <v>relic_name_30201</v>
      </c>
      <c r="C84" s="16" t="str">
        <f>_xlfn.XLOOKUP(表2[[#This Row],[relic id]],relic!$A:$A,relic!D:D,"")</f>
        <v>无黄蛋</v>
      </c>
      <c r="D84" s="16">
        <f>IF(表2[[#This Row],[relic id]]&lt;&gt;"",_xlfn.XLOOKUP(表2[[#This Row],[relic id]],relic!$A:$A,relic!$T:$T),"")</f>
        <v>1</v>
      </c>
      <c r="E84" s="16" t="str">
        <f>_xlfn.XLOOKUP(表2[[#This Row],[relic id]],relic!$A:$A,relic!G:G,"")</f>
        <v>relic_desc_302012</v>
      </c>
      <c r="F84" s="16" t="str">
        <f>_xlfn.XLOOKUP(表2[[#This Row],[relic id]],relic!$A:$A,relic!H:H,"")</f>
        <v>飞射物 伤害 + 40%</v>
      </c>
      <c r="G84" s="24" t="b">
        <v>1</v>
      </c>
    </row>
    <row r="85" spans="1:7" x14ac:dyDescent="0.2">
      <c r="A85" s="16">
        <v>302013</v>
      </c>
      <c r="B85" s="16" t="str">
        <f>_xlfn.XLOOKUP(表2[[#This Row],[relic id]],relic!$A:$A,relic!B:B,"")</f>
        <v>relic_name_30201</v>
      </c>
      <c r="C85" s="16" t="str">
        <f>_xlfn.XLOOKUP(表2[[#This Row],[relic id]],relic!$A:$A,relic!D:D,"")</f>
        <v>无黄蛋</v>
      </c>
      <c r="D85" s="16">
        <f>IF(表2[[#This Row],[relic id]]&lt;&gt;"",_xlfn.XLOOKUP(表2[[#This Row],[relic id]],relic!$A:$A,relic!$T:$T),"")</f>
        <v>2</v>
      </c>
      <c r="E85" s="16" t="str">
        <f>_xlfn.XLOOKUP(表2[[#This Row],[relic id]],relic!$A:$A,relic!G:G,"")</f>
        <v>relic_desc_302013</v>
      </c>
      <c r="F85" s="16" t="str">
        <f>_xlfn.XLOOKUP(表2[[#This Row],[relic id]],relic!$A:$A,relic!H:H,"")</f>
        <v>飞射物 伤害 + 80%</v>
      </c>
      <c r="G85" s="24" t="b">
        <v>1</v>
      </c>
    </row>
    <row r="86" spans="1:7" x14ac:dyDescent="0.2">
      <c r="A86" s="16">
        <v>302014</v>
      </c>
      <c r="B86" s="16" t="str">
        <f>_xlfn.XLOOKUP(表2[[#This Row],[relic id]],relic!$A:$A,relic!B:B,"")</f>
        <v>relic_name_30201</v>
      </c>
      <c r="C86" s="16" t="str">
        <f>_xlfn.XLOOKUP(表2[[#This Row],[relic id]],relic!$A:$A,relic!D:D,"")</f>
        <v>无黄蛋</v>
      </c>
      <c r="D86" s="16">
        <f>IF(表2[[#This Row],[relic id]]&lt;&gt;"",_xlfn.XLOOKUP(表2[[#This Row],[relic id]],relic!$A:$A,relic!$T:$T),"")</f>
        <v>3</v>
      </c>
      <c r="E86" s="16" t="str">
        <f>_xlfn.XLOOKUP(表2[[#This Row],[relic id]],relic!$A:$A,relic!G:G,"")</f>
        <v>relic_desc_302014</v>
      </c>
      <c r="F86" s="16" t="str">
        <f>_xlfn.XLOOKUP(表2[[#This Row],[relic id]],relic!$A:$A,relic!H:H,"")</f>
        <v>飞射物 伤害 + 160%</v>
      </c>
      <c r="G86" s="24" t="b">
        <v>1</v>
      </c>
    </row>
    <row r="87" spans="1:7" x14ac:dyDescent="0.2">
      <c r="B87" s="16">
        <f>_xlfn.XLOOKUP(表2[[#This Row],[relic id]],relic!$A:$A,relic!B:B,"")</f>
        <v>0</v>
      </c>
      <c r="C87" s="16">
        <f>_xlfn.XLOOKUP(表2[[#This Row],[relic id]],relic!$A:$A,relic!D:D,"")</f>
        <v>0</v>
      </c>
      <c r="D87" s="16" t="str">
        <f>IF(表2[[#This Row],[relic id]]&lt;&gt;"",_xlfn.XLOOKUP(表2[[#This Row],[relic id]],relic!$A:$A,relic!$T:$T),"")</f>
        <v/>
      </c>
      <c r="E87" s="16">
        <f>_xlfn.XLOOKUP(表2[[#This Row],[relic id]],relic!$A:$A,relic!G:G,"")</f>
        <v>0</v>
      </c>
      <c r="F87" s="16">
        <f>_xlfn.XLOOKUP(表2[[#This Row],[relic id]],relic!$A:$A,relic!H:H,"")</f>
        <v>0</v>
      </c>
    </row>
    <row r="88" spans="1:7" x14ac:dyDescent="0.2">
      <c r="A88" s="16">
        <v>302021</v>
      </c>
      <c r="B88" s="16" t="str">
        <f>_xlfn.XLOOKUP(表2[[#This Row],[relic id]],relic!$A:$A,relic!B:B,"")</f>
        <v>relic_name_302021</v>
      </c>
      <c r="C88" s="16" t="str">
        <f>_xlfn.XLOOKUP(表2[[#This Row],[relic id]],relic!$A:$A,relic!D:D,"")</f>
        <v>花雕怪味鱼</v>
      </c>
      <c r="D88" s="16">
        <f>IF(表2[[#This Row],[relic id]]&lt;&gt;"",_xlfn.XLOOKUP(表2[[#This Row],[relic id]],relic!$A:$A,relic!$T:$T),"")</f>
        <v>-1</v>
      </c>
      <c r="E88" s="16" t="str">
        <f>_xlfn.XLOOKUP(表2[[#This Row],[relic id]],relic!$A:$A,relic!G:G,"")</f>
        <v>relic_desc_302021</v>
      </c>
      <c r="F88" s="16" t="str">
        <f>_xlfn.XLOOKUP(表2[[#This Row],[relic id]],relic!$A:$A,relic!H:H,"")</f>
        <v>飞射物 伤害 + 2</v>
      </c>
    </row>
    <row r="89" spans="1:7" x14ac:dyDescent="0.2">
      <c r="A89" s="16">
        <v>302022</v>
      </c>
      <c r="B89" s="16" t="str">
        <f>_xlfn.XLOOKUP(表2[[#This Row],[relic id]],relic!$A:$A,relic!B:B,"")</f>
        <v>relic_name_302022</v>
      </c>
      <c r="C89" s="16" t="str">
        <f>_xlfn.XLOOKUP(表2[[#This Row],[relic id]],relic!$A:$A,relic!D:D,"")</f>
        <v>花雕怪味鱼</v>
      </c>
      <c r="D89" s="16">
        <f>IF(表2[[#This Row],[relic id]]&lt;&gt;"",_xlfn.XLOOKUP(表2[[#This Row],[relic id]],relic!$A:$A,relic!$T:$T),"")</f>
        <v>-1</v>
      </c>
      <c r="E89" s="16" t="str">
        <f>_xlfn.XLOOKUP(表2[[#This Row],[relic id]],relic!$A:$A,relic!G:G,"")</f>
        <v>relic_desc_302022</v>
      </c>
      <c r="F89" s="16" t="str">
        <f>_xlfn.XLOOKUP(表2[[#This Row],[relic id]],relic!$A:$A,relic!H:H,"")</f>
        <v>飞射物 伤害 + 4</v>
      </c>
    </row>
    <row r="90" spans="1:7" x14ac:dyDescent="0.2">
      <c r="A90" s="16">
        <v>302023</v>
      </c>
      <c r="B90" s="16" t="str">
        <f>_xlfn.XLOOKUP(表2[[#This Row],[relic id]],relic!$A:$A,relic!B:B,"")</f>
        <v>relic_name_302023</v>
      </c>
      <c r="C90" s="16" t="str">
        <f>_xlfn.XLOOKUP(表2[[#This Row],[relic id]],relic!$A:$A,relic!D:D,"")</f>
        <v>花雕怪味鱼</v>
      </c>
      <c r="D90" s="16">
        <f>IF(表2[[#This Row],[relic id]]&lt;&gt;"",_xlfn.XLOOKUP(表2[[#This Row],[relic id]],relic!$A:$A,relic!$T:$T),"")</f>
        <v>-1</v>
      </c>
      <c r="E90" s="16" t="str">
        <f>_xlfn.XLOOKUP(表2[[#This Row],[relic id]],relic!$A:$A,relic!G:G,"")</f>
        <v>relic_desc_302023</v>
      </c>
      <c r="F90" s="16" t="str">
        <f>_xlfn.XLOOKUP(表2[[#This Row],[relic id]],relic!$A:$A,relic!H:H,"")</f>
        <v>飞射物 伤害 + 6</v>
      </c>
    </row>
    <row r="91" spans="1:7" x14ac:dyDescent="0.2">
      <c r="B91" s="16">
        <f>_xlfn.XLOOKUP(表2[[#This Row],[relic id]],relic!$A:$A,relic!B:B,"")</f>
        <v>0</v>
      </c>
      <c r="C91" s="16">
        <f>_xlfn.XLOOKUP(表2[[#This Row],[relic id]],relic!$A:$A,relic!D:D,"")</f>
        <v>0</v>
      </c>
      <c r="D91" s="16" t="str">
        <f>IF(表2[[#This Row],[relic id]]&lt;&gt;"",_xlfn.XLOOKUP(表2[[#This Row],[relic id]],relic!$A:$A,relic!$T:$T),"")</f>
        <v/>
      </c>
      <c r="E91" s="16">
        <f>_xlfn.XLOOKUP(表2[[#This Row],[relic id]],relic!$A:$A,relic!G:G,"")</f>
        <v>0</v>
      </c>
      <c r="F91" s="16">
        <f>_xlfn.XLOOKUP(表2[[#This Row],[relic id]],relic!$A:$A,relic!H:H,"")</f>
        <v>0</v>
      </c>
    </row>
    <row r="92" spans="1:7" x14ac:dyDescent="0.2">
      <c r="A92" s="16">
        <v>302031</v>
      </c>
      <c r="B92" s="16" t="str">
        <f>_xlfn.XLOOKUP(表2[[#This Row],[relic id]],relic!$A:$A,relic!B:B,"")</f>
        <v>relic_name_30203</v>
      </c>
      <c r="C92" s="16" t="str">
        <f>_xlfn.XLOOKUP(表2[[#This Row],[relic id]],relic!$A:$A,relic!D:D,"")</f>
        <v>天地一口香</v>
      </c>
      <c r="D92" s="16">
        <f>IF(表2[[#This Row],[relic id]]&lt;&gt;"",_xlfn.XLOOKUP(表2[[#This Row],[relic id]],relic!$A:$A,relic!$T:$T),"")</f>
        <v>0</v>
      </c>
      <c r="E92" s="16" t="str">
        <f>_xlfn.XLOOKUP(表2[[#This Row],[relic id]],relic!$A:$A,relic!G:G,"")</f>
        <v>relic_desc_302031</v>
      </c>
      <c r="F92" s="16" t="str">
        <f>_xlfn.XLOOKUP(表2[[#This Row],[relic id]],relic!$A:$A,relic!H:H,"")</f>
        <v>飞射物 暴击几率 + 5%</v>
      </c>
      <c r="G92" s="24" t="b">
        <v>1</v>
      </c>
    </row>
    <row r="93" spans="1:7" x14ac:dyDescent="0.2">
      <c r="A93" s="16">
        <v>302032</v>
      </c>
      <c r="B93" s="16" t="str">
        <f>_xlfn.XLOOKUP(表2[[#This Row],[relic id]],relic!$A:$A,relic!B:B,"")</f>
        <v>relic_name_30203</v>
      </c>
      <c r="C93" s="16" t="str">
        <f>_xlfn.XLOOKUP(表2[[#This Row],[relic id]],relic!$A:$A,relic!D:D,"")</f>
        <v>天地一口香</v>
      </c>
      <c r="D93" s="16">
        <f>IF(表2[[#This Row],[relic id]]&lt;&gt;"",_xlfn.XLOOKUP(表2[[#This Row],[relic id]],relic!$A:$A,relic!$T:$T),"")</f>
        <v>1</v>
      </c>
      <c r="E93" s="16" t="str">
        <f>_xlfn.XLOOKUP(表2[[#This Row],[relic id]],relic!$A:$A,relic!G:G,"")</f>
        <v>relic_desc_302032</v>
      </c>
      <c r="F93" s="16" t="str">
        <f>_xlfn.XLOOKUP(表2[[#This Row],[relic id]],relic!$A:$A,relic!H:H,"")</f>
        <v>飞射物 暴击几率 + 8%</v>
      </c>
      <c r="G93" s="24" t="b">
        <v>1</v>
      </c>
    </row>
    <row r="94" spans="1:7" x14ac:dyDescent="0.2">
      <c r="A94" s="16">
        <v>302033</v>
      </c>
      <c r="B94" s="16" t="str">
        <f>_xlfn.XLOOKUP(表2[[#This Row],[relic id]],relic!$A:$A,relic!B:B,"")</f>
        <v>relic_name_30203</v>
      </c>
      <c r="C94" s="16" t="str">
        <f>_xlfn.XLOOKUP(表2[[#This Row],[relic id]],relic!$A:$A,relic!D:D,"")</f>
        <v>天地一口香</v>
      </c>
      <c r="D94" s="16">
        <f>IF(表2[[#This Row],[relic id]]&lt;&gt;"",_xlfn.XLOOKUP(表2[[#This Row],[relic id]],relic!$A:$A,relic!$T:$T),"")</f>
        <v>2</v>
      </c>
      <c r="E94" s="16" t="str">
        <f>_xlfn.XLOOKUP(表2[[#This Row],[relic id]],relic!$A:$A,relic!G:G,"")</f>
        <v>relic_desc_302033</v>
      </c>
      <c r="F94" s="16" t="str">
        <f>_xlfn.XLOOKUP(表2[[#This Row],[relic id]],relic!$A:$A,relic!H:H,"")</f>
        <v>飞射物 暴击几率 + 12%</v>
      </c>
      <c r="G94" s="24" t="b">
        <v>1</v>
      </c>
    </row>
    <row r="95" spans="1:7" x14ac:dyDescent="0.2">
      <c r="A95" s="16">
        <v>302034</v>
      </c>
      <c r="B95" s="16" t="str">
        <f>_xlfn.XLOOKUP(表2[[#This Row],[relic id]],relic!$A:$A,relic!B:B,"")</f>
        <v>relic_name_30203</v>
      </c>
      <c r="C95" s="16" t="str">
        <f>_xlfn.XLOOKUP(表2[[#This Row],[relic id]],relic!$A:$A,relic!D:D,"")</f>
        <v>天地一口香</v>
      </c>
      <c r="D95" s="16">
        <f>IF(表2[[#This Row],[relic id]]&lt;&gt;"",_xlfn.XLOOKUP(表2[[#This Row],[relic id]],relic!$A:$A,relic!$T:$T),"")</f>
        <v>3</v>
      </c>
      <c r="E95" s="16" t="str">
        <f>_xlfn.XLOOKUP(表2[[#This Row],[relic id]],relic!$A:$A,relic!G:G,"")</f>
        <v>relic_desc_302034</v>
      </c>
      <c r="F95" s="16" t="str">
        <f>_xlfn.XLOOKUP(表2[[#This Row],[relic id]],relic!$A:$A,relic!H:H,"")</f>
        <v>飞射物 暴击几率 + 18%</v>
      </c>
      <c r="G95" s="24" t="b">
        <v>1</v>
      </c>
    </row>
    <row r="96" spans="1:7" x14ac:dyDescent="0.2">
      <c r="B96" s="16">
        <f>_xlfn.XLOOKUP(表2[[#This Row],[relic id]],relic!$A:$A,relic!B:B,"")</f>
        <v>0</v>
      </c>
      <c r="C96" s="16">
        <f>_xlfn.XLOOKUP(表2[[#This Row],[relic id]],relic!$A:$A,relic!D:D,"")</f>
        <v>0</v>
      </c>
      <c r="D96" s="16" t="str">
        <f>IF(表2[[#This Row],[relic id]]&lt;&gt;"",_xlfn.XLOOKUP(表2[[#This Row],[relic id]],relic!$A:$A,relic!$T:$T),"")</f>
        <v/>
      </c>
      <c r="E96" s="16">
        <f>_xlfn.XLOOKUP(表2[[#This Row],[relic id]],relic!$A:$A,relic!G:G,"")</f>
        <v>0</v>
      </c>
      <c r="F96" s="16">
        <f>_xlfn.XLOOKUP(表2[[#This Row],[relic id]],relic!$A:$A,relic!H:H,"")</f>
        <v>0</v>
      </c>
    </row>
    <row r="97" spans="1:7" x14ac:dyDescent="0.2">
      <c r="A97" s="16">
        <v>302041</v>
      </c>
      <c r="B97" s="16" t="str">
        <f>_xlfn.XLOOKUP(表2[[#This Row],[relic id]],relic!$A:$A,relic!B:B,"")</f>
        <v>relic_name_30204</v>
      </c>
      <c r="C97" s="16" t="str">
        <f>_xlfn.XLOOKUP(表2[[#This Row],[relic id]],relic!$A:$A,relic!D:D,"")</f>
        <v>子母春茧</v>
      </c>
      <c r="D97" s="16">
        <f>IF(表2[[#This Row],[relic id]]&lt;&gt;"",_xlfn.XLOOKUP(表2[[#This Row],[relic id]],relic!$A:$A,relic!$T:$T),"")</f>
        <v>0</v>
      </c>
      <c r="E97" s="16" t="str">
        <f>_xlfn.XLOOKUP(表2[[#This Row],[relic id]],relic!$A:$A,relic!G:G,"")</f>
        <v>relic_desc_302041</v>
      </c>
      <c r="F97" s="16" t="str">
        <f>_xlfn.XLOOKUP(表2[[#This Row],[relic id]],relic!$A:$A,relic!H:H,"")</f>
        <v>飞射物 暴击伤害 + 15%</v>
      </c>
      <c r="G97" s="24" t="b">
        <v>1</v>
      </c>
    </row>
    <row r="98" spans="1:7" x14ac:dyDescent="0.2">
      <c r="A98" s="16">
        <v>302042</v>
      </c>
      <c r="B98" s="16" t="str">
        <f>_xlfn.XLOOKUP(表2[[#This Row],[relic id]],relic!$A:$A,relic!B:B,"")</f>
        <v>relic_name_30204</v>
      </c>
      <c r="C98" s="16" t="str">
        <f>_xlfn.XLOOKUP(表2[[#This Row],[relic id]],relic!$A:$A,relic!D:D,"")</f>
        <v>子母春茧</v>
      </c>
      <c r="D98" s="16">
        <f>IF(表2[[#This Row],[relic id]]&lt;&gt;"",_xlfn.XLOOKUP(表2[[#This Row],[relic id]],relic!$A:$A,relic!$T:$T),"")</f>
        <v>1</v>
      </c>
      <c r="E98" s="16" t="str">
        <f>_xlfn.XLOOKUP(表2[[#This Row],[relic id]],relic!$A:$A,relic!G:G,"")</f>
        <v>relic_desc_302042</v>
      </c>
      <c r="F98" s="16" t="str">
        <f>_xlfn.XLOOKUP(表2[[#This Row],[relic id]],relic!$A:$A,relic!H:H,"")</f>
        <v>飞射物 暴击伤害 + 30%</v>
      </c>
      <c r="G98" s="24" t="b">
        <v>1</v>
      </c>
    </row>
    <row r="99" spans="1:7" x14ac:dyDescent="0.2">
      <c r="A99" s="16">
        <v>302043</v>
      </c>
      <c r="B99" s="16" t="str">
        <f>_xlfn.XLOOKUP(表2[[#This Row],[relic id]],relic!$A:$A,relic!B:B,"")</f>
        <v>relic_name_30204</v>
      </c>
      <c r="C99" s="16" t="str">
        <f>_xlfn.XLOOKUP(表2[[#This Row],[relic id]],relic!$A:$A,relic!D:D,"")</f>
        <v>子母春茧</v>
      </c>
      <c r="D99" s="16">
        <f>IF(表2[[#This Row],[relic id]]&lt;&gt;"",_xlfn.XLOOKUP(表2[[#This Row],[relic id]],relic!$A:$A,relic!$T:$T),"")</f>
        <v>2</v>
      </c>
      <c r="E99" s="16" t="str">
        <f>_xlfn.XLOOKUP(表2[[#This Row],[relic id]],relic!$A:$A,relic!G:G,"")</f>
        <v>relic_desc_302043</v>
      </c>
      <c r="F99" s="16" t="str">
        <f>_xlfn.XLOOKUP(表2[[#This Row],[relic id]],relic!$A:$A,relic!H:H,"")</f>
        <v>飞射物 暴击伤害 + 60%</v>
      </c>
      <c r="G99" s="24" t="b">
        <v>1</v>
      </c>
    </row>
    <row r="100" spans="1:7" x14ac:dyDescent="0.2">
      <c r="A100" s="16">
        <v>302044</v>
      </c>
      <c r="B100" s="16" t="str">
        <f>_xlfn.XLOOKUP(表2[[#This Row],[relic id]],relic!$A:$A,relic!B:B,"")</f>
        <v>relic_name_30204</v>
      </c>
      <c r="C100" s="16" t="str">
        <f>_xlfn.XLOOKUP(表2[[#This Row],[relic id]],relic!$A:$A,relic!D:D,"")</f>
        <v>子母春茧</v>
      </c>
      <c r="D100" s="16">
        <f>IF(表2[[#This Row],[relic id]]&lt;&gt;"",_xlfn.XLOOKUP(表2[[#This Row],[relic id]],relic!$A:$A,relic!$T:$T),"")</f>
        <v>3</v>
      </c>
      <c r="E100" s="16" t="str">
        <f>_xlfn.XLOOKUP(表2[[#This Row],[relic id]],relic!$A:$A,relic!G:G,"")</f>
        <v>relic_desc_302044</v>
      </c>
      <c r="F100" s="16" t="str">
        <f>_xlfn.XLOOKUP(表2[[#This Row],[relic id]],relic!$A:$A,relic!H:H,"")</f>
        <v>飞射物 暴击伤害 + 120%</v>
      </c>
      <c r="G100" s="24" t="b">
        <v>1</v>
      </c>
    </row>
    <row r="101" spans="1:7" x14ac:dyDescent="0.2">
      <c r="B101" s="16">
        <f>_xlfn.XLOOKUP(表2[[#This Row],[relic id]],relic!$A:$A,relic!B:B,"")</f>
        <v>0</v>
      </c>
      <c r="C101" s="16">
        <f>_xlfn.XLOOKUP(表2[[#This Row],[relic id]],relic!$A:$A,relic!D:D,"")</f>
        <v>0</v>
      </c>
      <c r="D101" s="16" t="str">
        <f>IF(表2[[#This Row],[relic id]]&lt;&gt;"",_xlfn.XLOOKUP(表2[[#This Row],[relic id]],relic!$A:$A,relic!$T:$T),"")</f>
        <v/>
      </c>
      <c r="E101" s="16">
        <f>_xlfn.XLOOKUP(表2[[#This Row],[relic id]],relic!$A:$A,relic!G:G,"")</f>
        <v>0</v>
      </c>
      <c r="F101" s="16">
        <f>_xlfn.XLOOKUP(表2[[#This Row],[relic id]],relic!$A:$A,relic!H:H,"")</f>
        <v>0</v>
      </c>
    </row>
    <row r="102" spans="1:7" x14ac:dyDescent="0.2">
      <c r="A102" s="16">
        <v>302051</v>
      </c>
      <c r="B102" s="16" t="str">
        <f>_xlfn.XLOOKUP(表2[[#This Row],[relic id]],relic!$A:$A,relic!B:B,"")</f>
        <v>relic_name_302051</v>
      </c>
      <c r="C102" s="16" t="str">
        <f>_xlfn.XLOOKUP(表2[[#This Row],[relic id]],relic!$A:$A,relic!D:D,"")</f>
        <v>义结金兰</v>
      </c>
      <c r="D102" s="16">
        <f>IF(表2[[#This Row],[relic id]]&lt;&gt;"",_xlfn.XLOOKUP(表2[[#This Row],[relic id]],relic!$A:$A,relic!$T:$T),"")</f>
        <v>-1</v>
      </c>
      <c r="E102" s="16" t="str">
        <f>_xlfn.XLOOKUP(表2[[#This Row],[relic id]],relic!$A:$A,relic!G:G,"")</f>
        <v>relic_desc_302051</v>
      </c>
      <c r="F102" s="16" t="str">
        <f>_xlfn.XLOOKUP(表2[[#This Row],[relic id]],relic!$A:$A,relic!H:H,"")</f>
        <v>飞射物 击退百分比 + 10%</v>
      </c>
    </row>
    <row r="103" spans="1:7" x14ac:dyDescent="0.2">
      <c r="A103" s="16">
        <v>302052</v>
      </c>
      <c r="B103" s="16" t="str">
        <f>_xlfn.XLOOKUP(表2[[#This Row],[relic id]],relic!$A:$A,relic!B:B,"")</f>
        <v>relic_name_302052</v>
      </c>
      <c r="C103" s="16" t="str">
        <f>_xlfn.XLOOKUP(表2[[#This Row],[relic id]],relic!$A:$A,relic!D:D,"")</f>
        <v>义结金兰</v>
      </c>
      <c r="D103" s="16">
        <f>IF(表2[[#This Row],[relic id]]&lt;&gt;"",_xlfn.XLOOKUP(表2[[#This Row],[relic id]],relic!$A:$A,relic!$T:$T),"")</f>
        <v>-1</v>
      </c>
      <c r="E103" s="16" t="str">
        <f>_xlfn.XLOOKUP(表2[[#This Row],[relic id]],relic!$A:$A,relic!G:G,"")</f>
        <v>relic_desc_302052</v>
      </c>
      <c r="F103" s="16" t="str">
        <f>_xlfn.XLOOKUP(表2[[#This Row],[relic id]],relic!$A:$A,relic!H:H,"")</f>
        <v>飞射物 击退百分比 + 20%</v>
      </c>
    </row>
    <row r="104" spans="1:7" x14ac:dyDescent="0.2">
      <c r="A104" s="16">
        <v>302053</v>
      </c>
      <c r="B104" s="16" t="str">
        <f>_xlfn.XLOOKUP(表2[[#This Row],[relic id]],relic!$A:$A,relic!B:B,"")</f>
        <v>relic_name_302053</v>
      </c>
      <c r="C104" s="16" t="str">
        <f>_xlfn.XLOOKUP(表2[[#This Row],[relic id]],relic!$A:$A,relic!D:D,"")</f>
        <v>义结金兰</v>
      </c>
      <c r="D104" s="16">
        <f>IF(表2[[#This Row],[relic id]]&lt;&gt;"",_xlfn.XLOOKUP(表2[[#This Row],[relic id]],relic!$A:$A,relic!$T:$T),"")</f>
        <v>-1</v>
      </c>
      <c r="E104" s="16" t="str">
        <f>_xlfn.XLOOKUP(表2[[#This Row],[relic id]],relic!$A:$A,relic!G:G,"")</f>
        <v>relic_desc_302053</v>
      </c>
      <c r="F104" s="16" t="str">
        <f>_xlfn.XLOOKUP(表2[[#This Row],[relic id]],relic!$A:$A,relic!H:H,"")</f>
        <v>飞射物 击退百分比 + 30%</v>
      </c>
    </row>
    <row r="105" spans="1:7" x14ac:dyDescent="0.2">
      <c r="B105" s="16">
        <f>_xlfn.XLOOKUP(表2[[#This Row],[relic id]],relic!$A:$A,relic!B:B,"")</f>
        <v>0</v>
      </c>
      <c r="C105" s="16">
        <f>_xlfn.XLOOKUP(表2[[#This Row],[relic id]],relic!$A:$A,relic!D:D,"")</f>
        <v>0</v>
      </c>
      <c r="D105" s="16" t="str">
        <f>IF(表2[[#This Row],[relic id]]&lt;&gt;"",_xlfn.XLOOKUP(表2[[#This Row],[relic id]],relic!$A:$A,relic!$T:$T),"")</f>
        <v/>
      </c>
      <c r="E105" s="16">
        <f>_xlfn.XLOOKUP(表2[[#This Row],[relic id]],relic!$A:$A,relic!G:G,"")</f>
        <v>0</v>
      </c>
      <c r="F105" s="16">
        <f>_xlfn.XLOOKUP(表2[[#This Row],[relic id]],relic!$A:$A,relic!H:H,"")</f>
        <v>0</v>
      </c>
    </row>
    <row r="106" spans="1:7" x14ac:dyDescent="0.2">
      <c r="A106" s="16">
        <v>302061</v>
      </c>
      <c r="B106" s="16" t="str">
        <f>_xlfn.XLOOKUP(表2[[#This Row],[relic id]],relic!$A:$A,relic!B:B,"")</f>
        <v>relic_name_302061</v>
      </c>
      <c r="C106" s="16" t="str">
        <f>_xlfn.XLOOKUP(表2[[#This Row],[relic id]],relic!$A:$A,relic!D:D,"")</f>
        <v>猴儿酒</v>
      </c>
      <c r="D106" s="16">
        <f>IF(表2[[#This Row],[relic id]]&lt;&gt;"",_xlfn.XLOOKUP(表2[[#This Row],[relic id]],relic!$A:$A,relic!$T:$T),"")</f>
        <v>-1</v>
      </c>
      <c r="E106" s="16" t="str">
        <f>_xlfn.XLOOKUP(表2[[#This Row],[relic id]],relic!$A:$A,relic!G:G,"")</f>
        <v>relic_desc_302061</v>
      </c>
      <c r="F106" s="16" t="str">
        <f>_xlfn.XLOOKUP(表2[[#This Row],[relic id]],relic!$A:$A,relic!H:H,"")</f>
        <v>飞射物 破甲附加值 + 20%</v>
      </c>
    </row>
    <row r="107" spans="1:7" x14ac:dyDescent="0.2">
      <c r="A107" s="16">
        <v>302062</v>
      </c>
      <c r="B107" s="16" t="str">
        <f>_xlfn.XLOOKUP(表2[[#This Row],[relic id]],relic!$A:$A,relic!B:B,"")</f>
        <v>relic_name_302062</v>
      </c>
      <c r="C107" s="16" t="str">
        <f>_xlfn.XLOOKUP(表2[[#This Row],[relic id]],relic!$A:$A,relic!D:D,"")</f>
        <v>猴儿酒</v>
      </c>
      <c r="D107" s="16">
        <f>IF(表2[[#This Row],[relic id]]&lt;&gt;"",_xlfn.XLOOKUP(表2[[#This Row],[relic id]],relic!$A:$A,relic!$T:$T),"")</f>
        <v>-1</v>
      </c>
      <c r="E107" s="16" t="str">
        <f>_xlfn.XLOOKUP(表2[[#This Row],[relic id]],relic!$A:$A,relic!G:G,"")</f>
        <v>relic_desc_302062</v>
      </c>
      <c r="F107" s="16" t="str">
        <f>_xlfn.XLOOKUP(表2[[#This Row],[relic id]],relic!$A:$A,relic!H:H,"")</f>
        <v>飞射物 破甲附加值 + 40%</v>
      </c>
    </row>
    <row r="108" spans="1:7" x14ac:dyDescent="0.2">
      <c r="A108" s="16">
        <v>302063</v>
      </c>
      <c r="B108" s="16" t="str">
        <f>_xlfn.XLOOKUP(表2[[#This Row],[relic id]],relic!$A:$A,relic!B:B,"")</f>
        <v>relic_name_302063</v>
      </c>
      <c r="C108" s="16" t="str">
        <f>_xlfn.XLOOKUP(表2[[#This Row],[relic id]],relic!$A:$A,relic!D:D,"")</f>
        <v>猴儿酒</v>
      </c>
      <c r="D108" s="16">
        <f>IF(表2[[#This Row],[relic id]]&lt;&gt;"",_xlfn.XLOOKUP(表2[[#This Row],[relic id]],relic!$A:$A,relic!$T:$T),"")</f>
        <v>-1</v>
      </c>
      <c r="E108" s="16" t="str">
        <f>_xlfn.XLOOKUP(表2[[#This Row],[relic id]],relic!$A:$A,relic!G:G,"")</f>
        <v>relic_desc_302063</v>
      </c>
      <c r="F108" s="16" t="str">
        <f>_xlfn.XLOOKUP(表2[[#This Row],[relic id]],relic!$A:$A,relic!H:H,"")</f>
        <v>飞射物 破甲附加值 + 60%</v>
      </c>
    </row>
    <row r="109" spans="1:7" x14ac:dyDescent="0.2">
      <c r="B109" s="16">
        <f>_xlfn.XLOOKUP(表2[[#This Row],[relic id]],relic!$A:$A,relic!B:B,"")</f>
        <v>0</v>
      </c>
      <c r="C109" s="16">
        <f>_xlfn.XLOOKUP(表2[[#This Row],[relic id]],relic!$A:$A,relic!D:D,"")</f>
        <v>0</v>
      </c>
      <c r="D109" s="16" t="str">
        <f>IF(表2[[#This Row],[relic id]]&lt;&gt;"",_xlfn.XLOOKUP(表2[[#This Row],[relic id]],relic!$A:$A,relic!$T:$T),"")</f>
        <v/>
      </c>
      <c r="E109" s="16">
        <f>_xlfn.XLOOKUP(表2[[#This Row],[relic id]],relic!$A:$A,relic!G:G,"")</f>
        <v>0</v>
      </c>
      <c r="F109" s="16">
        <f>_xlfn.XLOOKUP(表2[[#This Row],[relic id]],relic!$A:$A,relic!H:H,"")</f>
        <v>0</v>
      </c>
    </row>
    <row r="110" spans="1:7" x14ac:dyDescent="0.2">
      <c r="A110" s="16">
        <v>302211</v>
      </c>
      <c r="B110" s="16" t="str">
        <f>_xlfn.XLOOKUP(表2[[#This Row],[relic id]],relic!$A:$A,relic!B:B,"")</f>
        <v>relic_name_302211</v>
      </c>
      <c r="C110" s="16" t="str">
        <f>_xlfn.XLOOKUP(表2[[#This Row],[relic id]],relic!$A:$A,relic!D:D,"")</f>
        <v>工头喇叭</v>
      </c>
      <c r="D110" s="16">
        <f>IF(表2[[#This Row],[relic id]]&lt;&gt;"",_xlfn.XLOOKUP(表2[[#This Row],[relic id]],relic!$A:$A,relic!$T:$T),"")</f>
        <v>-1</v>
      </c>
      <c r="E110" s="16" t="str">
        <f>_xlfn.XLOOKUP(表2[[#This Row],[relic id]],relic!$A:$A,relic!G:G,"")</f>
        <v>relic_desc_302211</v>
      </c>
      <c r="F110" s="16" t="str">
        <f>_xlfn.XLOOKUP(表2[[#This Row],[relic id]],relic!$A:$A,relic!H:H,"")</f>
        <v>远程武器 装填速率 + 20%</v>
      </c>
    </row>
    <row r="111" spans="1:7" x14ac:dyDescent="0.2">
      <c r="A111" s="16">
        <v>302212</v>
      </c>
      <c r="B111" s="16" t="str">
        <f>_xlfn.XLOOKUP(表2[[#This Row],[relic id]],relic!$A:$A,relic!B:B,"")</f>
        <v>relic_name_302212</v>
      </c>
      <c r="C111" s="16" t="str">
        <f>_xlfn.XLOOKUP(表2[[#This Row],[relic id]],relic!$A:$A,relic!D:D,"")</f>
        <v>工头喇叭</v>
      </c>
      <c r="D111" s="16">
        <f>IF(表2[[#This Row],[relic id]]&lt;&gt;"",_xlfn.XLOOKUP(表2[[#This Row],[relic id]],relic!$A:$A,relic!$T:$T),"")</f>
        <v>-1</v>
      </c>
      <c r="E111" s="16" t="str">
        <f>_xlfn.XLOOKUP(表2[[#This Row],[relic id]],relic!$A:$A,relic!G:G,"")</f>
        <v>relic_desc_302212</v>
      </c>
      <c r="F111" s="16" t="str">
        <f>_xlfn.XLOOKUP(表2[[#This Row],[relic id]],relic!$A:$A,relic!H:H,"")</f>
        <v>远程武器 装填速率 + 40%</v>
      </c>
    </row>
    <row r="112" spans="1:7" x14ac:dyDescent="0.2">
      <c r="A112" s="16">
        <v>302213</v>
      </c>
      <c r="B112" s="16" t="str">
        <f>_xlfn.XLOOKUP(表2[[#This Row],[relic id]],relic!$A:$A,relic!B:B,"")</f>
        <v>relic_name_302213</v>
      </c>
      <c r="C112" s="16" t="str">
        <f>_xlfn.XLOOKUP(表2[[#This Row],[relic id]],relic!$A:$A,relic!D:D,"")</f>
        <v>工头喇叭</v>
      </c>
      <c r="D112" s="16">
        <f>IF(表2[[#This Row],[relic id]]&lt;&gt;"",_xlfn.XLOOKUP(表2[[#This Row],[relic id]],relic!$A:$A,relic!$T:$T),"")</f>
        <v>-1</v>
      </c>
      <c r="E112" s="16" t="str">
        <f>_xlfn.XLOOKUP(表2[[#This Row],[relic id]],relic!$A:$A,relic!G:G,"")</f>
        <v>relic_desc_302213</v>
      </c>
      <c r="F112" s="16" t="str">
        <f>_xlfn.XLOOKUP(表2[[#This Row],[relic id]],relic!$A:$A,relic!H:H,"")</f>
        <v>远程武器 装填速率 + 60%</v>
      </c>
    </row>
    <row r="113" spans="1:7" x14ac:dyDescent="0.2">
      <c r="B113" s="16">
        <f>_xlfn.XLOOKUP(表2[[#This Row],[relic id]],relic!$A:$A,relic!B:B,"")</f>
        <v>0</v>
      </c>
      <c r="C113" s="16">
        <f>_xlfn.XLOOKUP(表2[[#This Row],[relic id]],relic!$A:$A,relic!D:D,"")</f>
        <v>0</v>
      </c>
      <c r="D113" s="16" t="str">
        <f>IF(表2[[#This Row],[relic id]]&lt;&gt;"",_xlfn.XLOOKUP(表2[[#This Row],[relic id]],relic!$A:$A,relic!$T:$T),"")</f>
        <v/>
      </c>
      <c r="E113" s="16">
        <f>_xlfn.XLOOKUP(表2[[#This Row],[relic id]],relic!$A:$A,relic!G:G,"")</f>
        <v>0</v>
      </c>
      <c r="F113" s="16">
        <f>_xlfn.XLOOKUP(表2[[#This Row],[relic id]],relic!$A:$A,relic!H:H,"")</f>
        <v>0</v>
      </c>
    </row>
    <row r="114" spans="1:7" x14ac:dyDescent="0.2">
      <c r="A114" s="16">
        <v>302221</v>
      </c>
      <c r="B114" s="16" t="str">
        <f>_xlfn.XLOOKUP(表2[[#This Row],[relic id]],relic!$A:$A,relic!B:B,"")</f>
        <v>relic_name_302221</v>
      </c>
      <c r="C114" s="16" t="str">
        <f>_xlfn.XLOOKUP(表2[[#This Row],[relic id]],relic!$A:$A,relic!D:D,"")</f>
        <v>典狱长徽章</v>
      </c>
      <c r="D114" s="16">
        <f>IF(表2[[#This Row],[relic id]]&lt;&gt;"",_xlfn.XLOOKUP(表2[[#This Row],[relic id]],relic!$A:$A,relic!$T:$T),"")</f>
        <v>-1</v>
      </c>
      <c r="E114" s="16" t="str">
        <f>_xlfn.XLOOKUP(表2[[#This Row],[relic id]],relic!$A:$A,relic!G:G,"")</f>
        <v>relic_desc_302221</v>
      </c>
      <c r="F114" s="16" t="str">
        <f>_xlfn.XLOOKUP(表2[[#This Row],[relic id]],relic!$A:$A,relic!H:H,"")</f>
        <v>远程武器 弹匣容量 + 20%</v>
      </c>
    </row>
    <row r="115" spans="1:7" x14ac:dyDescent="0.2">
      <c r="A115" s="16">
        <v>302222</v>
      </c>
      <c r="B115" s="16" t="str">
        <f>_xlfn.XLOOKUP(表2[[#This Row],[relic id]],relic!$A:$A,relic!B:B,"")</f>
        <v>relic_name_302222</v>
      </c>
      <c r="C115" s="16" t="str">
        <f>_xlfn.XLOOKUP(表2[[#This Row],[relic id]],relic!$A:$A,relic!D:D,"")</f>
        <v>典狱长徽章</v>
      </c>
      <c r="D115" s="16">
        <f>IF(表2[[#This Row],[relic id]]&lt;&gt;"",_xlfn.XLOOKUP(表2[[#This Row],[relic id]],relic!$A:$A,relic!$T:$T),"")</f>
        <v>-1</v>
      </c>
      <c r="E115" s="16" t="str">
        <f>_xlfn.XLOOKUP(表2[[#This Row],[relic id]],relic!$A:$A,relic!G:G,"")</f>
        <v>relic_desc_302222</v>
      </c>
      <c r="F115" s="16" t="str">
        <f>_xlfn.XLOOKUP(表2[[#This Row],[relic id]],relic!$A:$A,relic!H:H,"")</f>
        <v>远程武器 弹匣容量 + 40%</v>
      </c>
    </row>
    <row r="116" spans="1:7" x14ac:dyDescent="0.2">
      <c r="A116" s="16">
        <v>302223</v>
      </c>
      <c r="B116" s="16" t="str">
        <f>_xlfn.XLOOKUP(表2[[#This Row],[relic id]],relic!$A:$A,relic!B:B,"")</f>
        <v>relic_name_302223</v>
      </c>
      <c r="C116" s="16" t="str">
        <f>_xlfn.XLOOKUP(表2[[#This Row],[relic id]],relic!$A:$A,relic!D:D,"")</f>
        <v>典狱长徽章</v>
      </c>
      <c r="D116" s="16">
        <f>IF(表2[[#This Row],[relic id]]&lt;&gt;"",_xlfn.XLOOKUP(表2[[#This Row],[relic id]],relic!$A:$A,relic!$T:$T),"")</f>
        <v>-1</v>
      </c>
      <c r="E116" s="16" t="str">
        <f>_xlfn.XLOOKUP(表2[[#This Row],[relic id]],relic!$A:$A,relic!G:G,"")</f>
        <v>relic_desc_302223</v>
      </c>
      <c r="F116" s="16" t="str">
        <f>_xlfn.XLOOKUP(表2[[#This Row],[relic id]],relic!$A:$A,relic!H:H,"")</f>
        <v>远程武器 弹匣容量 + 60%</v>
      </c>
    </row>
    <row r="117" spans="1:7" x14ac:dyDescent="0.2">
      <c r="B117" s="16">
        <f>_xlfn.XLOOKUP(表2[[#This Row],[relic id]],relic!$A:$A,relic!B:B,"")</f>
        <v>0</v>
      </c>
      <c r="C117" s="16">
        <f>_xlfn.XLOOKUP(表2[[#This Row],[relic id]],relic!$A:$A,relic!D:D,"")</f>
        <v>0</v>
      </c>
      <c r="D117" s="16" t="str">
        <f>IF(表2[[#This Row],[relic id]]&lt;&gt;"",_xlfn.XLOOKUP(表2[[#This Row],[relic id]],relic!$A:$A,relic!$T:$T),"")</f>
        <v/>
      </c>
      <c r="E117" s="16">
        <f>_xlfn.XLOOKUP(表2[[#This Row],[relic id]],relic!$A:$A,relic!G:G,"")</f>
        <v>0</v>
      </c>
      <c r="F117" s="16">
        <f>_xlfn.XLOOKUP(表2[[#This Row],[relic id]],relic!$A:$A,relic!H:H,"")</f>
        <v>0</v>
      </c>
    </row>
    <row r="118" spans="1:7" x14ac:dyDescent="0.2">
      <c r="A118" s="16">
        <v>302231</v>
      </c>
      <c r="B118" s="16" t="str">
        <f>_xlfn.XLOOKUP(表2[[#This Row],[relic id]],relic!$A:$A,relic!B:B,"")</f>
        <v>relic_name_30223</v>
      </c>
      <c r="C118" s="16" t="str">
        <f>_xlfn.XLOOKUP(表2[[#This Row],[relic id]],relic!$A:$A,relic!D:D,"")</f>
        <v>太阳勋章</v>
      </c>
      <c r="D118" s="16">
        <f>IF(表2[[#This Row],[relic id]]&lt;&gt;"",_xlfn.XLOOKUP(表2[[#This Row],[relic id]],relic!$A:$A,relic!$T:$T),"")</f>
        <v>2</v>
      </c>
      <c r="E118" s="16" t="str">
        <f>_xlfn.XLOOKUP(表2[[#This Row],[relic id]],relic!$A:$A,relic!G:G,"")</f>
        <v>relic_desc_302231</v>
      </c>
      <c r="F118" s="16" t="str">
        <f>_xlfn.XLOOKUP(表2[[#This Row],[relic id]],relic!$A:$A,relic!H:H,"")</f>
        <v>远程武器 齐发数量 + 1</v>
      </c>
      <c r="G118" s="24" t="b">
        <v>1</v>
      </c>
    </row>
    <row r="119" spans="1:7" x14ac:dyDescent="0.2">
      <c r="A119" s="16">
        <v>302232</v>
      </c>
      <c r="B119" s="16" t="str">
        <f>_xlfn.XLOOKUP(表2[[#This Row],[relic id]],relic!$A:$A,relic!B:B,"")</f>
        <v>relic_name_30223</v>
      </c>
      <c r="C119" s="16" t="str">
        <f>_xlfn.XLOOKUP(表2[[#This Row],[relic id]],relic!$A:$A,relic!D:D,"")</f>
        <v>太阳勋章</v>
      </c>
      <c r="D119" s="16">
        <f>IF(表2[[#This Row],[relic id]]&lt;&gt;"",_xlfn.XLOOKUP(表2[[#This Row],[relic id]],relic!$A:$A,relic!$T:$T),"")</f>
        <v>3</v>
      </c>
      <c r="E119" s="16" t="str">
        <f>_xlfn.XLOOKUP(表2[[#This Row],[relic id]],relic!$A:$A,relic!G:G,"")</f>
        <v>relic_desc_302232</v>
      </c>
      <c r="F119" s="16" t="str">
        <f>_xlfn.XLOOKUP(表2[[#This Row],[relic id]],relic!$A:$A,relic!H:H,"")</f>
        <v>远程武器 齐发数量 + 2</v>
      </c>
      <c r="G119" s="24" t="b">
        <v>1</v>
      </c>
    </row>
    <row r="120" spans="1:7" x14ac:dyDescent="0.2">
      <c r="A120" s="16">
        <v>302233</v>
      </c>
      <c r="B120" s="16" t="str">
        <f>_xlfn.XLOOKUP(表2[[#This Row],[relic id]],relic!$A:$A,relic!B:B,"")</f>
        <v>relic_name_30223</v>
      </c>
      <c r="C120" s="16" t="str">
        <f>_xlfn.XLOOKUP(表2[[#This Row],[relic id]],relic!$A:$A,relic!D:D,"")</f>
        <v>太阳勋章</v>
      </c>
      <c r="D120" s="16">
        <f>IF(表2[[#This Row],[relic id]]&lt;&gt;"",_xlfn.XLOOKUP(表2[[#This Row],[relic id]],relic!$A:$A,relic!$T:$T),"")</f>
        <v>4</v>
      </c>
      <c r="E120" s="16" t="str">
        <f>_xlfn.XLOOKUP(表2[[#This Row],[relic id]],relic!$A:$A,relic!G:G,"")</f>
        <v>relic_desc_302233</v>
      </c>
      <c r="F120" s="16" t="str">
        <f>_xlfn.XLOOKUP(表2[[#This Row],[relic id]],relic!$A:$A,relic!H:H,"")</f>
        <v>远程武器 齐发数量 + 4</v>
      </c>
      <c r="G120" s="24" t="b">
        <v>1</v>
      </c>
    </row>
    <row r="121" spans="1:7" x14ac:dyDescent="0.2">
      <c r="B121" s="16">
        <f>_xlfn.XLOOKUP(表2[[#This Row],[relic id]],relic!$A:$A,relic!B:B,"")</f>
        <v>0</v>
      </c>
      <c r="C121" s="16">
        <f>_xlfn.XLOOKUP(表2[[#This Row],[relic id]],relic!$A:$A,relic!D:D,"")</f>
        <v>0</v>
      </c>
      <c r="D121" s="16" t="str">
        <f>IF(表2[[#This Row],[relic id]]&lt;&gt;"",_xlfn.XLOOKUP(表2[[#This Row],[relic id]],relic!$A:$A,relic!$T:$T),"")</f>
        <v/>
      </c>
      <c r="E121" s="16">
        <f>_xlfn.XLOOKUP(表2[[#This Row],[relic id]],relic!$A:$A,relic!G:G,"")</f>
        <v>0</v>
      </c>
      <c r="F121" s="16">
        <f>_xlfn.XLOOKUP(表2[[#This Row],[relic id]],relic!$A:$A,relic!H:H,"")</f>
        <v>0</v>
      </c>
    </row>
    <row r="122" spans="1:7" x14ac:dyDescent="0.2">
      <c r="A122" s="16">
        <v>302311</v>
      </c>
      <c r="B122" s="16" t="str">
        <f>_xlfn.XLOOKUP(表2[[#This Row],[relic id]],relic!$A:$A,relic!B:B,"")</f>
        <v>relic_name_302311</v>
      </c>
      <c r="C122" s="16" t="str">
        <f>_xlfn.XLOOKUP(表2[[#This Row],[relic id]],relic!$A:$A,relic!D:D,"")</f>
        <v>箱子</v>
      </c>
      <c r="D122" s="16">
        <f>IF(表2[[#This Row],[relic id]]&lt;&gt;"",_xlfn.XLOOKUP(表2[[#This Row],[relic id]],relic!$A:$A,relic!$T:$T),"")</f>
        <v>0</v>
      </c>
      <c r="E122" s="16" t="str">
        <f>_xlfn.XLOOKUP(表2[[#This Row],[relic id]],relic!$A:$A,relic!G:G,"")</f>
        <v>relic_desc_302311</v>
      </c>
      <c r="F122" s="16" t="str">
        <f>_xlfn.XLOOKUP(表2[[#This Row],[relic id]],relic!$A:$A,relic!H:H,"")</f>
        <v>远程武器 暴击时弹药恢复 + 1</v>
      </c>
    </row>
    <row r="123" spans="1:7" x14ac:dyDescent="0.2">
      <c r="A123" s="16">
        <v>302312</v>
      </c>
      <c r="B123" s="16" t="str">
        <f>_xlfn.XLOOKUP(表2[[#This Row],[relic id]],relic!$A:$A,relic!B:B,"")</f>
        <v>relic_name_302312</v>
      </c>
      <c r="C123" s="16" t="str">
        <f>_xlfn.XLOOKUP(表2[[#This Row],[relic id]],relic!$A:$A,relic!D:D,"")</f>
        <v>箱子</v>
      </c>
      <c r="D123" s="16">
        <f>IF(表2[[#This Row],[relic id]]&lt;&gt;"",_xlfn.XLOOKUP(表2[[#This Row],[relic id]],relic!$A:$A,relic!$T:$T),"")</f>
        <v>1</v>
      </c>
      <c r="E123" s="16" t="str">
        <f>_xlfn.XLOOKUP(表2[[#This Row],[relic id]],relic!$A:$A,relic!G:G,"")</f>
        <v>relic_desc_302312</v>
      </c>
      <c r="F123" s="16" t="str">
        <f>_xlfn.XLOOKUP(表2[[#This Row],[relic id]],relic!$A:$A,relic!H:H,"")</f>
        <v>远程武器 暴击时弹药恢复 + 2</v>
      </c>
    </row>
    <row r="124" spans="1:7" x14ac:dyDescent="0.2">
      <c r="A124" s="16">
        <v>302313</v>
      </c>
      <c r="B124" s="16" t="str">
        <f>_xlfn.XLOOKUP(表2[[#This Row],[relic id]],relic!$A:$A,relic!B:B,"")</f>
        <v>relic_name_302313</v>
      </c>
      <c r="C124" s="16" t="str">
        <f>_xlfn.XLOOKUP(表2[[#This Row],[relic id]],relic!$A:$A,relic!D:D,"")</f>
        <v>箱子</v>
      </c>
      <c r="D124" s="16">
        <f>IF(表2[[#This Row],[relic id]]&lt;&gt;"",_xlfn.XLOOKUP(表2[[#This Row],[relic id]],relic!$A:$A,relic!$T:$T),"")</f>
        <v>2</v>
      </c>
      <c r="E124" s="16" t="str">
        <f>_xlfn.XLOOKUP(表2[[#This Row],[relic id]],relic!$A:$A,relic!G:G,"")</f>
        <v>relic_desc_302313</v>
      </c>
      <c r="F124" s="16" t="str">
        <f>_xlfn.XLOOKUP(表2[[#This Row],[relic id]],relic!$A:$A,relic!H:H,"")</f>
        <v>远程武器 暴击时弹药恢复 + 3</v>
      </c>
    </row>
    <row r="125" spans="1:7" x14ac:dyDescent="0.2">
      <c r="B125" s="16">
        <f>_xlfn.XLOOKUP(表2[[#This Row],[relic id]],relic!$A:$A,relic!B:B,"")</f>
        <v>0</v>
      </c>
      <c r="C125" s="16">
        <f>_xlfn.XLOOKUP(表2[[#This Row],[relic id]],relic!$A:$A,relic!D:D,"")</f>
        <v>0</v>
      </c>
      <c r="D125" s="16" t="str">
        <f>IF(表2[[#This Row],[relic id]]&lt;&gt;"",_xlfn.XLOOKUP(表2[[#This Row],[relic id]],relic!$A:$A,relic!$T:$T),"")</f>
        <v/>
      </c>
      <c r="E125" s="16">
        <f>_xlfn.XLOOKUP(表2[[#This Row],[relic id]],relic!$A:$A,relic!G:G,"")</f>
        <v>0</v>
      </c>
      <c r="F125" s="16">
        <f>_xlfn.XLOOKUP(表2[[#This Row],[relic id]],relic!$A:$A,relic!H:H,"")</f>
        <v>0</v>
      </c>
    </row>
    <row r="126" spans="1:7" x14ac:dyDescent="0.2">
      <c r="A126" s="16">
        <v>302321</v>
      </c>
      <c r="B126" s="16" t="str">
        <f>_xlfn.XLOOKUP(表2[[#This Row],[relic id]],relic!$A:$A,relic!B:B,"")</f>
        <v>relic_name_30232</v>
      </c>
      <c r="C126" s="16" t="str">
        <f>_xlfn.XLOOKUP(表2[[#This Row],[relic id]],relic!$A:$A,relic!D:D,"")</f>
        <v>屋顶羊</v>
      </c>
      <c r="D126" s="16">
        <f>IF(表2[[#This Row],[relic id]]&lt;&gt;"",_xlfn.XLOOKUP(表2[[#This Row],[relic id]],relic!$A:$A,relic!$T:$T),"")</f>
        <v>0</v>
      </c>
      <c r="E126" s="16" t="str">
        <f>_xlfn.XLOOKUP(表2[[#This Row],[relic id]],relic!$A:$A,relic!G:G,"")</f>
        <v>relic_desc_302321</v>
      </c>
      <c r="F126" s="16" t="str">
        <f>_xlfn.XLOOKUP(表2[[#This Row],[relic id]],relic!$A:$A,relic!H:H,"")</f>
        <v>飞射物 体积增大 + 25%</v>
      </c>
      <c r="G126" s="24" t="b">
        <v>1</v>
      </c>
    </row>
    <row r="127" spans="1:7" x14ac:dyDescent="0.2">
      <c r="A127" s="16">
        <v>302322</v>
      </c>
      <c r="B127" s="16" t="str">
        <f>_xlfn.XLOOKUP(表2[[#This Row],[relic id]],relic!$A:$A,relic!B:B,"")</f>
        <v>relic_name_30232</v>
      </c>
      <c r="C127" s="16" t="str">
        <f>_xlfn.XLOOKUP(表2[[#This Row],[relic id]],relic!$A:$A,relic!D:D,"")</f>
        <v>屋顶羊</v>
      </c>
      <c r="D127" s="16">
        <f>IF(表2[[#This Row],[relic id]]&lt;&gt;"",_xlfn.XLOOKUP(表2[[#This Row],[relic id]],relic!$A:$A,relic!$T:$T),"")</f>
        <v>1</v>
      </c>
      <c r="E127" s="16" t="str">
        <f>_xlfn.XLOOKUP(表2[[#This Row],[relic id]],relic!$A:$A,relic!G:G,"")</f>
        <v>relic_desc_302322</v>
      </c>
      <c r="F127" s="16" t="str">
        <f>_xlfn.XLOOKUP(表2[[#This Row],[relic id]],relic!$A:$A,relic!H:H,"")</f>
        <v>飞射物 体积增大 + 40%</v>
      </c>
      <c r="G127" s="24" t="b">
        <v>1</v>
      </c>
    </row>
    <row r="128" spans="1:7" x14ac:dyDescent="0.2">
      <c r="A128" s="16">
        <v>302323</v>
      </c>
      <c r="B128" s="16" t="str">
        <f>_xlfn.XLOOKUP(表2[[#This Row],[relic id]],relic!$A:$A,relic!B:B,"")</f>
        <v>relic_name_30232</v>
      </c>
      <c r="C128" s="16" t="str">
        <f>_xlfn.XLOOKUP(表2[[#This Row],[relic id]],relic!$A:$A,relic!D:D,"")</f>
        <v>屋顶羊</v>
      </c>
      <c r="D128" s="16">
        <f>IF(表2[[#This Row],[relic id]]&lt;&gt;"",_xlfn.XLOOKUP(表2[[#This Row],[relic id]],relic!$A:$A,relic!$T:$T),"")</f>
        <v>2</v>
      </c>
      <c r="E128" s="16" t="str">
        <f>_xlfn.XLOOKUP(表2[[#This Row],[relic id]],relic!$A:$A,relic!G:G,"")</f>
        <v>relic_desc_302323</v>
      </c>
      <c r="F128" s="16" t="str">
        <f>_xlfn.XLOOKUP(表2[[#This Row],[relic id]],relic!$A:$A,relic!H:H,"")</f>
        <v>飞射物 体积增大 + 60%</v>
      </c>
      <c r="G128" s="24" t="b">
        <v>1</v>
      </c>
    </row>
    <row r="129" spans="1:6" x14ac:dyDescent="0.2">
      <c r="B129" s="16">
        <f>_xlfn.XLOOKUP(表2[[#This Row],[relic id]],relic!$A:$A,relic!B:B,"")</f>
        <v>0</v>
      </c>
      <c r="C129" s="16">
        <f>_xlfn.XLOOKUP(表2[[#This Row],[relic id]],relic!$A:$A,relic!D:D,"")</f>
        <v>0</v>
      </c>
      <c r="D129" s="16" t="str">
        <f>IF(表2[[#This Row],[relic id]]&lt;&gt;"",_xlfn.XLOOKUP(表2[[#This Row],[relic id]],relic!$A:$A,relic!$T:$T),"")</f>
        <v/>
      </c>
      <c r="E129" s="16">
        <f>_xlfn.XLOOKUP(表2[[#This Row],[relic id]],relic!$A:$A,relic!G:G,"")</f>
        <v>0</v>
      </c>
      <c r="F129" s="16">
        <f>_xlfn.XLOOKUP(表2[[#This Row],[relic id]],relic!$A:$A,relic!H:H,"")</f>
        <v>0</v>
      </c>
    </row>
    <row r="130" spans="1:6" x14ac:dyDescent="0.2">
      <c r="A130" s="16">
        <v>303211</v>
      </c>
      <c r="B130" s="16" t="str">
        <f>_xlfn.XLOOKUP(表2[[#This Row],[relic id]],relic!$A:$A,relic!B:B,"")</f>
        <v>relic_name_303211</v>
      </c>
      <c r="C130" s="16" t="str">
        <f>_xlfn.XLOOKUP(表2[[#This Row],[relic id]],relic!$A:$A,relic!D:D,"")</f>
        <v>赵日天原件</v>
      </c>
      <c r="D130" s="16">
        <f>IF(表2[[#This Row],[relic id]]&lt;&gt;"",_xlfn.XLOOKUP(表2[[#This Row],[relic id]],relic!$A:$A,relic!$T:$T),"")</f>
        <v>-1</v>
      </c>
      <c r="E130" s="16" t="str">
        <f>_xlfn.XLOOKUP(表2[[#This Row],[relic id]],relic!$A:$A,relic!G:G,"")</f>
        <v>relic_desc_303211</v>
      </c>
      <c r="F130" s="16" t="str">
        <f>_xlfn.XLOOKUP(表2[[#This Row],[relic id]],relic!$A:$A,relic!H:H,"")</f>
        <v>车轮 冲刺可用次数 + 1</v>
      </c>
    </row>
    <row r="131" spans="1:6" x14ac:dyDescent="0.2">
      <c r="A131" s="16">
        <v>303212</v>
      </c>
      <c r="B131" s="16" t="str">
        <f>_xlfn.XLOOKUP(表2[[#This Row],[relic id]],relic!$A:$A,relic!B:B,"")</f>
        <v>relic_name_303212</v>
      </c>
      <c r="C131" s="16" t="str">
        <f>_xlfn.XLOOKUP(表2[[#This Row],[relic id]],relic!$A:$A,relic!D:D,"")</f>
        <v>赵日天原件</v>
      </c>
      <c r="D131" s="16">
        <f>IF(表2[[#This Row],[relic id]]&lt;&gt;"",_xlfn.XLOOKUP(表2[[#This Row],[relic id]],relic!$A:$A,relic!$T:$T),"")</f>
        <v>-1</v>
      </c>
      <c r="E131" s="16" t="str">
        <f>_xlfn.XLOOKUP(表2[[#This Row],[relic id]],relic!$A:$A,relic!G:G,"")</f>
        <v>relic_desc_303212</v>
      </c>
      <c r="F131" s="16" t="str">
        <f>_xlfn.XLOOKUP(表2[[#This Row],[relic id]],relic!$A:$A,relic!H:H,"")</f>
        <v>车轮 冲刺可用次数 + 2</v>
      </c>
    </row>
    <row r="132" spans="1:6" x14ac:dyDescent="0.2">
      <c r="A132" s="16">
        <v>303213</v>
      </c>
      <c r="B132" s="16" t="str">
        <f>_xlfn.XLOOKUP(表2[[#This Row],[relic id]],relic!$A:$A,relic!B:B,"")</f>
        <v>relic_name_303213</v>
      </c>
      <c r="C132" s="16" t="str">
        <f>_xlfn.XLOOKUP(表2[[#This Row],[relic id]],relic!$A:$A,relic!D:D,"")</f>
        <v>赵日天原件</v>
      </c>
      <c r="D132" s="16">
        <f>IF(表2[[#This Row],[relic id]]&lt;&gt;"",_xlfn.XLOOKUP(表2[[#This Row],[relic id]],relic!$A:$A,relic!$T:$T),"")</f>
        <v>-1</v>
      </c>
      <c r="E132" s="16" t="str">
        <f>_xlfn.XLOOKUP(表2[[#This Row],[relic id]],relic!$A:$A,relic!G:G,"")</f>
        <v>relic_desc_303213</v>
      </c>
      <c r="F132" s="16" t="str">
        <f>_xlfn.XLOOKUP(表2[[#This Row],[relic id]],relic!$A:$A,relic!H:H,"")</f>
        <v>车轮 冲刺可用次数 + 3</v>
      </c>
    </row>
    <row r="133" spans="1:6" x14ac:dyDescent="0.2">
      <c r="B133" s="16">
        <f>_xlfn.XLOOKUP(表2[[#This Row],[relic id]],relic!$A:$A,relic!B:B,"")</f>
        <v>0</v>
      </c>
      <c r="C133" s="16">
        <f>_xlfn.XLOOKUP(表2[[#This Row],[relic id]],relic!$A:$A,relic!D:D,"")</f>
        <v>0</v>
      </c>
      <c r="D133" s="16" t="str">
        <f>IF(表2[[#This Row],[relic id]]&lt;&gt;"",_xlfn.XLOOKUP(表2[[#This Row],[relic id]],relic!$A:$A,relic!$T:$T),"")</f>
        <v/>
      </c>
      <c r="E133" s="16">
        <f>_xlfn.XLOOKUP(表2[[#This Row],[relic id]],relic!$A:$A,relic!G:G,"")</f>
        <v>0</v>
      </c>
      <c r="F133" s="16">
        <f>_xlfn.XLOOKUP(表2[[#This Row],[relic id]],relic!$A:$A,relic!H:H,"")</f>
        <v>0</v>
      </c>
    </row>
    <row r="134" spans="1:6" x14ac:dyDescent="0.2">
      <c r="A134" s="16">
        <v>303221</v>
      </c>
      <c r="B134" s="16" t="str">
        <f>_xlfn.XLOOKUP(表2[[#This Row],[relic id]],relic!$A:$A,relic!B:B,"")</f>
        <v>relic_name_303221</v>
      </c>
      <c r="C134" s="16" t="str">
        <f>_xlfn.XLOOKUP(表2[[#This Row],[relic id]],relic!$A:$A,relic!D:D,"")</f>
        <v>赵日天号</v>
      </c>
      <c r="D134" s="16">
        <f>IF(表2[[#This Row],[relic id]]&lt;&gt;"",_xlfn.XLOOKUP(表2[[#This Row],[relic id]],relic!$A:$A,relic!$T:$T),"")</f>
        <v>-1</v>
      </c>
      <c r="E134" s="16" t="str">
        <f>_xlfn.XLOOKUP(表2[[#This Row],[relic id]],relic!$A:$A,relic!G:G,"")</f>
        <v>relic_desc_303221</v>
      </c>
      <c r="F134" s="16" t="str">
        <f>_xlfn.XLOOKUP(表2[[#This Row],[relic id]],relic!$A:$A,relic!H:H,"")</f>
        <v>车轮 冲刺效果提升 + 15%</v>
      </c>
    </row>
    <row r="135" spans="1:6" x14ac:dyDescent="0.2">
      <c r="A135" s="16">
        <v>303222</v>
      </c>
      <c r="B135" s="16" t="str">
        <f>_xlfn.XLOOKUP(表2[[#This Row],[relic id]],relic!$A:$A,relic!B:B,"")</f>
        <v>relic_name_303222</v>
      </c>
      <c r="C135" s="16" t="str">
        <f>_xlfn.XLOOKUP(表2[[#This Row],[relic id]],relic!$A:$A,relic!D:D,"")</f>
        <v>赵日天号</v>
      </c>
      <c r="D135" s="16">
        <f>IF(表2[[#This Row],[relic id]]&lt;&gt;"",_xlfn.XLOOKUP(表2[[#This Row],[relic id]],relic!$A:$A,relic!$T:$T),"")</f>
        <v>-1</v>
      </c>
      <c r="E135" s="16" t="str">
        <f>_xlfn.XLOOKUP(表2[[#This Row],[relic id]],relic!$A:$A,relic!G:G,"")</f>
        <v>relic_desc_303222</v>
      </c>
      <c r="F135" s="16" t="str">
        <f>_xlfn.XLOOKUP(表2[[#This Row],[relic id]],relic!$A:$A,relic!H:H,"")</f>
        <v>车轮 冲刺效果提升 + 30%</v>
      </c>
    </row>
    <row r="136" spans="1:6" x14ac:dyDescent="0.2">
      <c r="A136" s="16">
        <v>303223</v>
      </c>
      <c r="B136" s="16" t="str">
        <f>_xlfn.XLOOKUP(表2[[#This Row],[relic id]],relic!$A:$A,relic!B:B,"")</f>
        <v>relic_name_303223</v>
      </c>
      <c r="C136" s="16" t="str">
        <f>_xlfn.XLOOKUP(表2[[#This Row],[relic id]],relic!$A:$A,relic!D:D,"")</f>
        <v>赵日天号</v>
      </c>
      <c r="D136" s="16">
        <f>IF(表2[[#This Row],[relic id]]&lt;&gt;"",_xlfn.XLOOKUP(表2[[#This Row],[relic id]],relic!$A:$A,relic!$T:$T),"")</f>
        <v>-1</v>
      </c>
      <c r="E136" s="16" t="str">
        <f>_xlfn.XLOOKUP(表2[[#This Row],[relic id]],relic!$A:$A,relic!G:G,"")</f>
        <v>relic_desc_303223</v>
      </c>
      <c r="F136" s="16" t="str">
        <f>_xlfn.XLOOKUP(表2[[#This Row],[relic id]],relic!$A:$A,relic!H:H,"")</f>
        <v>车轮 冲刺效果提升 + 45%</v>
      </c>
    </row>
    <row r="137" spans="1:6" x14ac:dyDescent="0.2">
      <c r="B137" s="16">
        <f>_xlfn.XLOOKUP(表2[[#This Row],[relic id]],relic!$A:$A,relic!B:B,"")</f>
        <v>0</v>
      </c>
      <c r="C137" s="16">
        <f>_xlfn.XLOOKUP(表2[[#This Row],[relic id]],relic!$A:$A,relic!D:D,"")</f>
        <v>0</v>
      </c>
      <c r="D137" s="16" t="str">
        <f>IF(表2[[#This Row],[relic id]]&lt;&gt;"",_xlfn.XLOOKUP(表2[[#This Row],[relic id]],relic!$A:$A,relic!$T:$T),"")</f>
        <v/>
      </c>
      <c r="E137" s="16">
        <f>_xlfn.XLOOKUP(表2[[#This Row],[relic id]],relic!$A:$A,relic!G:G,"")</f>
        <v>0</v>
      </c>
      <c r="F137" s="16">
        <f>_xlfn.XLOOKUP(表2[[#This Row],[relic id]],relic!$A:$A,relic!H:H,"")</f>
        <v>0</v>
      </c>
    </row>
    <row r="138" spans="1:6" x14ac:dyDescent="0.2">
      <c r="A138" s="16">
        <v>303231</v>
      </c>
      <c r="B138" s="16" t="str">
        <f>_xlfn.XLOOKUP(表2[[#This Row],[relic id]],relic!$A:$A,relic!B:B,"")</f>
        <v>relic_name_303231</v>
      </c>
      <c r="C138" s="16" t="str">
        <f>_xlfn.XLOOKUP(表2[[#This Row],[relic id]],relic!$A:$A,relic!D:D,"")</f>
        <v>赵日天能量球</v>
      </c>
      <c r="D138" s="16">
        <f>IF(表2[[#This Row],[relic id]]&lt;&gt;"",_xlfn.XLOOKUP(表2[[#This Row],[relic id]],relic!$A:$A,relic!$T:$T),"")</f>
        <v>-1</v>
      </c>
      <c r="E138" s="16" t="str">
        <f>_xlfn.XLOOKUP(表2[[#This Row],[relic id]],relic!$A:$A,relic!G:G,"")</f>
        <v>relic_desc_303231</v>
      </c>
      <c r="F138" s="16" t="str">
        <f>_xlfn.XLOOKUP(表2[[#This Row],[relic id]],relic!$A:$A,relic!H:H,"")</f>
        <v>车轮 冲刺能量恢复 + 12%</v>
      </c>
    </row>
    <row r="139" spans="1:6" x14ac:dyDescent="0.2">
      <c r="A139" s="16">
        <v>303232</v>
      </c>
      <c r="B139" s="16" t="str">
        <f>_xlfn.XLOOKUP(表2[[#This Row],[relic id]],relic!$A:$A,relic!B:B,"")</f>
        <v>relic_name_303232</v>
      </c>
      <c r="C139" s="16" t="str">
        <f>_xlfn.XLOOKUP(表2[[#This Row],[relic id]],relic!$A:$A,relic!D:D,"")</f>
        <v>赵日天能量球</v>
      </c>
      <c r="D139" s="16">
        <f>IF(表2[[#This Row],[relic id]]&lt;&gt;"",_xlfn.XLOOKUP(表2[[#This Row],[relic id]],relic!$A:$A,relic!$T:$T),"")</f>
        <v>-1</v>
      </c>
      <c r="E139" s="16" t="str">
        <f>_xlfn.XLOOKUP(表2[[#This Row],[relic id]],relic!$A:$A,relic!G:G,"")</f>
        <v>relic_desc_303232</v>
      </c>
      <c r="F139" s="16" t="str">
        <f>_xlfn.XLOOKUP(表2[[#This Row],[relic id]],relic!$A:$A,relic!H:H,"")</f>
        <v>车轮 冲刺能量恢复 + 24%</v>
      </c>
    </row>
    <row r="140" spans="1:6" x14ac:dyDescent="0.2">
      <c r="A140" s="16">
        <v>303233</v>
      </c>
      <c r="B140" s="16" t="str">
        <f>_xlfn.XLOOKUP(表2[[#This Row],[relic id]],relic!$A:$A,relic!B:B,"")</f>
        <v>relic_name_303233</v>
      </c>
      <c r="C140" s="16" t="str">
        <f>_xlfn.XLOOKUP(表2[[#This Row],[relic id]],relic!$A:$A,relic!D:D,"")</f>
        <v>赵日天能量球</v>
      </c>
      <c r="D140" s="16">
        <f>IF(表2[[#This Row],[relic id]]&lt;&gt;"",_xlfn.XLOOKUP(表2[[#This Row],[relic id]],relic!$A:$A,relic!$T:$T),"")</f>
        <v>-1</v>
      </c>
      <c r="E140" s="16" t="str">
        <f>_xlfn.XLOOKUP(表2[[#This Row],[relic id]],relic!$A:$A,relic!G:G,"")</f>
        <v>relic_desc_303233</v>
      </c>
      <c r="F140" s="16" t="str">
        <f>_xlfn.XLOOKUP(表2[[#This Row],[relic id]],relic!$A:$A,relic!H:H,"")</f>
        <v>车轮 冲刺能量恢复 + 36%</v>
      </c>
    </row>
    <row r="141" spans="1:6" x14ac:dyDescent="0.2">
      <c r="B141" s="16">
        <f>_xlfn.XLOOKUP(表2[[#This Row],[relic id]],relic!$A:$A,relic!B:B,"")</f>
        <v>0</v>
      </c>
      <c r="C141" s="16">
        <f>_xlfn.XLOOKUP(表2[[#This Row],[relic id]],relic!$A:$A,relic!D:D,"")</f>
        <v>0</v>
      </c>
      <c r="D141" s="16" t="str">
        <f>IF(表2[[#This Row],[relic id]]&lt;&gt;"",_xlfn.XLOOKUP(表2[[#This Row],[relic id]],relic!$A:$A,relic!$T:$T),"")</f>
        <v/>
      </c>
      <c r="E141" s="16">
        <f>_xlfn.XLOOKUP(表2[[#This Row],[relic id]],relic!$A:$A,relic!G:G,"")</f>
        <v>0</v>
      </c>
      <c r="F141" s="16">
        <f>_xlfn.XLOOKUP(表2[[#This Row],[relic id]],relic!$A:$A,relic!H:H,"")</f>
        <v>0</v>
      </c>
    </row>
    <row r="142" spans="1:6" x14ac:dyDescent="0.2">
      <c r="A142" s="16">
        <v>303241</v>
      </c>
      <c r="B142" s="16" t="str">
        <f>_xlfn.XLOOKUP(表2[[#This Row],[relic id]],relic!$A:$A,relic!B:B,"")</f>
        <v>relic_name_303241</v>
      </c>
      <c r="C142" s="16" t="str">
        <f>_xlfn.XLOOKUP(表2[[#This Row],[relic id]],relic!$A:$A,relic!D:D,"")</f>
        <v>赵日天核心</v>
      </c>
      <c r="D142" s="16">
        <f>IF(表2[[#This Row],[relic id]]&lt;&gt;"",_xlfn.XLOOKUP(表2[[#This Row],[relic id]],relic!$A:$A,relic!$T:$T),"")</f>
        <v>-1</v>
      </c>
      <c r="E142" s="16" t="str">
        <f>_xlfn.XLOOKUP(表2[[#This Row],[relic id]],relic!$A:$A,relic!G:G,"")</f>
        <v>relic_desc_303241</v>
      </c>
      <c r="F142" s="16" t="str">
        <f>_xlfn.XLOOKUP(表2[[#This Row],[relic id]],relic!$A:$A,relic!H:H,"")</f>
        <v>车轮 动力增强 + 8%</v>
      </c>
    </row>
    <row r="143" spans="1:6" x14ac:dyDescent="0.2">
      <c r="A143" s="16">
        <v>303242</v>
      </c>
      <c r="B143" s="16" t="str">
        <f>_xlfn.XLOOKUP(表2[[#This Row],[relic id]],relic!$A:$A,relic!B:B,"")</f>
        <v>relic_name_303242</v>
      </c>
      <c r="C143" s="16" t="str">
        <f>_xlfn.XLOOKUP(表2[[#This Row],[relic id]],relic!$A:$A,relic!D:D,"")</f>
        <v>赵日天核心</v>
      </c>
      <c r="D143" s="16">
        <f>IF(表2[[#This Row],[relic id]]&lt;&gt;"",_xlfn.XLOOKUP(表2[[#This Row],[relic id]],relic!$A:$A,relic!$T:$T),"")</f>
        <v>-1</v>
      </c>
      <c r="E143" s="16" t="str">
        <f>_xlfn.XLOOKUP(表2[[#This Row],[relic id]],relic!$A:$A,relic!G:G,"")</f>
        <v>relic_desc_303242</v>
      </c>
      <c r="F143" s="16" t="str">
        <f>_xlfn.XLOOKUP(表2[[#This Row],[relic id]],relic!$A:$A,relic!H:H,"")</f>
        <v>车轮 动力增强 + 16%</v>
      </c>
    </row>
    <row r="144" spans="1:6" x14ac:dyDescent="0.2">
      <c r="A144" s="16">
        <v>303243</v>
      </c>
      <c r="B144" s="16" t="str">
        <f>_xlfn.XLOOKUP(表2[[#This Row],[relic id]],relic!$A:$A,relic!B:B,"")</f>
        <v>relic_name_303243</v>
      </c>
      <c r="C144" s="16" t="str">
        <f>_xlfn.XLOOKUP(表2[[#This Row],[relic id]],relic!$A:$A,relic!D:D,"")</f>
        <v>赵日天核心</v>
      </c>
      <c r="D144" s="16">
        <f>IF(表2[[#This Row],[relic id]]&lt;&gt;"",_xlfn.XLOOKUP(表2[[#This Row],[relic id]],relic!$A:$A,relic!$T:$T),"")</f>
        <v>-1</v>
      </c>
      <c r="E144" s="16" t="str">
        <f>_xlfn.XLOOKUP(表2[[#This Row],[relic id]],relic!$A:$A,relic!G:G,"")</f>
        <v>relic_desc_303243</v>
      </c>
      <c r="F144" s="16" t="str">
        <f>_xlfn.XLOOKUP(表2[[#This Row],[relic id]],relic!$A:$A,relic!H:H,"")</f>
        <v>车轮 动力增强 + 24%</v>
      </c>
    </row>
    <row r="145" spans="1:6" x14ac:dyDescent="0.2">
      <c r="B145" s="16">
        <f>_xlfn.XLOOKUP(表2[[#This Row],[relic id]],relic!$A:$A,relic!B:B,"")</f>
        <v>0</v>
      </c>
      <c r="C145" s="16">
        <f>_xlfn.XLOOKUP(表2[[#This Row],[relic id]],relic!$A:$A,relic!D:D,"")</f>
        <v>0</v>
      </c>
      <c r="D145" s="16" t="str">
        <f>IF(表2[[#This Row],[relic id]]&lt;&gt;"",_xlfn.XLOOKUP(表2[[#This Row],[relic id]],relic!$A:$A,relic!$T:$T),"")</f>
        <v/>
      </c>
      <c r="E145" s="16">
        <f>_xlfn.XLOOKUP(表2[[#This Row],[relic id]],relic!$A:$A,relic!G:G,"")</f>
        <v>0</v>
      </c>
      <c r="F145" s="16">
        <f>_xlfn.XLOOKUP(表2[[#This Row],[relic id]],relic!$A:$A,relic!H:H,"")</f>
        <v>0</v>
      </c>
    </row>
    <row r="146" spans="1:6" x14ac:dyDescent="0.2">
      <c r="A146" s="16">
        <v>306211</v>
      </c>
      <c r="B146" s="16" t="str">
        <f>_xlfn.XLOOKUP(表2[[#This Row],[relic id]],relic!$A:$A,relic!B:B,"")</f>
        <v>relic_name_306211</v>
      </c>
      <c r="C146" s="16" t="str">
        <f>_xlfn.XLOOKUP(表2[[#This Row],[relic id]],relic!$A:$A,relic!D:D,"")</f>
        <v>警官帽</v>
      </c>
      <c r="D146" s="16">
        <f>IF(表2[[#This Row],[relic id]]&lt;&gt;"",_xlfn.XLOOKUP(表2[[#This Row],[relic id]],relic!$A:$A,relic!$T:$T),"")</f>
        <v>-1</v>
      </c>
      <c r="E146" s="16" t="str">
        <f>_xlfn.XLOOKUP(表2[[#This Row],[relic id]],relic!$A:$A,relic!G:G,"")</f>
        <v>relic_desc_306211</v>
      </c>
      <c r="F146" s="16" t="str">
        <f>_xlfn.XLOOKUP(表2[[#This Row],[relic id]],relic!$A:$A,relic!H:H,"")</f>
        <v>撞角 稳定性 + 30%</v>
      </c>
    </row>
    <row r="147" spans="1:6" x14ac:dyDescent="0.2">
      <c r="A147" s="16">
        <v>306212</v>
      </c>
      <c r="B147" s="16" t="str">
        <f>_xlfn.XLOOKUP(表2[[#This Row],[relic id]],relic!$A:$A,relic!B:B,"")</f>
        <v>relic_name_306212</v>
      </c>
      <c r="C147" s="16" t="str">
        <f>_xlfn.XLOOKUP(表2[[#This Row],[relic id]],relic!$A:$A,relic!D:D,"")</f>
        <v>警官帽</v>
      </c>
      <c r="D147" s="16">
        <f>IF(表2[[#This Row],[relic id]]&lt;&gt;"",_xlfn.XLOOKUP(表2[[#This Row],[relic id]],relic!$A:$A,relic!$T:$T),"")</f>
        <v>-1</v>
      </c>
      <c r="E147" s="16" t="str">
        <f>_xlfn.XLOOKUP(表2[[#This Row],[relic id]],relic!$A:$A,relic!G:G,"")</f>
        <v>relic_desc_306212</v>
      </c>
      <c r="F147" s="16" t="str">
        <f>_xlfn.XLOOKUP(表2[[#This Row],[relic id]],relic!$A:$A,relic!H:H,"")</f>
        <v>撞角 稳定性 + 60%</v>
      </c>
    </row>
    <row r="148" spans="1:6" x14ac:dyDescent="0.2">
      <c r="A148" s="16">
        <v>306213</v>
      </c>
      <c r="B148" s="16" t="str">
        <f>_xlfn.XLOOKUP(表2[[#This Row],[relic id]],relic!$A:$A,relic!B:B,"")</f>
        <v>relic_name_306213</v>
      </c>
      <c r="C148" s="16" t="str">
        <f>_xlfn.XLOOKUP(表2[[#This Row],[relic id]],relic!$A:$A,relic!D:D,"")</f>
        <v>警官帽</v>
      </c>
      <c r="D148" s="16">
        <f>IF(表2[[#This Row],[relic id]]&lt;&gt;"",_xlfn.XLOOKUP(表2[[#This Row],[relic id]],relic!$A:$A,relic!$T:$T),"")</f>
        <v>-1</v>
      </c>
      <c r="E148" s="16" t="str">
        <f>_xlfn.XLOOKUP(表2[[#This Row],[relic id]],relic!$A:$A,relic!G:G,"")</f>
        <v>relic_desc_306213</v>
      </c>
      <c r="F148" s="16" t="str">
        <f>_xlfn.XLOOKUP(表2[[#This Row],[relic id]],relic!$A:$A,relic!H:H,"")</f>
        <v>撞角 稳定性 + 90%</v>
      </c>
    </row>
    <row r="149" spans="1:6" x14ac:dyDescent="0.2">
      <c r="B149" s="16">
        <f>_xlfn.XLOOKUP(表2[[#This Row],[relic id]],relic!$A:$A,relic!B:B,"")</f>
        <v>0</v>
      </c>
      <c r="C149" s="16">
        <f>_xlfn.XLOOKUP(表2[[#This Row],[relic id]],relic!$A:$A,relic!D:D,"")</f>
        <v>0</v>
      </c>
      <c r="D149" s="16" t="str">
        <f>IF(表2[[#This Row],[relic id]]&lt;&gt;"",_xlfn.XLOOKUP(表2[[#This Row],[relic id]],relic!$A:$A,relic!$T:$T),"")</f>
        <v/>
      </c>
      <c r="E149" s="16">
        <f>_xlfn.XLOOKUP(表2[[#This Row],[relic id]],relic!$A:$A,relic!G:G,"")</f>
        <v>0</v>
      </c>
      <c r="F149" s="16">
        <f>_xlfn.XLOOKUP(表2[[#This Row],[relic id]],relic!$A:$A,relic!H:H,"")</f>
        <v>0</v>
      </c>
    </row>
    <row r="150" spans="1:6" x14ac:dyDescent="0.2">
      <c r="A150" s="16">
        <v>306221</v>
      </c>
      <c r="B150" s="16" t="str">
        <f>_xlfn.XLOOKUP(表2[[#This Row],[relic id]],relic!$A:$A,relic!B:B,"")</f>
        <v>relic_name_306221</v>
      </c>
      <c r="C150" s="16" t="str">
        <f>_xlfn.XLOOKUP(表2[[#This Row],[relic id]],relic!$A:$A,relic!D:D,"")</f>
        <v>花洒</v>
      </c>
      <c r="D150" s="16">
        <f>IF(表2[[#This Row],[relic id]]&lt;&gt;"",_xlfn.XLOOKUP(表2[[#This Row],[relic id]],relic!$A:$A,relic!$T:$T),"")</f>
        <v>-1</v>
      </c>
      <c r="E150" s="16" t="str">
        <f>_xlfn.XLOOKUP(表2[[#This Row],[relic id]],relic!$A:$A,relic!G:G,"")</f>
        <v>relic_desc_306221</v>
      </c>
      <c r="F150" s="16" t="str">
        <f>_xlfn.XLOOKUP(表2[[#This Row],[relic id]],relic!$A:$A,relic!H:H,"")</f>
        <v>撞角 操纵性 + 15%</v>
      </c>
    </row>
    <row r="151" spans="1:6" x14ac:dyDescent="0.2">
      <c r="A151" s="16">
        <v>306222</v>
      </c>
      <c r="B151" s="16" t="str">
        <f>_xlfn.XLOOKUP(表2[[#This Row],[relic id]],relic!$A:$A,relic!B:B,"")</f>
        <v>relic_name_306222</v>
      </c>
      <c r="C151" s="16" t="str">
        <f>_xlfn.XLOOKUP(表2[[#This Row],[relic id]],relic!$A:$A,relic!D:D,"")</f>
        <v>花洒</v>
      </c>
      <c r="D151" s="16">
        <f>IF(表2[[#This Row],[relic id]]&lt;&gt;"",_xlfn.XLOOKUP(表2[[#This Row],[relic id]],relic!$A:$A,relic!$T:$T),"")</f>
        <v>-1</v>
      </c>
      <c r="E151" s="16" t="str">
        <f>_xlfn.XLOOKUP(表2[[#This Row],[relic id]],relic!$A:$A,relic!G:G,"")</f>
        <v>relic_desc_306222</v>
      </c>
      <c r="F151" s="16" t="str">
        <f>_xlfn.XLOOKUP(表2[[#This Row],[relic id]],relic!$A:$A,relic!H:H,"")</f>
        <v>撞角 操纵性 + 30%</v>
      </c>
    </row>
    <row r="152" spans="1:6" x14ac:dyDescent="0.2">
      <c r="A152" s="16">
        <v>306223</v>
      </c>
      <c r="B152" s="16" t="str">
        <f>_xlfn.XLOOKUP(表2[[#This Row],[relic id]],relic!$A:$A,relic!B:B,"")</f>
        <v>relic_name_306223</v>
      </c>
      <c r="C152" s="16" t="str">
        <f>_xlfn.XLOOKUP(表2[[#This Row],[relic id]],relic!$A:$A,relic!D:D,"")</f>
        <v>花洒</v>
      </c>
      <c r="D152" s="16">
        <f>IF(表2[[#This Row],[relic id]]&lt;&gt;"",_xlfn.XLOOKUP(表2[[#This Row],[relic id]],relic!$A:$A,relic!$T:$T),"")</f>
        <v>-1</v>
      </c>
      <c r="E152" s="16" t="str">
        <f>_xlfn.XLOOKUP(表2[[#This Row],[relic id]],relic!$A:$A,relic!G:G,"")</f>
        <v>relic_desc_306223</v>
      </c>
      <c r="F152" s="16" t="str">
        <f>_xlfn.XLOOKUP(表2[[#This Row],[relic id]],relic!$A:$A,relic!H:H,"")</f>
        <v>撞角 操纵性 + 45%</v>
      </c>
    </row>
    <row r="153" spans="1:6" x14ac:dyDescent="0.2">
      <c r="B153" s="16">
        <f>_xlfn.XLOOKUP(表2[[#This Row],[relic id]],relic!$A:$A,relic!B:B,"")</f>
        <v>0</v>
      </c>
      <c r="C153" s="16">
        <f>_xlfn.XLOOKUP(表2[[#This Row],[relic id]],relic!$A:$A,relic!D:D,"")</f>
        <v>0</v>
      </c>
      <c r="D153" s="16" t="str">
        <f>IF(表2[[#This Row],[relic id]]&lt;&gt;"",_xlfn.XLOOKUP(表2[[#This Row],[relic id]],relic!$A:$A,relic!$T:$T),"")</f>
        <v/>
      </c>
      <c r="E153" s="16">
        <f>_xlfn.XLOOKUP(表2[[#This Row],[relic id]],relic!$A:$A,relic!G:G,"")</f>
        <v>0</v>
      </c>
      <c r="F153" s="16">
        <f>_xlfn.XLOOKUP(表2[[#This Row],[relic id]],relic!$A:$A,relic!H:H,"")</f>
        <v>0</v>
      </c>
    </row>
    <row r="154" spans="1:6" x14ac:dyDescent="0.2">
      <c r="A154" s="16">
        <v>306231</v>
      </c>
      <c r="B154" s="16" t="str">
        <f>_xlfn.XLOOKUP(表2[[#This Row],[relic id]],relic!$A:$A,relic!B:B,"")</f>
        <v>relic_name_306231</v>
      </c>
      <c r="C154" s="16" t="str">
        <f>_xlfn.XLOOKUP(表2[[#This Row],[relic id]],relic!$A:$A,relic!D:D,"")</f>
        <v>牢房门</v>
      </c>
      <c r="D154" s="16">
        <f>IF(表2[[#This Row],[relic id]]&lt;&gt;"",_xlfn.XLOOKUP(表2[[#This Row],[relic id]],relic!$A:$A,relic!$T:$T),"")</f>
        <v>-1</v>
      </c>
      <c r="E154" s="16" t="str">
        <f>_xlfn.XLOOKUP(表2[[#This Row],[relic id]],relic!$A:$A,relic!G:G,"")</f>
        <v>relic_desc_306231</v>
      </c>
      <c r="F154" s="16" t="str">
        <f>_xlfn.XLOOKUP(表2[[#This Row],[relic id]],relic!$A:$A,relic!H:H,"")</f>
        <v>撞角 速度伤害附加 + 20%</v>
      </c>
    </row>
    <row r="155" spans="1:6" x14ac:dyDescent="0.2">
      <c r="A155" s="16">
        <v>306232</v>
      </c>
      <c r="B155" s="16" t="str">
        <f>_xlfn.XLOOKUP(表2[[#This Row],[relic id]],relic!$A:$A,relic!B:B,"")</f>
        <v>relic_name_306232</v>
      </c>
      <c r="C155" s="16" t="str">
        <f>_xlfn.XLOOKUP(表2[[#This Row],[relic id]],relic!$A:$A,relic!D:D,"")</f>
        <v>牢房门</v>
      </c>
      <c r="D155" s="16">
        <f>IF(表2[[#This Row],[relic id]]&lt;&gt;"",_xlfn.XLOOKUP(表2[[#This Row],[relic id]],relic!$A:$A,relic!$T:$T),"")</f>
        <v>-1</v>
      </c>
      <c r="E155" s="16" t="str">
        <f>_xlfn.XLOOKUP(表2[[#This Row],[relic id]],relic!$A:$A,relic!G:G,"")</f>
        <v>relic_desc_306232</v>
      </c>
      <c r="F155" s="16" t="str">
        <f>_xlfn.XLOOKUP(表2[[#This Row],[relic id]],relic!$A:$A,relic!H:H,"")</f>
        <v>撞角 速度伤害附加 + 40%</v>
      </c>
    </row>
    <row r="156" spans="1:6" x14ac:dyDescent="0.2">
      <c r="A156" s="16">
        <v>306233</v>
      </c>
      <c r="B156" s="16" t="str">
        <f>_xlfn.XLOOKUP(表2[[#This Row],[relic id]],relic!$A:$A,relic!B:B,"")</f>
        <v>relic_name_306233</v>
      </c>
      <c r="C156" s="16" t="str">
        <f>_xlfn.XLOOKUP(表2[[#This Row],[relic id]],relic!$A:$A,relic!D:D,"")</f>
        <v>牢房门</v>
      </c>
      <c r="D156" s="16">
        <f>IF(表2[[#This Row],[relic id]]&lt;&gt;"",_xlfn.XLOOKUP(表2[[#This Row],[relic id]],relic!$A:$A,relic!$T:$T),"")</f>
        <v>-1</v>
      </c>
      <c r="E156" s="16" t="str">
        <f>_xlfn.XLOOKUP(表2[[#This Row],[relic id]],relic!$A:$A,relic!G:G,"")</f>
        <v>relic_desc_306233</v>
      </c>
      <c r="F156" s="16" t="str">
        <f>_xlfn.XLOOKUP(表2[[#This Row],[relic id]],relic!$A:$A,relic!H:H,"")</f>
        <v>撞角 速度伤害附加 + 60%</v>
      </c>
    </row>
    <row r="157" spans="1:6" x14ac:dyDescent="0.2">
      <c r="B157" s="16">
        <f>_xlfn.XLOOKUP(表2[[#This Row],[relic id]],relic!$A:$A,relic!B:B,"")</f>
        <v>0</v>
      </c>
      <c r="C157" s="16">
        <f>_xlfn.XLOOKUP(表2[[#This Row],[relic id]],relic!$A:$A,relic!D:D,"")</f>
        <v>0</v>
      </c>
      <c r="D157" s="16" t="str">
        <f>IF(表2[[#This Row],[relic id]]&lt;&gt;"",_xlfn.XLOOKUP(表2[[#This Row],[relic id]],relic!$A:$A,relic!$T:$T),"")</f>
        <v/>
      </c>
      <c r="E157" s="16">
        <f>_xlfn.XLOOKUP(表2[[#This Row],[relic id]],relic!$A:$A,relic!G:G,"")</f>
        <v>0</v>
      </c>
      <c r="F157" s="16">
        <f>_xlfn.XLOOKUP(表2[[#This Row],[relic id]],relic!$A:$A,relic!H:H,"")</f>
        <v>0</v>
      </c>
    </row>
    <row r="158" spans="1:6" x14ac:dyDescent="0.2">
      <c r="B158" s="16">
        <f>_xlfn.XLOOKUP(表2[[#This Row],[relic id]],relic!$A:$A,relic!B:B,"")</f>
        <v>0</v>
      </c>
      <c r="C158" s="16">
        <f>_xlfn.XLOOKUP(表2[[#This Row],[relic id]],relic!$A:$A,relic!D:D,"")</f>
        <v>0</v>
      </c>
      <c r="D158" s="16" t="str">
        <f>IF(表2[[#This Row],[relic id]]&lt;&gt;"",_xlfn.XLOOKUP(表2[[#This Row],[relic id]],relic!$A:$A,relic!$T:$T),"")</f>
        <v/>
      </c>
      <c r="E158" s="16">
        <f>_xlfn.XLOOKUP(表2[[#This Row],[relic id]],relic!$A:$A,relic!G:G,"")</f>
        <v>0</v>
      </c>
      <c r="F158" s="16">
        <f>_xlfn.XLOOKUP(表2[[#This Row],[relic id]],relic!$A:$A,relic!H:H,"")</f>
        <v>0</v>
      </c>
    </row>
    <row r="159" spans="1:6" x14ac:dyDescent="0.2">
      <c r="B159" s="16">
        <f>_xlfn.XLOOKUP(表2[[#This Row],[relic id]],relic!$A:$A,relic!B:B,"")</f>
        <v>0</v>
      </c>
      <c r="C159" s="16">
        <f>_xlfn.XLOOKUP(表2[[#This Row],[relic id]],relic!$A:$A,relic!D:D,"")</f>
        <v>0</v>
      </c>
      <c r="D159" s="16" t="str">
        <f>IF(表2[[#This Row],[relic id]]&lt;&gt;"",_xlfn.XLOOKUP(表2[[#This Row],[relic id]],relic!$A:$A,relic!$T:$T),"")</f>
        <v/>
      </c>
      <c r="E159" s="16">
        <f>_xlfn.XLOOKUP(表2[[#This Row],[relic id]],relic!$A:$A,relic!G:G,"")</f>
        <v>0</v>
      </c>
      <c r="F159" s="16">
        <f>_xlfn.XLOOKUP(表2[[#This Row],[relic id]],relic!$A:$A,relic!H:H,"")</f>
        <v>0</v>
      </c>
    </row>
    <row r="160" spans="1:6" x14ac:dyDescent="0.2">
      <c r="A160" s="16">
        <v>310201</v>
      </c>
      <c r="B160" s="16" t="str">
        <f>_xlfn.XLOOKUP(表2[[#This Row],[relic id]],relic!$A:$A,relic!B:B,"")</f>
        <v>relic_name_310201</v>
      </c>
      <c r="C160" s="16" t="str">
        <f>_xlfn.XLOOKUP(表2[[#This Row],[relic id]],relic!$A:$A,relic!D:D,"")</f>
        <v>弹药失重</v>
      </c>
      <c r="D160" s="16">
        <f>IF(表2[[#This Row],[relic id]]&lt;&gt;"",_xlfn.XLOOKUP(表2[[#This Row],[relic id]],relic!$A:$A,relic!$T:$T),"")</f>
        <v>1</v>
      </c>
      <c r="E160" s="16" t="str">
        <f>_xlfn.XLOOKUP(表2[[#This Row],[relic id]],relic!$A:$A,relic!G:G,"")</f>
        <v>relic_desc_310201</v>
      </c>
      <c r="F160" s="16" t="str">
        <f>_xlfn.XLOOKUP(表2[[#This Row],[relic id]],relic!$A:$A,relic!H:H,"")</f>
        <v>你的子弹失去重力，变得失重</v>
      </c>
    </row>
    <row r="161" spans="1:7" x14ac:dyDescent="0.2">
      <c r="A161" s="16">
        <v>310202</v>
      </c>
      <c r="B161" s="16" t="str">
        <f>_xlfn.XLOOKUP(表2[[#This Row],[relic id]],relic!$A:$A,relic!B:B,"")</f>
        <v>relic_name_310202</v>
      </c>
      <c r="C161" s="16" t="str">
        <f>_xlfn.XLOOKUP(表2[[#This Row],[relic id]],relic!$A:$A,relic!D:D,"")</f>
        <v>弹药浮起</v>
      </c>
      <c r="D161" s="16">
        <f>IF(表2[[#This Row],[relic id]]&lt;&gt;"",_xlfn.XLOOKUP(表2[[#This Row],[relic id]],relic!$A:$A,relic!$T:$T),"")</f>
        <v>1</v>
      </c>
      <c r="E161" s="16" t="str">
        <f>_xlfn.XLOOKUP(表2[[#This Row],[relic id]],relic!$A:$A,relic!G:G,"")</f>
        <v>relic_desc_310202</v>
      </c>
      <c r="F161" s="16" t="str">
        <f>_xlfn.XLOOKUP(表2[[#This Row],[relic id]],relic!$A:$A,relic!H:H,"")</f>
        <v>你的子弹开始受到向上的浮力</v>
      </c>
    </row>
    <row r="162" spans="1:7" x14ac:dyDescent="0.2">
      <c r="B162" s="16">
        <f>_xlfn.XLOOKUP(表2[[#This Row],[relic id]],relic!$A:$A,relic!B:B,"")</f>
        <v>0</v>
      </c>
      <c r="C162" s="16">
        <f>_xlfn.XLOOKUP(表2[[#This Row],[relic id]],relic!$A:$A,relic!D:D,"")</f>
        <v>0</v>
      </c>
      <c r="D162" s="16" t="str">
        <f>IF(表2[[#This Row],[relic id]]&lt;&gt;"",_xlfn.XLOOKUP(表2[[#This Row],[relic id]],relic!$A:$A,relic!$T:$T),"")</f>
        <v/>
      </c>
      <c r="E162" s="16">
        <f>_xlfn.XLOOKUP(表2[[#This Row],[relic id]],relic!$A:$A,relic!G:G,"")</f>
        <v>0</v>
      </c>
      <c r="F162" s="16">
        <f>_xlfn.XLOOKUP(表2[[#This Row],[relic id]],relic!$A:$A,relic!H:H,"")</f>
        <v>0</v>
      </c>
    </row>
    <row r="163" spans="1:7" x14ac:dyDescent="0.2">
      <c r="A163" s="16">
        <v>310203</v>
      </c>
      <c r="B163" s="16" t="str">
        <f>_xlfn.XLOOKUP(表2[[#This Row],[relic id]],relic!$A:$A,relic!B:B,"")</f>
        <v>relic_name_310203</v>
      </c>
      <c r="C163" s="16" t="str">
        <f>_xlfn.XLOOKUP(表2[[#This Row],[relic id]],relic!$A:$A,relic!D:D,"")</f>
        <v>花洒 Lv.1</v>
      </c>
      <c r="D163" s="16">
        <f>IF(表2[[#This Row],[relic id]]&lt;&gt;"",_xlfn.XLOOKUP(表2[[#This Row],[relic id]],relic!$A:$A,relic!$T:$T),"")</f>
        <v>0</v>
      </c>
      <c r="E163" s="16" t="str">
        <f>_xlfn.XLOOKUP(表2[[#This Row],[relic id]],relic!$A:$A,relic!G:G,"")</f>
        <v>relic_desc_310203</v>
      </c>
      <c r="F163" s="16" t="str">
        <f>_xlfn.XLOOKUP(表2[[#This Row],[relic id]],relic!$A:$A,relic!H:H,"")</f>
        <v>你的飞射物飞到屏幕上方时，创造1个冰雹攻击敌人</v>
      </c>
      <c r="G163" s="24" t="b">
        <v>1</v>
      </c>
    </row>
    <row r="164" spans="1:7" x14ac:dyDescent="0.2">
      <c r="A164" s="16">
        <v>310204</v>
      </c>
      <c r="B164" s="16" t="str">
        <f>_xlfn.XLOOKUP(表2[[#This Row],[relic id]],relic!$A:$A,relic!B:B,"")</f>
        <v>relic_name_310204</v>
      </c>
      <c r="C164" s="16" t="str">
        <f>_xlfn.XLOOKUP(表2[[#This Row],[relic id]],relic!$A:$A,relic!D:D,"")</f>
        <v>花洒 Lv.2</v>
      </c>
      <c r="D164" s="16">
        <f>IF(表2[[#This Row],[relic id]]&lt;&gt;"",_xlfn.XLOOKUP(表2[[#This Row],[relic id]],relic!$A:$A,relic!$T:$T),"")</f>
        <v>1</v>
      </c>
      <c r="E164" s="16" t="str">
        <f>_xlfn.XLOOKUP(表2[[#This Row],[relic id]],relic!$A:$A,relic!G:G,"")</f>
        <v>relic_desc_310204</v>
      </c>
      <c r="F164" s="16" t="str">
        <f>_xlfn.XLOOKUP(表2[[#This Row],[relic id]],relic!$A:$A,relic!H:H,"")</f>
        <v>[升级] 你的飞射物飞到屏幕上方时，创造2个冰雹攻击敌人</v>
      </c>
      <c r="G164" s="24" t="b">
        <v>1</v>
      </c>
    </row>
    <row r="165" spans="1:7" x14ac:dyDescent="0.2">
      <c r="A165" s="16">
        <v>310205</v>
      </c>
      <c r="B165" s="16" t="str">
        <f>_xlfn.XLOOKUP(表2[[#This Row],[relic id]],relic!$A:$A,relic!B:B,"")</f>
        <v>relic_name_310205</v>
      </c>
      <c r="C165" s="16" t="str">
        <f>_xlfn.XLOOKUP(表2[[#This Row],[relic id]],relic!$A:$A,relic!D:D,"")</f>
        <v>花洒 Lv.3</v>
      </c>
      <c r="D165" s="16">
        <f>IF(表2[[#This Row],[relic id]]&lt;&gt;"",_xlfn.XLOOKUP(表2[[#This Row],[relic id]],relic!$A:$A,relic!$T:$T),"")</f>
        <v>2</v>
      </c>
      <c r="E165" s="16" t="str">
        <f>_xlfn.XLOOKUP(表2[[#This Row],[relic id]],relic!$A:$A,relic!G:G,"")</f>
        <v>relic_desc_310205</v>
      </c>
      <c r="F165" s="16" t="str">
        <f>_xlfn.XLOOKUP(表2[[#This Row],[relic id]],relic!$A:$A,relic!H:H,"")</f>
        <v>[升级] 你的飞射物飞到屏幕上方时，创造4个冰雹攻击敌人</v>
      </c>
      <c r="G165" s="24" t="b">
        <v>1</v>
      </c>
    </row>
    <row r="166" spans="1:7" x14ac:dyDescent="0.2">
      <c r="B166" s="16">
        <f>_xlfn.XLOOKUP(表2[[#This Row],[relic id]],relic!$A:$A,relic!B:B,"")</f>
        <v>0</v>
      </c>
      <c r="C166" s="16">
        <f>_xlfn.XLOOKUP(表2[[#This Row],[relic id]],relic!$A:$A,relic!D:D,"")</f>
        <v>0</v>
      </c>
      <c r="D166" s="16" t="str">
        <f>IF(表2[[#This Row],[relic id]]&lt;&gt;"",_xlfn.XLOOKUP(表2[[#This Row],[relic id]],relic!$A:$A,relic!$T:$T),"")</f>
        <v/>
      </c>
      <c r="E166" s="16">
        <f>_xlfn.XLOOKUP(表2[[#This Row],[relic id]],relic!$A:$A,relic!G:G,"")</f>
        <v>0</v>
      </c>
      <c r="F166" s="16">
        <f>_xlfn.XLOOKUP(表2[[#This Row],[relic id]],relic!$A:$A,relic!H:H,"")</f>
        <v>0</v>
      </c>
    </row>
    <row r="167" spans="1:7" x14ac:dyDescent="0.2">
      <c r="A167" s="16">
        <v>310206</v>
      </c>
      <c r="B167" s="16" t="str">
        <f>_xlfn.XLOOKUP(表2[[#This Row],[relic id]],relic!$A:$A,relic!B:B,"")</f>
        <v>relic_name_310206</v>
      </c>
      <c r="C167" s="16" t="str">
        <f>_xlfn.XLOOKUP(表2[[#This Row],[relic id]],relic!$A:$A,relic!D:D,"")</f>
        <v xml:space="preserve">蟹钳 蒜蓉 </v>
      </c>
      <c r="D167" s="16">
        <f>IF(表2[[#This Row],[relic id]]&lt;&gt;"",_xlfn.XLOOKUP(表2[[#This Row],[relic id]],relic!$A:$A,relic!$T:$T),"")</f>
        <v>4</v>
      </c>
      <c r="E167" s="16" t="str">
        <f>_xlfn.XLOOKUP(表2[[#This Row],[relic id]],relic!$A:$A,relic!G:G,"")</f>
        <v>relic_desc_310206</v>
      </c>
      <c r="F167" s="16" t="str">
        <f>_xlfn.XLOOKUP(表2[[#This Row],[relic id]],relic!$A:$A,relic!H:H,"")</f>
        <v>首次命中敌人后，发生裂变。（新子弹方向随机，速度初始化，寿命继承，已裂变次数继承）</v>
      </c>
      <c r="G167" s="24" t="b">
        <v>1</v>
      </c>
    </row>
    <row r="168" spans="1:7" x14ac:dyDescent="0.2">
      <c r="A168" s="16">
        <v>310207</v>
      </c>
      <c r="B168" s="16" t="str">
        <f>_xlfn.XLOOKUP(表2[[#This Row],[relic id]],relic!$A:$A,relic!B:B,"")</f>
        <v>relic_name_310207</v>
      </c>
      <c r="C168" s="16" t="str">
        <f>_xlfn.XLOOKUP(表2[[#This Row],[relic id]],relic!$A:$A,relic!D:D,"")</f>
        <v>蟹钳 麻辣</v>
      </c>
      <c r="D168" s="16">
        <f>IF(表2[[#This Row],[relic id]]&lt;&gt;"",_xlfn.XLOOKUP(表2[[#This Row],[relic id]],relic!$A:$A,relic!$T:$T),"")</f>
        <v>4</v>
      </c>
      <c r="E168" s="16" t="str">
        <f>_xlfn.XLOOKUP(表2[[#This Row],[relic id]],relic!$A:$A,relic!G:G,"")</f>
        <v>relic_desc_310207</v>
      </c>
      <c r="F168" s="16" t="str">
        <f>_xlfn.XLOOKUP(表2[[#This Row],[relic id]],relic!$A:$A,relic!H:H,"")</f>
        <v>每次击杀敌人时，发生裂变。（新子弹方向随机，速度初始化，寿命继承，已裂变次数继承）</v>
      </c>
      <c r="G168" s="24" t="b">
        <v>1</v>
      </c>
    </row>
    <row r="169" spans="1:7" x14ac:dyDescent="0.2">
      <c r="A169" s="16">
        <v>310208</v>
      </c>
      <c r="B169" s="16" t="str">
        <f>_xlfn.XLOOKUP(表2[[#This Row],[relic id]],relic!$A:$A,relic!B:B,"")</f>
        <v>relic_name_310208</v>
      </c>
      <c r="C169" s="16" t="str">
        <f>_xlfn.XLOOKUP(表2[[#This Row],[relic id]],relic!$A:$A,relic!D:D,"")</f>
        <v>蟹钳 十三香</v>
      </c>
      <c r="D169" s="16">
        <f>IF(表2[[#This Row],[relic id]]&lt;&gt;"",_xlfn.XLOOKUP(表2[[#This Row],[relic id]],relic!$A:$A,relic!$T:$T),"")</f>
        <v>3</v>
      </c>
      <c r="E169" s="16" t="str">
        <f>_xlfn.XLOOKUP(表2[[#This Row],[relic id]],relic!$A:$A,relic!G:G,"")</f>
        <v>relic_desc_310208</v>
      </c>
      <c r="F169" s="16" t="str">
        <f>_xlfn.XLOOKUP(表2[[#This Row],[relic id]],relic!$A:$A,relic!H:H,"")</f>
        <v>销毁时，50%几率发生裂变。（新子弹方向随机，速度初始化，寿命重置，已裂变次数继承）</v>
      </c>
      <c r="G169" s="24" t="b">
        <v>1</v>
      </c>
    </row>
    <row r="170" spans="1:7" x14ac:dyDescent="0.2">
      <c r="B170" s="16">
        <f>_xlfn.XLOOKUP(表2[[#This Row],[relic id]],relic!$A:$A,relic!B:B,"")</f>
        <v>0</v>
      </c>
      <c r="C170" s="16">
        <f>_xlfn.XLOOKUP(表2[[#This Row],[relic id]],relic!$A:$A,relic!D:D,"")</f>
        <v>0</v>
      </c>
      <c r="D170" s="16" t="str">
        <f>IF(表2[[#This Row],[relic id]]&lt;&gt;"",_xlfn.XLOOKUP(表2[[#This Row],[relic id]],relic!$A:$A,relic!$T:$T),"")</f>
        <v/>
      </c>
      <c r="E170" s="16">
        <f>_xlfn.XLOOKUP(表2[[#This Row],[relic id]],relic!$A:$A,relic!G:G,"")</f>
        <v>0</v>
      </c>
      <c r="F170" s="16">
        <f>_xlfn.XLOOKUP(表2[[#This Row],[relic id]],relic!$A:$A,relic!H:H,"")</f>
        <v>0</v>
      </c>
    </row>
    <row r="171" spans="1:7" x14ac:dyDescent="0.2">
      <c r="A171" s="16">
        <v>310209</v>
      </c>
      <c r="B171" s="16" t="str">
        <f>_xlfn.XLOOKUP(表2[[#This Row],[relic id]],relic!$A:$A,relic!B:B,"")</f>
        <v>relic_name_310209</v>
      </c>
      <c r="C171" s="16" t="str">
        <f>_xlfn.XLOOKUP(表2[[#This Row],[relic id]],relic!$A:$A,relic!D:D,"")</f>
        <v>弹药返回A</v>
      </c>
      <c r="D171" s="16">
        <f>IF(表2[[#This Row],[relic id]]&lt;&gt;"",_xlfn.XLOOKUP(表2[[#This Row],[relic id]],relic!$A:$A,relic!$T:$T),"")</f>
        <v>1</v>
      </c>
      <c r="E171" s="16" t="str">
        <f>_xlfn.XLOOKUP(表2[[#This Row],[relic id]],relic!$A:$A,relic!G:G,"")</f>
        <v>relic_desc_310209</v>
      </c>
      <c r="F171" s="16" t="str">
        <f>_xlfn.XLOOKUP(表2[[#This Row],[relic id]],relic!$A:$A,relic!H:H,"")</f>
        <v>你的子弹会在发射后0.5秒内返回</v>
      </c>
    </row>
    <row r="172" spans="1:7" x14ac:dyDescent="0.2">
      <c r="A172" s="16">
        <v>310210</v>
      </c>
      <c r="B172" s="16" t="str">
        <f>_xlfn.XLOOKUP(表2[[#This Row],[relic id]],relic!$A:$A,relic!B:B,"")</f>
        <v>relic_name_310210</v>
      </c>
      <c r="C172" s="16" t="str">
        <f>_xlfn.XLOOKUP(表2[[#This Row],[relic id]],relic!$A:$A,relic!D:D,"")</f>
        <v>弹药返回B</v>
      </c>
      <c r="D172" s="16">
        <f>IF(表2[[#This Row],[relic id]]&lt;&gt;"",_xlfn.XLOOKUP(表2[[#This Row],[relic id]],relic!$A:$A,relic!$T:$T),"")</f>
        <v>1</v>
      </c>
      <c r="E172" s="16" t="str">
        <f>_xlfn.XLOOKUP(表2[[#This Row],[relic id]],relic!$A:$A,relic!G:G,"")</f>
        <v>relic_desc_310210</v>
      </c>
      <c r="F172" s="16" t="str">
        <f>_xlfn.XLOOKUP(表2[[#This Row],[relic id]],relic!$A:$A,relic!H:H,"")</f>
        <v>你的子弹会在发射后1秒内返回</v>
      </c>
    </row>
    <row r="173" spans="1:7" x14ac:dyDescent="0.2">
      <c r="A173" s="16">
        <v>310211</v>
      </c>
      <c r="B173" s="16" t="str">
        <f>_xlfn.XLOOKUP(表2[[#This Row],[relic id]],relic!$A:$A,relic!B:B,"")</f>
        <v>relic_name_310211</v>
      </c>
      <c r="C173" s="16" t="str">
        <f>_xlfn.XLOOKUP(表2[[#This Row],[relic id]],relic!$A:$A,relic!D:D,"")</f>
        <v>弹药返回C</v>
      </c>
      <c r="D173" s="16">
        <f>IF(表2[[#This Row],[relic id]]&lt;&gt;"",_xlfn.XLOOKUP(表2[[#This Row],[relic id]],relic!$A:$A,relic!$T:$T),"")</f>
        <v>1</v>
      </c>
      <c r="E173" s="16" t="str">
        <f>_xlfn.XLOOKUP(表2[[#This Row],[relic id]],relic!$A:$A,relic!G:G,"")</f>
        <v>relic_desc_310211</v>
      </c>
      <c r="F173" s="16" t="str">
        <f>_xlfn.XLOOKUP(表2[[#This Row],[relic id]],relic!$A:$A,relic!H:H,"")</f>
        <v>你的子弹会在发射后2秒内返回</v>
      </c>
    </row>
    <row r="174" spans="1:7" x14ac:dyDescent="0.2">
      <c r="B174" s="16">
        <f>_xlfn.XLOOKUP(表2[[#This Row],[relic id]],relic!$A:$A,relic!B:B,"")</f>
        <v>0</v>
      </c>
      <c r="C174" s="16">
        <f>_xlfn.XLOOKUP(表2[[#This Row],[relic id]],relic!$A:$A,relic!D:D,"")</f>
        <v>0</v>
      </c>
      <c r="D174" s="16" t="str">
        <f>IF(表2[[#This Row],[relic id]]&lt;&gt;"",_xlfn.XLOOKUP(表2[[#This Row],[relic id]],relic!$A:$A,relic!$T:$T),"")</f>
        <v/>
      </c>
      <c r="E174" s="16">
        <f>_xlfn.XLOOKUP(表2[[#This Row],[relic id]],relic!$A:$A,relic!G:G,"")</f>
        <v>0</v>
      </c>
      <c r="F174" s="16">
        <f>_xlfn.XLOOKUP(表2[[#This Row],[relic id]],relic!$A:$A,relic!H:H,"")</f>
        <v>0</v>
      </c>
    </row>
    <row r="175" spans="1:7" x14ac:dyDescent="0.2">
      <c r="A175" s="16">
        <v>310212</v>
      </c>
      <c r="B175" s="16" t="str">
        <f>_xlfn.XLOOKUP(表2[[#This Row],[relic id]],relic!$A:$A,relic!B:B,"")</f>
        <v>relic_name_310212</v>
      </c>
      <c r="C175" s="16" t="str">
        <f>_xlfn.XLOOKUP(表2[[#This Row],[relic id]],relic!$A:$A,relic!D:D,"")</f>
        <v>弹药凝滞</v>
      </c>
      <c r="D175" s="16">
        <f>IF(表2[[#This Row],[relic id]]&lt;&gt;"",_xlfn.XLOOKUP(表2[[#This Row],[relic id]],relic!$A:$A,relic!$T:$T),"")</f>
        <v>-1</v>
      </c>
      <c r="E175" s="16" t="str">
        <f>_xlfn.XLOOKUP(表2[[#This Row],[relic id]],relic!$A:$A,relic!G:G,"")</f>
        <v>relic_desc_310212</v>
      </c>
      <c r="F175" s="16" t="str">
        <f>_xlfn.XLOOKUP(表2[[#This Row],[relic id]],relic!$A:$A,relic!H:H,"")</f>
        <v>你的子弹会在发射后逐渐失去速度 【你的子弹伤害不再受速度影响】</v>
      </c>
    </row>
    <row r="176" spans="1:7" x14ac:dyDescent="0.2">
      <c r="A176" s="16">
        <v>310213</v>
      </c>
      <c r="B176" s="16" t="str">
        <f>_xlfn.XLOOKUP(表2[[#This Row],[relic id]],relic!$A:$A,relic!B:B,"")</f>
        <v>relic_name_310213</v>
      </c>
      <c r="C176" s="16" t="str">
        <f>_xlfn.XLOOKUP(表2[[#This Row],[relic id]],relic!$A:$A,relic!D:D,"")</f>
        <v>弹药凝滞</v>
      </c>
      <c r="D176" s="16">
        <f>IF(表2[[#This Row],[relic id]]&lt;&gt;"",_xlfn.XLOOKUP(表2[[#This Row],[relic id]],relic!$A:$A,relic!$T:$T),"")</f>
        <v>-1</v>
      </c>
      <c r="E176" s="16" t="str">
        <f>_xlfn.XLOOKUP(表2[[#This Row],[relic id]],relic!$A:$A,relic!G:G,"")</f>
        <v>relic_desc_310213</v>
      </c>
      <c r="F176" s="16" t="str">
        <f>_xlfn.XLOOKUP(表2[[#This Row],[relic id]],relic!$A:$A,relic!H:H,"")</f>
        <v>这一效果也将作用于敌方及中立子弹【敌人的子弹伤害依然受速度影响】。</v>
      </c>
    </row>
    <row r="177" spans="1:7" x14ac:dyDescent="0.2">
      <c r="A177" s="16">
        <v>310214</v>
      </c>
      <c r="B177" s="16" t="str">
        <f>_xlfn.XLOOKUP(表2[[#This Row],[relic id]],relic!$A:$A,relic!B:B,"")</f>
        <v>relic_name_310214</v>
      </c>
      <c r="C177" s="16" t="str">
        <f>_xlfn.XLOOKUP(表2[[#This Row],[relic id]],relic!$A:$A,relic!D:D,"")</f>
        <v>弹药回收1</v>
      </c>
      <c r="D177" s="16">
        <f>IF(表2[[#This Row],[relic id]]&lt;&gt;"",_xlfn.XLOOKUP(表2[[#This Row],[relic id]],relic!$A:$A,relic!$T:$T),"")</f>
        <v>0</v>
      </c>
      <c r="E177" s="16" t="str">
        <f>_xlfn.XLOOKUP(表2[[#This Row],[relic id]],relic!$A:$A,relic!G:G,"")</f>
        <v>relic_desc_310214</v>
      </c>
      <c r="F177" s="16" t="str">
        <f>_xlfn.XLOOKUP(表2[[#This Row],[relic id]],relic!$A:$A,relic!H:H,"")</f>
        <v>落在脚边（屏幕内）的飞射物在销毁时会被回收（特殊拖尾，飞至车体位置），10%概率使设备弹药+1</v>
      </c>
    </row>
    <row r="178" spans="1:7" x14ac:dyDescent="0.2">
      <c r="A178" s="16">
        <v>310215</v>
      </c>
      <c r="B178" s="16" t="str">
        <f>_xlfn.XLOOKUP(表2[[#This Row],[relic id]],relic!$A:$A,relic!B:B,"")</f>
        <v>relic_name_310215</v>
      </c>
      <c r="C178" s="16" t="str">
        <f>_xlfn.XLOOKUP(表2[[#This Row],[relic id]],relic!$A:$A,relic!D:D,"")</f>
        <v>弹药回收2</v>
      </c>
      <c r="D178" s="16">
        <f>IF(表2[[#This Row],[relic id]]&lt;&gt;"",_xlfn.XLOOKUP(表2[[#This Row],[relic id]],relic!$A:$A,relic!$T:$T),"")</f>
        <v>0</v>
      </c>
      <c r="E178" s="16" t="str">
        <f>_xlfn.XLOOKUP(表2[[#This Row],[relic id]],relic!$A:$A,relic!G:G,"")</f>
        <v>relic_desc_310215</v>
      </c>
      <c r="F178" s="16" t="str">
        <f>_xlfn.XLOOKUP(表2[[#This Row],[relic id]],relic!$A:$A,relic!H:H,"")</f>
        <v>回收弹药的效果现在可以作用至其他设备。当原设备弹匣容量已满时，将随机恢复其他弹药未满的设备。</v>
      </c>
    </row>
    <row r="179" spans="1:7" x14ac:dyDescent="0.2">
      <c r="A179" s="16">
        <v>310216</v>
      </c>
      <c r="B179" s="16" t="str">
        <f>_xlfn.XLOOKUP(表2[[#This Row],[relic id]],relic!$A:$A,relic!B:B,"")</f>
        <v>relic_name_310216</v>
      </c>
      <c r="C179" s="16" t="str">
        <f>_xlfn.XLOOKUP(表2[[#This Row],[relic id]],relic!$A:$A,relic!D:D,"")</f>
        <v>弹药回收3</v>
      </c>
      <c r="D179" s="16">
        <f>IF(表2[[#This Row],[relic id]]&lt;&gt;"",_xlfn.XLOOKUP(表2[[#This Row],[relic id]],relic!$A:$A,relic!$T:$T),"")</f>
        <v>0</v>
      </c>
      <c r="E179" s="16" t="str">
        <f>_xlfn.XLOOKUP(表2[[#This Row],[relic id]],relic!$A:$A,relic!G:G,"")</f>
        <v>relic_desc_310216</v>
      </c>
      <c r="F179" s="16" t="str">
        <f>_xlfn.XLOOKUP(表2[[#This Row],[relic id]],relic!$A:$A,relic!H:H,"")</f>
        <v>现在可以回收敌人及中立物体的弹药。</v>
      </c>
    </row>
    <row r="180" spans="1:7" x14ac:dyDescent="0.2">
      <c r="A180" s="16">
        <v>310217</v>
      </c>
      <c r="B180" s="16" t="str">
        <f>_xlfn.XLOOKUP(表2[[#This Row],[relic id]],relic!$A:$A,relic!B:B,"")</f>
        <v>relic_name_310217</v>
      </c>
      <c r="C180" s="16" t="str">
        <f>_xlfn.XLOOKUP(表2[[#This Row],[relic id]],relic!$A:$A,relic!D:D,"")</f>
        <v>牢门</v>
      </c>
      <c r="D180" s="16">
        <f>IF(表2[[#This Row],[relic id]]&lt;&gt;"",_xlfn.XLOOKUP(表2[[#This Row],[relic id]],relic!$A:$A,relic!$T:$T),"")</f>
        <v>4</v>
      </c>
      <c r="E180" s="16" t="str">
        <f>_xlfn.XLOOKUP(表2[[#This Row],[relic id]],relic!$A:$A,relic!G:G,"")</f>
        <v>relic_desc_310217</v>
      </c>
      <c r="F180" s="16" t="str">
        <f>_xlfn.XLOOKUP(表2[[#This Row],[relic id]],relic!$A:$A,relic!H:H,"")</f>
        <v>飞射物现在碰到镜头边缘时会弹回</v>
      </c>
      <c r="G180" s="24" t="b">
        <v>1</v>
      </c>
    </row>
    <row r="181" spans="1:7" x14ac:dyDescent="0.2">
      <c r="A181" s="16">
        <v>310218</v>
      </c>
      <c r="B181" s="16" t="str">
        <f>_xlfn.XLOOKUP(表2[[#This Row],[relic id]],relic!$A:$A,relic!B:B,"")</f>
        <v>relic_name_310218</v>
      </c>
      <c r="C181" s="16" t="str">
        <f>_xlfn.XLOOKUP(表2[[#This Row],[relic id]],relic!$A:$A,relic!D:D,"")</f>
        <v>警卫制服</v>
      </c>
      <c r="D181" s="16">
        <f>IF(表2[[#This Row],[relic id]]&lt;&gt;"",_xlfn.XLOOKUP(表2[[#This Row],[relic id]],relic!$A:$A,relic!$T:$T),"")</f>
        <v>3</v>
      </c>
      <c r="E181" s="16" t="str">
        <f>_xlfn.XLOOKUP(表2[[#This Row],[relic id]],relic!$A:$A,relic!G:G,"")</f>
        <v>relic_desc_310218</v>
      </c>
      <c r="F181" s="16" t="str">
        <f>_xlfn.XLOOKUP(表2[[#This Row],[relic id]],relic!$A:$A,relic!H:H,"")</f>
        <v>[强化] 你的飞射物飞到屏幕左右边缘时，也会生成冰雹。</v>
      </c>
      <c r="G181" s="24" t="b">
        <v>1</v>
      </c>
    </row>
    <row r="182" spans="1:7" x14ac:dyDescent="0.2">
      <c r="A182" s="16">
        <v>310219</v>
      </c>
      <c r="B182" s="16" t="str">
        <f>_xlfn.XLOOKUP(表2[[#This Row],[relic id]],relic!$A:$A,relic!B:B,"")</f>
        <v>relic_name_310219</v>
      </c>
      <c r="C182" s="16" t="str">
        <f>_xlfn.XLOOKUP(表2[[#This Row],[relic id]],relic!$A:$A,relic!D:D,"")</f>
        <v>工头喇叭</v>
      </c>
      <c r="D182" s="16">
        <f>IF(表2[[#This Row],[relic id]]&lt;&gt;"",_xlfn.XLOOKUP(表2[[#This Row],[relic id]],relic!$A:$A,relic!$T:$T),"")</f>
        <v>3</v>
      </c>
      <c r="E182" s="16" t="str">
        <f>_xlfn.XLOOKUP(表2[[#This Row],[relic id]],relic!$A:$A,relic!G:G,"")</f>
        <v>relic_desc_310219</v>
      </c>
      <c r="F182" s="16" t="str">
        <f>_xlfn.XLOOKUP(表2[[#This Row],[relic id]],relic!$A:$A,relic!H:H,"")</f>
        <v>飞射物反弹时，速度被重置为初始速度。</v>
      </c>
      <c r="G182" s="24" t="b">
        <v>1</v>
      </c>
    </row>
    <row r="183" spans="1:7" x14ac:dyDescent="0.2">
      <c r="A183" s="16">
        <v>310220</v>
      </c>
      <c r="B183" s="16" t="str">
        <f>_xlfn.XLOOKUP(表2[[#This Row],[relic id]],relic!$A:$A,relic!B:B,"")</f>
        <v>relic_name_310220</v>
      </c>
      <c r="C183" s="16" t="str">
        <f>_xlfn.XLOOKUP(表2[[#This Row],[relic id]],relic!$A:$A,relic!D:D,"")</f>
        <v>子弹碰撞1</v>
      </c>
      <c r="D183" s="16">
        <f>IF(表2[[#This Row],[relic id]]&lt;&gt;"",_xlfn.XLOOKUP(表2[[#This Row],[relic id]],relic!$A:$A,relic!$T:$T),"")</f>
        <v>0</v>
      </c>
      <c r="E183" s="16" t="str">
        <f>_xlfn.XLOOKUP(表2[[#This Row],[relic id]],relic!$A:$A,relic!G:G,"")</f>
        <v>relic_desc_310220</v>
      </c>
      <c r="F183" s="16" t="str">
        <f>_xlfn.XLOOKUP(表2[[#This Row],[relic id]],relic!$A:$A,relic!H:H,"")</f>
        <v>你的子弹现在可以击毁敌人的子弹（敌方子弹与玩家子弹一同消失）</v>
      </c>
    </row>
    <row r="184" spans="1:7" x14ac:dyDescent="0.2">
      <c r="A184" s="16">
        <v>310221</v>
      </c>
      <c r="B184" s="16" t="str">
        <f>_xlfn.XLOOKUP(表2[[#This Row],[relic id]],relic!$A:$A,relic!B:B,"")</f>
        <v>relic_name_310221</v>
      </c>
      <c r="C184" s="16" t="str">
        <f>_xlfn.XLOOKUP(表2[[#This Row],[relic id]],relic!$A:$A,relic!D:D,"")</f>
        <v>子弹碰撞2</v>
      </c>
      <c r="D184" s="16">
        <f>IF(表2[[#This Row],[relic id]]&lt;&gt;"",_xlfn.XLOOKUP(表2[[#This Row],[relic id]],relic!$A:$A,relic!$T:$T),"")</f>
        <v>0</v>
      </c>
      <c r="E184" s="16" t="str">
        <f>_xlfn.XLOOKUP(表2[[#This Row],[relic id]],relic!$A:$A,relic!G:G,"")</f>
        <v>relic_desc_310221</v>
      </c>
      <c r="F184" s="16" t="str">
        <f>_xlfn.XLOOKUP(表2[[#This Row],[relic id]],relic!$A:$A,relic!H:H,"")</f>
        <v>你的子弹现在可以无伤击毁敌人的子弹（敌方子弹被击毁，玩家子弹不受影响）</v>
      </c>
    </row>
    <row r="185" spans="1:7" x14ac:dyDescent="0.2">
      <c r="A185" s="16">
        <v>310222</v>
      </c>
      <c r="B185" s="16" t="str">
        <f>_xlfn.XLOOKUP(表2[[#This Row],[relic id]],relic!$A:$A,relic!B:B,"")</f>
        <v>relic_name_310222</v>
      </c>
      <c r="C185" s="16" t="str">
        <f>_xlfn.XLOOKUP(表2[[#This Row],[relic id]],relic!$A:$A,relic!D:D,"")</f>
        <v>子弹碰撞3</v>
      </c>
      <c r="D185" s="16">
        <f>IF(表2[[#This Row],[relic id]]&lt;&gt;"",_xlfn.XLOOKUP(表2[[#This Row],[relic id]],relic!$A:$A,relic!$T:$T),"")</f>
        <v>0</v>
      </c>
      <c r="E185" s="16" t="str">
        <f>_xlfn.XLOOKUP(表2[[#This Row],[relic id]],relic!$A:$A,relic!G:G,"")</f>
        <v>relic_desc_310222</v>
      </c>
      <c r="F185" s="16" t="str">
        <f>_xlfn.XLOOKUP(表2[[#This Row],[relic id]],relic!$A:$A,relic!H:H,"")</f>
        <v>你的子弹现在可以无伤击飞敌人的子弹（敌方子弹被弹回并修改阵营，玩家子弹飞行不受影响）</v>
      </c>
    </row>
    <row r="186" spans="1:7" x14ac:dyDescent="0.2">
      <c r="B186" s="16">
        <f>_xlfn.XLOOKUP(表2[[#This Row],[relic id]],relic!$A:$A,relic!B:B,"")</f>
        <v>0</v>
      </c>
      <c r="C186" s="16">
        <f>_xlfn.XLOOKUP(表2[[#This Row],[relic id]],relic!$A:$A,relic!D:D,"")</f>
        <v>0</v>
      </c>
      <c r="D186" s="16" t="str">
        <f>IF(表2[[#This Row],[relic id]]&lt;&gt;"",_xlfn.XLOOKUP(表2[[#This Row],[relic id]],relic!$A:$A,relic!$T:$T),"")</f>
        <v/>
      </c>
      <c r="E186" s="16">
        <f>_xlfn.XLOOKUP(表2[[#This Row],[relic id]],relic!$A:$A,relic!G:G,"")</f>
        <v>0</v>
      </c>
      <c r="F186" s="16">
        <f>_xlfn.XLOOKUP(表2[[#This Row],[relic id]],relic!$A:$A,relic!H:H,"")</f>
        <v>0</v>
      </c>
    </row>
    <row r="187" spans="1:7" x14ac:dyDescent="0.2">
      <c r="A187" s="16">
        <v>310223</v>
      </c>
      <c r="B187" s="16" t="str">
        <f>_xlfn.XLOOKUP(表2[[#This Row],[relic id]],relic!$A:$A,relic!B:B,"")</f>
        <v>relic_name_310223</v>
      </c>
      <c r="C187" s="16" t="str">
        <f>_xlfn.XLOOKUP(表2[[#This Row],[relic id]],relic!$A:$A,relic!D:D,"")</f>
        <v>蛋糕 Lv.1</v>
      </c>
      <c r="D187" s="16">
        <f>IF(表2[[#This Row],[relic id]]&lt;&gt;"",_xlfn.XLOOKUP(表2[[#This Row],[relic id]],relic!$A:$A,relic!$T:$T),"")</f>
        <v>3</v>
      </c>
      <c r="E187" s="16" t="str">
        <f>_xlfn.XLOOKUP(表2[[#This Row],[relic id]],relic!$A:$A,relic!G:G,"")</f>
        <v>relic_desc_310223</v>
      </c>
      <c r="F187" s="16" t="str">
        <f>_xlfn.XLOOKUP(表2[[#This Row],[relic id]],relic!$A:$A,relic!H:H,"")</f>
        <v>飞射物每反弹一次，体积与伤害 + 10%（上限为3次）</v>
      </c>
      <c r="G187" s="24" t="b">
        <v>1</v>
      </c>
    </row>
    <row r="188" spans="1:7" x14ac:dyDescent="0.2">
      <c r="A188" s="16">
        <v>310224</v>
      </c>
      <c r="B188" s="16" t="str">
        <f>_xlfn.XLOOKUP(表2[[#This Row],[relic id]],relic!$A:$A,relic!B:B,"")</f>
        <v>relic_name_310224</v>
      </c>
      <c r="C188" s="16" t="str">
        <f>_xlfn.XLOOKUP(表2[[#This Row],[relic id]],relic!$A:$A,relic!D:D,"")</f>
        <v>蛋糕 Lv.2</v>
      </c>
      <c r="D188" s="16">
        <f>IF(表2[[#This Row],[relic id]]&lt;&gt;"",_xlfn.XLOOKUP(表2[[#This Row],[relic id]],relic!$A:$A,relic!$T:$T),"")</f>
        <v>4</v>
      </c>
      <c r="E188" s="16" t="str">
        <f>_xlfn.XLOOKUP(表2[[#This Row],[relic id]],relic!$A:$A,relic!G:G,"")</f>
        <v>relic_desc_310224</v>
      </c>
      <c r="F188" s="16" t="str">
        <f>_xlfn.XLOOKUP(表2[[#This Row],[relic id]],relic!$A:$A,relic!H:H,"")</f>
        <v>[升级] 飞射物每反弹一次，体积与伤害 + 30%（上限为4次）</v>
      </c>
      <c r="G188" s="24" t="b">
        <v>1</v>
      </c>
    </row>
    <row r="189" spans="1:7" x14ac:dyDescent="0.2">
      <c r="A189" s="16">
        <v>310225</v>
      </c>
      <c r="B189" s="16" t="str">
        <f>_xlfn.XLOOKUP(表2[[#This Row],[relic id]],relic!$A:$A,relic!B:B,"")</f>
        <v>relic_name_310225</v>
      </c>
      <c r="C189" s="16" t="str">
        <f>_xlfn.XLOOKUP(表2[[#This Row],[relic id]],relic!$A:$A,relic!D:D,"")</f>
        <v>蛋糕 Lv.3</v>
      </c>
      <c r="D189" s="16">
        <f>IF(表2[[#This Row],[relic id]]&lt;&gt;"",_xlfn.XLOOKUP(表2[[#This Row],[relic id]],relic!$A:$A,relic!$T:$T),"")</f>
        <v>4</v>
      </c>
      <c r="E189" s="16" t="str">
        <f>_xlfn.XLOOKUP(表2[[#This Row],[relic id]],relic!$A:$A,relic!G:G,"")</f>
        <v>relic_desc_310225</v>
      </c>
      <c r="F189" s="16" t="str">
        <f>_xlfn.XLOOKUP(表2[[#This Row],[relic id]],relic!$A:$A,relic!H:H,"")</f>
        <v>[升级] 飞射物每反弹一次，体积与伤害 + 50%（上限为5次）</v>
      </c>
      <c r="G189" s="24" t="b">
        <v>1</v>
      </c>
    </row>
    <row r="190" spans="1:7" x14ac:dyDescent="0.2">
      <c r="B190" s="16">
        <f>_xlfn.XLOOKUP(表2[[#This Row],[relic id]],relic!$A:$A,relic!B:B,"")</f>
        <v>0</v>
      </c>
      <c r="C190" s="16">
        <f>_xlfn.XLOOKUP(表2[[#This Row],[relic id]],relic!$A:$A,relic!D:D,"")</f>
        <v>0</v>
      </c>
      <c r="D190" s="16" t="str">
        <f>IF(表2[[#This Row],[relic id]]&lt;&gt;"",_xlfn.XLOOKUP(表2[[#This Row],[relic id]],relic!$A:$A,relic!$T:$T),"")</f>
        <v/>
      </c>
      <c r="E190" s="16">
        <f>_xlfn.XLOOKUP(表2[[#This Row],[relic id]],relic!$A:$A,relic!G:G,"")</f>
        <v>0</v>
      </c>
      <c r="F190" s="16">
        <f>_xlfn.XLOOKUP(表2[[#This Row],[relic id]],relic!$A:$A,relic!H:H,"")</f>
        <v>0</v>
      </c>
    </row>
    <row r="191" spans="1:7" x14ac:dyDescent="0.2">
      <c r="A191" s="16">
        <v>310401</v>
      </c>
      <c r="B191" s="16" t="str">
        <f>_xlfn.XLOOKUP(表2[[#This Row],[relic id]],relic!$A:$A,relic!B:B,"")</f>
        <v>relic_name_310401</v>
      </c>
      <c r="C191" s="16" t="str">
        <f>_xlfn.XLOOKUP(表2[[#This Row],[relic id]],relic!$A:$A,relic!D:D,"")</f>
        <v>枪口风暴</v>
      </c>
      <c r="D191" s="16">
        <f>IF(表2[[#This Row],[relic id]]&lt;&gt;"",_xlfn.XLOOKUP(表2[[#This Row],[relic id]],relic!$A:$A,relic!$T:$T),"")</f>
        <v>1</v>
      </c>
      <c r="E191" s="16" t="str">
        <f>_xlfn.XLOOKUP(表2[[#This Row],[relic id]],relic!$A:$A,relic!G:G,"")</f>
        <v>relic_desc_310401</v>
      </c>
      <c r="F191" s="16" t="str">
        <f>_xlfn.XLOOKUP(表2[[#This Row],[relic id]],relic!$A:$A,relic!H:H,"")</f>
        <v>开枪时，对枪口附近（一定的扇形范围）的敌人造成一定比例的击退（激光武器只有第一帧有效果）</v>
      </c>
    </row>
    <row r="192" spans="1:7" x14ac:dyDescent="0.2">
      <c r="A192" s="16">
        <v>310402</v>
      </c>
      <c r="B192" s="16" t="str">
        <f>_xlfn.XLOOKUP(表2[[#This Row],[relic id]],relic!$A:$A,relic!B:B,"")</f>
        <v>relic_name_310402</v>
      </c>
      <c r="C192" s="16" t="str">
        <f>_xlfn.XLOOKUP(表2[[#This Row],[relic id]],relic!$A:$A,relic!D:D,"")</f>
        <v>枪焰冲击</v>
      </c>
      <c r="D192" s="16">
        <f>IF(表2[[#This Row],[relic id]]&lt;&gt;"",_xlfn.XLOOKUP(表2[[#This Row],[relic id]],relic!$A:$A,relic!$T:$T),"")</f>
        <v>1</v>
      </c>
      <c r="E192" s="16" t="str">
        <f>_xlfn.XLOOKUP(表2[[#This Row],[relic id]],relic!$A:$A,relic!G:G,"")</f>
        <v>relic_desc_310402</v>
      </c>
      <c r="F192" s="16" t="str">
        <f>_xlfn.XLOOKUP(表2[[#This Row],[relic id]],relic!$A:$A,relic!H:H,"")</f>
        <v>开枪时，对枪口附近（一定的扇形范围）的敌人造成一定比例的震荡伤害（激光武器只有第一帧有效果）</v>
      </c>
    </row>
    <row r="193" spans="1:7" x14ac:dyDescent="0.2">
      <c r="A193" s="16">
        <v>310403</v>
      </c>
      <c r="B193" s="16" t="str">
        <f>_xlfn.XLOOKUP(表2[[#This Row],[relic id]],relic!$A:$A,relic!B:B,"")</f>
        <v>relic_name_310403</v>
      </c>
      <c r="C193" s="16" t="str">
        <f>_xlfn.XLOOKUP(表2[[#This Row],[relic id]],relic!$A:$A,relic!D:D,"")</f>
        <v>枪焰燃烧</v>
      </c>
      <c r="D193" s="16">
        <f>IF(表2[[#This Row],[relic id]]&lt;&gt;"",_xlfn.XLOOKUP(表2[[#This Row],[relic id]],relic!$A:$A,relic!$T:$T),"")</f>
        <v>1</v>
      </c>
      <c r="E193" s="16" t="str">
        <f>_xlfn.XLOOKUP(表2[[#This Row],[relic id]],relic!$A:$A,relic!G:G,"")</f>
        <v>relic_desc_310403</v>
      </c>
      <c r="F193" s="16" t="str">
        <f>_xlfn.XLOOKUP(表2[[#This Row],[relic id]],relic!$A:$A,relic!H:H,"")</f>
        <v>开枪时，对枪口附近（一定的扇形范围）的敌人造成一定比例的燃烧伤害（激光武器只有第一帧有效果）</v>
      </c>
    </row>
    <row r="194" spans="1:7" x14ac:dyDescent="0.2">
      <c r="A194" s="16">
        <v>310404</v>
      </c>
      <c r="B194" s="16" t="str">
        <f>_xlfn.XLOOKUP(表2[[#This Row],[relic id]],relic!$A:$A,relic!B:B,"")</f>
        <v>relic_name_310404</v>
      </c>
      <c r="C194" s="16" t="str">
        <f>_xlfn.XLOOKUP(表2[[#This Row],[relic id]],relic!$A:$A,relic!D:D,"")</f>
        <v>枪焰闪耀</v>
      </c>
      <c r="D194" s="16">
        <f>IF(表2[[#This Row],[relic id]]&lt;&gt;"",_xlfn.XLOOKUP(表2[[#This Row],[relic id]],relic!$A:$A,relic!$T:$T),"")</f>
        <v>1</v>
      </c>
      <c r="E194" s="16" t="str">
        <f>_xlfn.XLOOKUP(表2[[#This Row],[relic id]],relic!$A:$A,relic!G:G,"")</f>
        <v>relic_desc_310404</v>
      </c>
      <c r="F194" s="16" t="str">
        <f>_xlfn.XLOOKUP(表2[[#This Row],[relic id]],relic!$A:$A,relic!H:H,"")</f>
        <v>开枪时，对枪口附近（一定的扇形范围）的敌人造成一定比例的光照伤害（激光武器只有第一帧有效果）</v>
      </c>
    </row>
    <row r="195" spans="1:7" x14ac:dyDescent="0.2">
      <c r="A195" s="16">
        <v>310405</v>
      </c>
      <c r="B195" s="16" t="str">
        <f>_xlfn.XLOOKUP(表2[[#This Row],[relic id]],relic!$A:$A,relic!B:B,"")</f>
        <v>relic_name_310405</v>
      </c>
      <c r="C195" s="16" t="str">
        <f>_xlfn.XLOOKUP(表2[[#This Row],[relic id]],relic!$A:$A,relic!D:D,"")</f>
        <v>枪托打击</v>
      </c>
      <c r="D195" s="16">
        <f>IF(表2[[#This Row],[relic id]]&lt;&gt;"",_xlfn.XLOOKUP(表2[[#This Row],[relic id]],relic!$A:$A,relic!$T:$T),"")</f>
        <v>0</v>
      </c>
      <c r="E195" s="16" t="str">
        <f>_xlfn.XLOOKUP(表2[[#This Row],[relic id]],relic!$A:$A,relic!G:G,"")</f>
        <v>relic_desc_310405</v>
      </c>
      <c r="F195" s="16" t="str">
        <f>_xlfn.XLOOKUP(表2[[#This Row],[relic id]],relic!$A:$A,relic!H:H,"")</f>
        <v>若敌人距离小于最小攻击距离，远程武器可以使用枪托进行打击，造成高额击退（此攻击有内置cd）。</v>
      </c>
    </row>
    <row r="196" spans="1:7" x14ac:dyDescent="0.2">
      <c r="A196" s="16">
        <v>310406</v>
      </c>
      <c r="B196" s="16" t="str">
        <f>_xlfn.XLOOKUP(表2[[#This Row],[relic id]],relic!$A:$A,relic!B:B,"")</f>
        <v>relic_name_310406</v>
      </c>
      <c r="C196" s="16" t="str">
        <f>_xlfn.XLOOKUP(表2[[#This Row],[relic id]],relic!$A:$A,relic!D:D,"")</f>
        <v>枪托重击</v>
      </c>
      <c r="D196" s="16">
        <f>IF(表2[[#This Row],[relic id]]&lt;&gt;"",_xlfn.XLOOKUP(表2[[#This Row],[relic id]],relic!$A:$A,relic!$T:$T),"")</f>
        <v>0</v>
      </c>
      <c r="E196" s="16" t="str">
        <f>_xlfn.XLOOKUP(表2[[#This Row],[relic id]],relic!$A:$A,relic!G:G,"")</f>
        <v>relic_desc_310406</v>
      </c>
      <c r="F196" s="16" t="str">
        <f>_xlfn.XLOOKUP(表2[[#This Row],[relic id]],relic!$A:$A,relic!H:H,"")</f>
        <v>枪托打击伤害附加高额震荡伤害（可以将敌人击晕）</v>
      </c>
    </row>
    <row r="197" spans="1:7" x14ac:dyDescent="0.2">
      <c r="B197" s="16">
        <f>_xlfn.XLOOKUP(表2[[#This Row],[relic id]],relic!$A:$A,relic!B:B,"")</f>
        <v>0</v>
      </c>
      <c r="C197" s="16">
        <f>_xlfn.XLOOKUP(表2[[#This Row],[relic id]],relic!$A:$A,relic!D:D,"")</f>
        <v>0</v>
      </c>
      <c r="D197" s="16" t="str">
        <f>IF(表2[[#This Row],[relic id]]&lt;&gt;"",_xlfn.XLOOKUP(表2[[#This Row],[relic id]],relic!$A:$A,relic!$T:$T),"")</f>
        <v/>
      </c>
      <c r="E197" s="16">
        <f>_xlfn.XLOOKUP(表2[[#This Row],[relic id]],relic!$A:$A,relic!G:G,"")</f>
        <v>0</v>
      </c>
      <c r="F197" s="16">
        <f>_xlfn.XLOOKUP(表2[[#This Row],[relic id]],relic!$A:$A,relic!H:H,"")</f>
        <v>0</v>
      </c>
    </row>
    <row r="198" spans="1:7" x14ac:dyDescent="0.2">
      <c r="A198" s="16">
        <v>310407</v>
      </c>
      <c r="B198" s="16" t="str">
        <f>_xlfn.XLOOKUP(表2[[#This Row],[relic id]],relic!$A:$A,relic!B:B,"")</f>
        <v>relic_name_310407</v>
      </c>
      <c r="C198" s="16" t="str">
        <f>_xlfn.XLOOKUP(表2[[#This Row],[relic id]],relic!$A:$A,relic!D:D,"")</f>
        <v>作弊骰 Lv.1</v>
      </c>
      <c r="D198" s="16">
        <f>IF(表2[[#This Row],[relic id]]&lt;&gt;"",_xlfn.XLOOKUP(表2[[#This Row],[relic id]],relic!$A:$A,relic!$T:$T),"")</f>
        <v>1</v>
      </c>
      <c r="E198" s="16" t="str">
        <f>_xlfn.XLOOKUP(表2[[#This Row],[relic id]],relic!$A:$A,relic!G:G,"")</f>
        <v>relic_desc_310407</v>
      </c>
      <c r="F198" s="16" t="str">
        <f>_xlfn.XLOOKUP(表2[[#This Row],[relic id]],relic!$A:$A,relic!H:H,"")</f>
        <v>弹匣内子弹数量得到恢复时，有10%概率立刻射出1发免费的子弹</v>
      </c>
      <c r="G198" s="24" t="b">
        <v>1</v>
      </c>
    </row>
    <row r="199" spans="1:7" x14ac:dyDescent="0.2">
      <c r="A199" s="16">
        <v>310408</v>
      </c>
      <c r="B199" s="16" t="str">
        <f>_xlfn.XLOOKUP(表2[[#This Row],[relic id]],relic!$A:$A,relic!B:B,"")</f>
        <v>relic_name_310408</v>
      </c>
      <c r="C199" s="16" t="str">
        <f>_xlfn.XLOOKUP(表2[[#This Row],[relic id]],relic!$A:$A,relic!D:D,"")</f>
        <v>作弊骰 Lv.2</v>
      </c>
      <c r="D199" s="16">
        <f>IF(表2[[#This Row],[relic id]]&lt;&gt;"",_xlfn.XLOOKUP(表2[[#This Row],[relic id]],relic!$A:$A,relic!$T:$T),"")</f>
        <v>2</v>
      </c>
      <c r="E199" s="16" t="str">
        <f>_xlfn.XLOOKUP(表2[[#This Row],[relic id]],relic!$A:$A,relic!G:G,"")</f>
        <v>relic_desc_310408</v>
      </c>
      <c r="F199" s="16" t="str">
        <f>_xlfn.XLOOKUP(表2[[#This Row],[relic id]],relic!$A:$A,relic!H:H,"")</f>
        <v>[升级] 弹匣内子弹数量得到恢复时，有20%概率立刻射出1发免费的子弹</v>
      </c>
      <c r="G199" s="24" t="b">
        <v>1</v>
      </c>
    </row>
    <row r="200" spans="1:7" x14ac:dyDescent="0.2">
      <c r="A200" s="16">
        <v>310409</v>
      </c>
      <c r="B200" s="16" t="str">
        <f>_xlfn.XLOOKUP(表2[[#This Row],[relic id]],relic!$A:$A,relic!B:B,"")</f>
        <v>relic_name_310409</v>
      </c>
      <c r="C200" s="16" t="str">
        <f>_xlfn.XLOOKUP(表2[[#This Row],[relic id]],relic!$A:$A,relic!D:D,"")</f>
        <v>作弊骰 Lv.3</v>
      </c>
      <c r="D200" s="16">
        <f>IF(表2[[#This Row],[relic id]]&lt;&gt;"",_xlfn.XLOOKUP(表2[[#This Row],[relic id]],relic!$A:$A,relic!$T:$T),"")</f>
        <v>3</v>
      </c>
      <c r="E200" s="16" t="str">
        <f>_xlfn.XLOOKUP(表2[[#This Row],[relic id]],relic!$A:$A,relic!G:G,"")</f>
        <v>relic_desc_310409</v>
      </c>
      <c r="F200" s="16" t="str">
        <f>_xlfn.XLOOKUP(表2[[#This Row],[relic id]],relic!$A:$A,relic!H:H,"")</f>
        <v>[升级] 弹匣内子弹数量得到恢复时，有40%概率立刻射出1发免费的子弹</v>
      </c>
      <c r="G200" s="24" t="b">
        <v>1</v>
      </c>
    </row>
    <row r="201" spans="1:7" x14ac:dyDescent="0.2">
      <c r="B201" s="16">
        <f>_xlfn.XLOOKUP(表2[[#This Row],[relic id]],relic!$A:$A,relic!B:B,"")</f>
        <v>0</v>
      </c>
      <c r="C201" s="16">
        <f>_xlfn.XLOOKUP(表2[[#This Row],[relic id]],relic!$A:$A,relic!D:D,"")</f>
        <v>0</v>
      </c>
      <c r="D201" s="16" t="str">
        <f>IF(表2[[#This Row],[relic id]]&lt;&gt;"",_xlfn.XLOOKUP(表2[[#This Row],[relic id]],relic!$A:$A,relic!$T:$T),"")</f>
        <v/>
      </c>
      <c r="E201" s="16">
        <f>_xlfn.XLOOKUP(表2[[#This Row],[relic id]],relic!$A:$A,relic!G:G,"")</f>
        <v>0</v>
      </c>
      <c r="F201" s="16">
        <f>_xlfn.XLOOKUP(表2[[#This Row],[relic id]],relic!$A:$A,relic!H:H,"")</f>
        <v>0</v>
      </c>
    </row>
    <row r="202" spans="1:7" x14ac:dyDescent="0.2">
      <c r="A202" s="16">
        <v>310501</v>
      </c>
      <c r="B202" s="16" t="str">
        <f>_xlfn.XLOOKUP(表2[[#This Row],[relic id]],relic!$A:$A,relic!B:B,"")</f>
        <v>relic_name_310501</v>
      </c>
      <c r="C202" s="16" t="str">
        <f>_xlfn.XLOOKUP(表2[[#This Row],[relic id]],relic!$A:$A,relic!D:D,"")</f>
        <v>箱子 Lv.1</v>
      </c>
      <c r="D202" s="16">
        <f>IF(表2[[#This Row],[relic id]]&lt;&gt;"",_xlfn.XLOOKUP(表2[[#This Row],[relic id]],relic!$A:$A,relic!$T:$T),"")</f>
        <v>2</v>
      </c>
      <c r="E202" s="16" t="str">
        <f>_xlfn.XLOOKUP(表2[[#This Row],[relic id]],relic!$A:$A,relic!G:G,"")</f>
        <v>relic_desc_310501</v>
      </c>
      <c r="F202" s="16" t="str">
        <f>_xlfn.XLOOKUP(表2[[#This Row],[relic id]],relic!$A:$A,relic!H:H,"")</f>
        <v>近战设备每次造成暴击伤害，有15%概率在目标处生成1枚铜币</v>
      </c>
      <c r="G202" s="24" t="b">
        <v>1</v>
      </c>
    </row>
    <row r="203" spans="1:7" x14ac:dyDescent="0.2">
      <c r="A203" s="16">
        <v>310502</v>
      </c>
      <c r="B203" s="16" t="str">
        <f>_xlfn.XLOOKUP(表2[[#This Row],[relic id]],relic!$A:$A,relic!B:B,"")</f>
        <v>relic_name_310502</v>
      </c>
      <c r="C203" s="16" t="str">
        <f>_xlfn.XLOOKUP(表2[[#This Row],[relic id]],relic!$A:$A,relic!D:D,"")</f>
        <v>箱子 Lv.2</v>
      </c>
      <c r="D203" s="16">
        <f>IF(表2[[#This Row],[relic id]]&lt;&gt;"",_xlfn.XLOOKUP(表2[[#This Row],[relic id]],relic!$A:$A,relic!$T:$T),"")</f>
        <v>3</v>
      </c>
      <c r="E203" s="16" t="str">
        <f>_xlfn.XLOOKUP(表2[[#This Row],[relic id]],relic!$A:$A,relic!G:G,"")</f>
        <v>relic_desc_310502</v>
      </c>
      <c r="F203" s="16" t="str">
        <f>_xlfn.XLOOKUP(表2[[#This Row],[relic id]],relic!$A:$A,relic!H:H,"")</f>
        <v>[升级] 近战设备每次造成暴击伤害，有30%概率在目标处生成1枚铜币</v>
      </c>
      <c r="G203" s="24" t="b">
        <v>1</v>
      </c>
    </row>
    <row r="204" spans="1:7" x14ac:dyDescent="0.2">
      <c r="A204" s="16">
        <v>310503</v>
      </c>
      <c r="B204" s="16" t="str">
        <f>_xlfn.XLOOKUP(表2[[#This Row],[relic id]],relic!$A:$A,relic!B:B,"")</f>
        <v>relic_name_310503</v>
      </c>
      <c r="C204" s="16" t="str">
        <f>_xlfn.XLOOKUP(表2[[#This Row],[relic id]],relic!$A:$A,relic!D:D,"")</f>
        <v>箱子 Lv.3</v>
      </c>
      <c r="D204" s="16">
        <f>IF(表2[[#This Row],[relic id]]&lt;&gt;"",_xlfn.XLOOKUP(表2[[#This Row],[relic id]],relic!$A:$A,relic!$T:$T),"")</f>
        <v>4</v>
      </c>
      <c r="E204" s="16" t="str">
        <f>_xlfn.XLOOKUP(表2[[#This Row],[relic id]],relic!$A:$A,relic!G:G,"")</f>
        <v>relic_desc_310503</v>
      </c>
      <c r="F204" s="16" t="str">
        <f>_xlfn.XLOOKUP(表2[[#This Row],[relic id]],relic!$A:$A,relic!H:H,"")</f>
        <v>[升级] 近战设备每次造成暴击伤害，有60%概率在目标处生成1枚铜币</v>
      </c>
      <c r="G204" s="24" t="b">
        <v>1</v>
      </c>
    </row>
    <row r="205" spans="1:7" x14ac:dyDescent="0.2">
      <c r="A205" s="16">
        <v>310504</v>
      </c>
      <c r="B205" s="16" t="str">
        <f>_xlfn.XLOOKUP(表2[[#This Row],[relic id]],relic!$A:$A,relic!B:B,"")</f>
        <v>relic_name_310504</v>
      </c>
      <c r="C205" s="16" t="str">
        <f>_xlfn.XLOOKUP(表2[[#This Row],[relic id]],relic!$A:$A,relic!D:D,"")</f>
        <v>符纸 Lv.1</v>
      </c>
      <c r="D205" s="16">
        <f>IF(表2[[#This Row],[relic id]]&lt;&gt;"",_xlfn.XLOOKUP(表2[[#This Row],[relic id]],relic!$A:$A,relic!$T:$T),"")</f>
        <v>2</v>
      </c>
      <c r="E205" s="16" t="str">
        <f>_xlfn.XLOOKUP(表2[[#This Row],[relic id]],relic!$A:$A,relic!G:G,"")</f>
        <v>relic_desc_310504</v>
      </c>
      <c r="F205" s="16" t="str">
        <f>_xlfn.XLOOKUP(表2[[#This Row],[relic id]],relic!$A:$A,relic!H:H,"")</f>
        <v>近战设备每次暴击，有20%几率秒杀目标（目标当前生命值不能超过设备伤害的6倍）</v>
      </c>
      <c r="G205" s="24" t="b">
        <v>1</v>
      </c>
    </row>
    <row r="206" spans="1:7" x14ac:dyDescent="0.2">
      <c r="A206" s="16">
        <v>310505</v>
      </c>
      <c r="B206" s="16" t="str">
        <f>_xlfn.XLOOKUP(表2[[#This Row],[relic id]],relic!$A:$A,relic!B:B,"")</f>
        <v>relic_name_310505</v>
      </c>
      <c r="C206" s="16" t="str">
        <f>_xlfn.XLOOKUP(表2[[#This Row],[relic id]],relic!$A:$A,relic!D:D,"")</f>
        <v>符纸 Lv.2</v>
      </c>
      <c r="D206" s="16">
        <f>IF(表2[[#This Row],[relic id]]&lt;&gt;"",_xlfn.XLOOKUP(表2[[#This Row],[relic id]],relic!$A:$A,relic!$T:$T),"")</f>
        <v>3</v>
      </c>
      <c r="E206" s="16" t="str">
        <f>_xlfn.XLOOKUP(表2[[#This Row],[relic id]],relic!$A:$A,relic!G:G,"")</f>
        <v>relic_desc_310505</v>
      </c>
      <c r="F206" s="16" t="str">
        <f>_xlfn.XLOOKUP(表2[[#This Row],[relic id]],relic!$A:$A,relic!H:H,"")</f>
        <v>[升级] 近战设备每次暴击，有40%几率秒杀目标（目标当前生命值不能超过设备伤害的9倍）</v>
      </c>
      <c r="G206" s="24" t="b">
        <v>1</v>
      </c>
    </row>
    <row r="207" spans="1:7" x14ac:dyDescent="0.2">
      <c r="A207" s="16">
        <v>310506</v>
      </c>
      <c r="B207" s="16" t="str">
        <f>_xlfn.XLOOKUP(表2[[#This Row],[relic id]],relic!$A:$A,relic!B:B,"")</f>
        <v>relic_name_310506</v>
      </c>
      <c r="C207" s="16" t="str">
        <f>_xlfn.XLOOKUP(表2[[#This Row],[relic id]],relic!$A:$A,relic!D:D,"")</f>
        <v>符纸 Lv.3</v>
      </c>
      <c r="D207" s="16">
        <f>IF(表2[[#This Row],[relic id]]&lt;&gt;"",_xlfn.XLOOKUP(表2[[#This Row],[relic id]],relic!$A:$A,relic!$T:$T),"")</f>
        <v>4</v>
      </c>
      <c r="E207" s="16" t="str">
        <f>_xlfn.XLOOKUP(表2[[#This Row],[relic id]],relic!$A:$A,relic!G:G,"")</f>
        <v>relic_desc_310506</v>
      </c>
      <c r="F207" s="16" t="str">
        <f>_xlfn.XLOOKUP(表2[[#This Row],[relic id]],relic!$A:$A,relic!H:H,"")</f>
        <v>[升级] 近战设备每次暴击，有60%几率秒杀目标（目标当前生命值不能超过设备伤害的12倍）</v>
      </c>
      <c r="G207" s="24" t="b">
        <v>1</v>
      </c>
    </row>
    <row r="208" spans="1:7" x14ac:dyDescent="0.2">
      <c r="A208" s="16">
        <v>310507</v>
      </c>
      <c r="B208" s="16" t="str">
        <f>_xlfn.XLOOKUP(表2[[#This Row],[relic id]],relic!$A:$A,relic!B:B,"")</f>
        <v>relic_name_310507</v>
      </c>
      <c r="C208" s="16" t="str">
        <f>_xlfn.XLOOKUP(表2[[#This Row],[relic id]],relic!$A:$A,relic!D:D,"")</f>
        <v>玩火艺人</v>
      </c>
      <c r="D208" s="16">
        <f>IF(表2[[#This Row],[relic id]]&lt;&gt;"",_xlfn.XLOOKUP(表2[[#This Row],[relic id]],relic!$A:$A,relic!$T:$T),"")</f>
        <v>2</v>
      </c>
      <c r="E208" s="16" t="str">
        <f>_xlfn.XLOOKUP(表2[[#This Row],[relic id]],relic!$A:$A,relic!G:G,"")</f>
        <v>relic_desc_310507</v>
      </c>
      <c r="F208" s="16" t="str">
        <f>_xlfn.XLOOKUP(表2[[#This Row],[relic id]],relic!$A:$A,relic!H:H,"")</f>
        <v>近战设备获得32点额外火焰伤害，但每次发动攻击，有5%的概率点燃自身。</v>
      </c>
      <c r="G208" s="24" t="b">
        <v>1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N60"/>
  <sheetViews>
    <sheetView workbookViewId="0">
      <selection activeCell="F2" sqref="F2:G2"/>
    </sheetView>
  </sheetViews>
  <sheetFormatPr defaultColWidth="12.5" defaultRowHeight="14.25" x14ac:dyDescent="0.2"/>
  <cols>
    <col min="1" max="1" width="29.625" style="2" customWidth="1"/>
    <col min="2" max="2" width="12.5" style="2"/>
    <col min="3" max="3" width="12.5" style="3"/>
    <col min="4" max="8" width="12.5" style="2"/>
    <col min="9" max="9" width="2.5" style="4" customWidth="1"/>
    <col min="10" max="10" width="13.625" style="5" customWidth="1"/>
    <col min="11" max="11" width="32.25" style="5" bestFit="1" customWidth="1"/>
    <col min="12" max="12" width="37.875" style="5" customWidth="1"/>
    <col min="13" max="13" width="40.625" style="5" customWidth="1"/>
    <col min="14" max="14" width="2.5" style="6" customWidth="1"/>
    <col min="15" max="16384" width="12.5" style="2"/>
  </cols>
  <sheetData>
    <row r="1" spans="1:14" s="1" customFormat="1" x14ac:dyDescent="0.2">
      <c r="A1" s="1" t="s">
        <v>69</v>
      </c>
      <c r="B1" s="1" t="s">
        <v>70</v>
      </c>
      <c r="C1" s="7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8"/>
      <c r="J1" s="9" t="s">
        <v>169</v>
      </c>
      <c r="K1" s="9" t="s">
        <v>170</v>
      </c>
      <c r="L1" s="9" t="s">
        <v>77</v>
      </c>
      <c r="M1" s="9" t="s">
        <v>78</v>
      </c>
      <c r="N1" s="10"/>
    </row>
    <row r="2" spans="1:14" x14ac:dyDescent="0.2">
      <c r="A2" s="2" t="s">
        <v>38</v>
      </c>
      <c r="B2" s="2" t="s">
        <v>79</v>
      </c>
      <c r="C2" s="84" t="s">
        <v>206</v>
      </c>
      <c r="D2" s="83"/>
      <c r="E2" s="2" t="s">
        <v>80</v>
      </c>
      <c r="F2" s="83" t="s">
        <v>440</v>
      </c>
      <c r="G2" s="83"/>
      <c r="H2" s="2" t="s">
        <v>232</v>
      </c>
      <c r="J2" s="5" t="s">
        <v>81</v>
      </c>
      <c r="K2" s="5" t="s">
        <v>172</v>
      </c>
      <c r="L2" s="5" t="s">
        <v>82</v>
      </c>
    </row>
    <row r="3" spans="1:14" x14ac:dyDescent="0.2">
      <c r="A3" s="2" t="s">
        <v>39</v>
      </c>
      <c r="B3" s="2" t="s">
        <v>83</v>
      </c>
      <c r="F3" s="83" t="s">
        <v>441</v>
      </c>
      <c r="G3" s="83"/>
      <c r="J3" s="5" t="s">
        <v>84</v>
      </c>
      <c r="K3" s="5" t="s">
        <v>168</v>
      </c>
    </row>
    <row r="4" spans="1:14" x14ac:dyDescent="0.2">
      <c r="A4" s="2" t="s">
        <v>160</v>
      </c>
      <c r="B4" s="2" t="s">
        <v>79</v>
      </c>
      <c r="F4" s="83" t="s">
        <v>442</v>
      </c>
      <c r="G4" s="83"/>
      <c r="J4" s="5" t="s">
        <v>85</v>
      </c>
      <c r="K4" s="5" t="s">
        <v>171</v>
      </c>
    </row>
    <row r="5" spans="1:14" x14ac:dyDescent="0.2">
      <c r="A5" s="2" t="s">
        <v>163</v>
      </c>
      <c r="B5" s="2" t="s">
        <v>79</v>
      </c>
      <c r="F5" s="83" t="s">
        <v>443</v>
      </c>
      <c r="G5" s="83"/>
      <c r="J5" s="5" t="s">
        <v>86</v>
      </c>
      <c r="K5" s="5" t="s">
        <v>173</v>
      </c>
    </row>
    <row r="6" spans="1:14" x14ac:dyDescent="0.2">
      <c r="A6" s="2" t="s">
        <v>40</v>
      </c>
      <c r="B6" s="2" t="s">
        <v>79</v>
      </c>
      <c r="F6" s="83" t="s">
        <v>444</v>
      </c>
      <c r="G6" s="83"/>
      <c r="J6" s="5" t="s">
        <v>87</v>
      </c>
      <c r="K6" s="5" t="s">
        <v>174</v>
      </c>
      <c r="M6" s="5" t="s">
        <v>88</v>
      </c>
    </row>
    <row r="7" spans="1:14" x14ac:dyDescent="0.2">
      <c r="A7" s="2" t="s">
        <v>42</v>
      </c>
      <c r="B7" s="2" t="s">
        <v>79</v>
      </c>
      <c r="F7" s="83" t="s">
        <v>445</v>
      </c>
      <c r="G7" s="83"/>
      <c r="J7" s="5" t="s">
        <v>89</v>
      </c>
      <c r="K7" s="5" t="s">
        <v>175</v>
      </c>
    </row>
    <row r="8" spans="1:14" x14ac:dyDescent="0.2">
      <c r="A8" s="2" t="s">
        <v>117</v>
      </c>
    </row>
    <row r="9" spans="1:14" x14ac:dyDescent="0.2">
      <c r="A9" s="2" t="s">
        <v>43</v>
      </c>
      <c r="B9" s="2" t="s">
        <v>83</v>
      </c>
      <c r="F9" s="83" t="s">
        <v>446</v>
      </c>
      <c r="G9" s="83"/>
      <c r="J9" s="5" t="s">
        <v>90</v>
      </c>
      <c r="K9" s="5" t="s">
        <v>176</v>
      </c>
      <c r="M9" s="5" t="s">
        <v>88</v>
      </c>
    </row>
    <row r="10" spans="1:14" x14ac:dyDescent="0.2">
      <c r="A10" s="2" t="s">
        <v>44</v>
      </c>
      <c r="B10" s="2" t="s">
        <v>79</v>
      </c>
      <c r="F10" s="83" t="s">
        <v>447</v>
      </c>
      <c r="G10" s="83"/>
      <c r="J10" s="5" t="s">
        <v>91</v>
      </c>
      <c r="K10" s="5" t="s">
        <v>177</v>
      </c>
    </row>
    <row r="11" spans="1:14" x14ac:dyDescent="0.2">
      <c r="A11" s="2" t="s">
        <v>45</v>
      </c>
      <c r="B11" s="2" t="s">
        <v>83</v>
      </c>
      <c r="F11" s="83" t="s">
        <v>448</v>
      </c>
      <c r="G11" s="83"/>
      <c r="J11" s="5" t="s">
        <v>92</v>
      </c>
      <c r="K11" s="5" t="s">
        <v>178</v>
      </c>
    </row>
    <row r="12" spans="1:14" x14ac:dyDescent="0.2">
      <c r="A12" s="2" t="s">
        <v>117</v>
      </c>
    </row>
    <row r="13" spans="1:14" x14ac:dyDescent="0.2">
      <c r="A13" s="2" t="s">
        <v>46</v>
      </c>
      <c r="B13" s="2" t="s">
        <v>79</v>
      </c>
      <c r="E13" s="2" t="s">
        <v>93</v>
      </c>
      <c r="F13" s="83" t="s">
        <v>348</v>
      </c>
      <c r="G13" s="83"/>
      <c r="J13" s="5" t="s">
        <v>94</v>
      </c>
      <c r="K13" s="5" t="s">
        <v>344</v>
      </c>
      <c r="L13" s="5" t="s">
        <v>95</v>
      </c>
      <c r="M13" s="5" t="s">
        <v>96</v>
      </c>
    </row>
    <row r="14" spans="1:14" x14ac:dyDescent="0.2">
      <c r="A14" s="2" t="s">
        <v>47</v>
      </c>
      <c r="B14" s="2" t="s">
        <v>83</v>
      </c>
      <c r="F14" s="83" t="s">
        <v>349</v>
      </c>
      <c r="G14" s="83"/>
      <c r="J14" s="5" t="s">
        <v>97</v>
      </c>
      <c r="K14" s="5" t="s">
        <v>179</v>
      </c>
      <c r="L14" s="5" t="s">
        <v>95</v>
      </c>
      <c r="M14" s="5" t="s">
        <v>96</v>
      </c>
    </row>
    <row r="15" spans="1:14" x14ac:dyDescent="0.2">
      <c r="A15" s="2" t="s">
        <v>161</v>
      </c>
      <c r="B15" s="2" t="s">
        <v>79</v>
      </c>
      <c r="F15" s="83" t="s">
        <v>350</v>
      </c>
      <c r="G15" s="83"/>
      <c r="J15" s="5" t="s">
        <v>98</v>
      </c>
      <c r="K15" s="5" t="s">
        <v>180</v>
      </c>
      <c r="L15" s="5" t="s">
        <v>95</v>
      </c>
      <c r="M15" s="5" t="s">
        <v>96</v>
      </c>
    </row>
    <row r="16" spans="1:14" x14ac:dyDescent="0.2">
      <c r="A16" s="2" t="s">
        <v>164</v>
      </c>
      <c r="B16" s="2" t="s">
        <v>79</v>
      </c>
      <c r="F16" s="83" t="s">
        <v>351</v>
      </c>
      <c r="G16" s="83"/>
      <c r="J16" s="5" t="s">
        <v>99</v>
      </c>
      <c r="K16" s="5" t="s">
        <v>181</v>
      </c>
      <c r="L16" s="5" t="s">
        <v>95</v>
      </c>
      <c r="M16" s="5" t="s">
        <v>96</v>
      </c>
    </row>
    <row r="17" spans="1:13" x14ac:dyDescent="0.2">
      <c r="A17" s="2" t="s">
        <v>48</v>
      </c>
      <c r="B17" s="2" t="s">
        <v>79</v>
      </c>
      <c r="F17" s="83" t="s">
        <v>352</v>
      </c>
      <c r="G17" s="83"/>
      <c r="J17" s="5" t="s">
        <v>100</v>
      </c>
      <c r="K17" s="5" t="s">
        <v>182</v>
      </c>
      <c r="L17" s="5" t="s">
        <v>95</v>
      </c>
      <c r="M17" s="5" t="s">
        <v>101</v>
      </c>
    </row>
    <row r="18" spans="1:13" x14ac:dyDescent="0.2">
      <c r="A18" s="2" t="s">
        <v>49</v>
      </c>
      <c r="B18" s="2" t="s">
        <v>79</v>
      </c>
      <c r="F18" s="83" t="s">
        <v>102</v>
      </c>
      <c r="G18" s="83"/>
      <c r="J18" s="5" t="s">
        <v>103</v>
      </c>
      <c r="K18" s="5" t="s">
        <v>183</v>
      </c>
      <c r="L18" s="5" t="s">
        <v>95</v>
      </c>
      <c r="M18" s="5" t="s">
        <v>96</v>
      </c>
    </row>
    <row r="19" spans="1:13" x14ac:dyDescent="0.2">
      <c r="A19" s="2" t="s">
        <v>117</v>
      </c>
    </row>
    <row r="20" spans="1:13" x14ac:dyDescent="0.2">
      <c r="A20" s="2" t="s">
        <v>50</v>
      </c>
      <c r="B20" s="2" t="s">
        <v>79</v>
      </c>
      <c r="F20" s="83" t="s">
        <v>104</v>
      </c>
      <c r="G20" s="83"/>
      <c r="J20" s="5" t="s">
        <v>105</v>
      </c>
      <c r="K20" s="5" t="s">
        <v>184</v>
      </c>
      <c r="L20" s="5" t="s">
        <v>106</v>
      </c>
      <c r="M20" s="5" t="s">
        <v>107</v>
      </c>
    </row>
    <row r="21" spans="1:13" x14ac:dyDescent="0.2">
      <c r="A21" s="2" t="s">
        <v>51</v>
      </c>
      <c r="B21" s="2" t="s">
        <v>79</v>
      </c>
      <c r="F21" s="83" t="s">
        <v>108</v>
      </c>
      <c r="G21" s="83"/>
      <c r="J21" s="5" t="s">
        <v>109</v>
      </c>
      <c r="K21" s="5" t="s">
        <v>185</v>
      </c>
      <c r="L21" s="5" t="s">
        <v>110</v>
      </c>
      <c r="M21" s="5" t="s">
        <v>107</v>
      </c>
    </row>
    <row r="22" spans="1:13" x14ac:dyDescent="0.2">
      <c r="A22" s="2" t="s">
        <v>52</v>
      </c>
      <c r="B22" s="2" t="s">
        <v>79</v>
      </c>
      <c r="F22" s="83" t="s">
        <v>111</v>
      </c>
      <c r="G22" s="83"/>
      <c r="J22" s="5" t="s">
        <v>112</v>
      </c>
      <c r="K22" s="5" t="s">
        <v>186</v>
      </c>
      <c r="M22" s="5" t="s">
        <v>107</v>
      </c>
    </row>
    <row r="23" spans="1:13" x14ac:dyDescent="0.2">
      <c r="A23" s="2" t="s">
        <v>117</v>
      </c>
    </row>
    <row r="24" spans="1:13" x14ac:dyDescent="0.2">
      <c r="A24" s="2" t="s">
        <v>117</v>
      </c>
      <c r="F24" s="83" t="s">
        <v>113</v>
      </c>
      <c r="G24" s="83"/>
      <c r="J24" s="5" t="s">
        <v>114</v>
      </c>
      <c r="K24" s="5" t="s">
        <v>187</v>
      </c>
      <c r="L24" s="5" t="s">
        <v>115</v>
      </c>
      <c r="M24" s="5" t="s">
        <v>116</v>
      </c>
    </row>
    <row r="25" spans="1:13" x14ac:dyDescent="0.2">
      <c r="A25" s="2" t="s">
        <v>117</v>
      </c>
      <c r="J25" s="5" t="s">
        <v>117</v>
      </c>
    </row>
    <row r="26" spans="1:13" x14ac:dyDescent="0.2">
      <c r="A26" s="2" t="s">
        <v>53</v>
      </c>
      <c r="B26" s="2" t="s">
        <v>79</v>
      </c>
      <c r="E26" s="2" t="s">
        <v>118</v>
      </c>
      <c r="F26" s="83" t="s">
        <v>353</v>
      </c>
      <c r="G26" s="83"/>
      <c r="J26" s="5" t="s">
        <v>119</v>
      </c>
      <c r="K26" s="5" t="s">
        <v>345</v>
      </c>
    </row>
    <row r="27" spans="1:13" x14ac:dyDescent="0.2">
      <c r="A27" s="2" t="s">
        <v>54</v>
      </c>
      <c r="B27" s="2" t="s">
        <v>83</v>
      </c>
      <c r="F27" s="83" t="s">
        <v>354</v>
      </c>
      <c r="G27" s="83"/>
      <c r="J27" s="5" t="s">
        <v>120</v>
      </c>
      <c r="K27" s="5" t="s">
        <v>188</v>
      </c>
    </row>
    <row r="28" spans="1:13" x14ac:dyDescent="0.2">
      <c r="A28" s="2" t="s">
        <v>162</v>
      </c>
      <c r="B28" s="2" t="s">
        <v>79</v>
      </c>
      <c r="F28" s="83" t="s">
        <v>355</v>
      </c>
      <c r="G28" s="83"/>
      <c r="J28" s="5" t="s">
        <v>121</v>
      </c>
      <c r="K28" s="5" t="s">
        <v>189</v>
      </c>
    </row>
    <row r="29" spans="1:13" x14ac:dyDescent="0.2">
      <c r="A29" s="2" t="s">
        <v>165</v>
      </c>
      <c r="B29" s="2" t="s">
        <v>79</v>
      </c>
      <c r="F29" s="83" t="s">
        <v>356</v>
      </c>
      <c r="G29" s="83"/>
      <c r="J29" s="5" t="s">
        <v>122</v>
      </c>
      <c r="K29" s="5" t="s">
        <v>190</v>
      </c>
    </row>
    <row r="30" spans="1:13" x14ac:dyDescent="0.2">
      <c r="A30" s="2" t="s">
        <v>55</v>
      </c>
      <c r="B30" s="2" t="s">
        <v>79</v>
      </c>
      <c r="F30" s="83" t="s">
        <v>123</v>
      </c>
      <c r="G30" s="83"/>
      <c r="J30" s="5" t="s">
        <v>124</v>
      </c>
      <c r="K30" s="5" t="s">
        <v>191</v>
      </c>
      <c r="M30" s="5" t="s">
        <v>88</v>
      </c>
    </row>
    <row r="31" spans="1:13" x14ac:dyDescent="0.2">
      <c r="A31" s="2" t="s">
        <v>56</v>
      </c>
      <c r="B31" s="2" t="s">
        <v>79</v>
      </c>
      <c r="F31" s="83" t="s">
        <v>125</v>
      </c>
      <c r="G31" s="83"/>
      <c r="J31" s="5" t="s">
        <v>126</v>
      </c>
      <c r="K31" s="5" t="s">
        <v>192</v>
      </c>
    </row>
    <row r="32" spans="1:13" x14ac:dyDescent="0.2">
      <c r="A32" s="2" t="s">
        <v>117</v>
      </c>
    </row>
    <row r="33" spans="1:13" x14ac:dyDescent="0.2">
      <c r="A33" s="2" t="s">
        <v>57</v>
      </c>
      <c r="B33" s="2" t="s">
        <v>79</v>
      </c>
      <c r="F33" s="83" t="s">
        <v>127</v>
      </c>
      <c r="G33" s="83"/>
      <c r="J33" s="5" t="s">
        <v>128</v>
      </c>
      <c r="K33" s="5" t="s">
        <v>193</v>
      </c>
    </row>
    <row r="34" spans="1:13" x14ac:dyDescent="0.2">
      <c r="A34" s="2" t="s">
        <v>58</v>
      </c>
      <c r="B34" s="2" t="s">
        <v>79</v>
      </c>
      <c r="F34" s="83" t="s">
        <v>129</v>
      </c>
      <c r="G34" s="83"/>
      <c r="J34" s="5" t="s">
        <v>130</v>
      </c>
      <c r="K34" s="5" t="s">
        <v>194</v>
      </c>
    </row>
    <row r="35" spans="1:13" x14ac:dyDescent="0.2">
      <c r="A35" s="2" t="s">
        <v>59</v>
      </c>
      <c r="B35" s="2" t="s">
        <v>83</v>
      </c>
      <c r="F35" s="83" t="s">
        <v>131</v>
      </c>
      <c r="G35" s="83"/>
      <c r="J35" s="5" t="s">
        <v>132</v>
      </c>
      <c r="K35" s="5" t="s">
        <v>195</v>
      </c>
      <c r="M35" s="5" t="s">
        <v>133</v>
      </c>
    </row>
    <row r="36" spans="1:13" x14ac:dyDescent="0.2">
      <c r="A36" s="2" t="s">
        <v>117</v>
      </c>
    </row>
    <row r="37" spans="1:13" x14ac:dyDescent="0.2">
      <c r="A37" s="2" t="s">
        <v>60</v>
      </c>
      <c r="B37" s="2" t="s">
        <v>83</v>
      </c>
      <c r="F37" s="83" t="s">
        <v>166</v>
      </c>
      <c r="G37" s="83"/>
      <c r="J37" s="5" t="s">
        <v>134</v>
      </c>
      <c r="K37" s="5" t="s">
        <v>196</v>
      </c>
      <c r="L37" s="5" t="s">
        <v>135</v>
      </c>
      <c r="M37" s="5" t="s">
        <v>116</v>
      </c>
    </row>
    <row r="38" spans="1:13" x14ac:dyDescent="0.2">
      <c r="A38" s="2" t="s">
        <v>61</v>
      </c>
      <c r="B38" s="2" t="s">
        <v>79</v>
      </c>
      <c r="F38" s="83" t="s">
        <v>136</v>
      </c>
      <c r="G38" s="83"/>
      <c r="J38" s="5" t="s">
        <v>137</v>
      </c>
      <c r="K38" s="5" t="s">
        <v>197</v>
      </c>
      <c r="L38" s="5" t="s">
        <v>138</v>
      </c>
      <c r="M38" s="5" t="s">
        <v>116</v>
      </c>
    </row>
    <row r="39" spans="1:13" x14ac:dyDescent="0.2">
      <c r="A39" s="2" t="s">
        <v>117</v>
      </c>
    </row>
    <row r="40" spans="1:13" x14ac:dyDescent="0.2">
      <c r="A40" s="2" t="s">
        <v>62</v>
      </c>
      <c r="B40" s="2" t="s">
        <v>83</v>
      </c>
      <c r="E40" s="2" t="s">
        <v>139</v>
      </c>
      <c r="F40" s="83" t="s">
        <v>140</v>
      </c>
      <c r="G40" s="83"/>
      <c r="J40" s="5" t="s">
        <v>141</v>
      </c>
      <c r="K40" s="5" t="s">
        <v>198</v>
      </c>
      <c r="M40" s="5" t="s">
        <v>142</v>
      </c>
    </row>
    <row r="41" spans="1:13" x14ac:dyDescent="0.2">
      <c r="A41" s="2" t="s">
        <v>63</v>
      </c>
      <c r="B41" s="2" t="s">
        <v>79</v>
      </c>
      <c r="F41" s="83" t="s">
        <v>143</v>
      </c>
      <c r="G41" s="83"/>
      <c r="J41" s="5" t="s">
        <v>144</v>
      </c>
      <c r="K41" s="5" t="s">
        <v>199</v>
      </c>
      <c r="M41" s="5" t="s">
        <v>88</v>
      </c>
    </row>
    <row r="42" spans="1:13" x14ac:dyDescent="0.2">
      <c r="A42" s="2" t="s">
        <v>64</v>
      </c>
      <c r="B42" s="2" t="s">
        <v>79</v>
      </c>
      <c r="F42" s="83" t="s">
        <v>145</v>
      </c>
      <c r="G42" s="83"/>
      <c r="J42" s="5" t="s">
        <v>146</v>
      </c>
      <c r="K42" s="5" t="s">
        <v>200</v>
      </c>
      <c r="M42" s="5" t="s">
        <v>88</v>
      </c>
    </row>
    <row r="43" spans="1:13" x14ac:dyDescent="0.2">
      <c r="A43" s="2" t="s">
        <v>65</v>
      </c>
      <c r="B43" s="2" t="s">
        <v>79</v>
      </c>
      <c r="F43" s="83" t="s">
        <v>147</v>
      </c>
      <c r="G43" s="83"/>
      <c r="J43" s="5" t="s">
        <v>148</v>
      </c>
      <c r="K43" s="5" t="s">
        <v>201</v>
      </c>
      <c r="M43" s="5" t="s">
        <v>142</v>
      </c>
    </row>
    <row r="44" spans="1:13" x14ac:dyDescent="0.2">
      <c r="A44" s="2" t="s">
        <v>117</v>
      </c>
    </row>
    <row r="45" spans="1:13" x14ac:dyDescent="0.2">
      <c r="A45" s="2" t="s">
        <v>117</v>
      </c>
      <c r="E45" s="2" t="s">
        <v>149</v>
      </c>
    </row>
    <row r="46" spans="1:13" x14ac:dyDescent="0.2">
      <c r="A46" s="2" t="s">
        <v>117</v>
      </c>
    </row>
    <row r="47" spans="1:13" x14ac:dyDescent="0.2">
      <c r="A47" s="2" t="s">
        <v>117</v>
      </c>
      <c r="E47" s="2" t="s">
        <v>150</v>
      </c>
    </row>
    <row r="48" spans="1:13" x14ac:dyDescent="0.2">
      <c r="A48" s="2" t="s">
        <v>117</v>
      </c>
    </row>
    <row r="49" spans="1:14" x14ac:dyDescent="0.2">
      <c r="A49" s="2" t="s">
        <v>66</v>
      </c>
      <c r="B49" s="2" t="s">
        <v>79</v>
      </c>
      <c r="E49" s="2" t="s">
        <v>151</v>
      </c>
      <c r="F49" s="83" t="s">
        <v>152</v>
      </c>
      <c r="G49" s="83"/>
      <c r="J49" s="5" t="s">
        <v>153</v>
      </c>
      <c r="K49" s="5" t="s">
        <v>202</v>
      </c>
      <c r="L49" s="5" t="s">
        <v>154</v>
      </c>
      <c r="M49" s="5" t="s">
        <v>88</v>
      </c>
    </row>
    <row r="50" spans="1:14" x14ac:dyDescent="0.2">
      <c r="A50" s="2" t="s">
        <v>67</v>
      </c>
      <c r="B50" s="2" t="s">
        <v>79</v>
      </c>
      <c r="F50" s="83" t="s">
        <v>155</v>
      </c>
      <c r="G50" s="83"/>
      <c r="J50" s="5" t="s">
        <v>156</v>
      </c>
      <c r="K50" s="5" t="s">
        <v>203</v>
      </c>
      <c r="L50" s="5" t="s">
        <v>157</v>
      </c>
    </row>
    <row r="51" spans="1:14" x14ac:dyDescent="0.2">
      <c r="A51" s="2" t="s">
        <v>68</v>
      </c>
      <c r="B51" s="2" t="s">
        <v>79</v>
      </c>
      <c r="F51" s="83" t="s">
        <v>158</v>
      </c>
      <c r="G51" s="83"/>
      <c r="J51" s="5" t="s">
        <v>159</v>
      </c>
      <c r="K51" s="5" t="s">
        <v>204</v>
      </c>
      <c r="L51" s="5" t="s">
        <v>157</v>
      </c>
    </row>
    <row r="52" spans="1:14" x14ac:dyDescent="0.2">
      <c r="A52" s="2" t="s">
        <v>117</v>
      </c>
    </row>
    <row r="53" spans="1:14" x14ac:dyDescent="0.2">
      <c r="A53" s="2" t="s">
        <v>117</v>
      </c>
    </row>
    <row r="54" spans="1:14" s="32" customFormat="1" x14ac:dyDescent="0.2">
      <c r="A54" s="32" t="s">
        <v>117</v>
      </c>
      <c r="C54" s="33"/>
      <c r="J54" s="34"/>
      <c r="K54" s="34"/>
      <c r="L54" s="34"/>
      <c r="M54" s="34"/>
    </row>
    <row r="55" spans="1:14" s="1" customFormat="1" x14ac:dyDescent="0.2">
      <c r="A55" s="1" t="s">
        <v>69</v>
      </c>
      <c r="B55" s="1" t="s">
        <v>70</v>
      </c>
      <c r="C55" s="7" t="s">
        <v>71</v>
      </c>
      <c r="D55" s="1" t="s">
        <v>72</v>
      </c>
      <c r="E55" s="1" t="s">
        <v>73</v>
      </c>
      <c r="F55" s="1" t="s">
        <v>74</v>
      </c>
      <c r="G55" s="1" t="s">
        <v>75</v>
      </c>
      <c r="H55" s="1" t="s">
        <v>76</v>
      </c>
      <c r="I55" s="8"/>
      <c r="J55" s="9" t="s">
        <v>169</v>
      </c>
      <c r="K55" s="9" t="s">
        <v>170</v>
      </c>
      <c r="L55" s="9" t="s">
        <v>77</v>
      </c>
      <c r="M55" s="9" t="s">
        <v>78</v>
      </c>
      <c r="N55" s="10"/>
    </row>
    <row r="56" spans="1:14" x14ac:dyDescent="0.2">
      <c r="C56" s="84" t="s">
        <v>228</v>
      </c>
      <c r="D56" s="83"/>
      <c r="E56" s="83" t="s">
        <v>229</v>
      </c>
      <c r="F56" s="83"/>
      <c r="G56" s="83" t="s">
        <v>231</v>
      </c>
      <c r="H56" s="83"/>
    </row>
    <row r="57" spans="1:14" x14ac:dyDescent="0.2">
      <c r="E57" s="83" t="s">
        <v>230</v>
      </c>
      <c r="F57" s="83"/>
    </row>
    <row r="59" spans="1:14" x14ac:dyDescent="0.2">
      <c r="E59" s="83" t="s">
        <v>287</v>
      </c>
      <c r="F59" s="83"/>
    </row>
    <row r="60" spans="1:14" x14ac:dyDescent="0.2">
      <c r="E60" s="83" t="s">
        <v>388</v>
      </c>
      <c r="F60" s="83"/>
    </row>
  </sheetData>
  <mergeCells count="44">
    <mergeCell ref="E56:F56"/>
    <mergeCell ref="E59:F59"/>
    <mergeCell ref="E57:F57"/>
    <mergeCell ref="G56:H56"/>
    <mergeCell ref="F37:G37"/>
    <mergeCell ref="F49:G49"/>
    <mergeCell ref="F50:G50"/>
    <mergeCell ref="F51:G51"/>
    <mergeCell ref="F38:G38"/>
    <mergeCell ref="F40:G40"/>
    <mergeCell ref="F41:G41"/>
    <mergeCell ref="F42:G42"/>
    <mergeCell ref="F43:G43"/>
    <mergeCell ref="F30:G30"/>
    <mergeCell ref="F31:G31"/>
    <mergeCell ref="F33:G33"/>
    <mergeCell ref="F34:G34"/>
    <mergeCell ref="F35:G35"/>
    <mergeCell ref="F24:G24"/>
    <mergeCell ref="F26:G26"/>
    <mergeCell ref="F27:G27"/>
    <mergeCell ref="F28:G28"/>
    <mergeCell ref="F29:G29"/>
    <mergeCell ref="F17:G17"/>
    <mergeCell ref="F18:G18"/>
    <mergeCell ref="F20:G20"/>
    <mergeCell ref="F21:G21"/>
    <mergeCell ref="F22:G22"/>
    <mergeCell ref="E60:F60"/>
    <mergeCell ref="C56:D56"/>
    <mergeCell ref="C2:D2"/>
    <mergeCell ref="F2:G2"/>
    <mergeCell ref="F3:G3"/>
    <mergeCell ref="F4:G4"/>
    <mergeCell ref="F5:G5"/>
    <mergeCell ref="F6:G6"/>
    <mergeCell ref="F7:G7"/>
    <mergeCell ref="F9:G9"/>
    <mergeCell ref="F10:G10"/>
    <mergeCell ref="F11:G11"/>
    <mergeCell ref="F13:G13"/>
    <mergeCell ref="F14:G14"/>
    <mergeCell ref="F15:G15"/>
    <mergeCell ref="F16:G16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relic</vt:lpstr>
      <vt:lpstr>relic_pool</vt:lpstr>
      <vt:lpstr>relic_rank</vt:lpstr>
      <vt:lpstr>-投放筛选及l10n配置辅助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2026-01-04T07:44:10Z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2052-12.1.0.20784</vt:lpwstr>
  </property>
</Properties>
</file>