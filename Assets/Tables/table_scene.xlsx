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CE659816-A6A7-4C56-8C0B-63AFFE4EC763}" xr6:coauthVersionLast="47" xr6:coauthVersionMax="47" xr10:uidLastSave="{00000000-0000-0000-0000-000000000000}"/>
  <bookViews>
    <workbookView xWindow="-38520" yWindow="-120" windowWidth="38640" windowHeight="21240" xr2:uid="{00000000-000D-0000-FFFF-FFFF00000000}"/>
  </bookViews>
  <sheets>
    <sheet name="scene" sheetId="6" r:id="rId1"/>
    <sheet name="-mg" sheetId="9" r:id="rId2"/>
    <sheet name="-weather" sheetId="10" r:id="rId3"/>
    <sheet name="scene_resource" sheetId="4" r:id="rId4"/>
    <sheet name="scene_road" sheetId="5" r:id="rId5"/>
    <sheet name="scene_shop_group" sheetId="11" r:id="rId6"/>
    <sheet name="-编号与分类" sheetId="7" r:id="rId7"/>
  </sheets>
  <definedNames>
    <definedName name="_F_get_RS_MG_pool">_xlfn.LAMBDA(_xlpm._scene_type,_xlpm._scene_index,_xlpm._mg_list, _xlfn.TEXTJOIN(";",1,     _xlfn.MAP(_xlpm._mg_list,_xlfn.LAMBDA(_xlpm.x,         _xlfn.LET(_xlpm._mg_len_coef,_xlfn.XLOOKUP(_xlpm._scene_type,tb_scene_type[类型],tb_scene_type[长度倍率],1)+_xlpm._scene_index*_xlfn.XLOOKUP(_xlpm._scene_type,tb_scene_type[类型],tb_scene_type[场景序数加成],1),             _xlpm._mg_len,MROUND(_xlfn.XLOOKUP(_xlpm.x,tb_mg[id],tb_mg[base_len],300)*_xlpm._mg_len_coef,5),             _xlpm._ui_text,_xlfn.XLOOKUP(_xlpm.x,tb_mg[id],tb_mg[选路ui文本],""),             _xlpm._ui_text_color,_xlfn.XLOOKUP(_xlpm.x,tb_mg[id],tb_mg[选路ui字色],""),             _xlpm._basic_mg_info,_xlfn.TEXTJOIN("~",1,_xlpm.x,1,_xlpm._mg_len),             _xlfn.IFS(_xlpm.x="","",_xlpm._ui_text_color="",_xlpm._basic_mg_info&amp;"~"&amp;_xlpm._ui_text,TRUE,_xlfn.CONCAT(_xlpm._basic_mg_info,"~","&lt;color=",_xlpm._ui_text_color,"&gt;",_xlpm._ui_text,"&lt;/color&gt;")))))))</definedName>
    <definedName name="_F_get_RS_Shop_pool">_xlfn.LAMBDA(_xlpm._type,_xlpm._index, _xlfn.SWITCH(_xlpm._type,"精英",_xlfn.XLOOKUP(_xlpm._index,tb_shop[场景序数],tb_shop[精英]),_xlfn.XLOOKUP(_xlpm._index,tb_shop[场景序数],tb_shop[普通])))</definedName>
    <definedName name="_F_get_RS_Weather_pool">_xlfn.LAMBDA(_xlpm._scene_id,_xlpm._scene_index,_xlfn.LET(_xlpm._out,_xlfn.MAKEARRAY(2,5,_xlfn.LAMBDA(_xlpm.x,_xlpm.y,     _xlfn.LET(_xlpm._weather_lvl,_xlpm._scene_index+_xlpm.x-2,     _xlpm._gid,_xlfn.XLOOKUP(_xlpm._weather_lvl,tb_weather_distribution[wthr_lvl],tb_weather_distribution[group_id],""),     _xlpm._sid,INDEX(tb_weather_subid[sub_id],_xlpm.y),     _xlpm._wght,INDEX(_xlfn.XLOOKUP(_xlpm._weather_lvl,tb_weather_distribution[wthr_lvl],tb_weather_distribution[[晴天]:[难度3]],_xlfn.SEQUENCE(1,5,-1,0)),_xlpm.y),     _xlpm._txt,IFERROR(INDEX(_xlfn.XLOOKUP(_xlpm._gid,tb_weather_info_08[group\sub],tb_weather_info_08[[0]:[13]]),_xlpm.y),""),     IF(OR(_xlpm._gid="",_xlpm._wght=-1,_xlpm._wght=""),"",_xlfn.TEXTJOIN("~",0,LEFT(_xlpm._scene_id,4)&amp;_xlpm._gid,_xlpm._sid,_xlpm._wght,_xlpm._txt))) )), _xlfn.TEXTJOIN(";",1,_xlpm._out)))</definedName>
    <definedName name="_f_get_world_index">_xlfn.LAMBDA(_xlpm.scene_id,MOD(INT(_xlpm.scene_id/100),100))</definedName>
    <definedName name="_f_get_world_index_00">_xlfn.LAMBDA(_xlpm.scene_id,MID(_xlpm.scene_id,3,2))</definedName>
    <definedName name="_F_get_world_name">_xlfn.LAMBDA(_xlpm.scene_id,IF(_xlpm.scene_id&lt;&gt;"",_xlfn.XLOOKUP(_f_get_world_index(_xlpm.scene_id),tb_world[id],tb_world[name],"查找失败"),""))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6" l="1" a="1"/>
  <c r="T15" i="6" s="1"/>
  <c r="T14" i="6" a="1"/>
  <c r="T14" i="6" s="1"/>
  <c r="T13" i="6" a="1"/>
  <c r="T13" i="6" s="1"/>
  <c r="T12" i="6" a="1"/>
  <c r="T12" i="6" s="1"/>
  <c r="W15" i="6" l="1" a="1"/>
  <c r="W15" i="6" s="1"/>
  <c r="Y15" i="6" s="1"/>
  <c r="W14" i="6"/>
  <c r="W14" i="6" a="1"/>
  <c r="W13" i="6" a="1"/>
  <c r="W13" i="6" s="1"/>
  <c r="Y13" i="6" s="1"/>
  <c r="W12" i="6"/>
  <c r="W12" i="6" a="1"/>
  <c r="W21" i="6" a="1"/>
  <c r="W21" i="6" s="1"/>
  <c r="W22" i="6" a="1"/>
  <c r="W22" i="6" s="1"/>
  <c r="Y22" i="6" s="1"/>
  <c r="W23" i="6" a="1"/>
  <c r="W23" i="6" s="1"/>
  <c r="Y23" i="6" s="1"/>
  <c r="W24" i="6" a="1"/>
  <c r="W24" i="6" s="1"/>
  <c r="Y24" i="6" s="1"/>
  <c r="W25" i="6" a="1"/>
  <c r="W25" i="6" s="1"/>
  <c r="Y25" i="6" s="1"/>
  <c r="W26" i="6" a="1"/>
  <c r="W26" i="6" s="1"/>
  <c r="Y26" i="6" s="1"/>
  <c r="W27" i="6" a="1"/>
  <c r="W27" i="6" s="1"/>
  <c r="Y27" i="6" s="1"/>
  <c r="W28" i="6" a="1"/>
  <c r="W28" i="6" s="1"/>
  <c r="Y28" i="6" s="1"/>
  <c r="W29" i="6" a="1"/>
  <c r="W29" i="6" s="1"/>
  <c r="Y29" i="6" s="1"/>
  <c r="W30" i="6" a="1"/>
  <c r="W30" i="6" s="1"/>
  <c r="Y30" i="6" s="1"/>
  <c r="W31" i="6" a="1"/>
  <c r="W31" i="6" s="1"/>
  <c r="Y31" i="6" s="1"/>
  <c r="W32" i="6" a="1"/>
  <c r="W32" i="6" s="1"/>
  <c r="Y32" i="6" s="1"/>
  <c r="W33" i="6" a="1"/>
  <c r="W33" i="6" s="1"/>
  <c r="Y33" i="6" s="1"/>
  <c r="W34" i="6" a="1"/>
  <c r="W34" i="6" s="1"/>
  <c r="Y34" i="6" s="1"/>
  <c r="W35" i="6" a="1"/>
  <c r="W35" i="6" s="1"/>
  <c r="Y35" i="6" s="1"/>
  <c r="W36" i="6" a="1"/>
  <c r="W36" i="6" s="1"/>
  <c r="Y36" i="6" s="1"/>
  <c r="W37" i="6" a="1"/>
  <c r="W37" i="6" s="1"/>
  <c r="Y37" i="6" s="1"/>
  <c r="W38" i="6" a="1"/>
  <c r="W38" i="6" s="1"/>
  <c r="Y38" i="6" s="1"/>
  <c r="W39" i="6" a="1"/>
  <c r="W39" i="6" s="1"/>
  <c r="Y39" i="6" s="1"/>
  <c r="W40" i="6" a="1"/>
  <c r="W40" i="6" s="1"/>
  <c r="W41" i="6" a="1"/>
  <c r="W41" i="6" s="1"/>
  <c r="Y41" i="6" s="1"/>
  <c r="W42" i="6" a="1"/>
  <c r="W42" i="6" s="1"/>
  <c r="Y42" i="6" s="1"/>
  <c r="W43" i="6" a="1"/>
  <c r="W43" i="6" s="1"/>
  <c r="Y43" i="6" s="1"/>
  <c r="W44" i="6" a="1"/>
  <c r="W44" i="6" s="1"/>
  <c r="Y44" i="6" s="1"/>
  <c r="W45" i="6" a="1"/>
  <c r="W45" i="6" s="1"/>
  <c r="Y45" i="6" s="1"/>
  <c r="W46" i="6" a="1"/>
  <c r="W46" i="6" s="1"/>
  <c r="Y46" i="6" s="1"/>
  <c r="W47" i="6" a="1"/>
  <c r="W47" i="6" s="1"/>
  <c r="Y47" i="6" s="1"/>
  <c r="W48" i="6" a="1"/>
  <c r="W48" i="6" s="1"/>
  <c r="Y48" i="6" s="1"/>
  <c r="W49" i="6" a="1"/>
  <c r="W49" i="6" s="1"/>
  <c r="Y49" i="6" s="1"/>
  <c r="W50" i="6" a="1"/>
  <c r="W50" i="6" s="1"/>
  <c r="Y50" i="6" s="1"/>
  <c r="W51" i="6" a="1"/>
  <c r="W51" i="6" s="1"/>
  <c r="Y51" i="6" s="1"/>
  <c r="W52" i="6" a="1"/>
  <c r="W52" i="6" s="1"/>
  <c r="Y52" i="6" s="1"/>
  <c r="W53" i="6" a="1"/>
  <c r="W53" i="6" s="1"/>
  <c r="Y53" i="6" s="1"/>
  <c r="W54" i="6" a="1"/>
  <c r="W54" i="6" s="1"/>
  <c r="Y54" i="6" s="1"/>
  <c r="W55" i="6" a="1"/>
  <c r="W55" i="6" s="1"/>
  <c r="Y55" i="6" s="1"/>
  <c r="W56" i="6" a="1"/>
  <c r="W56" i="6" s="1"/>
  <c r="Y56" i="6" s="1"/>
  <c r="W57" i="6" a="1"/>
  <c r="W57" i="6" s="1"/>
  <c r="W58" i="6" a="1"/>
  <c r="W58" i="6" s="1"/>
  <c r="Y58" i="6" s="1"/>
  <c r="W59" i="6" a="1"/>
  <c r="W59" i="6" s="1"/>
  <c r="W60" i="6" a="1"/>
  <c r="W60" i="6" s="1"/>
  <c r="W61" i="6" a="1"/>
  <c r="W61" i="6" s="1"/>
  <c r="W62" i="6" a="1"/>
  <c r="W62" i="6" s="1"/>
  <c r="Y62" i="6" s="1"/>
  <c r="W63" i="6" a="1"/>
  <c r="W63" i="6" s="1"/>
  <c r="W64" i="6" a="1"/>
  <c r="W64" i="6" s="1"/>
  <c r="Y64" i="6" s="1"/>
  <c r="W65" i="6" a="1"/>
  <c r="W65" i="6" s="1"/>
  <c r="Y65" i="6" s="1"/>
  <c r="W66" i="6" a="1"/>
  <c r="W66" i="6" s="1"/>
  <c r="Y66" i="6" s="1"/>
  <c r="W67" i="6" a="1"/>
  <c r="W67" i="6" s="1"/>
  <c r="Y67" i="6" s="1"/>
  <c r="W68" i="6" a="1"/>
  <c r="W68" i="6" s="1"/>
  <c r="Y68" i="6" s="1"/>
  <c r="W69" i="6" a="1"/>
  <c r="W69" i="6" s="1"/>
  <c r="Y69" i="6" s="1"/>
  <c r="W70" i="6" a="1"/>
  <c r="W70" i="6" s="1"/>
  <c r="Y70" i="6" s="1"/>
  <c r="W71" i="6" a="1"/>
  <c r="W71" i="6" s="1"/>
  <c r="Y71" i="6" s="1"/>
  <c r="W72" i="6" a="1"/>
  <c r="W72" i="6" s="1"/>
  <c r="Y72" i="6" s="1"/>
  <c r="W73" i="6" a="1"/>
  <c r="W73" i="6" s="1"/>
  <c r="Y73" i="6" s="1"/>
  <c r="W74" i="6" a="1"/>
  <c r="W74" i="6" s="1"/>
  <c r="Y74" i="6" s="1"/>
  <c r="W75" i="6" a="1"/>
  <c r="W75" i="6" s="1"/>
  <c r="Y75" i="6" s="1"/>
  <c r="W76" i="6" a="1"/>
  <c r="W76" i="6" s="1"/>
  <c r="Y76" i="6" s="1"/>
  <c r="W77" i="6" a="1"/>
  <c r="W77" i="6" s="1"/>
  <c r="Y77" i="6" s="1"/>
  <c r="W78" i="6" a="1"/>
  <c r="W78" i="6" s="1"/>
  <c r="Y78" i="6" s="1"/>
  <c r="W79" i="6" a="1"/>
  <c r="W79" i="6" s="1"/>
  <c r="Y79" i="6" s="1"/>
  <c r="W80" i="6" a="1"/>
  <c r="W80" i="6" s="1"/>
  <c r="Y80" i="6" s="1"/>
  <c r="W81" i="6" a="1"/>
  <c r="W81" i="6" s="1"/>
  <c r="Y81" i="6" s="1"/>
  <c r="W82" i="6" a="1"/>
  <c r="W82" i="6" s="1"/>
  <c r="W83" i="6" a="1"/>
  <c r="W83" i="6" s="1"/>
  <c r="Y83" i="6" s="1"/>
  <c r="W84" i="6" a="1"/>
  <c r="W84" i="6" s="1"/>
  <c r="Y84" i="6" s="1"/>
  <c r="W85" i="6" a="1"/>
  <c r="W85" i="6" s="1"/>
  <c r="Y85" i="6" s="1"/>
  <c r="W86" i="6" a="1"/>
  <c r="W86" i="6" s="1"/>
  <c r="Y86" i="6" s="1"/>
  <c r="W87" i="6" a="1"/>
  <c r="W87" i="6" s="1"/>
  <c r="Y87" i="6" s="1"/>
  <c r="W88" i="6" a="1"/>
  <c r="W88" i="6" s="1"/>
  <c r="Y88" i="6" s="1"/>
  <c r="W89" i="6" a="1"/>
  <c r="W89" i="6" s="1"/>
  <c r="Y89" i="6" s="1"/>
  <c r="W90" i="6" a="1"/>
  <c r="W90" i="6" s="1"/>
  <c r="Y90" i="6" s="1"/>
  <c r="W91" i="6" a="1"/>
  <c r="W91" i="6" s="1"/>
  <c r="Y91" i="6" s="1"/>
  <c r="W92" i="6" a="1"/>
  <c r="W92" i="6" s="1"/>
  <c r="Y92" i="6" s="1"/>
  <c r="W93" i="6" a="1"/>
  <c r="W93" i="6" s="1"/>
  <c r="Y93" i="6" s="1"/>
  <c r="W94" i="6" a="1"/>
  <c r="W94" i="6" s="1"/>
  <c r="Y94" i="6" s="1"/>
  <c r="W95" i="6" a="1"/>
  <c r="W95" i="6" s="1"/>
  <c r="Y95" i="6" s="1"/>
  <c r="W96" i="6" a="1"/>
  <c r="W96" i="6" s="1"/>
  <c r="Y96" i="6" s="1"/>
  <c r="W97" i="6" a="1"/>
  <c r="W97" i="6" s="1"/>
  <c r="Y97" i="6" s="1"/>
  <c r="W98" i="6" a="1"/>
  <c r="W98" i="6" s="1"/>
  <c r="Y98" i="6" s="1"/>
  <c r="W99" i="6" a="1"/>
  <c r="W99" i="6" s="1"/>
  <c r="W100" i="6" a="1"/>
  <c r="W100" i="6" s="1"/>
  <c r="Y100" i="6" s="1"/>
  <c r="W101" i="6" a="1"/>
  <c r="W101" i="6" s="1"/>
  <c r="W102" i="6" a="1"/>
  <c r="W102" i="6" s="1"/>
  <c r="W103" i="6" a="1"/>
  <c r="W103" i="6" s="1"/>
  <c r="W104" i="6" a="1"/>
  <c r="W104" i="6" s="1"/>
  <c r="Y104" i="6" s="1"/>
  <c r="W105" i="6" a="1"/>
  <c r="W105" i="6" s="1"/>
  <c r="W106" i="6" a="1"/>
  <c r="W106" i="6" s="1"/>
  <c r="Y106" i="6" s="1"/>
  <c r="W107" i="6" a="1"/>
  <c r="W107" i="6" s="1"/>
  <c r="Y107" i="6" s="1"/>
  <c r="W108" i="6" a="1"/>
  <c r="W108" i="6" s="1"/>
  <c r="Y108" i="6" s="1"/>
  <c r="W109" i="6" a="1"/>
  <c r="W109" i="6" s="1"/>
  <c r="Y109" i="6" s="1"/>
  <c r="W110" i="6" a="1"/>
  <c r="W110" i="6" s="1"/>
  <c r="Y110" i="6" s="1"/>
  <c r="W111" i="6" a="1"/>
  <c r="W111" i="6" s="1"/>
  <c r="Y111" i="6" s="1"/>
  <c r="W112" i="6" a="1"/>
  <c r="W112" i="6" s="1"/>
  <c r="Y112" i="6" s="1"/>
  <c r="W113" i="6" a="1"/>
  <c r="W113" i="6" s="1"/>
  <c r="Y113" i="6" s="1"/>
  <c r="W114" i="6" a="1"/>
  <c r="W114" i="6" s="1"/>
  <c r="Y114" i="6" s="1"/>
  <c r="W115" i="6" a="1"/>
  <c r="W115" i="6" s="1"/>
  <c r="Y115" i="6" s="1"/>
  <c r="W116" i="6" a="1"/>
  <c r="W116" i="6" s="1"/>
  <c r="Y116" i="6" s="1"/>
  <c r="W117" i="6" a="1"/>
  <c r="W117" i="6" s="1"/>
  <c r="Y117" i="6" s="1"/>
  <c r="W118" i="6" a="1"/>
  <c r="W118" i="6" s="1"/>
  <c r="Y118" i="6" s="1"/>
  <c r="W119" i="6" a="1"/>
  <c r="W119" i="6" s="1"/>
  <c r="Y119" i="6" s="1"/>
  <c r="W120" i="6" a="1"/>
  <c r="W120" i="6" s="1"/>
  <c r="Y120" i="6" s="1"/>
  <c r="W121" i="6" a="1"/>
  <c r="W121" i="6" s="1"/>
  <c r="Y121" i="6" s="1"/>
  <c r="W122" i="6" a="1"/>
  <c r="W122" i="6" s="1"/>
  <c r="Y122" i="6" s="1"/>
  <c r="W123" i="6" a="1"/>
  <c r="W123" i="6" s="1"/>
  <c r="Y123" i="6" s="1"/>
  <c r="W124" i="6" a="1"/>
  <c r="W124" i="6" s="1"/>
  <c r="W125" i="6" a="1"/>
  <c r="W125" i="6" s="1"/>
  <c r="Y125" i="6" s="1"/>
  <c r="W126" i="6" a="1"/>
  <c r="W126" i="6" s="1"/>
  <c r="Y126" i="6" s="1"/>
  <c r="W127" i="6" a="1"/>
  <c r="W127" i="6" s="1"/>
  <c r="Y127" i="6" s="1"/>
  <c r="W128" i="6" a="1"/>
  <c r="W128" i="6" s="1"/>
  <c r="Y128" i="6" s="1"/>
  <c r="W129" i="6" a="1"/>
  <c r="W129" i="6" s="1"/>
  <c r="Y129" i="6" s="1"/>
  <c r="W130" i="6" a="1"/>
  <c r="W130" i="6" s="1"/>
  <c r="Y130" i="6" s="1"/>
  <c r="W131" i="6" a="1"/>
  <c r="W131" i="6" s="1"/>
  <c r="Y131" i="6" s="1"/>
  <c r="W132" i="6" a="1"/>
  <c r="W132" i="6" s="1"/>
  <c r="Y132" i="6" s="1"/>
  <c r="W133" i="6" a="1"/>
  <c r="W133" i="6" s="1"/>
  <c r="Y133" i="6" s="1"/>
  <c r="W134" i="6" a="1"/>
  <c r="W134" i="6" s="1"/>
  <c r="Y134" i="6" s="1"/>
  <c r="W135" i="6" a="1"/>
  <c r="W135" i="6" s="1"/>
  <c r="Y135" i="6" s="1"/>
  <c r="W136" i="6" a="1"/>
  <c r="W136" i="6" s="1"/>
  <c r="Y136" i="6" s="1"/>
  <c r="W137" i="6" a="1"/>
  <c r="W137" i="6" s="1"/>
  <c r="Y137" i="6" s="1"/>
  <c r="W138" i="6" a="1"/>
  <c r="W138" i="6" s="1"/>
  <c r="Y138" i="6" s="1"/>
  <c r="W139" i="6" a="1"/>
  <c r="W139" i="6" s="1"/>
  <c r="Y139" i="6" s="1"/>
  <c r="W140" i="6" a="1"/>
  <c r="W140" i="6" s="1"/>
  <c r="Y140" i="6" s="1"/>
  <c r="W141" i="6" a="1"/>
  <c r="W141" i="6" s="1"/>
  <c r="W142" i="6" a="1"/>
  <c r="W142" i="6" s="1"/>
  <c r="Y142" i="6" s="1"/>
  <c r="W143" i="6" a="1"/>
  <c r="W143" i="6" s="1"/>
  <c r="W144" i="6" a="1"/>
  <c r="W144" i="6" s="1"/>
  <c r="W145" i="6" a="1"/>
  <c r="W145" i="6" s="1"/>
  <c r="W146" i="6" a="1"/>
  <c r="W146" i="6" s="1"/>
  <c r="Y146" i="6" s="1"/>
  <c r="W147" i="6" a="1"/>
  <c r="W147" i="6" s="1"/>
  <c r="W148" i="6" a="1"/>
  <c r="W148" i="6" s="1"/>
  <c r="Y148" i="6" s="1"/>
  <c r="W149" i="6" a="1"/>
  <c r="W149" i="6" s="1"/>
  <c r="Y149" i="6" s="1"/>
  <c r="W150" i="6" a="1"/>
  <c r="W150" i="6" s="1"/>
  <c r="Y150" i="6" s="1"/>
  <c r="W151" i="6" a="1"/>
  <c r="W151" i="6" s="1"/>
  <c r="Y151" i="6" s="1"/>
  <c r="W152" i="6" a="1"/>
  <c r="W152" i="6" s="1"/>
  <c r="Y152" i="6" s="1"/>
  <c r="W153" i="6" a="1"/>
  <c r="W153" i="6" s="1"/>
  <c r="Y153" i="6" s="1"/>
  <c r="W154" i="6" a="1"/>
  <c r="W154" i="6" s="1"/>
  <c r="Y154" i="6" s="1"/>
  <c r="W155" i="6" a="1"/>
  <c r="W155" i="6" s="1"/>
  <c r="Y155" i="6" s="1"/>
  <c r="W156" i="6" a="1"/>
  <c r="W156" i="6" s="1"/>
  <c r="Y156" i="6" s="1"/>
  <c r="W157" i="6" a="1"/>
  <c r="W157" i="6" s="1"/>
  <c r="Y157" i="6" s="1"/>
  <c r="W158" i="6" a="1"/>
  <c r="W158" i="6" s="1"/>
  <c r="Y158" i="6" s="1"/>
  <c r="W159" i="6" a="1"/>
  <c r="W159" i="6" s="1"/>
  <c r="Y159" i="6" s="1"/>
  <c r="W160" i="6" a="1"/>
  <c r="W160" i="6" s="1"/>
  <c r="Y160" i="6" s="1"/>
  <c r="W161" i="6" a="1"/>
  <c r="W161" i="6" s="1"/>
  <c r="Y161" i="6" s="1"/>
  <c r="W162" i="6" a="1"/>
  <c r="W162" i="6" s="1"/>
  <c r="Y162" i="6" s="1"/>
  <c r="W163" i="6" a="1"/>
  <c r="W163" i="6" s="1"/>
  <c r="Y163" i="6" s="1"/>
  <c r="W164" i="6" a="1"/>
  <c r="W164" i="6" s="1"/>
  <c r="Y164" i="6" s="1"/>
  <c r="W165" i="6" a="1"/>
  <c r="W165" i="6" s="1"/>
  <c r="Y165" i="6" s="1"/>
  <c r="W166" i="6" a="1"/>
  <c r="W166" i="6" s="1"/>
  <c r="W167" i="6" a="1"/>
  <c r="W167" i="6" s="1"/>
  <c r="Y167" i="6" s="1"/>
  <c r="W168" i="6" a="1"/>
  <c r="W168" i="6" s="1"/>
  <c r="Y168" i="6" s="1"/>
  <c r="W169" i="6" a="1"/>
  <c r="W169" i="6" s="1"/>
  <c r="Y169" i="6" s="1"/>
  <c r="W170" i="6" a="1"/>
  <c r="W170" i="6" s="1"/>
  <c r="Y170" i="6" s="1"/>
  <c r="W171" i="6" a="1"/>
  <c r="W171" i="6" s="1"/>
  <c r="Y171" i="6" s="1"/>
  <c r="W172" i="6" a="1"/>
  <c r="W172" i="6" s="1"/>
  <c r="Y172" i="6" s="1"/>
  <c r="W173" i="6" a="1"/>
  <c r="W173" i="6" s="1"/>
  <c r="Y173" i="6" s="1"/>
  <c r="W174" i="6" a="1"/>
  <c r="W174" i="6" s="1"/>
  <c r="Y174" i="6" s="1"/>
  <c r="W175" i="6" a="1"/>
  <c r="W175" i="6" s="1"/>
  <c r="Y175" i="6" s="1"/>
  <c r="W176" i="6" a="1"/>
  <c r="W176" i="6" s="1"/>
  <c r="Y176" i="6" s="1"/>
  <c r="W177" i="6" a="1"/>
  <c r="W177" i="6" s="1"/>
  <c r="Y177" i="6" s="1"/>
  <c r="W178" i="6" a="1"/>
  <c r="W178" i="6" s="1"/>
  <c r="Y178" i="6" s="1"/>
  <c r="W179" i="6" a="1"/>
  <c r="W179" i="6" s="1"/>
  <c r="Y179" i="6" s="1"/>
  <c r="W180" i="6" a="1"/>
  <c r="W180" i="6" s="1"/>
  <c r="Y180" i="6" s="1"/>
  <c r="W181" i="6" a="1"/>
  <c r="W181" i="6" s="1"/>
  <c r="Y181" i="6" s="1"/>
  <c r="W182" i="6" a="1"/>
  <c r="W182" i="6" s="1"/>
  <c r="Y182" i="6" s="1"/>
  <c r="W183" i="6" a="1"/>
  <c r="W183" i="6" s="1"/>
  <c r="W184" i="6" a="1"/>
  <c r="W184" i="6" s="1"/>
  <c r="Y184" i="6" s="1"/>
  <c r="W20" i="6" a="1"/>
  <c r="W20" i="6" s="1"/>
  <c r="Y20" i="6" s="1"/>
  <c r="Y21" i="6"/>
  <c r="Y40" i="6"/>
  <c r="Y57" i="6"/>
  <c r="Y59" i="6"/>
  <c r="Y60" i="6"/>
  <c r="Y61" i="6"/>
  <c r="Y63" i="6"/>
  <c r="Y82" i="6"/>
  <c r="Y99" i="6"/>
  <c r="Y101" i="6"/>
  <c r="Y102" i="6"/>
  <c r="Y103" i="6"/>
  <c r="Y105" i="6"/>
  <c r="Y124" i="6"/>
  <c r="Y141" i="6"/>
  <c r="Y143" i="6"/>
  <c r="Y144" i="6"/>
  <c r="Y145" i="6"/>
  <c r="Y147" i="6"/>
  <c r="Y166" i="6"/>
  <c r="Y183" i="6"/>
  <c r="Y14" i="6"/>
  <c r="Y12" i="6"/>
  <c r="C5" i="11" a="1"/>
  <c r="C5" i="11" s="1"/>
  <c r="C6" i="11" a="1"/>
  <c r="C6" i="11" s="1"/>
  <c r="C7" i="11" a="1"/>
  <c r="C7" i="11" s="1"/>
  <c r="C8" i="11" a="1"/>
  <c r="C8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6" i="11" a="1"/>
  <c r="C26" i="11" s="1"/>
  <c r="C27" i="11" a="1"/>
  <c r="C27" i="11" s="1"/>
  <c r="C4" i="11" a="1"/>
  <c r="C4" i="11" s="1"/>
  <c r="I23" i="11" a="1"/>
  <c r="I23" i="11" s="1"/>
  <c r="B23" i="11" a="1"/>
  <c r="B23" i="11" s="1"/>
  <c r="A23" i="11" a="1"/>
  <c r="A23" i="11" s="1"/>
  <c r="I26" i="11" a="1"/>
  <c r="I26" i="11" s="1"/>
  <c r="B26" i="11" a="1"/>
  <c r="B26" i="11" s="1"/>
  <c r="A26" i="11" a="1"/>
  <c r="A26" i="11" s="1"/>
  <c r="I27" i="11" a="1"/>
  <c r="I27" i="11" s="1"/>
  <c r="B27" i="11" a="1"/>
  <c r="B27" i="11" s="1"/>
  <c r="A27" i="11" a="1"/>
  <c r="A27" i="11" s="1"/>
  <c r="I22" i="11" a="1"/>
  <c r="I22" i="11" s="1"/>
  <c r="B22" i="11" a="1"/>
  <c r="B22" i="11" s="1"/>
  <c r="A22" i="11" a="1"/>
  <c r="A22" i="11" s="1"/>
  <c r="B16" i="11" a="1"/>
  <c r="B16" i="11" s="1"/>
  <c r="A16" i="11" a="1"/>
  <c r="A16" i="11" s="1"/>
  <c r="I16" i="11" a="1"/>
  <c r="I16" i="11" s="1"/>
  <c r="I5" i="11" l="1" a="1"/>
  <c r="I5" i="11" s="1"/>
  <c r="I6" i="11" a="1"/>
  <c r="I6" i="11" s="1"/>
  <c r="I7" i="11" a="1"/>
  <c r="I7" i="11" s="1"/>
  <c r="I8" i="11" a="1"/>
  <c r="I8" i="11" s="1"/>
  <c r="I9" i="11" a="1"/>
  <c r="I9" i="11" s="1"/>
  <c r="I10" i="11" a="1"/>
  <c r="I10" i="11" s="1"/>
  <c r="I11" i="11" a="1"/>
  <c r="I11" i="11" s="1"/>
  <c r="I12" i="11" a="1"/>
  <c r="I12" i="11" s="1"/>
  <c r="I13" i="11" a="1"/>
  <c r="I13" i="11" s="1"/>
  <c r="I14" i="11" a="1"/>
  <c r="I14" i="11" s="1"/>
  <c r="I15" i="11" a="1"/>
  <c r="I15" i="11" s="1"/>
  <c r="I17" i="11" a="1"/>
  <c r="I17" i="11" s="1"/>
  <c r="I18" i="11" a="1"/>
  <c r="I18" i="11" s="1"/>
  <c r="I19" i="11" a="1"/>
  <c r="I19" i="11" s="1"/>
  <c r="I20" i="11" a="1"/>
  <c r="I20" i="11" s="1"/>
  <c r="I21" i="11" a="1"/>
  <c r="I21" i="11" s="1"/>
  <c r="I24" i="11" a="1"/>
  <c r="I24" i="11" s="1"/>
  <c r="I4" i="11" a="1"/>
  <c r="I4" i="11" s="1"/>
  <c r="A6" i="11" a="1"/>
  <c r="A6" i="11" s="1"/>
  <c r="T191" i="6" l="1" a="1"/>
  <c r="T191" i="6" s="1"/>
  <c r="T192" i="6" a="1"/>
  <c r="T192" i="6" s="1"/>
  <c r="T193" i="6" a="1"/>
  <c r="T193" i="6" s="1"/>
  <c r="T190" i="6" a="1"/>
  <c r="T190" i="6" s="1"/>
  <c r="K16" i="10" l="1" a="1"/>
  <c r="K16" i="10" s="1"/>
  <c r="L16" i="10" a="1"/>
  <c r="L16" i="10" s="1"/>
  <c r="M16" i="10" a="1"/>
  <c r="M16" i="10" s="1"/>
  <c r="N16" i="10" a="1"/>
  <c r="N16" i="10" s="1"/>
  <c r="O16" i="10" a="1"/>
  <c r="O16" i="10" s="1"/>
  <c r="K17" i="10" a="1"/>
  <c r="K17" i="10" s="1"/>
  <c r="L17" i="10" a="1"/>
  <c r="L17" i="10" s="1"/>
  <c r="M17" i="10" a="1"/>
  <c r="M17" i="10" s="1"/>
  <c r="N17" i="10" a="1"/>
  <c r="N17" i="10" s="1"/>
  <c r="O17" i="10" a="1"/>
  <c r="O17" i="10" s="1"/>
  <c r="K18" i="10" a="1"/>
  <c r="K18" i="10" s="1"/>
  <c r="L18" i="10" a="1"/>
  <c r="L18" i="10" s="1"/>
  <c r="M18" i="10" a="1"/>
  <c r="M18" i="10"/>
  <c r="N18" i="10" a="1"/>
  <c r="N18" i="10" s="1"/>
  <c r="O18" i="10" a="1"/>
  <c r="O18" i="10" s="1"/>
  <c r="K19" i="10" a="1"/>
  <c r="K19" i="10" s="1"/>
  <c r="L19" i="10" a="1"/>
  <c r="L19" i="10" s="1"/>
  <c r="M19" i="10" a="1"/>
  <c r="M19" i="10" s="1"/>
  <c r="N19" i="10" a="1"/>
  <c r="N19" i="10" s="1"/>
  <c r="O19" i="10" a="1"/>
  <c r="O19" i="10" s="1"/>
  <c r="K20" i="10" a="1"/>
  <c r="K20" i="10" s="1"/>
  <c r="L20" i="10" a="1"/>
  <c r="L20" i="10" s="1"/>
  <c r="M20" i="10" a="1"/>
  <c r="M20" i="10" s="1"/>
  <c r="N20" i="10" a="1"/>
  <c r="N20" i="10" s="1"/>
  <c r="O20" i="10" a="1"/>
  <c r="O20" i="10" s="1"/>
  <c r="K21" i="10" a="1"/>
  <c r="K21" i="10" s="1"/>
  <c r="L21" i="10" a="1"/>
  <c r="L21" i="10" s="1"/>
  <c r="M21" i="10" a="1"/>
  <c r="M21" i="10" s="1"/>
  <c r="N21" i="10" a="1"/>
  <c r="N21" i="10" s="1"/>
  <c r="O21" i="10" a="1"/>
  <c r="O21" i="10" s="1"/>
  <c r="K22" i="10" a="1"/>
  <c r="K22" i="10" s="1"/>
  <c r="L22" i="10" a="1"/>
  <c r="L22" i="10" s="1"/>
  <c r="M22" i="10" a="1"/>
  <c r="M22" i="10" s="1"/>
  <c r="N22" i="10" a="1"/>
  <c r="N22" i="10" s="1"/>
  <c r="O22" i="10" a="1"/>
  <c r="O22" i="10" s="1"/>
  <c r="K23" i="10" a="1"/>
  <c r="K23" i="10" s="1"/>
  <c r="L23" i="10" a="1"/>
  <c r="L23" i="10" s="1"/>
  <c r="M23" i="10" a="1"/>
  <c r="M23" i="10" s="1"/>
  <c r="N23" i="10" a="1"/>
  <c r="N23" i="10" s="1"/>
  <c r="O23" i="10" a="1"/>
  <c r="O23" i="10" s="1"/>
  <c r="K24" i="10" a="1"/>
  <c r="K24" i="10" s="1"/>
  <c r="L24" i="10" a="1"/>
  <c r="L24" i="10" s="1"/>
  <c r="M24" i="10" a="1"/>
  <c r="M24" i="10" s="1"/>
  <c r="N24" i="10" a="1"/>
  <c r="N24" i="10" s="1"/>
  <c r="O24" i="10" a="1"/>
  <c r="O24" i="10" s="1"/>
  <c r="B24" i="11" a="1"/>
  <c r="B24" i="11" s="1"/>
  <c r="A24" i="11" a="1"/>
  <c r="A24" i="11" s="1"/>
  <c r="B4" i="11" a="1"/>
  <c r="B4" i="11" s="1"/>
  <c r="A19" i="11" a="1"/>
  <c r="A19" i="11" s="1"/>
  <c r="A20" i="11" a="1"/>
  <c r="A20" i="11" s="1"/>
  <c r="A21" i="11" a="1"/>
  <c r="A21" i="11" s="1"/>
  <c r="A18" i="11" a="1"/>
  <c r="A18" i="11" s="1"/>
  <c r="A11" i="11" a="1"/>
  <c r="A11" i="11" s="1"/>
  <c r="A13" i="11" a="1"/>
  <c r="A13" i="11" s="1"/>
  <c r="A12" i="11" a="1"/>
  <c r="A12" i="11" s="1"/>
  <c r="A14" i="11" a="1"/>
  <c r="A14" i="11" s="1"/>
  <c r="A15" i="11" a="1"/>
  <c r="A15" i="11" s="1"/>
  <c r="A10" i="11" a="1"/>
  <c r="A10" i="11" s="1"/>
  <c r="Z16" i="11" s="1" a="1"/>
  <c r="Z16" i="11" s="1"/>
  <c r="A5" i="11" a="1"/>
  <c r="A5" i="11" s="1"/>
  <c r="A7" i="11" a="1"/>
  <c r="A7" i="11" s="1"/>
  <c r="A8" i="11" a="1"/>
  <c r="A8" i="11" s="1"/>
  <c r="A4" i="11" a="1"/>
  <c r="A4" i="11" s="1"/>
  <c r="B5" i="11" a="1"/>
  <c r="B5" i="11" s="1"/>
  <c r="B6" i="11" a="1"/>
  <c r="B6" i="11" s="1"/>
  <c r="B7" i="11" a="1"/>
  <c r="B7" i="11" s="1"/>
  <c r="B8" i="11" a="1"/>
  <c r="B8" i="11" s="1"/>
  <c r="B10" i="11" a="1"/>
  <c r="B10" i="11" s="1"/>
  <c r="B11" i="11" a="1"/>
  <c r="B11" i="11" s="1"/>
  <c r="B13" i="11" a="1"/>
  <c r="B13" i="11" s="1"/>
  <c r="B12" i="11" a="1"/>
  <c r="B12" i="11" s="1"/>
  <c r="B14" i="11" a="1"/>
  <c r="B14" i="11" s="1"/>
  <c r="B15" i="11" a="1"/>
  <c r="B15" i="11" s="1"/>
  <c r="B18" i="11" a="1"/>
  <c r="B18" i="11" s="1"/>
  <c r="B19" i="11" a="1"/>
  <c r="B19" i="11" s="1"/>
  <c r="B20" i="11" a="1"/>
  <c r="B20" i="11" s="1"/>
  <c r="B21" i="11" a="1"/>
  <c r="B21" i="11" s="1"/>
  <c r="B17" i="11" a="1"/>
  <c r="B17" i="11" s="1"/>
  <c r="AA20" i="11" l="1" a="1"/>
  <c r="AA20" i="11" s="1"/>
  <c r="AA28" i="11" a="1"/>
  <c r="AA28" i="11" s="1"/>
  <c r="AA21" i="11" a="1"/>
  <c r="AA21" i="11" s="1"/>
  <c r="AA22" i="11" a="1"/>
  <c r="AA22" i="11" s="1"/>
  <c r="Z28" i="11" a="1"/>
  <c r="Z28" i="11" s="1"/>
  <c r="Z29" i="11" a="1"/>
  <c r="Z29" i="11" s="1"/>
  <c r="AA18" i="11" a="1"/>
  <c r="AA18" i="11" s="1"/>
  <c r="Z26" i="11" a="1"/>
  <c r="Z26" i="11" s="1"/>
  <c r="AA29" i="11" a="1"/>
  <c r="AA29" i="11" s="1"/>
  <c r="AA31" i="11" a="1"/>
  <c r="AA31" i="11" s="1"/>
  <c r="AA17" i="11" a="1"/>
  <c r="AA17" i="11" s="1"/>
  <c r="Z22" i="11" a="1"/>
  <c r="Z22" i="11" s="1"/>
  <c r="Z23" i="11" a="1"/>
  <c r="Z23" i="11" s="1"/>
  <c r="AA27" i="11" a="1"/>
  <c r="AA27" i="11" s="1"/>
  <c r="AA16" i="11" a="1"/>
  <c r="AA16" i="11" s="1"/>
  <c r="Z19" i="11" a="1"/>
  <c r="Z19" i="11" s="1"/>
  <c r="Z25" i="11" a="1"/>
  <c r="Z25" i="11" s="1"/>
  <c r="AA25" i="11" a="1"/>
  <c r="AA25" i="11" s="1"/>
  <c r="Z32" i="11" a="1"/>
  <c r="Z32" i="11" s="1"/>
  <c r="Z33" i="11" a="1"/>
  <c r="Z33" i="11" s="1"/>
  <c r="Z35" i="11" a="1"/>
  <c r="Z35" i="11" s="1"/>
  <c r="AA23" i="11" a="1"/>
  <c r="AA23" i="11" s="1"/>
  <c r="Z20" i="11" a="1"/>
  <c r="Z20" i="11" s="1"/>
  <c r="Z27" i="11" a="1"/>
  <c r="Z27" i="11" s="1"/>
  <c r="Z21" i="11" a="1"/>
  <c r="Z21" i="11" s="1"/>
  <c r="AA30" i="11" a="1"/>
  <c r="AA30" i="11" s="1"/>
  <c r="Z30" i="11" a="1"/>
  <c r="Z30" i="11" s="1"/>
  <c r="AA34" i="11" a="1"/>
  <c r="AA34" i="11" s="1"/>
  <c r="AA32" i="11" a="1"/>
  <c r="AA32" i="11" s="1"/>
  <c r="AA24" i="11" a="1"/>
  <c r="AA24" i="11" s="1"/>
  <c r="AA26" i="11" a="1"/>
  <c r="AA26" i="11" s="1"/>
  <c r="Z18" i="11" a="1"/>
  <c r="Z18" i="11" s="1"/>
  <c r="AA33" i="11" a="1"/>
  <c r="AA33" i="11" s="1"/>
  <c r="Z24" i="11" a="1"/>
  <c r="Z24" i="11" s="1"/>
  <c r="AA19" i="11" a="1"/>
  <c r="AA19" i="11" s="1"/>
  <c r="Z17" i="11" a="1"/>
  <c r="Z17" i="11" s="1"/>
  <c r="Z34" i="11" a="1"/>
  <c r="Z34" i="11" s="1"/>
  <c r="Z31" i="11" a="1"/>
  <c r="Z31" i="11" s="1"/>
  <c r="R193" i="6"/>
  <c r="R192" i="6"/>
  <c r="R191" i="6"/>
  <c r="R190" i="6"/>
  <c r="B184" i="6" l="1" a="1"/>
  <c r="B184" i="6" s="1"/>
  <c r="B182" i="6" a="1"/>
  <c r="B182" i="6" s="1"/>
  <c r="B181" i="6" a="1"/>
  <c r="B181" i="6" s="1"/>
  <c r="B180" i="6" a="1"/>
  <c r="B180" i="6" s="1"/>
  <c r="B179" i="6" a="1"/>
  <c r="B179" i="6" s="1"/>
  <c r="B178" i="6" a="1"/>
  <c r="B178" i="6" s="1"/>
  <c r="B177" i="6" a="1"/>
  <c r="B177" i="6" s="1"/>
  <c r="B176" i="6" a="1"/>
  <c r="B176" i="6" s="1"/>
  <c r="B175" i="6" a="1"/>
  <c r="B175" i="6" s="1"/>
  <c r="B174" i="6" a="1"/>
  <c r="B174" i="6" s="1"/>
  <c r="B173" i="6" a="1"/>
  <c r="B173" i="6" s="1"/>
  <c r="B172" i="6" a="1"/>
  <c r="B172" i="6" s="1"/>
  <c r="B171" i="6" a="1"/>
  <c r="B171" i="6" s="1"/>
  <c r="B170" i="6" a="1"/>
  <c r="B170" i="6" s="1"/>
  <c r="B169" i="6" a="1"/>
  <c r="B169" i="6" s="1"/>
  <c r="B168" i="6" a="1"/>
  <c r="B168" i="6" s="1"/>
  <c r="B167" i="6" a="1"/>
  <c r="B167" i="6" s="1"/>
  <c r="B165" i="6" a="1"/>
  <c r="B165" i="6" s="1"/>
  <c r="B164" i="6" a="1"/>
  <c r="B164" i="6" s="1"/>
  <c r="B163" i="6" a="1"/>
  <c r="B163" i="6" s="1"/>
  <c r="B162" i="6" a="1"/>
  <c r="B162" i="6" s="1"/>
  <c r="B161" i="6" a="1"/>
  <c r="B161" i="6" s="1"/>
  <c r="B160" i="6" a="1"/>
  <c r="B160" i="6" s="1"/>
  <c r="B159" i="6" a="1"/>
  <c r="B159" i="6" s="1"/>
  <c r="B158" i="6" a="1"/>
  <c r="B158" i="6" s="1"/>
  <c r="B157" i="6" a="1"/>
  <c r="B157" i="6" s="1"/>
  <c r="B156" i="6" a="1"/>
  <c r="B156" i="6" s="1"/>
  <c r="B155" i="6" a="1"/>
  <c r="B155" i="6" s="1"/>
  <c r="B154" i="6" a="1"/>
  <c r="B154" i="6" s="1"/>
  <c r="B153" i="6" a="1"/>
  <c r="B153" i="6" s="1"/>
  <c r="B152" i="6" a="1"/>
  <c r="B152" i="6" s="1"/>
  <c r="B151" i="6" a="1"/>
  <c r="B151" i="6" s="1"/>
  <c r="B150" i="6" a="1"/>
  <c r="B150" i="6" s="1"/>
  <c r="B149" i="6" a="1"/>
  <c r="B149" i="6" s="1"/>
  <c r="B148" i="6" a="1"/>
  <c r="B148" i="6" s="1"/>
  <c r="B146" i="6" a="1"/>
  <c r="B146" i="6" s="1"/>
  <c r="B142" i="6" a="1"/>
  <c r="B142" i="6" s="1"/>
  <c r="B140" i="6" a="1"/>
  <c r="B140" i="6" s="1"/>
  <c r="B139" i="6" a="1"/>
  <c r="B139" i="6" s="1"/>
  <c r="B138" i="6" a="1"/>
  <c r="B138" i="6" s="1"/>
  <c r="B137" i="6" a="1"/>
  <c r="B137" i="6" s="1"/>
  <c r="B136" i="6" a="1"/>
  <c r="B136" i="6" s="1"/>
  <c r="B135" i="6" a="1"/>
  <c r="B135" i="6" s="1"/>
  <c r="B134" i="6" a="1"/>
  <c r="B134" i="6" s="1"/>
  <c r="B133" i="6" a="1"/>
  <c r="B133" i="6" s="1"/>
  <c r="B132" i="6" a="1"/>
  <c r="B132" i="6" s="1"/>
  <c r="B131" i="6" a="1"/>
  <c r="B131" i="6" s="1"/>
  <c r="B130" i="6" a="1"/>
  <c r="B130" i="6" s="1"/>
  <c r="B129" i="6" a="1"/>
  <c r="B129" i="6" s="1"/>
  <c r="B128" i="6" a="1"/>
  <c r="B128" i="6" s="1"/>
  <c r="B127" i="6" a="1"/>
  <c r="B127" i="6" s="1"/>
  <c r="B126" i="6" a="1"/>
  <c r="B126" i="6" s="1"/>
  <c r="B125" i="6" a="1"/>
  <c r="B125" i="6" s="1"/>
  <c r="B123" i="6" a="1"/>
  <c r="B123" i="6" s="1"/>
  <c r="B122" i="6" a="1"/>
  <c r="B122" i="6" s="1"/>
  <c r="B121" i="6" a="1"/>
  <c r="B121" i="6" s="1"/>
  <c r="B120" i="6" a="1"/>
  <c r="B120" i="6" s="1"/>
  <c r="B119" i="6" a="1"/>
  <c r="B119" i="6" s="1"/>
  <c r="B118" i="6" a="1"/>
  <c r="B118" i="6" s="1"/>
  <c r="B117" i="6" a="1"/>
  <c r="B117" i="6" s="1"/>
  <c r="B116" i="6" a="1"/>
  <c r="B116" i="6" s="1"/>
  <c r="B115" i="6" a="1"/>
  <c r="B115" i="6" s="1"/>
  <c r="B114" i="6" a="1"/>
  <c r="B114" i="6" s="1"/>
  <c r="B113" i="6" a="1"/>
  <c r="B113" i="6" s="1"/>
  <c r="B112" i="6" a="1"/>
  <c r="B112" i="6" s="1"/>
  <c r="B111" i="6" a="1"/>
  <c r="B111" i="6" s="1"/>
  <c r="B110" i="6" a="1"/>
  <c r="B110" i="6" s="1"/>
  <c r="B109" i="6" a="1"/>
  <c r="B109" i="6" s="1"/>
  <c r="B108" i="6" a="1"/>
  <c r="B108" i="6" s="1"/>
  <c r="B107" i="6" a="1"/>
  <c r="B107" i="6" s="1"/>
  <c r="B106" i="6" a="1"/>
  <c r="B106" i="6" s="1"/>
  <c r="B104" i="6" a="1"/>
  <c r="B104" i="6" s="1"/>
  <c r="B100" i="6" a="1"/>
  <c r="B100" i="6" s="1"/>
  <c r="B98" i="6" a="1"/>
  <c r="B98" i="6" s="1"/>
  <c r="B97" i="6" a="1"/>
  <c r="B97" i="6" s="1"/>
  <c r="B96" i="6" a="1"/>
  <c r="B96" i="6" s="1"/>
  <c r="B95" i="6" a="1"/>
  <c r="B95" i="6" s="1"/>
  <c r="B94" i="6" a="1"/>
  <c r="B94" i="6" s="1"/>
  <c r="B93" i="6" a="1"/>
  <c r="B93" i="6" s="1"/>
  <c r="B92" i="6" a="1"/>
  <c r="B92" i="6" s="1"/>
  <c r="B91" i="6" a="1"/>
  <c r="B91" i="6" s="1"/>
  <c r="B90" i="6" a="1"/>
  <c r="B90" i="6" s="1"/>
  <c r="B89" i="6" a="1"/>
  <c r="B89" i="6" s="1"/>
  <c r="B88" i="6" a="1"/>
  <c r="B88" i="6" s="1"/>
  <c r="B87" i="6" a="1"/>
  <c r="B87" i="6" s="1"/>
  <c r="B86" i="6" a="1"/>
  <c r="B86" i="6" s="1"/>
  <c r="B85" i="6" a="1"/>
  <c r="B85" i="6" s="1"/>
  <c r="B84" i="6" a="1"/>
  <c r="B84" i="6" s="1"/>
  <c r="B83" i="6" a="1"/>
  <c r="B83" i="6" s="1"/>
  <c r="B81" i="6" a="1"/>
  <c r="B81" i="6" s="1"/>
  <c r="B80" i="6" a="1"/>
  <c r="B80" i="6" s="1"/>
  <c r="B79" i="6" a="1"/>
  <c r="B79" i="6" s="1"/>
  <c r="B78" i="6" a="1"/>
  <c r="B78" i="6" s="1"/>
  <c r="B77" i="6" a="1"/>
  <c r="B77" i="6" s="1"/>
  <c r="B76" i="6" a="1"/>
  <c r="B76" i="6" s="1"/>
  <c r="B75" i="6" a="1"/>
  <c r="B75" i="6" s="1"/>
  <c r="B74" i="6" a="1"/>
  <c r="B74" i="6" s="1"/>
  <c r="B73" i="6" a="1"/>
  <c r="B73" i="6" s="1"/>
  <c r="B72" i="6" a="1"/>
  <c r="B72" i="6" s="1"/>
  <c r="B71" i="6" a="1"/>
  <c r="B71" i="6" s="1"/>
  <c r="B70" i="6" a="1"/>
  <c r="B70" i="6" s="1"/>
  <c r="B69" i="6" a="1"/>
  <c r="B69" i="6" s="1"/>
  <c r="B68" i="6" a="1"/>
  <c r="B68" i="6" s="1"/>
  <c r="B67" i="6" a="1"/>
  <c r="B67" i="6" s="1"/>
  <c r="B66" i="6" a="1"/>
  <c r="B66" i="6" s="1"/>
  <c r="B65" i="6" a="1"/>
  <c r="B65" i="6" s="1"/>
  <c r="B64" i="6" a="1"/>
  <c r="B64" i="6" s="1"/>
  <c r="B62" i="6" a="1"/>
  <c r="B62" i="6" s="1"/>
  <c r="B58" i="6" a="1"/>
  <c r="B58" i="6" s="1"/>
  <c r="B42" i="6" a="1"/>
  <c r="B42" i="6" s="1"/>
  <c r="B43" i="6" a="1"/>
  <c r="B43" i="6" s="1"/>
  <c r="B44" i="6" a="1"/>
  <c r="B44" i="6" s="1"/>
  <c r="B45" i="6" a="1"/>
  <c r="B45" i="6" s="1"/>
  <c r="B46" i="6" a="1"/>
  <c r="B46" i="6" s="1"/>
  <c r="B47" i="6" a="1"/>
  <c r="B47" i="6" s="1"/>
  <c r="B48" i="6" a="1"/>
  <c r="B48" i="6" s="1"/>
  <c r="B49" i="6" a="1"/>
  <c r="B49" i="6" s="1"/>
  <c r="B50" i="6" a="1"/>
  <c r="B50" i="6" s="1"/>
  <c r="B51" i="6" a="1"/>
  <c r="B51" i="6" s="1"/>
  <c r="B52" i="6" a="1"/>
  <c r="B52" i="6" s="1"/>
  <c r="B53" i="6" a="1"/>
  <c r="B53" i="6" s="1"/>
  <c r="B54" i="6" a="1"/>
  <c r="B54" i="6" s="1"/>
  <c r="B55" i="6" a="1"/>
  <c r="B55" i="6" s="1"/>
  <c r="B56" i="6" a="1"/>
  <c r="B56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32" i="6" a="1"/>
  <c r="B32" i="6" s="1"/>
  <c r="B33" i="6" a="1"/>
  <c r="B33" i="6" s="1"/>
  <c r="B34" i="6" a="1"/>
  <c r="B34" i="6" s="1"/>
  <c r="B35" i="6" a="1"/>
  <c r="B35" i="6" s="1"/>
  <c r="B36" i="6" a="1"/>
  <c r="B36" i="6" s="1"/>
  <c r="B37" i="6" a="1"/>
  <c r="B37" i="6" s="1"/>
  <c r="B38" i="6" a="1"/>
  <c r="B38" i="6" s="1"/>
  <c r="B39" i="6" a="1"/>
  <c r="B39" i="6" s="1"/>
  <c r="B41" i="6" a="1"/>
  <c r="B41" i="6" s="1"/>
  <c r="B22" i="6" a="1"/>
  <c r="B22" i="6" s="1"/>
  <c r="B12" i="6" a="1"/>
  <c r="B12" i="6" s="1"/>
  <c r="B13" i="6" a="1"/>
  <c r="B13" i="6" s="1"/>
  <c r="B14" i="6" a="1"/>
  <c r="B14" i="6" s="1"/>
  <c r="B15" i="6" a="1"/>
  <c r="B15" i="6" s="1"/>
  <c r="B20" i="6" a="1"/>
  <c r="B20" i="6" s="1"/>
  <c r="D11" i="7"/>
  <c r="Z15" i="6" a="1"/>
  <c r="Z15" i="6" s="1"/>
  <c r="D15" i="6"/>
  <c r="C15" i="6"/>
  <c r="R15" i="6" s="1"/>
  <c r="Z14" i="6" a="1"/>
  <c r="Z14" i="6" s="1"/>
  <c r="D14" i="6"/>
  <c r="C14" i="6"/>
  <c r="R14" i="6" s="1"/>
  <c r="Z13" i="6" a="1"/>
  <c r="Z13" i="6" s="1"/>
  <c r="D13" i="6"/>
  <c r="C13" i="6"/>
  <c r="R13" i="6" s="1"/>
  <c r="Z12" i="6" a="1"/>
  <c r="Z12" i="6" s="1"/>
  <c r="D12" i="6"/>
  <c r="C12" i="6"/>
  <c r="R12" i="6" s="1"/>
  <c r="Z11" i="6" a="1"/>
  <c r="Z11" i="6" s="1"/>
  <c r="Y11" i="6"/>
  <c r="Z18" i="6" a="1"/>
  <c r="Z18" i="6" s="1"/>
  <c r="Y18" i="6"/>
  <c r="X191" i="6" a="1"/>
  <c r="X191" i="6" s="1"/>
  <c r="X192" i="6" a="1"/>
  <c r="X192" i="6" s="1"/>
  <c r="X193" i="6" a="1"/>
  <c r="X193" i="6" s="1"/>
  <c r="X190" i="6" a="1"/>
  <c r="X190" i="6" s="1"/>
  <c r="X59" i="6" a="1"/>
  <c r="X59" i="6" s="1"/>
  <c r="X60" i="6" a="1"/>
  <c r="X60" i="6" s="1"/>
  <c r="X61" i="6" a="1"/>
  <c r="X61" i="6" s="1"/>
  <c r="X101" i="6" a="1"/>
  <c r="X101" i="6" s="1"/>
  <c r="X102" i="6" a="1"/>
  <c r="X102" i="6" s="1"/>
  <c r="X103" i="6" a="1"/>
  <c r="X103" i="6" s="1"/>
  <c r="X143" i="6" a="1"/>
  <c r="X143" i="6" s="1"/>
  <c r="X144" i="6" a="1"/>
  <c r="X144" i="6" s="1"/>
  <c r="X145" i="6" a="1"/>
  <c r="X145" i="6" s="1"/>
  <c r="X15" i="6" l="1" a="1"/>
  <c r="X15" i="6" s="1"/>
  <c r="X12" i="6" a="1"/>
  <c r="X12" i="6" s="1"/>
  <c r="X13" i="6" a="1"/>
  <c r="X13" i="6" s="1"/>
  <c r="X14" i="6" a="1"/>
  <c r="X14" i="6" s="1"/>
  <c r="E13" i="6"/>
  <c r="P13" i="6" a="1"/>
  <c r="P13" i="6" s="1"/>
  <c r="O15" i="6"/>
  <c r="M15" i="6" s="1"/>
  <c r="P15" i="6" a="1"/>
  <c r="P15" i="6" s="1"/>
  <c r="E12" i="6"/>
  <c r="G12" i="6" s="1"/>
  <c r="P12" i="6" a="1"/>
  <c r="P12" i="6" s="1"/>
  <c r="P14" i="6" a="1"/>
  <c r="P14" i="6" s="1"/>
  <c r="E14" i="6"/>
  <c r="G14" i="6" s="1"/>
  <c r="E15" i="6"/>
  <c r="F15" i="6" s="1"/>
  <c r="O14" i="6"/>
  <c r="M14" i="6" s="1"/>
  <c r="O13" i="6"/>
  <c r="M13" i="6" s="1"/>
  <c r="O12" i="6"/>
  <c r="M12" i="6" s="1"/>
  <c r="I193" i="6"/>
  <c r="I192" i="6"/>
  <c r="I191" i="6"/>
  <c r="I190" i="6"/>
  <c r="J193" i="6"/>
  <c r="J192" i="6"/>
  <c r="J191" i="6"/>
  <c r="J190" i="6"/>
  <c r="H193" i="6"/>
  <c r="L193" i="6" s="1"/>
  <c r="H192" i="6"/>
  <c r="L192" i="6" s="1"/>
  <c r="H191" i="6"/>
  <c r="L191" i="6" s="1"/>
  <c r="H190" i="6"/>
  <c r="L190" i="6" s="1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18" i="10"/>
  <c r="H12" i="6" l="1"/>
  <c r="L12" i="6" s="1"/>
  <c r="I13" i="6"/>
  <c r="F12" i="6"/>
  <c r="F13" i="6"/>
  <c r="H13" i="6"/>
  <c r="L13" i="6" s="1"/>
  <c r="K13" i="6" s="1"/>
  <c r="J13" i="6"/>
  <c r="G13" i="6"/>
  <c r="I12" i="6"/>
  <c r="I14" i="6"/>
  <c r="J12" i="6"/>
  <c r="F14" i="6"/>
  <c r="J14" i="6"/>
  <c r="G15" i="6"/>
  <c r="H14" i="6"/>
  <c r="L14" i="6" s="1"/>
  <c r="K14" i="6" s="1"/>
  <c r="K12" i="6"/>
  <c r="H15" i="6"/>
  <c r="L15" i="6" s="1"/>
  <c r="K15" i="6" s="1"/>
  <c r="I15" i="6"/>
  <c r="J15" i="6"/>
  <c r="Z193" i="6" a="1"/>
  <c r="Z193" i="6" s="1"/>
  <c r="Z192" i="6" a="1"/>
  <c r="Z192" i="6" s="1"/>
  <c r="Z191" i="6" a="1"/>
  <c r="Z191" i="6" s="1"/>
  <c r="Z190" i="6" a="1"/>
  <c r="Z190" i="6" s="1"/>
  <c r="Z21" i="6" a="1"/>
  <c r="Z21" i="6" s="1"/>
  <c r="Z22" i="6" a="1"/>
  <c r="Z22" i="6" s="1"/>
  <c r="Z23" i="6" a="1"/>
  <c r="Z23" i="6" s="1"/>
  <c r="Z24" i="6" a="1"/>
  <c r="Z24" i="6" s="1"/>
  <c r="Z25" i="6" a="1"/>
  <c r="Z25" i="6" s="1"/>
  <c r="Z26" i="6" a="1"/>
  <c r="Z26" i="6" s="1"/>
  <c r="Z27" i="6" a="1"/>
  <c r="Z27" i="6" s="1"/>
  <c r="Z28" i="6" a="1"/>
  <c r="Z28" i="6" s="1"/>
  <c r="Z29" i="6" a="1"/>
  <c r="Z29" i="6" s="1"/>
  <c r="Z30" i="6" a="1"/>
  <c r="Z30" i="6" s="1"/>
  <c r="Z31" i="6" a="1"/>
  <c r="Z31" i="6" s="1"/>
  <c r="Z32" i="6" a="1"/>
  <c r="Z32" i="6" s="1"/>
  <c r="Z33" i="6" a="1"/>
  <c r="Z33" i="6" s="1"/>
  <c r="Z34" i="6" a="1"/>
  <c r="Z34" i="6" s="1"/>
  <c r="Z35" i="6" a="1"/>
  <c r="Z35" i="6" s="1"/>
  <c r="Z36" i="6" a="1"/>
  <c r="Z36" i="6" s="1"/>
  <c r="Z37" i="6" a="1"/>
  <c r="Z37" i="6" s="1"/>
  <c r="Z38" i="6" a="1"/>
  <c r="Z38" i="6" s="1"/>
  <c r="Z39" i="6" a="1"/>
  <c r="Z39" i="6" s="1"/>
  <c r="Z40" i="6" a="1"/>
  <c r="Z40" i="6" s="1"/>
  <c r="Z41" i="6" a="1"/>
  <c r="Z41" i="6" s="1"/>
  <c r="Z42" i="6" a="1"/>
  <c r="Z42" i="6" s="1"/>
  <c r="Z43" i="6" a="1"/>
  <c r="Z43" i="6" s="1"/>
  <c r="Z44" i="6" a="1"/>
  <c r="Z44" i="6" s="1"/>
  <c r="Z45" i="6" a="1"/>
  <c r="Z45" i="6" s="1"/>
  <c r="Z46" i="6" a="1"/>
  <c r="Z46" i="6" s="1"/>
  <c r="Z47" i="6" a="1"/>
  <c r="Z47" i="6" s="1"/>
  <c r="Z48" i="6" a="1"/>
  <c r="Z48" i="6" s="1"/>
  <c r="Z49" i="6" a="1"/>
  <c r="Z49" i="6" s="1"/>
  <c r="Z50" i="6" a="1"/>
  <c r="Z50" i="6" s="1"/>
  <c r="Z51" i="6" a="1"/>
  <c r="Z51" i="6" s="1"/>
  <c r="Z52" i="6" a="1"/>
  <c r="Z52" i="6" s="1"/>
  <c r="Z53" i="6" a="1"/>
  <c r="Z53" i="6" s="1"/>
  <c r="Z54" i="6" a="1"/>
  <c r="Z54" i="6" s="1"/>
  <c r="Z55" i="6" a="1"/>
  <c r="Z55" i="6" s="1"/>
  <c r="Z56" i="6" a="1"/>
  <c r="Z56" i="6" s="1"/>
  <c r="Z57" i="6" a="1"/>
  <c r="Z57" i="6" s="1"/>
  <c r="Z58" i="6" a="1"/>
  <c r="Z58" i="6" s="1"/>
  <c r="Z59" i="6" a="1"/>
  <c r="Z59" i="6" s="1"/>
  <c r="Z60" i="6" a="1"/>
  <c r="Z60" i="6" s="1"/>
  <c r="Z61" i="6" a="1"/>
  <c r="Z61" i="6" s="1"/>
  <c r="Z62" i="6" a="1"/>
  <c r="Z62" i="6" s="1"/>
  <c r="Z63" i="6" a="1"/>
  <c r="Z63" i="6" s="1"/>
  <c r="Z64" i="6" a="1"/>
  <c r="Z64" i="6" s="1"/>
  <c r="Z65" i="6" a="1"/>
  <c r="Z65" i="6" s="1"/>
  <c r="Z66" i="6" a="1"/>
  <c r="Z66" i="6" s="1"/>
  <c r="Z67" i="6" a="1"/>
  <c r="Z67" i="6" s="1"/>
  <c r="Z68" i="6" a="1"/>
  <c r="Z68" i="6" s="1"/>
  <c r="Z69" i="6" a="1"/>
  <c r="Z69" i="6" s="1"/>
  <c r="Z70" i="6" a="1"/>
  <c r="Z70" i="6" s="1"/>
  <c r="Z71" i="6" a="1"/>
  <c r="Z71" i="6" s="1"/>
  <c r="Z72" i="6" a="1"/>
  <c r="Z72" i="6" s="1"/>
  <c r="Z73" i="6" a="1"/>
  <c r="Z73" i="6" s="1"/>
  <c r="Z74" i="6" a="1"/>
  <c r="Z74" i="6" s="1"/>
  <c r="Z75" i="6" a="1"/>
  <c r="Z75" i="6" s="1"/>
  <c r="Z76" i="6" a="1"/>
  <c r="Z76" i="6" s="1"/>
  <c r="Z77" i="6" a="1"/>
  <c r="Z77" i="6" s="1"/>
  <c r="Z78" i="6" a="1"/>
  <c r="Z78" i="6" s="1"/>
  <c r="Z79" i="6" a="1"/>
  <c r="Z79" i="6" s="1"/>
  <c r="Z80" i="6" a="1"/>
  <c r="Z80" i="6" s="1"/>
  <c r="Z81" i="6" a="1"/>
  <c r="Z81" i="6" s="1"/>
  <c r="Z82" i="6" a="1"/>
  <c r="Z82" i="6" s="1"/>
  <c r="Z83" i="6" a="1"/>
  <c r="Z83" i="6" s="1"/>
  <c r="Z84" i="6" a="1"/>
  <c r="Z84" i="6" s="1"/>
  <c r="Z85" i="6" a="1"/>
  <c r="Z85" i="6" s="1"/>
  <c r="Z86" i="6" a="1"/>
  <c r="Z86" i="6" s="1"/>
  <c r="Z87" i="6" a="1"/>
  <c r="Z87" i="6" s="1"/>
  <c r="Z88" i="6" a="1"/>
  <c r="Z88" i="6" s="1"/>
  <c r="Z89" i="6" a="1"/>
  <c r="Z89" i="6" s="1"/>
  <c r="Z90" i="6" a="1"/>
  <c r="Z90" i="6" s="1"/>
  <c r="Z91" i="6" a="1"/>
  <c r="Z91" i="6" s="1"/>
  <c r="Z92" i="6" a="1"/>
  <c r="Z92" i="6" s="1"/>
  <c r="Z93" i="6" a="1"/>
  <c r="Z93" i="6" s="1"/>
  <c r="Z94" i="6" a="1"/>
  <c r="Z94" i="6" s="1"/>
  <c r="Z95" i="6" a="1"/>
  <c r="Z95" i="6" s="1"/>
  <c r="Z96" i="6" a="1"/>
  <c r="Z96" i="6" s="1"/>
  <c r="Z97" i="6" a="1"/>
  <c r="Z97" i="6" s="1"/>
  <c r="Z98" i="6" a="1"/>
  <c r="Z98" i="6" s="1"/>
  <c r="Z99" i="6" a="1"/>
  <c r="Z99" i="6" s="1"/>
  <c r="Z100" i="6" a="1"/>
  <c r="Z100" i="6" s="1"/>
  <c r="Z101" i="6" a="1"/>
  <c r="Z101" i="6" s="1"/>
  <c r="Z102" i="6" a="1"/>
  <c r="Z102" i="6" s="1"/>
  <c r="Z103" i="6" a="1"/>
  <c r="Z103" i="6" s="1"/>
  <c r="Z104" i="6" a="1"/>
  <c r="Z104" i="6" s="1"/>
  <c r="Z105" i="6" a="1"/>
  <c r="Z105" i="6" s="1"/>
  <c r="Z106" i="6" a="1"/>
  <c r="Z106" i="6" s="1"/>
  <c r="Z107" i="6" a="1"/>
  <c r="Z107" i="6" s="1"/>
  <c r="Z108" i="6" a="1"/>
  <c r="Z108" i="6" s="1"/>
  <c r="Z109" i="6" a="1"/>
  <c r="Z109" i="6" s="1"/>
  <c r="Z110" i="6" a="1"/>
  <c r="Z110" i="6" s="1"/>
  <c r="Z111" i="6" a="1"/>
  <c r="Z111" i="6" s="1"/>
  <c r="Z112" i="6" a="1"/>
  <c r="Z112" i="6" s="1"/>
  <c r="Z113" i="6" a="1"/>
  <c r="Z113" i="6" s="1"/>
  <c r="Z114" i="6" a="1"/>
  <c r="Z114" i="6" s="1"/>
  <c r="Z115" i="6" a="1"/>
  <c r="Z115" i="6" s="1"/>
  <c r="Z116" i="6" a="1"/>
  <c r="Z116" i="6" s="1"/>
  <c r="Z117" i="6" a="1"/>
  <c r="Z117" i="6" s="1"/>
  <c r="Z118" i="6" a="1"/>
  <c r="Z118" i="6" s="1"/>
  <c r="Z119" i="6" a="1"/>
  <c r="Z119" i="6" s="1"/>
  <c r="Z120" i="6" a="1"/>
  <c r="Z120" i="6" s="1"/>
  <c r="Z121" i="6" a="1"/>
  <c r="Z121" i="6" s="1"/>
  <c r="Z122" i="6" a="1"/>
  <c r="Z122" i="6" s="1"/>
  <c r="Z123" i="6" a="1"/>
  <c r="Z123" i="6" s="1"/>
  <c r="Z124" i="6" a="1"/>
  <c r="Z124" i="6" s="1"/>
  <c r="Z125" i="6" a="1"/>
  <c r="Z125" i="6" s="1"/>
  <c r="Z126" i="6" a="1"/>
  <c r="Z126" i="6" s="1"/>
  <c r="Z127" i="6" a="1"/>
  <c r="Z127" i="6" s="1"/>
  <c r="Z128" i="6" a="1"/>
  <c r="Z128" i="6" s="1"/>
  <c r="Z129" i="6" a="1"/>
  <c r="Z129" i="6" s="1"/>
  <c r="Z130" i="6" a="1"/>
  <c r="Z130" i="6" s="1"/>
  <c r="Z131" i="6" a="1"/>
  <c r="Z131" i="6" s="1"/>
  <c r="Z132" i="6" a="1"/>
  <c r="Z132" i="6" s="1"/>
  <c r="Z133" i="6" a="1"/>
  <c r="Z133" i="6" s="1"/>
  <c r="Z134" i="6" a="1"/>
  <c r="Z134" i="6" s="1"/>
  <c r="Z135" i="6" a="1"/>
  <c r="Z135" i="6" s="1"/>
  <c r="Z136" i="6" a="1"/>
  <c r="Z136" i="6" s="1"/>
  <c r="Z137" i="6" a="1"/>
  <c r="Z137" i="6" s="1"/>
  <c r="Z138" i="6" a="1"/>
  <c r="Z138" i="6" s="1"/>
  <c r="Z139" i="6" a="1"/>
  <c r="Z139" i="6" s="1"/>
  <c r="Z140" i="6" a="1"/>
  <c r="Z140" i="6" s="1"/>
  <c r="Z141" i="6" a="1"/>
  <c r="Z141" i="6" s="1"/>
  <c r="Z142" i="6" a="1"/>
  <c r="Z142" i="6" s="1"/>
  <c r="Z143" i="6" a="1"/>
  <c r="Z143" i="6" s="1"/>
  <c r="Z144" i="6" a="1"/>
  <c r="Z144" i="6" s="1"/>
  <c r="Z145" i="6" a="1"/>
  <c r="Z145" i="6" s="1"/>
  <c r="Z146" i="6" a="1"/>
  <c r="Z146" i="6" s="1"/>
  <c r="Z147" i="6" a="1"/>
  <c r="Z147" i="6" s="1"/>
  <c r="Z148" i="6" a="1"/>
  <c r="Z148" i="6" s="1"/>
  <c r="Z149" i="6" a="1"/>
  <c r="Z149" i="6" s="1"/>
  <c r="Z150" i="6" a="1"/>
  <c r="Z150" i="6" s="1"/>
  <c r="Z151" i="6" a="1"/>
  <c r="Z151" i="6" s="1"/>
  <c r="Z152" i="6" a="1"/>
  <c r="Z152" i="6" s="1"/>
  <c r="Z153" i="6" a="1"/>
  <c r="Z153" i="6" s="1"/>
  <c r="Z154" i="6" a="1"/>
  <c r="Z154" i="6" s="1"/>
  <c r="Z155" i="6" a="1"/>
  <c r="Z155" i="6" s="1"/>
  <c r="Z156" i="6" a="1"/>
  <c r="Z156" i="6" s="1"/>
  <c r="Z157" i="6" a="1"/>
  <c r="Z157" i="6" s="1"/>
  <c r="Z158" i="6" a="1"/>
  <c r="Z158" i="6" s="1"/>
  <c r="Z159" i="6" a="1"/>
  <c r="Z159" i="6" s="1"/>
  <c r="Z160" i="6" a="1"/>
  <c r="Z160" i="6" s="1"/>
  <c r="Z161" i="6" a="1"/>
  <c r="Z161" i="6" s="1"/>
  <c r="Z162" i="6" a="1"/>
  <c r="Z162" i="6" s="1"/>
  <c r="Z163" i="6" a="1"/>
  <c r="Z163" i="6" s="1"/>
  <c r="Z164" i="6" a="1"/>
  <c r="Z164" i="6" s="1"/>
  <c r="Z165" i="6" a="1"/>
  <c r="Z165" i="6" s="1"/>
  <c r="Z166" i="6" a="1"/>
  <c r="Z166" i="6" s="1"/>
  <c r="Z167" i="6" a="1"/>
  <c r="Z167" i="6" s="1"/>
  <c r="Z168" i="6" a="1"/>
  <c r="Z168" i="6" s="1"/>
  <c r="Z169" i="6" a="1"/>
  <c r="Z169" i="6" s="1"/>
  <c r="Z170" i="6" a="1"/>
  <c r="Z170" i="6" s="1"/>
  <c r="Z171" i="6" a="1"/>
  <c r="Z171" i="6" s="1"/>
  <c r="Z172" i="6" a="1"/>
  <c r="Z172" i="6" s="1"/>
  <c r="Z173" i="6" a="1"/>
  <c r="Z173" i="6" s="1"/>
  <c r="Z174" i="6" a="1"/>
  <c r="Z174" i="6" s="1"/>
  <c r="Z175" i="6" a="1"/>
  <c r="Z175" i="6" s="1"/>
  <c r="Z176" i="6" a="1"/>
  <c r="Z176" i="6" s="1"/>
  <c r="Z177" i="6" a="1"/>
  <c r="Z177" i="6" s="1"/>
  <c r="Z178" i="6" a="1"/>
  <c r="Z178" i="6" s="1"/>
  <c r="Z179" i="6" a="1"/>
  <c r="Z179" i="6" s="1"/>
  <c r="Z180" i="6" a="1"/>
  <c r="Z180" i="6" s="1"/>
  <c r="Z181" i="6" a="1"/>
  <c r="Z181" i="6" s="1"/>
  <c r="Z182" i="6" a="1"/>
  <c r="Z182" i="6" s="1"/>
  <c r="Z183" i="6" a="1"/>
  <c r="Z183" i="6" s="1"/>
  <c r="Z184" i="6" a="1"/>
  <c r="Z184" i="6" s="1"/>
  <c r="Z20" i="6" a="1"/>
  <c r="Z20" i="6" s="1"/>
  <c r="D58" i="6" l="1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0" i="6"/>
  <c r="D100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2" i="6"/>
  <c r="D142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4" i="6"/>
  <c r="D184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6" i="6"/>
  <c r="C58" i="6" l="1"/>
  <c r="C56" i="6"/>
  <c r="C55" i="6"/>
  <c r="C54" i="6"/>
  <c r="T54" i="6" s="1" a="1"/>
  <c r="T54" i="6" s="1"/>
  <c r="C53" i="6"/>
  <c r="C52" i="6"/>
  <c r="C51" i="6"/>
  <c r="C50" i="6"/>
  <c r="T50" i="6" s="1" a="1"/>
  <c r="T50" i="6" s="1"/>
  <c r="C49" i="6"/>
  <c r="T49" i="6" s="1" a="1"/>
  <c r="T49" i="6" s="1"/>
  <c r="C48" i="6"/>
  <c r="T48" i="6" s="1" a="1"/>
  <c r="T48" i="6" s="1"/>
  <c r="C47" i="6"/>
  <c r="C46" i="6"/>
  <c r="T46" i="6" s="1" a="1"/>
  <c r="T46" i="6" s="1"/>
  <c r="C45" i="6"/>
  <c r="T45" i="6" s="1" a="1"/>
  <c r="T45" i="6" s="1"/>
  <c r="C44" i="6"/>
  <c r="C43" i="6"/>
  <c r="C42" i="6"/>
  <c r="T42" i="6" s="1" a="1"/>
  <c r="T42" i="6" s="1"/>
  <c r="C41" i="6"/>
  <c r="T41" i="6" s="1" a="1"/>
  <c r="T41" i="6" s="1"/>
  <c r="C39" i="6"/>
  <c r="C38" i="6"/>
  <c r="C37" i="6"/>
  <c r="C36" i="6"/>
  <c r="T36" i="6" s="1" a="1"/>
  <c r="T36" i="6" s="1"/>
  <c r="C35" i="6"/>
  <c r="C34" i="6"/>
  <c r="C33" i="6"/>
  <c r="T33" i="6" s="1" a="1"/>
  <c r="T33" i="6" s="1"/>
  <c r="C32" i="6"/>
  <c r="C31" i="6"/>
  <c r="C30" i="6"/>
  <c r="T30" i="6" s="1" a="1"/>
  <c r="T30" i="6" s="1"/>
  <c r="C29" i="6"/>
  <c r="X29" i="6" s="1" a="1"/>
  <c r="X29" i="6" s="1"/>
  <c r="C28" i="6"/>
  <c r="T28" i="6" s="1" a="1"/>
  <c r="T28" i="6" s="1"/>
  <c r="C27" i="6"/>
  <c r="T27" i="6" s="1" a="1"/>
  <c r="T27" i="6" s="1"/>
  <c r="C26" i="6"/>
  <c r="C25" i="6"/>
  <c r="C24" i="6"/>
  <c r="T24" i="6" s="1" a="1"/>
  <c r="T24" i="6" s="1"/>
  <c r="C23" i="6"/>
  <c r="C22" i="6"/>
  <c r="T22" i="6" s="1" a="1"/>
  <c r="T22" i="6" s="1"/>
  <c r="C20" i="6"/>
  <c r="T20" i="6" s="1" a="1"/>
  <c r="T20" i="6" s="1"/>
  <c r="T39" i="6" l="1" a="1"/>
  <c r="T39" i="6" s="1"/>
  <c r="T31" i="6" a="1"/>
  <c r="T31" i="6" s="1"/>
  <c r="T58" i="6" a="1"/>
  <c r="T58" i="6" s="1"/>
  <c r="T32" i="6" a="1"/>
  <c r="T32" i="6" s="1"/>
  <c r="T43" i="6" a="1"/>
  <c r="T43" i="6" s="1"/>
  <c r="T56" i="6" a="1"/>
  <c r="T56" i="6" s="1"/>
  <c r="T52" i="6" a="1"/>
  <c r="T52" i="6" s="1"/>
  <c r="T34" i="6" a="1"/>
  <c r="T34" i="6" s="1"/>
  <c r="T44" i="6" a="1"/>
  <c r="T44" i="6" s="1"/>
  <c r="T51" i="6" a="1"/>
  <c r="T51" i="6" s="1"/>
  <c r="T35" i="6" a="1"/>
  <c r="T35" i="6" s="1"/>
  <c r="T55" i="6" a="1"/>
  <c r="T55" i="6" s="1"/>
  <c r="T37" i="6" a="1"/>
  <c r="T37" i="6" s="1"/>
  <c r="T26" i="6" a="1"/>
  <c r="T26" i="6" s="1"/>
  <c r="T23" i="6" a="1"/>
  <c r="T23" i="6" s="1"/>
  <c r="T47" i="6" a="1"/>
  <c r="T47" i="6" s="1"/>
  <c r="T29" i="6" a="1"/>
  <c r="T29" i="6" s="1"/>
  <c r="T53" i="6" a="1"/>
  <c r="T53" i="6" s="1"/>
  <c r="T25" i="6" a="1"/>
  <c r="T25" i="6" s="1"/>
  <c r="T38" i="6" a="1"/>
  <c r="T38" i="6" s="1"/>
  <c r="R20" i="6"/>
  <c r="P26" i="6" a="1"/>
  <c r="P26" i="6" s="1"/>
  <c r="P38" i="6" a="1"/>
  <c r="P38" i="6" s="1"/>
  <c r="P51" i="6" a="1"/>
  <c r="P51" i="6" s="1"/>
  <c r="P39" i="6" a="1"/>
  <c r="P39" i="6" s="1"/>
  <c r="P52" i="6" a="1"/>
  <c r="P52" i="6" s="1"/>
  <c r="P37" i="6" a="1"/>
  <c r="P37" i="6" s="1"/>
  <c r="X53" i="6" a="1"/>
  <c r="X53" i="6" s="1"/>
  <c r="P43" i="6" a="1"/>
  <c r="P43" i="6" s="1"/>
  <c r="P55" i="6" a="1"/>
  <c r="P55" i="6" s="1"/>
  <c r="P25" i="6" a="1"/>
  <c r="P25" i="6" s="1"/>
  <c r="P29" i="6" a="1"/>
  <c r="P29" i="6" s="1"/>
  <c r="P31" i="6" a="1"/>
  <c r="P31" i="6" s="1"/>
  <c r="P44" i="6" a="1"/>
  <c r="P44" i="6" s="1"/>
  <c r="P56" i="6" a="1"/>
  <c r="P56" i="6" s="1"/>
  <c r="X49" i="6" a="1"/>
  <c r="X49" i="6" s="1"/>
  <c r="X23" i="6" a="1"/>
  <c r="X23" i="6" s="1"/>
  <c r="P32" i="6" a="1"/>
  <c r="P32" i="6" s="1"/>
  <c r="X58" i="6" a="1"/>
  <c r="X58" i="6" s="1"/>
  <c r="P20" i="6" a="1"/>
  <c r="P20" i="6" s="1"/>
  <c r="P34" i="6" a="1"/>
  <c r="P34" i="6" s="1"/>
  <c r="X47" i="6" a="1"/>
  <c r="X47" i="6" s="1"/>
  <c r="X41" i="6" a="1"/>
  <c r="X41" i="6" s="1"/>
  <c r="P35" i="6" a="1"/>
  <c r="P35" i="6" s="1"/>
  <c r="X48" i="6" a="1"/>
  <c r="X48" i="6" s="1"/>
  <c r="P48" i="6" a="1"/>
  <c r="P48" i="6" s="1"/>
  <c r="P24" i="6" a="1"/>
  <c r="P24" i="6" s="1"/>
  <c r="P33" i="6" a="1"/>
  <c r="P33" i="6" s="1"/>
  <c r="O42" i="6"/>
  <c r="M42" i="6" s="1"/>
  <c r="P42" i="6" a="1"/>
  <c r="P42" i="6" s="1"/>
  <c r="O50" i="6"/>
  <c r="M50" i="6" s="1"/>
  <c r="P50" i="6" a="1"/>
  <c r="P50" i="6" s="1"/>
  <c r="X56" i="6" a="1"/>
  <c r="X56" i="6" s="1"/>
  <c r="X44" i="6" a="1"/>
  <c r="X44" i="6" s="1"/>
  <c r="X37" i="6" a="1"/>
  <c r="X37" i="6" s="1"/>
  <c r="X39" i="6" a="1"/>
  <c r="X39" i="6" s="1"/>
  <c r="X20" i="6" a="1"/>
  <c r="X20" i="6" s="1"/>
  <c r="X50" i="6" a="1"/>
  <c r="X50" i="6" s="1"/>
  <c r="P27" i="6" a="1"/>
  <c r="P27" i="6" s="1"/>
  <c r="P28" i="6" a="1"/>
  <c r="P28" i="6" s="1"/>
  <c r="O36" i="6"/>
  <c r="M36" i="6" s="1"/>
  <c r="P36" i="6" a="1"/>
  <c r="P36" i="6" s="1"/>
  <c r="O45" i="6"/>
  <c r="M45" i="6" s="1"/>
  <c r="P45" i="6" a="1"/>
  <c r="P45" i="6" s="1"/>
  <c r="O53" i="6"/>
  <c r="M53" i="6" s="1"/>
  <c r="P53" i="6" a="1"/>
  <c r="P53" i="6" s="1"/>
  <c r="X32" i="6" a="1"/>
  <c r="X32" i="6" s="1"/>
  <c r="X31" i="6" a="1"/>
  <c r="X31" i="6" s="1"/>
  <c r="X55" i="6" a="1"/>
  <c r="X55" i="6" s="1"/>
  <c r="X52" i="6" a="1"/>
  <c r="X52" i="6" s="1"/>
  <c r="X45" i="6" a="1"/>
  <c r="X45" i="6" s="1"/>
  <c r="X27" i="6" a="1"/>
  <c r="X27" i="6" s="1"/>
  <c r="X42" i="6" a="1"/>
  <c r="X42" i="6" s="1"/>
  <c r="O46" i="6"/>
  <c r="M46" i="6" s="1"/>
  <c r="P46" i="6" a="1"/>
  <c r="P46" i="6" s="1"/>
  <c r="O54" i="6"/>
  <c r="M54" i="6" s="1"/>
  <c r="P54" i="6" a="1"/>
  <c r="P54" i="6" s="1"/>
  <c r="X24" i="6" a="1"/>
  <c r="X24" i="6" s="1"/>
  <c r="X26" i="6" a="1"/>
  <c r="X26" i="6" s="1"/>
  <c r="X35" i="6" a="1"/>
  <c r="X35" i="6" s="1"/>
  <c r="X36" i="6" a="1"/>
  <c r="X36" i="6" s="1"/>
  <c r="X33" i="6" a="1"/>
  <c r="X33" i="6" s="1"/>
  <c r="P22" i="6" a="1"/>
  <c r="P22" i="6" s="1"/>
  <c r="P30" i="6" a="1"/>
  <c r="P30" i="6" s="1"/>
  <c r="X38" i="6" a="1"/>
  <c r="X38" i="6" s="1"/>
  <c r="X28" i="6" a="1"/>
  <c r="X28" i="6" s="1"/>
  <c r="X25" i="6" a="1"/>
  <c r="X25" i="6" s="1"/>
  <c r="X30" i="6" a="1"/>
  <c r="X30" i="6" s="1"/>
  <c r="X54" i="6" a="1"/>
  <c r="X54" i="6" s="1"/>
  <c r="X34" i="6" a="1"/>
  <c r="X34" i="6" s="1"/>
  <c r="P47" i="6" a="1"/>
  <c r="P47" i="6" s="1"/>
  <c r="P23" i="6" a="1"/>
  <c r="P23" i="6" s="1"/>
  <c r="O41" i="6"/>
  <c r="M41" i="6" s="1"/>
  <c r="P41" i="6" a="1"/>
  <c r="P41" i="6" s="1"/>
  <c r="O49" i="6"/>
  <c r="M49" i="6" s="1"/>
  <c r="P49" i="6" a="1"/>
  <c r="P49" i="6" s="1"/>
  <c r="O58" i="6"/>
  <c r="M58" i="6" s="1"/>
  <c r="P58" i="6" a="1"/>
  <c r="P58" i="6" s="1"/>
  <c r="X51" i="6" a="1"/>
  <c r="X51" i="6" s="1"/>
  <c r="X22" i="6" a="1"/>
  <c r="X22" i="6" s="1"/>
  <c r="X46" i="6" a="1"/>
  <c r="X46" i="6" s="1"/>
  <c r="X43" i="6" a="1"/>
  <c r="X43" i="6" s="1"/>
  <c r="E22" i="6"/>
  <c r="I22" i="6" s="1"/>
  <c r="O22" i="6"/>
  <c r="E31" i="6"/>
  <c r="I31" i="6" s="1"/>
  <c r="O31" i="6"/>
  <c r="M31" i="6" s="1"/>
  <c r="O32" i="6"/>
  <c r="M32" i="6" s="1"/>
  <c r="O56" i="6"/>
  <c r="M56" i="6" s="1"/>
  <c r="O43" i="6"/>
  <c r="M43" i="6" s="1"/>
  <c r="O52" i="6"/>
  <c r="M52" i="6" s="1"/>
  <c r="E20" i="6"/>
  <c r="I20" i="6" s="1"/>
  <c r="O20" i="6"/>
  <c r="E29" i="6"/>
  <c r="I29" i="6" s="1"/>
  <c r="O29" i="6"/>
  <c r="E37" i="6"/>
  <c r="I37" i="6" s="1"/>
  <c r="O37" i="6"/>
  <c r="M37" i="6" s="1"/>
  <c r="O44" i="6"/>
  <c r="M44" i="6" s="1"/>
  <c r="E38" i="6"/>
  <c r="I38" i="6" s="1"/>
  <c r="O38" i="6"/>
  <c r="M38" i="6" s="1"/>
  <c r="E39" i="6"/>
  <c r="I39" i="6" s="1"/>
  <c r="O39" i="6"/>
  <c r="M39" i="6" s="1"/>
  <c r="E30" i="6"/>
  <c r="I30" i="6" s="1"/>
  <c r="O30" i="6"/>
  <c r="M30" i="6" s="1"/>
  <c r="O55" i="6"/>
  <c r="M55" i="6" s="1"/>
  <c r="E25" i="6"/>
  <c r="I25" i="6" s="1"/>
  <c r="O25" i="6"/>
  <c r="E23" i="6"/>
  <c r="I23" i="6" s="1"/>
  <c r="O23" i="6"/>
  <c r="E24" i="6"/>
  <c r="I24" i="6" s="1"/>
  <c r="O24" i="6"/>
  <c r="E33" i="6"/>
  <c r="I33" i="6" s="1"/>
  <c r="O33" i="6"/>
  <c r="M33" i="6" s="1"/>
  <c r="O51" i="6"/>
  <c r="M51" i="6" s="1"/>
  <c r="O47" i="6"/>
  <c r="M47" i="6" s="1"/>
  <c r="O48" i="6"/>
  <c r="M48" i="6" s="1"/>
  <c r="E34" i="6"/>
  <c r="I34" i="6" s="1"/>
  <c r="O34" i="6"/>
  <c r="M34" i="6" s="1"/>
  <c r="E35" i="6"/>
  <c r="I35" i="6" s="1"/>
  <c r="O35" i="6"/>
  <c r="M35" i="6" s="1"/>
  <c r="E28" i="6"/>
  <c r="I28" i="6" s="1"/>
  <c r="O28" i="6"/>
  <c r="E26" i="6"/>
  <c r="I26" i="6" s="1"/>
  <c r="O26" i="6"/>
  <c r="E27" i="6"/>
  <c r="I27" i="6" s="1"/>
  <c r="O27" i="6"/>
  <c r="E52" i="6"/>
  <c r="I52" i="6" s="1"/>
  <c r="E58" i="6"/>
  <c r="I58" i="6" s="1"/>
  <c r="E56" i="6"/>
  <c r="I56" i="6" s="1"/>
  <c r="E53" i="6"/>
  <c r="I53" i="6" s="1"/>
  <c r="E49" i="6"/>
  <c r="I49" i="6" s="1"/>
  <c r="E48" i="6"/>
  <c r="I48" i="6" s="1"/>
  <c r="E50" i="6"/>
  <c r="I50" i="6" s="1"/>
  <c r="E47" i="6"/>
  <c r="I47" i="6" s="1"/>
  <c r="E51" i="6"/>
  <c r="I51" i="6" s="1"/>
  <c r="E54" i="6"/>
  <c r="I54" i="6" s="1"/>
  <c r="E55" i="6"/>
  <c r="I55" i="6" s="1"/>
  <c r="E41" i="6"/>
  <c r="I41" i="6" s="1"/>
  <c r="E42" i="6"/>
  <c r="I42" i="6" s="1"/>
  <c r="E43" i="6"/>
  <c r="I43" i="6" s="1"/>
  <c r="E44" i="6"/>
  <c r="I44" i="6" s="1"/>
  <c r="E45" i="6"/>
  <c r="I45" i="6" s="1"/>
  <c r="E46" i="6"/>
  <c r="I46" i="6" s="1"/>
  <c r="E32" i="6"/>
  <c r="I32" i="6" s="1"/>
  <c r="E36" i="6"/>
  <c r="I36" i="6" s="1"/>
  <c r="J43" i="6" l="1"/>
  <c r="J23" i="6"/>
  <c r="G30" i="6"/>
  <c r="J30" i="6"/>
  <c r="J29" i="6"/>
  <c r="J42" i="6"/>
  <c r="H35" i="6"/>
  <c r="L35" i="6" s="1"/>
  <c r="K35" i="6" s="1"/>
  <c r="J35" i="6"/>
  <c r="F32" i="6"/>
  <c r="J32" i="6"/>
  <c r="J58" i="6"/>
  <c r="J25" i="6"/>
  <c r="H39" i="6"/>
  <c r="L39" i="6" s="1"/>
  <c r="K39" i="6" s="1"/>
  <c r="J39" i="6"/>
  <c r="J45" i="6"/>
  <c r="J47" i="6"/>
  <c r="J24" i="6"/>
  <c r="H37" i="6"/>
  <c r="L37" i="6" s="1"/>
  <c r="K37" i="6" s="1"/>
  <c r="J37" i="6"/>
  <c r="J22" i="6"/>
  <c r="J44" i="6"/>
  <c r="H50" i="6"/>
  <c r="L50" i="6" s="1"/>
  <c r="K50" i="6" s="1"/>
  <c r="J50" i="6"/>
  <c r="J28" i="6"/>
  <c r="H38" i="6"/>
  <c r="L38" i="6" s="1"/>
  <c r="K38" i="6" s="1"/>
  <c r="J38" i="6"/>
  <c r="F48" i="6"/>
  <c r="J48" i="6"/>
  <c r="J41" i="6"/>
  <c r="H53" i="6"/>
  <c r="L53" i="6" s="1"/>
  <c r="K53" i="6" s="1"/>
  <c r="J53" i="6"/>
  <c r="J26" i="6"/>
  <c r="F36" i="6"/>
  <c r="J36" i="6"/>
  <c r="H55" i="6"/>
  <c r="L55" i="6" s="1"/>
  <c r="K55" i="6" s="1"/>
  <c r="J55" i="6"/>
  <c r="J56" i="6"/>
  <c r="H34" i="6"/>
  <c r="L34" i="6" s="1"/>
  <c r="K34" i="6" s="1"/>
  <c r="J34" i="6"/>
  <c r="H33" i="6"/>
  <c r="L33" i="6" s="1"/>
  <c r="K33" i="6" s="1"/>
  <c r="J33" i="6"/>
  <c r="J20" i="6"/>
  <c r="G31" i="6"/>
  <c r="J31" i="6"/>
  <c r="F49" i="6"/>
  <c r="J49" i="6"/>
  <c r="H54" i="6"/>
  <c r="L54" i="6" s="1"/>
  <c r="K54" i="6" s="1"/>
  <c r="J54" i="6"/>
  <c r="J46" i="6"/>
  <c r="H51" i="6"/>
  <c r="L51" i="6" s="1"/>
  <c r="K51" i="6" s="1"/>
  <c r="J51" i="6"/>
  <c r="H52" i="6"/>
  <c r="L52" i="6" s="1"/>
  <c r="K52" i="6" s="1"/>
  <c r="J52" i="6"/>
  <c r="J27" i="6"/>
  <c r="F39" i="6"/>
  <c r="G39" i="6"/>
  <c r="F33" i="6"/>
  <c r="G33" i="6"/>
  <c r="F52" i="6"/>
  <c r="F37" i="6"/>
  <c r="G38" i="6"/>
  <c r="F38" i="6"/>
  <c r="G37" i="6"/>
  <c r="H31" i="6"/>
  <c r="L31" i="6" s="1"/>
  <c r="K31" i="6" s="1"/>
  <c r="G35" i="6"/>
  <c r="F35" i="6"/>
  <c r="F31" i="6"/>
  <c r="G34" i="6"/>
  <c r="F34" i="6"/>
  <c r="F30" i="6"/>
  <c r="H30" i="6"/>
  <c r="L30" i="6" s="1"/>
  <c r="K30" i="6" s="1"/>
  <c r="G52" i="6"/>
  <c r="G55" i="6"/>
  <c r="G36" i="6"/>
  <c r="G50" i="6"/>
  <c r="H36" i="6"/>
  <c r="L36" i="6" s="1"/>
  <c r="K36" i="6" s="1"/>
  <c r="F53" i="6"/>
  <c r="G54" i="6"/>
  <c r="G53" i="6"/>
  <c r="F50" i="6"/>
  <c r="H58" i="6"/>
  <c r="L58" i="6" s="1"/>
  <c r="K58" i="6" s="1"/>
  <c r="G58" i="6"/>
  <c r="F58" i="6"/>
  <c r="H56" i="6"/>
  <c r="L56" i="6" s="1"/>
  <c r="K56" i="6" s="1"/>
  <c r="G56" i="6"/>
  <c r="F56" i="6"/>
  <c r="G51" i="6"/>
  <c r="F51" i="6"/>
  <c r="F55" i="6"/>
  <c r="F54" i="6"/>
  <c r="G49" i="6"/>
  <c r="H49" i="6"/>
  <c r="L49" i="6" s="1"/>
  <c r="K49" i="6" s="1"/>
  <c r="G47" i="6"/>
  <c r="H47" i="6"/>
  <c r="L47" i="6" s="1"/>
  <c r="K47" i="6" s="1"/>
  <c r="F47" i="6"/>
  <c r="G48" i="6"/>
  <c r="H48" i="6"/>
  <c r="L48" i="6" s="1"/>
  <c r="K48" i="6" s="1"/>
  <c r="H46" i="6"/>
  <c r="L46" i="6" s="1"/>
  <c r="K46" i="6" s="1"/>
  <c r="G46" i="6"/>
  <c r="F46" i="6"/>
  <c r="H45" i="6"/>
  <c r="L45" i="6" s="1"/>
  <c r="K45" i="6" s="1"/>
  <c r="G45" i="6"/>
  <c r="F45" i="6"/>
  <c r="H32" i="6"/>
  <c r="L32" i="6" s="1"/>
  <c r="K32" i="6" s="1"/>
  <c r="H44" i="6"/>
  <c r="L44" i="6" s="1"/>
  <c r="K44" i="6" s="1"/>
  <c r="G44" i="6"/>
  <c r="F44" i="6"/>
  <c r="H43" i="6"/>
  <c r="L43" i="6" s="1"/>
  <c r="K43" i="6" s="1"/>
  <c r="G43" i="6"/>
  <c r="F43" i="6"/>
  <c r="G32" i="6"/>
  <c r="H42" i="6"/>
  <c r="L42" i="6" s="1"/>
  <c r="K42" i="6" s="1"/>
  <c r="G42" i="6"/>
  <c r="F42" i="6"/>
  <c r="H41" i="6"/>
  <c r="L41" i="6" s="1"/>
  <c r="K41" i="6" s="1"/>
  <c r="G41" i="6"/>
  <c r="F41" i="6"/>
  <c r="C142" i="6" l="1"/>
  <c r="C184" i="6"/>
  <c r="T184" i="6" s="1" a="1"/>
  <c r="T184" i="6" s="1"/>
  <c r="C182" i="6"/>
  <c r="T182" i="6" s="1" a="1"/>
  <c r="T182" i="6" s="1"/>
  <c r="C181" i="6"/>
  <c r="T181" i="6" s="1" a="1"/>
  <c r="T181" i="6" s="1"/>
  <c r="C180" i="6"/>
  <c r="T180" i="6" s="1" a="1"/>
  <c r="T180" i="6" s="1"/>
  <c r="C179" i="6"/>
  <c r="T179" i="6" s="1" a="1"/>
  <c r="T179" i="6" s="1"/>
  <c r="C178" i="6"/>
  <c r="T178" i="6" s="1" a="1"/>
  <c r="T178" i="6" s="1"/>
  <c r="C177" i="6"/>
  <c r="T177" i="6" s="1" a="1"/>
  <c r="T177" i="6" s="1"/>
  <c r="C176" i="6"/>
  <c r="T176" i="6" s="1" a="1"/>
  <c r="T176" i="6" s="1"/>
  <c r="C175" i="6"/>
  <c r="T175" i="6" s="1" a="1"/>
  <c r="T175" i="6" s="1"/>
  <c r="C174" i="6"/>
  <c r="T174" i="6" s="1" a="1"/>
  <c r="T174" i="6" s="1"/>
  <c r="C173" i="6"/>
  <c r="T173" i="6" s="1" a="1"/>
  <c r="T173" i="6" s="1"/>
  <c r="C172" i="6"/>
  <c r="T172" i="6" s="1" a="1"/>
  <c r="T172" i="6" s="1"/>
  <c r="C171" i="6"/>
  <c r="T171" i="6" s="1" a="1"/>
  <c r="T171" i="6" s="1"/>
  <c r="C170" i="6"/>
  <c r="T170" i="6" s="1" a="1"/>
  <c r="T170" i="6" s="1"/>
  <c r="C169" i="6"/>
  <c r="T169" i="6" s="1" a="1"/>
  <c r="T169" i="6" s="1"/>
  <c r="C168" i="6"/>
  <c r="T168" i="6" s="1" a="1"/>
  <c r="T168" i="6" s="1"/>
  <c r="C167" i="6"/>
  <c r="T167" i="6" s="1" a="1"/>
  <c r="T167" i="6" s="1"/>
  <c r="C148" i="6"/>
  <c r="T148" i="6" s="1" a="1"/>
  <c r="T148" i="6" s="1"/>
  <c r="C149" i="6"/>
  <c r="T149" i="6" s="1" a="1"/>
  <c r="T149" i="6" s="1"/>
  <c r="C150" i="6"/>
  <c r="T150" i="6" s="1" a="1"/>
  <c r="T150" i="6" s="1"/>
  <c r="C151" i="6"/>
  <c r="T151" i="6" s="1" a="1"/>
  <c r="T151" i="6" s="1"/>
  <c r="C152" i="6"/>
  <c r="T152" i="6" s="1" a="1"/>
  <c r="T152" i="6" s="1"/>
  <c r="C153" i="6"/>
  <c r="T153" i="6" s="1" a="1"/>
  <c r="T153" i="6" s="1"/>
  <c r="C154" i="6"/>
  <c r="T154" i="6" s="1" a="1"/>
  <c r="T154" i="6" s="1"/>
  <c r="C155" i="6"/>
  <c r="T155" i="6" s="1" a="1"/>
  <c r="T155" i="6" s="1"/>
  <c r="C156" i="6"/>
  <c r="T156" i="6" s="1" a="1"/>
  <c r="T156" i="6" s="1"/>
  <c r="C157" i="6"/>
  <c r="T157" i="6" s="1" a="1"/>
  <c r="T157" i="6" s="1"/>
  <c r="C158" i="6"/>
  <c r="T158" i="6" s="1" a="1"/>
  <c r="T158" i="6" s="1"/>
  <c r="C159" i="6"/>
  <c r="T159" i="6" s="1" a="1"/>
  <c r="T159" i="6" s="1"/>
  <c r="C160" i="6"/>
  <c r="T160" i="6" s="1" a="1"/>
  <c r="T160" i="6" s="1"/>
  <c r="C161" i="6"/>
  <c r="T161" i="6" s="1" a="1"/>
  <c r="T161" i="6" s="1"/>
  <c r="C162" i="6"/>
  <c r="T162" i="6" s="1" a="1"/>
  <c r="T162" i="6" s="1"/>
  <c r="C163" i="6"/>
  <c r="T163" i="6" s="1" a="1"/>
  <c r="T163" i="6" s="1"/>
  <c r="C164" i="6"/>
  <c r="T164" i="6" s="1" a="1"/>
  <c r="T164" i="6" s="1"/>
  <c r="C165" i="6"/>
  <c r="T165" i="6" s="1" a="1"/>
  <c r="T165" i="6" s="1"/>
  <c r="C146" i="6"/>
  <c r="T146" i="6" s="1" a="1"/>
  <c r="T146" i="6" s="1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04" i="6"/>
  <c r="C100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8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62" i="6"/>
  <c r="T62" i="6" s="1" a="1"/>
  <c r="T62" i="6" s="1"/>
  <c r="T78" i="6" l="1" a="1"/>
  <c r="T78" i="6" s="1"/>
  <c r="T98" i="6" a="1"/>
  <c r="T98" i="6" s="1"/>
  <c r="T104" i="6" a="1"/>
  <c r="T104" i="6" s="1"/>
  <c r="T130" i="6" a="1"/>
  <c r="T130" i="6" s="1"/>
  <c r="T69" i="6" a="1"/>
  <c r="T69" i="6" s="1"/>
  <c r="T76" i="6" a="1"/>
  <c r="T76" i="6" s="1"/>
  <c r="T68" i="6" a="1"/>
  <c r="T68" i="6" s="1"/>
  <c r="T96" i="6" a="1"/>
  <c r="T96" i="6" s="1"/>
  <c r="T88" i="6" a="1"/>
  <c r="T88" i="6" s="1"/>
  <c r="T122" i="6" a="1"/>
  <c r="T122" i="6" s="1"/>
  <c r="T114" i="6" a="1"/>
  <c r="T114" i="6" s="1"/>
  <c r="T106" i="6" a="1"/>
  <c r="T106" i="6" s="1"/>
  <c r="T132" i="6" a="1"/>
  <c r="T132" i="6" s="1"/>
  <c r="T140" i="6" a="1"/>
  <c r="T140" i="6" s="1"/>
  <c r="T70" i="6" a="1"/>
  <c r="T70" i="6" s="1"/>
  <c r="T90" i="6" a="1"/>
  <c r="T90" i="6" s="1"/>
  <c r="T116" i="6" a="1"/>
  <c r="T116" i="6" s="1"/>
  <c r="T108" i="6" a="1"/>
  <c r="T108" i="6" s="1"/>
  <c r="T138" i="6" a="1"/>
  <c r="T138" i="6" s="1"/>
  <c r="T75" i="6" a="1"/>
  <c r="T75" i="6" s="1"/>
  <c r="T67" i="6" a="1"/>
  <c r="T67" i="6" s="1"/>
  <c r="T95" i="6" a="1"/>
  <c r="T95" i="6" s="1"/>
  <c r="T87" i="6" a="1"/>
  <c r="T87" i="6" s="1"/>
  <c r="T121" i="6" a="1"/>
  <c r="T121" i="6" s="1"/>
  <c r="T113" i="6" a="1"/>
  <c r="T113" i="6" s="1"/>
  <c r="T125" i="6" a="1"/>
  <c r="T125" i="6" s="1"/>
  <c r="T133" i="6" a="1"/>
  <c r="T133" i="6" s="1"/>
  <c r="T77" i="6" a="1"/>
  <c r="T77" i="6" s="1"/>
  <c r="T97" i="6" a="1"/>
  <c r="T97" i="6" s="1"/>
  <c r="T89" i="6" a="1"/>
  <c r="T89" i="6" s="1"/>
  <c r="T123" i="6" a="1"/>
  <c r="T123" i="6" s="1"/>
  <c r="T115" i="6" a="1"/>
  <c r="T115" i="6" s="1"/>
  <c r="T107" i="6" a="1"/>
  <c r="T107" i="6" s="1"/>
  <c r="T131" i="6" a="1"/>
  <c r="T131" i="6" s="1"/>
  <c r="T139" i="6" a="1"/>
  <c r="T139" i="6" s="1"/>
  <c r="T74" i="6" a="1"/>
  <c r="T74" i="6" s="1"/>
  <c r="T66" i="6" a="1"/>
  <c r="T66" i="6" s="1"/>
  <c r="T94" i="6" a="1"/>
  <c r="T94" i="6" s="1"/>
  <c r="T86" i="6" a="1"/>
  <c r="T86" i="6" s="1"/>
  <c r="T120" i="6" a="1"/>
  <c r="T120" i="6" s="1"/>
  <c r="T112" i="6" a="1"/>
  <c r="T112" i="6" s="1"/>
  <c r="T126" i="6" a="1"/>
  <c r="T126" i="6" s="1"/>
  <c r="T134" i="6" a="1"/>
  <c r="T134" i="6" s="1"/>
  <c r="T73" i="6" a="1"/>
  <c r="T73" i="6" s="1"/>
  <c r="T93" i="6" a="1"/>
  <c r="T93" i="6" s="1"/>
  <c r="T85" i="6" a="1"/>
  <c r="T85" i="6" s="1"/>
  <c r="T111" i="6" a="1"/>
  <c r="T111" i="6" s="1"/>
  <c r="T127" i="6" a="1"/>
  <c r="T127" i="6" s="1"/>
  <c r="T135" i="6" a="1"/>
  <c r="T135" i="6" s="1"/>
  <c r="T72" i="6" a="1"/>
  <c r="T72" i="6" s="1"/>
  <c r="T81" i="6" a="1"/>
  <c r="T81" i="6" s="1"/>
  <c r="T65" i="6" a="1"/>
  <c r="T65" i="6" s="1"/>
  <c r="T119" i="6" a="1"/>
  <c r="T119" i="6" s="1"/>
  <c r="T80" i="6" a="1"/>
  <c r="T80" i="6" s="1"/>
  <c r="T64" i="6" a="1"/>
  <c r="T64" i="6" s="1"/>
  <c r="T92" i="6" a="1"/>
  <c r="T92" i="6" s="1"/>
  <c r="T84" i="6" a="1"/>
  <c r="T84" i="6" s="1"/>
  <c r="T118" i="6" a="1"/>
  <c r="T118" i="6" s="1"/>
  <c r="T110" i="6" a="1"/>
  <c r="T110" i="6" s="1"/>
  <c r="T128" i="6" a="1"/>
  <c r="T128" i="6" s="1"/>
  <c r="T136" i="6" a="1"/>
  <c r="T136" i="6" s="1"/>
  <c r="T79" i="6" a="1"/>
  <c r="T79" i="6" s="1"/>
  <c r="T71" i="6" a="1"/>
  <c r="T71" i="6" s="1"/>
  <c r="T83" i="6" a="1"/>
  <c r="T83" i="6" s="1"/>
  <c r="T91" i="6" a="1"/>
  <c r="T91" i="6" s="1"/>
  <c r="T100" i="6" a="1"/>
  <c r="T100" i="6" s="1"/>
  <c r="T117" i="6" a="1"/>
  <c r="T117" i="6" s="1"/>
  <c r="T109" i="6" a="1"/>
  <c r="T109" i="6" s="1"/>
  <c r="T129" i="6" a="1"/>
  <c r="T129" i="6" s="1"/>
  <c r="T137" i="6" a="1"/>
  <c r="T137" i="6" s="1"/>
  <c r="T142" i="6" a="1"/>
  <c r="T142" i="6" s="1"/>
  <c r="R62" i="6"/>
  <c r="V156" i="6"/>
  <c r="V163" i="6"/>
  <c r="V155" i="6"/>
  <c r="V167" i="6"/>
  <c r="V175" i="6"/>
  <c r="V184" i="6"/>
  <c r="V162" i="6"/>
  <c r="V154" i="6"/>
  <c r="V168" i="6"/>
  <c r="V176" i="6"/>
  <c r="V161" i="6"/>
  <c r="V153" i="6"/>
  <c r="V169" i="6"/>
  <c r="V177" i="6"/>
  <c r="V151" i="6"/>
  <c r="V171" i="6"/>
  <c r="V179" i="6"/>
  <c r="V160" i="6"/>
  <c r="R146" i="6"/>
  <c r="V158" i="6"/>
  <c r="V150" i="6"/>
  <c r="V172" i="6"/>
  <c r="V180" i="6"/>
  <c r="V152" i="6"/>
  <c r="V165" i="6"/>
  <c r="V157" i="6"/>
  <c r="V149" i="6"/>
  <c r="V173" i="6"/>
  <c r="V181" i="6"/>
  <c r="V170" i="6"/>
  <c r="V164" i="6"/>
  <c r="V148" i="6"/>
  <c r="V174" i="6"/>
  <c r="V182" i="6"/>
  <c r="V159" i="6"/>
  <c r="V178" i="6"/>
  <c r="R104" i="6"/>
  <c r="P172" i="6" a="1"/>
  <c r="P172" i="6" s="1"/>
  <c r="X172" i="6" a="1"/>
  <c r="X172" i="6" s="1"/>
  <c r="P180" i="6" a="1"/>
  <c r="P180" i="6" s="1"/>
  <c r="X180" i="6" a="1"/>
  <c r="X180" i="6" s="1"/>
  <c r="P62" i="6" a="1"/>
  <c r="P62" i="6" s="1"/>
  <c r="X62" i="6" a="1"/>
  <c r="X62" i="6" s="1"/>
  <c r="P66" i="6" a="1"/>
  <c r="P66" i="6" s="1"/>
  <c r="X66" i="6" a="1"/>
  <c r="X66" i="6" s="1"/>
  <c r="P120" i="6" a="1"/>
  <c r="P120" i="6" s="1"/>
  <c r="X120" i="6" a="1"/>
  <c r="X120" i="6" s="1"/>
  <c r="P73" i="6" a="1"/>
  <c r="P73" i="6" s="1"/>
  <c r="X73" i="6" a="1"/>
  <c r="X73" i="6" s="1"/>
  <c r="P93" i="6" a="1"/>
  <c r="P93" i="6" s="1"/>
  <c r="X93" i="6" a="1"/>
  <c r="X93" i="6" s="1"/>
  <c r="P85" i="6" a="1"/>
  <c r="P85" i="6" s="1"/>
  <c r="X85" i="6" a="1"/>
  <c r="X85" i="6" s="1"/>
  <c r="P119" i="6" a="1"/>
  <c r="P119" i="6" s="1"/>
  <c r="X119" i="6" a="1"/>
  <c r="X119" i="6" s="1"/>
  <c r="P111" i="6" a="1"/>
  <c r="P111" i="6" s="1"/>
  <c r="X111" i="6" a="1"/>
  <c r="X111" i="6" s="1"/>
  <c r="P127" i="6" a="1"/>
  <c r="P127" i="6" s="1"/>
  <c r="X127" i="6" a="1"/>
  <c r="X127" i="6" s="1"/>
  <c r="P135" i="6" a="1"/>
  <c r="P135" i="6" s="1"/>
  <c r="X135" i="6" a="1"/>
  <c r="X135" i="6" s="1"/>
  <c r="P164" i="6" a="1"/>
  <c r="P164" i="6" s="1"/>
  <c r="X164" i="6" a="1"/>
  <c r="X164" i="6" s="1"/>
  <c r="P156" i="6" a="1"/>
  <c r="P156" i="6" s="1"/>
  <c r="X156" i="6" a="1"/>
  <c r="X156" i="6" s="1"/>
  <c r="P148" i="6" a="1"/>
  <c r="P148" i="6" s="1"/>
  <c r="X148" i="6" a="1"/>
  <c r="X148" i="6" s="1"/>
  <c r="P174" i="6" a="1"/>
  <c r="P174" i="6" s="1"/>
  <c r="X174" i="6" a="1"/>
  <c r="X174" i="6" s="1"/>
  <c r="P182" i="6" a="1"/>
  <c r="P182" i="6" s="1"/>
  <c r="X182" i="6" a="1"/>
  <c r="X182" i="6" s="1"/>
  <c r="P95" i="6" a="1"/>
  <c r="P95" i="6" s="1"/>
  <c r="X95" i="6" a="1"/>
  <c r="X95" i="6" s="1"/>
  <c r="P113" i="6" a="1"/>
  <c r="P113" i="6" s="1"/>
  <c r="X113" i="6" a="1"/>
  <c r="X113" i="6" s="1"/>
  <c r="P125" i="6" a="1"/>
  <c r="P125" i="6" s="1"/>
  <c r="X125" i="6" a="1"/>
  <c r="X125" i="6" s="1"/>
  <c r="P133" i="6" a="1"/>
  <c r="P133" i="6" s="1"/>
  <c r="X133" i="6" a="1"/>
  <c r="X133" i="6" s="1"/>
  <c r="P146" i="6" a="1"/>
  <c r="P146" i="6" s="1"/>
  <c r="X146" i="6" a="1"/>
  <c r="X146" i="6" s="1"/>
  <c r="P158" i="6" a="1"/>
  <c r="P158" i="6" s="1"/>
  <c r="X158" i="6" a="1"/>
  <c r="X158" i="6" s="1"/>
  <c r="P150" i="6" a="1"/>
  <c r="P150" i="6" s="1"/>
  <c r="X150" i="6" a="1"/>
  <c r="X150" i="6" s="1"/>
  <c r="P74" i="6" a="1"/>
  <c r="P74" i="6" s="1"/>
  <c r="X74" i="6" a="1"/>
  <c r="X74" i="6" s="1"/>
  <c r="P94" i="6" a="1"/>
  <c r="P94" i="6" s="1"/>
  <c r="X94" i="6" a="1"/>
  <c r="X94" i="6" s="1"/>
  <c r="P86" i="6" a="1"/>
  <c r="P86" i="6" s="1"/>
  <c r="X86" i="6" a="1"/>
  <c r="X86" i="6" s="1"/>
  <c r="P112" i="6" a="1"/>
  <c r="P112" i="6" s="1"/>
  <c r="X112" i="6" a="1"/>
  <c r="X112" i="6" s="1"/>
  <c r="P126" i="6" a="1"/>
  <c r="P126" i="6" s="1"/>
  <c r="X126" i="6" a="1"/>
  <c r="X126" i="6" s="1"/>
  <c r="P134" i="6" a="1"/>
  <c r="P134" i="6" s="1"/>
  <c r="X134" i="6" a="1"/>
  <c r="X134" i="6" s="1"/>
  <c r="P165" i="6" a="1"/>
  <c r="P165" i="6" s="1"/>
  <c r="X165" i="6" a="1"/>
  <c r="X165" i="6" s="1"/>
  <c r="P157" i="6" a="1"/>
  <c r="P157" i="6" s="1"/>
  <c r="X157" i="6" a="1"/>
  <c r="X157" i="6" s="1"/>
  <c r="P149" i="6" a="1"/>
  <c r="P149" i="6" s="1"/>
  <c r="X149" i="6" a="1"/>
  <c r="X149" i="6" s="1"/>
  <c r="P173" i="6" a="1"/>
  <c r="P173" i="6" s="1"/>
  <c r="X173" i="6" a="1"/>
  <c r="X173" i="6" s="1"/>
  <c r="P181" i="6" a="1"/>
  <c r="P181" i="6" s="1"/>
  <c r="X181" i="6" a="1"/>
  <c r="X181" i="6" s="1"/>
  <c r="P81" i="6" a="1"/>
  <c r="P81" i="6" s="1"/>
  <c r="X81" i="6" a="1"/>
  <c r="X81" i="6" s="1"/>
  <c r="P65" i="6" a="1"/>
  <c r="P65" i="6" s="1"/>
  <c r="X65" i="6" a="1"/>
  <c r="X65" i="6" s="1"/>
  <c r="P80" i="6" a="1"/>
  <c r="P80" i="6" s="1"/>
  <c r="X80" i="6" a="1"/>
  <c r="X80" i="6" s="1"/>
  <c r="P72" i="6" a="1"/>
  <c r="P72" i="6" s="1"/>
  <c r="X72" i="6" a="1"/>
  <c r="X72" i="6" s="1"/>
  <c r="P64" i="6" a="1"/>
  <c r="P64" i="6" s="1"/>
  <c r="X64" i="6" a="1"/>
  <c r="X64" i="6" s="1"/>
  <c r="P92" i="6" a="1"/>
  <c r="P92" i="6" s="1"/>
  <c r="X92" i="6" a="1"/>
  <c r="X92" i="6" s="1"/>
  <c r="P84" i="6" a="1"/>
  <c r="P84" i="6" s="1"/>
  <c r="X84" i="6" a="1"/>
  <c r="X84" i="6" s="1"/>
  <c r="P118" i="6" a="1"/>
  <c r="P118" i="6" s="1"/>
  <c r="X118" i="6" a="1"/>
  <c r="X118" i="6" s="1"/>
  <c r="P110" i="6" a="1"/>
  <c r="P110" i="6" s="1"/>
  <c r="X110" i="6" a="1"/>
  <c r="X110" i="6" s="1"/>
  <c r="P128" i="6" a="1"/>
  <c r="P128" i="6" s="1"/>
  <c r="X128" i="6" a="1"/>
  <c r="X128" i="6" s="1"/>
  <c r="P136" i="6" a="1"/>
  <c r="P136" i="6" s="1"/>
  <c r="X136" i="6" a="1"/>
  <c r="X136" i="6" s="1"/>
  <c r="P163" i="6" a="1"/>
  <c r="P163" i="6" s="1"/>
  <c r="X163" i="6" a="1"/>
  <c r="X163" i="6" s="1"/>
  <c r="P155" i="6" a="1"/>
  <c r="P155" i="6" s="1"/>
  <c r="X155" i="6" a="1"/>
  <c r="X155" i="6" s="1"/>
  <c r="P167" i="6" a="1"/>
  <c r="P167" i="6" s="1"/>
  <c r="X167" i="6" a="1"/>
  <c r="X167" i="6" s="1"/>
  <c r="P175" i="6" a="1"/>
  <c r="P175" i="6" s="1"/>
  <c r="X175" i="6" a="1"/>
  <c r="X175" i="6" s="1"/>
  <c r="P184" i="6" a="1"/>
  <c r="P184" i="6" s="1"/>
  <c r="X184" i="6" a="1"/>
  <c r="X184" i="6" s="1"/>
  <c r="P75" i="6" a="1"/>
  <c r="P75" i="6" s="1"/>
  <c r="X75" i="6" a="1"/>
  <c r="X75" i="6" s="1"/>
  <c r="P121" i="6" a="1"/>
  <c r="P121" i="6" s="1"/>
  <c r="X121" i="6" a="1"/>
  <c r="X121" i="6" s="1"/>
  <c r="P79" i="6" a="1"/>
  <c r="P79" i="6" s="1"/>
  <c r="X79" i="6" a="1"/>
  <c r="X79" i="6" s="1"/>
  <c r="P71" i="6" a="1"/>
  <c r="P71" i="6" s="1"/>
  <c r="X71" i="6" a="1"/>
  <c r="X71" i="6" s="1"/>
  <c r="P83" i="6" a="1"/>
  <c r="P83" i="6" s="1"/>
  <c r="X83" i="6" a="1"/>
  <c r="X83" i="6" s="1"/>
  <c r="P91" i="6" a="1"/>
  <c r="P91" i="6" s="1"/>
  <c r="X91" i="6" a="1"/>
  <c r="X91" i="6" s="1"/>
  <c r="P100" i="6" a="1"/>
  <c r="P100" i="6" s="1"/>
  <c r="X100" i="6" a="1"/>
  <c r="X100" i="6" s="1"/>
  <c r="P117" i="6" a="1"/>
  <c r="P117" i="6" s="1"/>
  <c r="X117" i="6" a="1"/>
  <c r="X117" i="6" s="1"/>
  <c r="P109" i="6" a="1"/>
  <c r="P109" i="6" s="1"/>
  <c r="X109" i="6" a="1"/>
  <c r="X109" i="6" s="1"/>
  <c r="P129" i="6" a="1"/>
  <c r="P129" i="6" s="1"/>
  <c r="X129" i="6" a="1"/>
  <c r="X129" i="6" s="1"/>
  <c r="P137" i="6" a="1"/>
  <c r="P137" i="6" s="1"/>
  <c r="X137" i="6" a="1"/>
  <c r="X137" i="6" s="1"/>
  <c r="P162" i="6" a="1"/>
  <c r="P162" i="6" s="1"/>
  <c r="X162" i="6" a="1"/>
  <c r="X162" i="6" s="1"/>
  <c r="P154" i="6" a="1"/>
  <c r="P154" i="6" s="1"/>
  <c r="X154" i="6" a="1"/>
  <c r="X154" i="6" s="1"/>
  <c r="P168" i="6" a="1"/>
  <c r="P168" i="6" s="1"/>
  <c r="X168" i="6" a="1"/>
  <c r="X168" i="6" s="1"/>
  <c r="P176" i="6" a="1"/>
  <c r="P176" i="6" s="1"/>
  <c r="X176" i="6" a="1"/>
  <c r="X176" i="6" s="1"/>
  <c r="P142" i="6" a="1"/>
  <c r="P142" i="6" s="1"/>
  <c r="X142" i="6" a="1"/>
  <c r="X142" i="6" s="1"/>
  <c r="P78" i="6" a="1"/>
  <c r="P78" i="6" s="1"/>
  <c r="X78" i="6" a="1"/>
  <c r="X78" i="6" s="1"/>
  <c r="P70" i="6" a="1"/>
  <c r="P70" i="6" s="1"/>
  <c r="X70" i="6" a="1"/>
  <c r="X70" i="6" s="1"/>
  <c r="P98" i="6" a="1"/>
  <c r="P98" i="6" s="1"/>
  <c r="X98" i="6" a="1"/>
  <c r="X98" i="6" s="1"/>
  <c r="P90" i="6" a="1"/>
  <c r="P90" i="6" s="1"/>
  <c r="X90" i="6" a="1"/>
  <c r="X90" i="6" s="1"/>
  <c r="P104" i="6" a="1"/>
  <c r="P104" i="6" s="1"/>
  <c r="X104" i="6" a="1"/>
  <c r="X104" i="6" s="1"/>
  <c r="P116" i="6" a="1"/>
  <c r="P116" i="6" s="1"/>
  <c r="X116" i="6" a="1"/>
  <c r="X116" i="6" s="1"/>
  <c r="P108" i="6" a="1"/>
  <c r="P108" i="6" s="1"/>
  <c r="X108" i="6" a="1"/>
  <c r="X108" i="6" s="1"/>
  <c r="P130" i="6" a="1"/>
  <c r="P130" i="6" s="1"/>
  <c r="X130" i="6" a="1"/>
  <c r="X130" i="6" s="1"/>
  <c r="P138" i="6" a="1"/>
  <c r="P138" i="6" s="1"/>
  <c r="X138" i="6" a="1"/>
  <c r="X138" i="6" s="1"/>
  <c r="P161" i="6" a="1"/>
  <c r="P161" i="6" s="1"/>
  <c r="X161" i="6" a="1"/>
  <c r="X161" i="6" s="1"/>
  <c r="P153" i="6" a="1"/>
  <c r="P153" i="6" s="1"/>
  <c r="X153" i="6" a="1"/>
  <c r="X153" i="6" s="1"/>
  <c r="P169" i="6" a="1"/>
  <c r="P169" i="6" s="1"/>
  <c r="X169" i="6" a="1"/>
  <c r="X169" i="6" s="1"/>
  <c r="P177" i="6" a="1"/>
  <c r="P177" i="6" s="1"/>
  <c r="X177" i="6" a="1"/>
  <c r="X177" i="6" s="1"/>
  <c r="P67" i="6" a="1"/>
  <c r="P67" i="6" s="1"/>
  <c r="X67" i="6" a="1"/>
  <c r="X67" i="6" s="1"/>
  <c r="P87" i="6" a="1"/>
  <c r="P87" i="6" s="1"/>
  <c r="X87" i="6" a="1"/>
  <c r="X87" i="6" s="1"/>
  <c r="P77" i="6" a="1"/>
  <c r="P77" i="6" s="1"/>
  <c r="X77" i="6" a="1"/>
  <c r="X77" i="6" s="1"/>
  <c r="P69" i="6" a="1"/>
  <c r="P69" i="6" s="1"/>
  <c r="X69" i="6" a="1"/>
  <c r="X69" i="6" s="1"/>
  <c r="P97" i="6" a="1"/>
  <c r="P97" i="6" s="1"/>
  <c r="X97" i="6" a="1"/>
  <c r="X97" i="6" s="1"/>
  <c r="P89" i="6" a="1"/>
  <c r="P89" i="6" s="1"/>
  <c r="X89" i="6" a="1"/>
  <c r="X89" i="6" s="1"/>
  <c r="P123" i="6" a="1"/>
  <c r="P123" i="6" s="1"/>
  <c r="X123" i="6" a="1"/>
  <c r="X123" i="6" s="1"/>
  <c r="P115" i="6" a="1"/>
  <c r="P115" i="6" s="1"/>
  <c r="X115" i="6" a="1"/>
  <c r="X115" i="6" s="1"/>
  <c r="P107" i="6" a="1"/>
  <c r="P107" i="6" s="1"/>
  <c r="X107" i="6" a="1"/>
  <c r="X107" i="6" s="1"/>
  <c r="P131" i="6" a="1"/>
  <c r="P131" i="6" s="1"/>
  <c r="X131" i="6" a="1"/>
  <c r="X131" i="6" s="1"/>
  <c r="P139" i="6" a="1"/>
  <c r="P139" i="6" s="1"/>
  <c r="X139" i="6" a="1"/>
  <c r="X139" i="6" s="1"/>
  <c r="P160" i="6" a="1"/>
  <c r="P160" i="6" s="1"/>
  <c r="X160" i="6" a="1"/>
  <c r="X160" i="6" s="1"/>
  <c r="P152" i="6" a="1"/>
  <c r="P152" i="6" s="1"/>
  <c r="X152" i="6" a="1"/>
  <c r="X152" i="6" s="1"/>
  <c r="P170" i="6" a="1"/>
  <c r="P170" i="6" s="1"/>
  <c r="X170" i="6" a="1"/>
  <c r="X170" i="6" s="1"/>
  <c r="P178" i="6" a="1"/>
  <c r="P178" i="6" s="1"/>
  <c r="X178" i="6" a="1"/>
  <c r="X178" i="6" s="1"/>
  <c r="P76" i="6" a="1"/>
  <c r="P76" i="6" s="1"/>
  <c r="X76" i="6" a="1"/>
  <c r="X76" i="6" s="1"/>
  <c r="P68" i="6" a="1"/>
  <c r="P68" i="6" s="1"/>
  <c r="X68" i="6" a="1"/>
  <c r="X68" i="6" s="1"/>
  <c r="P96" i="6" a="1"/>
  <c r="P96" i="6" s="1"/>
  <c r="X96" i="6" a="1"/>
  <c r="X96" i="6" s="1"/>
  <c r="P88" i="6" a="1"/>
  <c r="P88" i="6" s="1"/>
  <c r="X88" i="6" a="1"/>
  <c r="X88" i="6" s="1"/>
  <c r="P122" i="6" a="1"/>
  <c r="P122" i="6" s="1"/>
  <c r="X122" i="6" a="1"/>
  <c r="X122" i="6" s="1"/>
  <c r="P114" i="6" a="1"/>
  <c r="P114" i="6" s="1"/>
  <c r="X114" i="6" a="1"/>
  <c r="X114" i="6" s="1"/>
  <c r="P106" i="6" a="1"/>
  <c r="P106" i="6" s="1"/>
  <c r="X106" i="6" a="1"/>
  <c r="X106" i="6" s="1"/>
  <c r="P132" i="6" a="1"/>
  <c r="P132" i="6" s="1"/>
  <c r="X132" i="6" a="1"/>
  <c r="X132" i="6" s="1"/>
  <c r="P140" i="6" a="1"/>
  <c r="P140" i="6" s="1"/>
  <c r="X140" i="6" a="1"/>
  <c r="X140" i="6" s="1"/>
  <c r="P159" i="6" a="1"/>
  <c r="P159" i="6" s="1"/>
  <c r="X159" i="6" a="1"/>
  <c r="X159" i="6" s="1"/>
  <c r="P151" i="6" a="1"/>
  <c r="P151" i="6" s="1"/>
  <c r="X151" i="6" a="1"/>
  <c r="X151" i="6" s="1"/>
  <c r="P171" i="6" a="1"/>
  <c r="P171" i="6" s="1"/>
  <c r="X171" i="6" a="1"/>
  <c r="X171" i="6" s="1"/>
  <c r="P179" i="6" a="1"/>
  <c r="P179" i="6" s="1"/>
  <c r="X179" i="6" a="1"/>
  <c r="X179" i="6" s="1"/>
  <c r="O67" i="6"/>
  <c r="O125" i="6"/>
  <c r="M125" i="6" s="1"/>
  <c r="O146" i="6"/>
  <c r="O74" i="6"/>
  <c r="M74" i="6" s="1"/>
  <c r="O120" i="6"/>
  <c r="O165" i="6"/>
  <c r="O178" i="6"/>
  <c r="M178" i="6" s="1"/>
  <c r="O73" i="6"/>
  <c r="M73" i="6" s="1"/>
  <c r="O111" i="6"/>
  <c r="O138" i="6"/>
  <c r="M138" i="6" s="1"/>
  <c r="O92" i="6"/>
  <c r="M92" i="6" s="1"/>
  <c r="O76" i="6"/>
  <c r="M76" i="6" s="1"/>
  <c r="O68" i="6"/>
  <c r="O96" i="6"/>
  <c r="M96" i="6" s="1"/>
  <c r="O88" i="6"/>
  <c r="M88" i="6" s="1"/>
  <c r="O122" i="6"/>
  <c r="O114" i="6"/>
  <c r="O106" i="6"/>
  <c r="O159" i="6"/>
  <c r="O151" i="6"/>
  <c r="O169" i="6"/>
  <c r="M169" i="6" s="1"/>
  <c r="O173" i="6"/>
  <c r="M173" i="6" s="1"/>
  <c r="O177" i="6"/>
  <c r="M177" i="6" s="1"/>
  <c r="O181" i="6"/>
  <c r="M181" i="6" s="1"/>
  <c r="O95" i="6"/>
  <c r="M95" i="6" s="1"/>
  <c r="O113" i="6"/>
  <c r="O137" i="6"/>
  <c r="M137" i="6" s="1"/>
  <c r="O62" i="6"/>
  <c r="O86" i="6"/>
  <c r="M86" i="6" s="1"/>
  <c r="O157" i="6"/>
  <c r="O174" i="6"/>
  <c r="M174" i="6" s="1"/>
  <c r="O93" i="6"/>
  <c r="M93" i="6" s="1"/>
  <c r="O126" i="6"/>
  <c r="M126" i="6" s="1"/>
  <c r="O156" i="6"/>
  <c r="O72" i="6"/>
  <c r="M72" i="6" s="1"/>
  <c r="O110" i="6"/>
  <c r="O163" i="6"/>
  <c r="O171" i="6"/>
  <c r="M171" i="6" s="1"/>
  <c r="O175" i="6"/>
  <c r="M175" i="6" s="1"/>
  <c r="O71" i="6"/>
  <c r="O83" i="6"/>
  <c r="M83" i="6" s="1"/>
  <c r="O91" i="6"/>
  <c r="M91" i="6" s="1"/>
  <c r="O100" i="6"/>
  <c r="M100" i="6" s="1"/>
  <c r="O117" i="6"/>
  <c r="O109" i="6"/>
  <c r="O127" i="6"/>
  <c r="M127" i="6" s="1"/>
  <c r="O131" i="6"/>
  <c r="M131" i="6" s="1"/>
  <c r="O135" i="6"/>
  <c r="M135" i="6" s="1"/>
  <c r="O139" i="6"/>
  <c r="M139" i="6" s="1"/>
  <c r="O162" i="6"/>
  <c r="O154" i="6"/>
  <c r="O87" i="6"/>
  <c r="M87" i="6" s="1"/>
  <c r="O133" i="6"/>
  <c r="M133" i="6" s="1"/>
  <c r="O150" i="6"/>
  <c r="O66" i="6"/>
  <c r="O112" i="6"/>
  <c r="O149" i="6"/>
  <c r="O170" i="6"/>
  <c r="M170" i="6" s="1"/>
  <c r="O81" i="6"/>
  <c r="M81" i="6" s="1"/>
  <c r="O85" i="6"/>
  <c r="M85" i="6" s="1"/>
  <c r="O130" i="6"/>
  <c r="M130" i="6" s="1"/>
  <c r="O164" i="6"/>
  <c r="O80" i="6"/>
  <c r="M80" i="6" s="1"/>
  <c r="O84" i="6"/>
  <c r="M84" i="6" s="1"/>
  <c r="O155" i="6"/>
  <c r="O184" i="6"/>
  <c r="M184" i="6" s="1"/>
  <c r="O70" i="6"/>
  <c r="O98" i="6"/>
  <c r="M98" i="6" s="1"/>
  <c r="O90" i="6"/>
  <c r="M90" i="6" s="1"/>
  <c r="O104" i="6"/>
  <c r="O116" i="6"/>
  <c r="O108" i="6"/>
  <c r="O161" i="6"/>
  <c r="O153" i="6"/>
  <c r="O168" i="6"/>
  <c r="M168" i="6" s="1"/>
  <c r="O172" i="6"/>
  <c r="M172" i="6" s="1"/>
  <c r="O176" i="6"/>
  <c r="M176" i="6" s="1"/>
  <c r="O180" i="6"/>
  <c r="M180" i="6" s="1"/>
  <c r="O142" i="6"/>
  <c r="M142" i="6" s="1"/>
  <c r="O75" i="6"/>
  <c r="M75" i="6" s="1"/>
  <c r="O121" i="6"/>
  <c r="O129" i="6"/>
  <c r="M129" i="6" s="1"/>
  <c r="O158" i="6"/>
  <c r="O94" i="6"/>
  <c r="M94" i="6" s="1"/>
  <c r="O182" i="6"/>
  <c r="M182" i="6" s="1"/>
  <c r="O65" i="6"/>
  <c r="O119" i="6"/>
  <c r="O134" i="6"/>
  <c r="M134" i="6" s="1"/>
  <c r="O148" i="6"/>
  <c r="O64" i="6"/>
  <c r="O118" i="6"/>
  <c r="O167" i="6"/>
  <c r="M167" i="6" s="1"/>
  <c r="O179" i="6"/>
  <c r="M179" i="6" s="1"/>
  <c r="O79" i="6"/>
  <c r="M79" i="6" s="1"/>
  <c r="O78" i="6"/>
  <c r="M78" i="6" s="1"/>
  <c r="O77" i="6"/>
  <c r="M77" i="6" s="1"/>
  <c r="O69" i="6"/>
  <c r="O97" i="6"/>
  <c r="M97" i="6" s="1"/>
  <c r="O89" i="6"/>
  <c r="M89" i="6" s="1"/>
  <c r="O123" i="6"/>
  <c r="O115" i="6"/>
  <c r="O107" i="6"/>
  <c r="O128" i="6"/>
  <c r="M128" i="6" s="1"/>
  <c r="O132" i="6"/>
  <c r="M132" i="6" s="1"/>
  <c r="O136" i="6"/>
  <c r="M136" i="6" s="1"/>
  <c r="O140" i="6"/>
  <c r="M140" i="6" s="1"/>
  <c r="O160" i="6"/>
  <c r="O152" i="6"/>
  <c r="E66" i="6"/>
  <c r="I66" i="6" s="1"/>
  <c r="E113" i="6"/>
  <c r="I113" i="6" s="1"/>
  <c r="E133" i="6"/>
  <c r="I133" i="6" s="1"/>
  <c r="E62" i="6"/>
  <c r="I62" i="6" s="1"/>
  <c r="E75" i="6"/>
  <c r="I75" i="6" s="1"/>
  <c r="E67" i="6"/>
  <c r="I67" i="6" s="1"/>
  <c r="E95" i="6"/>
  <c r="I95" i="6" s="1"/>
  <c r="E122" i="6"/>
  <c r="I122" i="6" s="1"/>
  <c r="E114" i="6"/>
  <c r="I114" i="6" s="1"/>
  <c r="E106" i="6"/>
  <c r="I106" i="6" s="1"/>
  <c r="E73" i="6"/>
  <c r="I73" i="6" s="1"/>
  <c r="E93" i="6"/>
  <c r="I93" i="6" s="1"/>
  <c r="E120" i="6"/>
  <c r="I120" i="6" s="1"/>
  <c r="E110" i="6"/>
  <c r="I110" i="6" s="1"/>
  <c r="E65" i="6"/>
  <c r="I65" i="6" s="1"/>
  <c r="E112" i="6"/>
  <c r="I112" i="6" s="1"/>
  <c r="E80" i="6"/>
  <c r="I80" i="6" s="1"/>
  <c r="E81" i="6"/>
  <c r="I81" i="6" s="1"/>
  <c r="E79" i="6"/>
  <c r="I79" i="6" s="1"/>
  <c r="E78" i="6"/>
  <c r="I78" i="6" s="1"/>
  <c r="E104" i="6"/>
  <c r="I104" i="6" s="1"/>
  <c r="E109" i="6"/>
  <c r="I109" i="6" s="1"/>
  <c r="E131" i="6"/>
  <c r="I131" i="6" s="1"/>
  <c r="E139" i="6"/>
  <c r="I139" i="6" s="1"/>
  <c r="E77" i="6"/>
  <c r="I77" i="6" s="1"/>
  <c r="E116" i="6"/>
  <c r="I116" i="6" s="1"/>
  <c r="E108" i="6"/>
  <c r="I108" i="6" s="1"/>
  <c r="E142" i="6"/>
  <c r="I142" i="6" s="1"/>
  <c r="E74" i="6"/>
  <c r="I74" i="6" s="1"/>
  <c r="E121" i="6"/>
  <c r="I121" i="6" s="1"/>
  <c r="E125" i="6"/>
  <c r="I125" i="6" s="1"/>
  <c r="E129" i="6"/>
  <c r="I129" i="6" s="1"/>
  <c r="E137" i="6"/>
  <c r="I137" i="6" s="1"/>
  <c r="E72" i="6"/>
  <c r="I72" i="6" s="1"/>
  <c r="E64" i="6"/>
  <c r="I64" i="6" s="1"/>
  <c r="E119" i="6"/>
  <c r="I119" i="6" s="1"/>
  <c r="E111" i="6"/>
  <c r="I111" i="6" s="1"/>
  <c r="E126" i="6"/>
  <c r="I126" i="6" s="1"/>
  <c r="E130" i="6"/>
  <c r="I130" i="6" s="1"/>
  <c r="E134" i="6"/>
  <c r="I134" i="6" s="1"/>
  <c r="E138" i="6"/>
  <c r="I138" i="6" s="1"/>
  <c r="E71" i="6"/>
  <c r="I71" i="6" s="1"/>
  <c r="E100" i="6"/>
  <c r="I100" i="6" s="1"/>
  <c r="E118" i="6"/>
  <c r="I118" i="6" s="1"/>
  <c r="E70" i="6"/>
  <c r="I70" i="6" s="1"/>
  <c r="E90" i="6"/>
  <c r="I90" i="6" s="1"/>
  <c r="E117" i="6"/>
  <c r="I117" i="6" s="1"/>
  <c r="E127" i="6"/>
  <c r="I127" i="6" s="1"/>
  <c r="E135" i="6"/>
  <c r="I135" i="6" s="1"/>
  <c r="E69" i="6"/>
  <c r="I69" i="6" s="1"/>
  <c r="E76" i="6"/>
  <c r="I76" i="6" s="1"/>
  <c r="E68" i="6"/>
  <c r="I68" i="6" s="1"/>
  <c r="E96" i="6"/>
  <c r="I96" i="6" s="1"/>
  <c r="E123" i="6"/>
  <c r="I123" i="6" s="1"/>
  <c r="E115" i="6"/>
  <c r="I115" i="6" s="1"/>
  <c r="E107" i="6"/>
  <c r="I107" i="6" s="1"/>
  <c r="E128" i="6"/>
  <c r="I128" i="6" s="1"/>
  <c r="E132" i="6"/>
  <c r="I132" i="6" s="1"/>
  <c r="E136" i="6"/>
  <c r="I136" i="6" s="1"/>
  <c r="E140" i="6"/>
  <c r="I140" i="6" s="1"/>
  <c r="E165" i="6"/>
  <c r="E170" i="6"/>
  <c r="E174" i="6"/>
  <c r="E182" i="6"/>
  <c r="E156" i="6"/>
  <c r="E153" i="6"/>
  <c r="E168" i="6"/>
  <c r="E172" i="6"/>
  <c r="E180" i="6"/>
  <c r="E146" i="6"/>
  <c r="I146" i="6" s="1"/>
  <c r="E159" i="6"/>
  <c r="E169" i="6"/>
  <c r="E173" i="6"/>
  <c r="E177" i="6"/>
  <c r="E158" i="6"/>
  <c r="E150" i="6"/>
  <c r="E149" i="6"/>
  <c r="E178" i="6"/>
  <c r="E163" i="6"/>
  <c r="E155" i="6"/>
  <c r="E167" i="6"/>
  <c r="E171" i="6"/>
  <c r="E175" i="6"/>
  <c r="E179" i="6"/>
  <c r="E184" i="6"/>
  <c r="E162" i="6"/>
  <c r="E154" i="6"/>
  <c r="E157" i="6"/>
  <c r="E160" i="6"/>
  <c r="E152" i="6"/>
  <c r="E164" i="6"/>
  <c r="E148" i="6"/>
  <c r="E161" i="6"/>
  <c r="E176" i="6"/>
  <c r="E151" i="6"/>
  <c r="E181" i="6"/>
  <c r="E92" i="6"/>
  <c r="I92" i="6" s="1"/>
  <c r="E84" i="6"/>
  <c r="I84" i="6" s="1"/>
  <c r="E98" i="6"/>
  <c r="I98" i="6" s="1"/>
  <c r="E97" i="6"/>
  <c r="I97" i="6" s="1"/>
  <c r="E89" i="6"/>
  <c r="I89" i="6" s="1"/>
  <c r="E88" i="6"/>
  <c r="I88" i="6" s="1"/>
  <c r="E91" i="6"/>
  <c r="I91" i="6" s="1"/>
  <c r="E87" i="6"/>
  <c r="I87" i="6" s="1"/>
  <c r="E94" i="6"/>
  <c r="I94" i="6" s="1"/>
  <c r="E86" i="6"/>
  <c r="I86" i="6" s="1"/>
  <c r="E85" i="6"/>
  <c r="I85" i="6" s="1"/>
  <c r="E83" i="6"/>
  <c r="I83" i="6" s="1"/>
  <c r="G128" i="6" l="1"/>
  <c r="I158" i="6"/>
  <c r="I173" i="6"/>
  <c r="I181" i="6"/>
  <c r="I169" i="6"/>
  <c r="I155" i="6"/>
  <c r="I178" i="6"/>
  <c r="I160" i="6"/>
  <c r="I156" i="6"/>
  <c r="I157" i="6"/>
  <c r="I150" i="6"/>
  <c r="I182" i="6"/>
  <c r="I154" i="6"/>
  <c r="I162" i="6"/>
  <c r="I177" i="6"/>
  <c r="I170" i="6"/>
  <c r="I174" i="6"/>
  <c r="I179" i="6"/>
  <c r="I159" i="6"/>
  <c r="I176" i="6"/>
  <c r="I171" i="6"/>
  <c r="I151" i="6"/>
  <c r="I167" i="6"/>
  <c r="I148" i="6"/>
  <c r="I172" i="6"/>
  <c r="I164" i="6"/>
  <c r="I163" i="6"/>
  <c r="I184" i="6"/>
  <c r="I165" i="6"/>
  <c r="I175" i="6"/>
  <c r="I161" i="6"/>
  <c r="I180" i="6"/>
  <c r="I168" i="6"/>
  <c r="I152" i="6"/>
  <c r="I153" i="6"/>
  <c r="I149" i="6"/>
  <c r="G173" i="6"/>
  <c r="J173" i="6"/>
  <c r="J71" i="6"/>
  <c r="G106" i="6"/>
  <c r="J106" i="6"/>
  <c r="F86" i="6"/>
  <c r="J86" i="6"/>
  <c r="F84" i="6"/>
  <c r="J84" i="6"/>
  <c r="J164" i="6"/>
  <c r="H175" i="6"/>
  <c r="L175" i="6" s="1"/>
  <c r="K175" i="6" s="1"/>
  <c r="J175" i="6"/>
  <c r="J158" i="6"/>
  <c r="H168" i="6"/>
  <c r="L168" i="6" s="1"/>
  <c r="K168" i="6" s="1"/>
  <c r="J168" i="6"/>
  <c r="G136" i="6"/>
  <c r="J136" i="6"/>
  <c r="J68" i="6"/>
  <c r="G118" i="6"/>
  <c r="J118" i="6"/>
  <c r="G119" i="6"/>
  <c r="J119" i="6"/>
  <c r="H142" i="6"/>
  <c r="L142" i="6" s="1"/>
  <c r="K142" i="6" s="1"/>
  <c r="J142" i="6"/>
  <c r="F78" i="6"/>
  <c r="J78" i="6"/>
  <c r="H93" i="6"/>
  <c r="L93" i="6" s="1"/>
  <c r="K93" i="6" s="1"/>
  <c r="J93" i="6"/>
  <c r="J62" i="6"/>
  <c r="H177" i="6"/>
  <c r="L177" i="6" s="1"/>
  <c r="K177" i="6" s="1"/>
  <c r="J177" i="6"/>
  <c r="J64" i="6"/>
  <c r="G116" i="6"/>
  <c r="J116" i="6"/>
  <c r="G92" i="6"/>
  <c r="J92" i="6"/>
  <c r="F132" i="6"/>
  <c r="J132" i="6"/>
  <c r="H79" i="6"/>
  <c r="L79" i="6" s="1"/>
  <c r="K79" i="6" s="1"/>
  <c r="J79" i="6"/>
  <c r="H87" i="6"/>
  <c r="L87" i="6" s="1"/>
  <c r="K87" i="6" s="1"/>
  <c r="J87" i="6"/>
  <c r="F128" i="6"/>
  <c r="J128" i="6"/>
  <c r="H72" i="6"/>
  <c r="L72" i="6" s="1"/>
  <c r="K72" i="6" s="1"/>
  <c r="J72" i="6"/>
  <c r="J157" i="6"/>
  <c r="G107" i="6"/>
  <c r="J107" i="6"/>
  <c r="G114" i="6"/>
  <c r="J114" i="6"/>
  <c r="J151" i="6"/>
  <c r="J163" i="6"/>
  <c r="G174" i="6"/>
  <c r="J174" i="6"/>
  <c r="F134" i="6"/>
  <c r="J134" i="6"/>
  <c r="G122" i="6"/>
  <c r="J122" i="6"/>
  <c r="H94" i="6"/>
  <c r="L94" i="6" s="1"/>
  <c r="K94" i="6" s="1"/>
  <c r="J94" i="6"/>
  <c r="J153" i="6"/>
  <c r="G108" i="6"/>
  <c r="J108" i="6"/>
  <c r="J160" i="6"/>
  <c r="J155" i="6"/>
  <c r="H138" i="6"/>
  <c r="L138" i="6" s="1"/>
  <c r="K138" i="6" s="1"/>
  <c r="J138" i="6"/>
  <c r="J66" i="6"/>
  <c r="H88" i="6"/>
  <c r="L88" i="6" s="1"/>
  <c r="K88" i="6" s="1"/>
  <c r="J88" i="6"/>
  <c r="J154" i="6"/>
  <c r="J159" i="6"/>
  <c r="G115" i="6"/>
  <c r="J115" i="6"/>
  <c r="H127" i="6"/>
  <c r="L127" i="6" s="1"/>
  <c r="K127" i="6" s="1"/>
  <c r="J127" i="6"/>
  <c r="G129" i="6"/>
  <c r="J129" i="6"/>
  <c r="H139" i="6"/>
  <c r="L139" i="6" s="1"/>
  <c r="K139" i="6" s="1"/>
  <c r="J139" i="6"/>
  <c r="G112" i="6"/>
  <c r="J112" i="6"/>
  <c r="H89" i="6"/>
  <c r="L89" i="6" s="1"/>
  <c r="K89" i="6" s="1"/>
  <c r="J89" i="6"/>
  <c r="G176" i="6"/>
  <c r="J176" i="6"/>
  <c r="J162" i="6"/>
  <c r="F178" i="6"/>
  <c r="J178" i="6"/>
  <c r="J146" i="6"/>
  <c r="G170" i="6"/>
  <c r="J170" i="6"/>
  <c r="G123" i="6"/>
  <c r="J123" i="6"/>
  <c r="G117" i="6"/>
  <c r="J117" i="6"/>
  <c r="H130" i="6"/>
  <c r="L130" i="6" s="1"/>
  <c r="K130" i="6" s="1"/>
  <c r="J130" i="6"/>
  <c r="G125" i="6"/>
  <c r="J125" i="6"/>
  <c r="G131" i="6"/>
  <c r="J131" i="6"/>
  <c r="J65" i="6"/>
  <c r="H95" i="6"/>
  <c r="L95" i="6" s="1"/>
  <c r="K95" i="6" s="1"/>
  <c r="J95" i="6"/>
  <c r="J152" i="6"/>
  <c r="F76" i="6"/>
  <c r="J76" i="6"/>
  <c r="F73" i="6"/>
  <c r="J73" i="6"/>
  <c r="J156" i="6"/>
  <c r="G113" i="6"/>
  <c r="J113" i="6"/>
  <c r="F91" i="6"/>
  <c r="J91" i="6"/>
  <c r="H169" i="6"/>
  <c r="L169" i="6" s="1"/>
  <c r="K169" i="6" s="1"/>
  <c r="J169" i="6"/>
  <c r="G135" i="6"/>
  <c r="J135" i="6"/>
  <c r="H77" i="6"/>
  <c r="L77" i="6" s="1"/>
  <c r="K77" i="6" s="1"/>
  <c r="J77" i="6"/>
  <c r="H83" i="6"/>
  <c r="L83" i="6" s="1"/>
  <c r="K83" i="6" s="1"/>
  <c r="J83" i="6"/>
  <c r="J161" i="6"/>
  <c r="H180" i="6"/>
  <c r="L180" i="6" s="1"/>
  <c r="K180" i="6" s="1"/>
  <c r="J180" i="6"/>
  <c r="F90" i="6"/>
  <c r="J90" i="6"/>
  <c r="G110" i="6"/>
  <c r="J110" i="6"/>
  <c r="H171" i="6"/>
  <c r="L171" i="6" s="1"/>
  <c r="K171" i="6" s="1"/>
  <c r="J171" i="6"/>
  <c r="G100" i="6"/>
  <c r="J100" i="6"/>
  <c r="F133" i="6"/>
  <c r="J133" i="6"/>
  <c r="H167" i="6"/>
  <c r="L167" i="6" s="1"/>
  <c r="K167" i="6" s="1"/>
  <c r="J167" i="6"/>
  <c r="J69" i="6"/>
  <c r="H81" i="6"/>
  <c r="L81" i="6" s="1"/>
  <c r="K81" i="6" s="1"/>
  <c r="J81" i="6"/>
  <c r="F181" i="6"/>
  <c r="J181" i="6"/>
  <c r="G182" i="6"/>
  <c r="J182" i="6"/>
  <c r="H137" i="6"/>
  <c r="L137" i="6" s="1"/>
  <c r="K137" i="6" s="1"/>
  <c r="J137" i="6"/>
  <c r="F80" i="6"/>
  <c r="J80" i="6"/>
  <c r="H97" i="6"/>
  <c r="L97" i="6" s="1"/>
  <c r="K97" i="6" s="1"/>
  <c r="J97" i="6"/>
  <c r="G184" i="6"/>
  <c r="J184" i="6"/>
  <c r="J149" i="6"/>
  <c r="J165" i="6"/>
  <c r="G126" i="6"/>
  <c r="J126" i="6"/>
  <c r="G121" i="6"/>
  <c r="J121" i="6"/>
  <c r="G109" i="6"/>
  <c r="J109" i="6"/>
  <c r="J67" i="6"/>
  <c r="H85" i="6"/>
  <c r="L85" i="6" s="1"/>
  <c r="K85" i="6" s="1"/>
  <c r="J85" i="6"/>
  <c r="H98" i="6"/>
  <c r="L98" i="6" s="1"/>
  <c r="K98" i="6" s="1"/>
  <c r="J98" i="6"/>
  <c r="J148" i="6"/>
  <c r="F179" i="6"/>
  <c r="J179" i="6"/>
  <c r="J150" i="6"/>
  <c r="H172" i="6"/>
  <c r="L172" i="6" s="1"/>
  <c r="K172" i="6" s="1"/>
  <c r="J172" i="6"/>
  <c r="H140" i="6"/>
  <c r="L140" i="6" s="1"/>
  <c r="K140" i="6" s="1"/>
  <c r="J140" i="6"/>
  <c r="F96" i="6"/>
  <c r="J96" i="6"/>
  <c r="J70" i="6"/>
  <c r="G111" i="6"/>
  <c r="J111" i="6"/>
  <c r="H74" i="6"/>
  <c r="L74" i="6" s="1"/>
  <c r="K74" i="6" s="1"/>
  <c r="J74" i="6"/>
  <c r="G104" i="6"/>
  <c r="J104" i="6"/>
  <c r="G120" i="6"/>
  <c r="J120" i="6"/>
  <c r="G75" i="6"/>
  <c r="J75" i="6"/>
  <c r="F130" i="6"/>
  <c r="H80" i="6"/>
  <c r="L80" i="6" s="1"/>
  <c r="K80" i="6" s="1"/>
  <c r="G73" i="6"/>
  <c r="F131" i="6"/>
  <c r="H126" i="6"/>
  <c r="L126" i="6" s="1"/>
  <c r="K126" i="6" s="1"/>
  <c r="G139" i="6"/>
  <c r="H75" i="6"/>
  <c r="L75" i="6" s="1"/>
  <c r="K75" i="6" s="1"/>
  <c r="G93" i="6"/>
  <c r="F180" i="6"/>
  <c r="F93" i="6"/>
  <c r="F75" i="6"/>
  <c r="G95" i="6"/>
  <c r="F81" i="6"/>
  <c r="F139" i="6"/>
  <c r="G180" i="6"/>
  <c r="H78" i="6"/>
  <c r="L78" i="6" s="1"/>
  <c r="K78" i="6" s="1"/>
  <c r="F100" i="6"/>
  <c r="H90" i="6"/>
  <c r="L90" i="6" s="1"/>
  <c r="K90" i="6" s="1"/>
  <c r="H100" i="6"/>
  <c r="L100" i="6" s="1"/>
  <c r="K100" i="6" s="1"/>
  <c r="F129" i="6"/>
  <c r="G78" i="6"/>
  <c r="H129" i="6"/>
  <c r="L129" i="6" s="1"/>
  <c r="K129" i="6" s="1"/>
  <c r="F126" i="6"/>
  <c r="F136" i="6"/>
  <c r="G81" i="6"/>
  <c r="G90" i="6"/>
  <c r="G130" i="6"/>
  <c r="H135" i="6"/>
  <c r="L135" i="6" s="1"/>
  <c r="K135" i="6" s="1"/>
  <c r="H170" i="6"/>
  <c r="L170" i="6" s="1"/>
  <c r="K170" i="6" s="1"/>
  <c r="H73" i="6"/>
  <c r="L73" i="6" s="1"/>
  <c r="K73" i="6" s="1"/>
  <c r="F138" i="6"/>
  <c r="H184" i="6"/>
  <c r="L184" i="6" s="1"/>
  <c r="K184" i="6" s="1"/>
  <c r="H131" i="6"/>
  <c r="L131" i="6" s="1"/>
  <c r="K131" i="6" s="1"/>
  <c r="G74" i="6"/>
  <c r="G80" i="6"/>
  <c r="H128" i="6"/>
  <c r="L128" i="6" s="1"/>
  <c r="K128" i="6" s="1"/>
  <c r="F174" i="6"/>
  <c r="G137" i="6"/>
  <c r="F95" i="6"/>
  <c r="F74" i="6"/>
  <c r="F137" i="6"/>
  <c r="H125" i="6"/>
  <c r="L125" i="6" s="1"/>
  <c r="K125" i="6" s="1"/>
  <c r="G140" i="6"/>
  <c r="F125" i="6"/>
  <c r="F142" i="6"/>
  <c r="G133" i="6"/>
  <c r="H133" i="6"/>
  <c r="L133" i="6" s="1"/>
  <c r="K133" i="6" s="1"/>
  <c r="F135" i="6"/>
  <c r="G138" i="6"/>
  <c r="G142" i="6"/>
  <c r="H96" i="6"/>
  <c r="L96" i="6" s="1"/>
  <c r="K96" i="6" s="1"/>
  <c r="F140" i="6"/>
  <c r="G96" i="6"/>
  <c r="H173" i="6"/>
  <c r="L173" i="6" s="1"/>
  <c r="K173" i="6" s="1"/>
  <c r="H134" i="6"/>
  <c r="L134" i="6" s="1"/>
  <c r="K134" i="6" s="1"/>
  <c r="H136" i="6"/>
  <c r="L136" i="6" s="1"/>
  <c r="K136" i="6" s="1"/>
  <c r="G167" i="6"/>
  <c r="F167" i="6"/>
  <c r="F173" i="6"/>
  <c r="F127" i="6"/>
  <c r="G77" i="6"/>
  <c r="H174" i="6"/>
  <c r="L174" i="6" s="1"/>
  <c r="K174" i="6" s="1"/>
  <c r="G134" i="6"/>
  <c r="G127" i="6"/>
  <c r="F72" i="6"/>
  <c r="F170" i="6"/>
  <c r="G132" i="6"/>
  <c r="H76" i="6"/>
  <c r="L76" i="6" s="1"/>
  <c r="K76" i="6" s="1"/>
  <c r="F79" i="6"/>
  <c r="H181" i="6"/>
  <c r="L181" i="6" s="1"/>
  <c r="K181" i="6" s="1"/>
  <c r="H132" i="6"/>
  <c r="L132" i="6" s="1"/>
  <c r="K132" i="6" s="1"/>
  <c r="G79" i="6"/>
  <c r="G72" i="6"/>
  <c r="G76" i="6"/>
  <c r="H179" i="6"/>
  <c r="L179" i="6" s="1"/>
  <c r="K179" i="6" s="1"/>
  <c r="G181" i="6"/>
  <c r="F77" i="6"/>
  <c r="G179" i="6"/>
  <c r="F184" i="6"/>
  <c r="F168" i="6"/>
  <c r="F177" i="6"/>
  <c r="G177" i="6"/>
  <c r="H176" i="6"/>
  <c r="L176" i="6" s="1"/>
  <c r="K176" i="6" s="1"/>
  <c r="H178" i="6"/>
  <c r="L178" i="6" s="1"/>
  <c r="K178" i="6" s="1"/>
  <c r="G178" i="6"/>
  <c r="G175" i="6"/>
  <c r="G169" i="6"/>
  <c r="G168" i="6"/>
  <c r="H182" i="6"/>
  <c r="L182" i="6" s="1"/>
  <c r="K182" i="6" s="1"/>
  <c r="F171" i="6"/>
  <c r="G171" i="6"/>
  <c r="F176" i="6"/>
  <c r="F182" i="6"/>
  <c r="F169" i="6"/>
  <c r="F172" i="6"/>
  <c r="F175" i="6"/>
  <c r="G172" i="6"/>
  <c r="G91" i="6"/>
  <c r="H91" i="6"/>
  <c r="L91" i="6" s="1"/>
  <c r="K91" i="6" s="1"/>
  <c r="G97" i="6"/>
  <c r="F92" i="6"/>
  <c r="F87" i="6"/>
  <c r="G84" i="6"/>
  <c r="H92" i="6"/>
  <c r="L92" i="6" s="1"/>
  <c r="K92" i="6" s="1"/>
  <c r="H84" i="6"/>
  <c r="L84" i="6" s="1"/>
  <c r="K84" i="6" s="1"/>
  <c r="G87" i="6"/>
  <c r="F88" i="6"/>
  <c r="G89" i="6"/>
  <c r="H86" i="6"/>
  <c r="L86" i="6" s="1"/>
  <c r="K86" i="6" s="1"/>
  <c r="F89" i="6"/>
  <c r="G86" i="6"/>
  <c r="G88" i="6"/>
  <c r="F97" i="6"/>
  <c r="F98" i="6"/>
  <c r="F85" i="6"/>
  <c r="G98" i="6"/>
  <c r="G85" i="6"/>
  <c r="G83" i="6"/>
  <c r="F83" i="6"/>
  <c r="F94" i="6"/>
  <c r="G94" i="6"/>
  <c r="M106" i="6" l="1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04" i="6"/>
  <c r="H106" i="6"/>
  <c r="L106" i="6" s="1"/>
  <c r="H109" i="6"/>
  <c r="L109" i="6" s="1"/>
  <c r="H111" i="6"/>
  <c r="L111" i="6" s="1"/>
  <c r="F112" i="6"/>
  <c r="F113" i="6"/>
  <c r="H114" i="6"/>
  <c r="L114" i="6" s="1"/>
  <c r="H115" i="6"/>
  <c r="L115" i="6" s="1"/>
  <c r="H117" i="6"/>
  <c r="L117" i="6" s="1"/>
  <c r="H118" i="6"/>
  <c r="L118" i="6" s="1"/>
  <c r="H119" i="6"/>
  <c r="L119" i="6" s="1"/>
  <c r="H120" i="6"/>
  <c r="L120" i="6" s="1"/>
  <c r="H121" i="6"/>
  <c r="L121" i="6" s="1"/>
  <c r="H122" i="6"/>
  <c r="L122" i="6" s="1"/>
  <c r="H123" i="6"/>
  <c r="L123" i="6" s="1"/>
  <c r="H104" i="6"/>
  <c r="L104" i="6" s="1"/>
  <c r="F110" i="6"/>
  <c r="H116" i="6"/>
  <c r="L116" i="6" s="1"/>
  <c r="M111" i="5"/>
  <c r="E111" i="5" a="1"/>
  <c r="E111" i="5" s="1"/>
  <c r="D111" i="5"/>
  <c r="I111" i="5" s="1"/>
  <c r="C111" i="5"/>
  <c r="M110" i="5"/>
  <c r="E110" i="5" a="1"/>
  <c r="E110" i="5" s="1"/>
  <c r="D110" i="5"/>
  <c r="I110" i="5" s="1"/>
  <c r="C110" i="5"/>
  <c r="M109" i="5"/>
  <c r="E109" i="5" a="1"/>
  <c r="E109" i="5" s="1"/>
  <c r="D109" i="5"/>
  <c r="I109" i="5" s="1"/>
  <c r="C109" i="5"/>
  <c r="M108" i="5"/>
  <c r="E108" i="5" a="1"/>
  <c r="E108" i="5" s="1"/>
  <c r="D108" i="5"/>
  <c r="I108" i="5" s="1"/>
  <c r="C108" i="5"/>
  <c r="M107" i="5"/>
  <c r="E107" i="5" a="1"/>
  <c r="E107" i="5" s="1"/>
  <c r="D107" i="5"/>
  <c r="I107" i="5" s="1"/>
  <c r="C107" i="5"/>
  <c r="M106" i="5"/>
  <c r="I106" i="5"/>
  <c r="E106" i="5"/>
  <c r="E106" i="5" a="1"/>
  <c r="D106" i="5"/>
  <c r="C106" i="5"/>
  <c r="M105" i="5"/>
  <c r="E105" i="5"/>
  <c r="E105" i="5" a="1"/>
  <c r="D105" i="5"/>
  <c r="I105" i="5" s="1"/>
  <c r="C105" i="5"/>
  <c r="M104" i="5"/>
  <c r="E104" i="5" a="1"/>
  <c r="E104" i="5" s="1"/>
  <c r="D104" i="5"/>
  <c r="I104" i="5" s="1"/>
  <c r="C104" i="5"/>
  <c r="M103" i="5"/>
  <c r="E103" i="5" a="1"/>
  <c r="E103" i="5" s="1"/>
  <c r="D103" i="5"/>
  <c r="I103" i="5" s="1"/>
  <c r="C103" i="5"/>
  <c r="M102" i="5"/>
  <c r="E102" i="5" a="1"/>
  <c r="E102" i="5" s="1"/>
  <c r="D102" i="5"/>
  <c r="I102" i="5" s="1"/>
  <c r="C102" i="5"/>
  <c r="E117" i="5" a="1"/>
  <c r="E117" i="5" s="1"/>
  <c r="E118" i="5" a="1"/>
  <c r="E118" i="5" s="1"/>
  <c r="E119" i="5" a="1"/>
  <c r="E119" i="5" s="1"/>
  <c r="E120" i="5" a="1"/>
  <c r="E120" i="5" s="1"/>
  <c r="E121" i="5" a="1"/>
  <c r="E121" i="5"/>
  <c r="E122" i="5" a="1"/>
  <c r="E122" i="5" s="1"/>
  <c r="E123" i="5" a="1"/>
  <c r="E123" i="5" s="1"/>
  <c r="E124" i="5" a="1"/>
  <c r="E124" i="5" s="1"/>
  <c r="E125" i="5" a="1"/>
  <c r="E125" i="5"/>
  <c r="E126" i="5" a="1"/>
  <c r="E126" i="5" s="1"/>
  <c r="E127" i="5" a="1"/>
  <c r="E127" i="5" s="1"/>
  <c r="E128" i="5" a="1"/>
  <c r="E128" i="5" s="1"/>
  <c r="E129" i="5" a="1"/>
  <c r="E129" i="5" s="1"/>
  <c r="E130" i="5" a="1"/>
  <c r="E130" i="5" s="1"/>
  <c r="E131" i="5" a="1"/>
  <c r="E131" i="5"/>
  <c r="E132" i="5" a="1"/>
  <c r="E132" i="5" s="1"/>
  <c r="E133" i="5" a="1"/>
  <c r="E133" i="5" s="1"/>
  <c r="E134" i="5" a="1"/>
  <c r="E134" i="5"/>
  <c r="E135" i="5" a="1"/>
  <c r="E135" i="5" s="1"/>
  <c r="E136" i="5" a="1"/>
  <c r="E136" i="5" s="1"/>
  <c r="E137" i="5" a="1"/>
  <c r="E137" i="5"/>
  <c r="E138" i="5" a="1"/>
  <c r="E138" i="5" s="1"/>
  <c r="E139" i="5" a="1"/>
  <c r="E139" i="5" s="1"/>
  <c r="E140" i="5" a="1"/>
  <c r="E140" i="5" s="1"/>
  <c r="E141" i="5" a="1"/>
  <c r="E141" i="5" s="1"/>
  <c r="E142" i="5" a="1"/>
  <c r="E142" i="5" s="1"/>
  <c r="E143" i="5" a="1"/>
  <c r="E143" i="5"/>
  <c r="E144" i="5" a="1"/>
  <c r="E144" i="5" s="1"/>
  <c r="E145" i="5" a="1"/>
  <c r="E145" i="5" s="1"/>
  <c r="E146" i="5" a="1"/>
  <c r="E146" i="5" s="1"/>
  <c r="E147" i="5" a="1"/>
  <c r="E147" i="5" s="1"/>
  <c r="E116" i="5" a="1"/>
  <c r="E116" i="5" s="1"/>
  <c r="E81" i="5" a="1"/>
  <c r="E81" i="5" s="1"/>
  <c r="E82" i="5" a="1"/>
  <c r="E82" i="5" s="1"/>
  <c r="E83" i="5" a="1"/>
  <c r="E83" i="5" s="1"/>
  <c r="E84" i="5" a="1"/>
  <c r="E84" i="5" s="1"/>
  <c r="E85" i="5" a="1"/>
  <c r="E85" i="5"/>
  <c r="E86" i="5" a="1"/>
  <c r="E86" i="5" s="1"/>
  <c r="E87" i="5" a="1"/>
  <c r="E87" i="5" s="1"/>
  <c r="E88" i="5" a="1"/>
  <c r="E88" i="5" s="1"/>
  <c r="E89" i="5" a="1"/>
  <c r="E89" i="5" s="1"/>
  <c r="E90" i="5" a="1"/>
  <c r="E90" i="5"/>
  <c r="E91" i="5" a="1"/>
  <c r="E91" i="5" s="1"/>
  <c r="E92" i="5" a="1"/>
  <c r="E92" i="5" s="1"/>
  <c r="E93" i="5" a="1"/>
  <c r="E93" i="5"/>
  <c r="E94" i="5" a="1"/>
  <c r="E94" i="5" s="1"/>
  <c r="E95" i="5" a="1"/>
  <c r="E95" i="5" s="1"/>
  <c r="E96" i="5" a="1"/>
  <c r="E96" i="5" s="1"/>
  <c r="E97" i="5" a="1"/>
  <c r="E97" i="5" s="1"/>
  <c r="E98" i="5" a="1"/>
  <c r="E98" i="5" s="1"/>
  <c r="E99" i="5" a="1"/>
  <c r="E99" i="5" s="1"/>
  <c r="E100" i="5" a="1"/>
  <c r="E100" i="5" s="1"/>
  <c r="E80" i="5" a="1"/>
  <c r="E80" i="5" s="1"/>
  <c r="E51" i="5" a="1"/>
  <c r="E51" i="5" s="1"/>
  <c r="E52" i="5" a="1"/>
  <c r="E52" i="5" s="1"/>
  <c r="E53" i="5" a="1"/>
  <c r="E53" i="5" s="1"/>
  <c r="E54" i="5" a="1"/>
  <c r="E54" i="5" s="1"/>
  <c r="E55" i="5" a="1"/>
  <c r="E55" i="5"/>
  <c r="E56" i="5" a="1"/>
  <c r="E56" i="5" s="1"/>
  <c r="E57" i="5" a="1"/>
  <c r="E57" i="5"/>
  <c r="E58" i="5" a="1"/>
  <c r="E58" i="5" s="1"/>
  <c r="E59" i="5" a="1"/>
  <c r="E59" i="5" s="1"/>
  <c r="E60" i="5" a="1"/>
  <c r="E60" i="5" s="1"/>
  <c r="E61" i="5" a="1"/>
  <c r="E61" i="5" s="1"/>
  <c r="E62" i="5" a="1"/>
  <c r="E62" i="5" s="1"/>
  <c r="E63" i="5" a="1"/>
  <c r="E63" i="5" s="1"/>
  <c r="E64" i="5" a="1"/>
  <c r="E64" i="5" s="1"/>
  <c r="E65" i="5" a="1"/>
  <c r="E65" i="5" s="1"/>
  <c r="E66" i="5" a="1"/>
  <c r="E66" i="5" s="1"/>
  <c r="E67" i="5" a="1"/>
  <c r="E67" i="5" s="1"/>
  <c r="E68" i="5" a="1"/>
  <c r="E68" i="5" s="1"/>
  <c r="E69" i="5" a="1"/>
  <c r="E69" i="5" s="1"/>
  <c r="E70" i="5" a="1"/>
  <c r="E70" i="5" s="1"/>
  <c r="E71" i="5" a="1"/>
  <c r="E71" i="5" s="1"/>
  <c r="E72" i="5" a="1"/>
  <c r="E72" i="5" s="1"/>
  <c r="E73" i="5" a="1"/>
  <c r="E73" i="5"/>
  <c r="E74" i="5" a="1"/>
  <c r="E74" i="5" s="1"/>
  <c r="E75" i="5" a="1"/>
  <c r="E75" i="5" s="1"/>
  <c r="E50" i="5" a="1"/>
  <c r="E50" i="5" s="1"/>
  <c r="E20" i="5" a="1"/>
  <c r="E20" i="5" s="1"/>
  <c r="E21" i="5" a="1"/>
  <c r="E21" i="5" s="1"/>
  <c r="E22" i="5" a="1"/>
  <c r="E22" i="5" s="1"/>
  <c r="E23" i="5" a="1"/>
  <c r="E23" i="5" s="1"/>
  <c r="E24" i="5" a="1"/>
  <c r="E24" i="5"/>
  <c r="E25" i="5" a="1"/>
  <c r="E25" i="5" s="1"/>
  <c r="E26" i="5" a="1"/>
  <c r="E26" i="5" s="1"/>
  <c r="E27" i="5" a="1"/>
  <c r="E27" i="5" s="1"/>
  <c r="E28" i="5" a="1"/>
  <c r="E28" i="5" s="1"/>
  <c r="E29" i="5" a="1"/>
  <c r="E29" i="5" s="1"/>
  <c r="E30" i="5" a="1"/>
  <c r="E30" i="5" s="1"/>
  <c r="E31" i="5" a="1"/>
  <c r="E31" i="5" s="1"/>
  <c r="E32" i="5" a="1"/>
  <c r="E32" i="5"/>
  <c r="E33" i="5" a="1"/>
  <c r="E33" i="5" s="1"/>
  <c r="E34" i="5" a="1"/>
  <c r="E34" i="5" s="1"/>
  <c r="E35" i="5" a="1"/>
  <c r="E35" i="5" s="1"/>
  <c r="E36" i="5" a="1"/>
  <c r="E36" i="5" s="1"/>
  <c r="E37" i="5" a="1"/>
  <c r="E37" i="5" s="1"/>
  <c r="E38" i="5" a="1"/>
  <c r="E38" i="5" s="1"/>
  <c r="E39" i="5" a="1"/>
  <c r="E39" i="5" s="1"/>
  <c r="E40" i="5" a="1"/>
  <c r="E40" i="5" s="1"/>
  <c r="E41" i="5" a="1"/>
  <c r="E41" i="5" s="1"/>
  <c r="E42" i="5" a="1"/>
  <c r="E42" i="5" s="1"/>
  <c r="E43" i="5" a="1"/>
  <c r="E43" i="5" s="1"/>
  <c r="E44" i="5" a="1"/>
  <c r="E44" i="5" s="1"/>
  <c r="E45" i="5" a="1"/>
  <c r="E45" i="5" s="1"/>
  <c r="E16" i="5" a="1"/>
  <c r="E16" i="5" s="1"/>
  <c r="E17" i="5" a="1"/>
  <c r="E17" i="5" s="1"/>
  <c r="E18" i="5" a="1"/>
  <c r="E18" i="5" s="1"/>
  <c r="E19" i="5" a="1"/>
  <c r="E19" i="5" s="1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16" i="5"/>
  <c r="D81" i="5"/>
  <c r="D82" i="5"/>
  <c r="D83" i="5"/>
  <c r="D84" i="5"/>
  <c r="I84" i="5" s="1"/>
  <c r="D85" i="5"/>
  <c r="D86" i="5"/>
  <c r="D87" i="5"/>
  <c r="I87" i="5" s="1"/>
  <c r="D88" i="5"/>
  <c r="D89" i="5"/>
  <c r="D90" i="5"/>
  <c r="D91" i="5"/>
  <c r="D92" i="5"/>
  <c r="I92" i="5" s="1"/>
  <c r="D93" i="5"/>
  <c r="D94" i="5"/>
  <c r="I94" i="5" s="1"/>
  <c r="D95" i="5"/>
  <c r="I95" i="5" s="1"/>
  <c r="D96" i="5"/>
  <c r="I96" i="5" s="1"/>
  <c r="D97" i="5"/>
  <c r="I97" i="5" s="1"/>
  <c r="D98" i="5"/>
  <c r="I98" i="5" s="1"/>
  <c r="D99" i="5"/>
  <c r="I99" i="5" s="1"/>
  <c r="D100" i="5"/>
  <c r="I100" i="5" s="1"/>
  <c r="D80" i="5"/>
  <c r="D51" i="5"/>
  <c r="D52" i="5"/>
  <c r="D53" i="5"/>
  <c r="D54" i="5"/>
  <c r="D55" i="5"/>
  <c r="D56" i="5"/>
  <c r="I56" i="5" s="1"/>
  <c r="D57" i="5"/>
  <c r="I57" i="5" s="1"/>
  <c r="D58" i="5"/>
  <c r="D59" i="5"/>
  <c r="D60" i="5"/>
  <c r="D61" i="5"/>
  <c r="D62" i="5"/>
  <c r="D63" i="5"/>
  <c r="D64" i="5"/>
  <c r="I64" i="5" s="1"/>
  <c r="D65" i="5"/>
  <c r="I65" i="5" s="1"/>
  <c r="D66" i="5"/>
  <c r="I66" i="5" s="1"/>
  <c r="D67" i="5"/>
  <c r="D68" i="5"/>
  <c r="D69" i="5"/>
  <c r="D70" i="5"/>
  <c r="I70" i="5" s="1"/>
  <c r="D71" i="5"/>
  <c r="D72" i="5"/>
  <c r="I72" i="5" s="1"/>
  <c r="D73" i="5"/>
  <c r="I73" i="5" s="1"/>
  <c r="D74" i="5"/>
  <c r="I74" i="5" s="1"/>
  <c r="D75" i="5"/>
  <c r="D50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16" i="5"/>
  <c r="M100" i="5"/>
  <c r="C100" i="5"/>
  <c r="M99" i="5"/>
  <c r="C99" i="5"/>
  <c r="M98" i="5"/>
  <c r="C98" i="5"/>
  <c r="M97" i="5"/>
  <c r="C97" i="5"/>
  <c r="M96" i="5"/>
  <c r="C96" i="5"/>
  <c r="M95" i="5"/>
  <c r="C95" i="5"/>
  <c r="M94" i="5"/>
  <c r="C94" i="5"/>
  <c r="M93" i="5"/>
  <c r="I93" i="5"/>
  <c r="C93" i="5"/>
  <c r="M92" i="5"/>
  <c r="C92" i="5"/>
  <c r="M91" i="5"/>
  <c r="I91" i="5"/>
  <c r="C91" i="5"/>
  <c r="M89" i="5"/>
  <c r="I89" i="5"/>
  <c r="C89" i="5"/>
  <c r="M84" i="5"/>
  <c r="C84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16" i="5"/>
  <c r="C81" i="5"/>
  <c r="C82" i="5"/>
  <c r="C83" i="5"/>
  <c r="C85" i="5"/>
  <c r="C86" i="5"/>
  <c r="C87" i="5"/>
  <c r="C88" i="5"/>
  <c r="C8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50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16" i="5"/>
  <c r="M88" i="5"/>
  <c r="I88" i="5"/>
  <c r="M87" i="5"/>
  <c r="M86" i="5"/>
  <c r="I86" i="5"/>
  <c r="M85" i="5"/>
  <c r="I85" i="5"/>
  <c r="M83" i="5"/>
  <c r="I83" i="5"/>
  <c r="M82" i="5"/>
  <c r="I82" i="5"/>
  <c r="M81" i="5"/>
  <c r="I81" i="5"/>
  <c r="M80" i="5"/>
  <c r="I80" i="5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46" i="6"/>
  <c r="M29" i="6"/>
  <c r="M28" i="6"/>
  <c r="M27" i="6"/>
  <c r="M26" i="6"/>
  <c r="M25" i="6"/>
  <c r="M24" i="6"/>
  <c r="M23" i="6"/>
  <c r="M22" i="6"/>
  <c r="M20" i="6"/>
  <c r="M64" i="6"/>
  <c r="M65" i="6"/>
  <c r="M66" i="6"/>
  <c r="M67" i="6"/>
  <c r="M68" i="6"/>
  <c r="M69" i="6"/>
  <c r="M70" i="6"/>
  <c r="M71" i="6"/>
  <c r="M62" i="6"/>
  <c r="M75" i="5"/>
  <c r="I75" i="5"/>
  <c r="M74" i="5"/>
  <c r="M73" i="5"/>
  <c r="M72" i="5"/>
  <c r="M71" i="5"/>
  <c r="I71" i="5"/>
  <c r="M70" i="5"/>
  <c r="M69" i="5"/>
  <c r="I69" i="5"/>
  <c r="M68" i="5"/>
  <c r="I68" i="5"/>
  <c r="M66" i="5"/>
  <c r="M65" i="5"/>
  <c r="M64" i="5"/>
  <c r="M63" i="5"/>
  <c r="I63" i="5"/>
  <c r="M62" i="5"/>
  <c r="I62" i="5"/>
  <c r="M61" i="5"/>
  <c r="I61" i="5"/>
  <c r="M60" i="5"/>
  <c r="I60" i="5"/>
  <c r="M59" i="5"/>
  <c r="I59" i="5"/>
  <c r="M57" i="5"/>
  <c r="M56" i="5"/>
  <c r="M55" i="5"/>
  <c r="I55" i="5"/>
  <c r="M54" i="5"/>
  <c r="I54" i="5"/>
  <c r="M53" i="5"/>
  <c r="I53" i="5"/>
  <c r="M52" i="5"/>
  <c r="I52" i="5"/>
  <c r="M51" i="5"/>
  <c r="I51" i="5"/>
  <c r="M50" i="5"/>
  <c r="I50" i="5"/>
  <c r="H156" i="6"/>
  <c r="L156" i="6" s="1"/>
  <c r="G157" i="6"/>
  <c r="H158" i="6"/>
  <c r="L158" i="6" s="1"/>
  <c r="H159" i="6"/>
  <c r="L159" i="6" s="1"/>
  <c r="H160" i="6"/>
  <c r="L160" i="6" s="1"/>
  <c r="H161" i="6"/>
  <c r="L161" i="6" s="1"/>
  <c r="G162" i="6"/>
  <c r="H163" i="6"/>
  <c r="L163" i="6" s="1"/>
  <c r="H164" i="6"/>
  <c r="L164" i="6" s="1"/>
  <c r="H165" i="6"/>
  <c r="L165" i="6" s="1"/>
  <c r="H108" i="6"/>
  <c r="L108" i="6" s="1"/>
  <c r="H107" i="6"/>
  <c r="L107" i="6" s="1"/>
  <c r="F71" i="6"/>
  <c r="G70" i="6"/>
  <c r="H69" i="6"/>
  <c r="L69" i="6" s="1"/>
  <c r="F68" i="6"/>
  <c r="H67" i="6"/>
  <c r="L67" i="6" s="1"/>
  <c r="H66" i="6"/>
  <c r="L66" i="6" s="1"/>
  <c r="H65" i="6"/>
  <c r="L65" i="6" s="1"/>
  <c r="H64" i="6"/>
  <c r="L64" i="6" s="1"/>
  <c r="G62" i="6"/>
  <c r="H62" i="6"/>
  <c r="L62" i="6" s="1"/>
  <c r="F62" i="6"/>
  <c r="K118" i="6" l="1"/>
  <c r="H157" i="6"/>
  <c r="L157" i="6" s="1"/>
  <c r="K157" i="6" s="1"/>
  <c r="K120" i="6"/>
  <c r="F70" i="6"/>
  <c r="K163" i="6"/>
  <c r="K109" i="6"/>
  <c r="K117" i="6"/>
  <c r="K107" i="6"/>
  <c r="K123" i="6"/>
  <c r="K108" i="6"/>
  <c r="K119" i="6"/>
  <c r="K111" i="6"/>
  <c r="K116" i="6"/>
  <c r="K115" i="6"/>
  <c r="H71" i="6"/>
  <c r="L71" i="6" s="1"/>
  <c r="K71" i="6" s="1"/>
  <c r="K122" i="6"/>
  <c r="K114" i="6"/>
  <c r="K106" i="6"/>
  <c r="K121" i="6"/>
  <c r="F123" i="6"/>
  <c r="F114" i="6"/>
  <c r="F115" i="6"/>
  <c r="F116" i="6"/>
  <c r="F117" i="6"/>
  <c r="F118" i="6"/>
  <c r="F119" i="6"/>
  <c r="F120" i="6"/>
  <c r="F121" i="6"/>
  <c r="F122" i="6"/>
  <c r="H70" i="6"/>
  <c r="L70" i="6" s="1"/>
  <c r="K70" i="6" s="1"/>
  <c r="F111" i="6"/>
  <c r="G68" i="6"/>
  <c r="G69" i="6"/>
  <c r="F106" i="6"/>
  <c r="G71" i="6"/>
  <c r="K156" i="6"/>
  <c r="G64" i="6"/>
  <c r="G65" i="6"/>
  <c r="G66" i="6"/>
  <c r="K165" i="6"/>
  <c r="G67" i="6"/>
  <c r="K104" i="6"/>
  <c r="K64" i="6"/>
  <c r="K65" i="6"/>
  <c r="K69" i="6"/>
  <c r="K62" i="6"/>
  <c r="K161" i="6"/>
  <c r="K160" i="6"/>
  <c r="K158" i="6"/>
  <c r="K159" i="6"/>
  <c r="K164" i="6"/>
  <c r="K67" i="6"/>
  <c r="K66" i="6"/>
  <c r="F165" i="6"/>
  <c r="G165" i="6"/>
  <c r="G163" i="6"/>
  <c r="F164" i="6"/>
  <c r="G161" i="6"/>
  <c r="F161" i="6"/>
  <c r="F156" i="6"/>
  <c r="G156" i="6"/>
  <c r="F157" i="6"/>
  <c r="H162" i="6"/>
  <c r="L162" i="6" s="1"/>
  <c r="K162" i="6" s="1"/>
  <c r="G164" i="6"/>
  <c r="G160" i="6"/>
  <c r="F163" i="6"/>
  <c r="G158" i="6"/>
  <c r="F159" i="6"/>
  <c r="F158" i="6"/>
  <c r="F104" i="6"/>
  <c r="G159" i="6"/>
  <c r="F160" i="6"/>
  <c r="F69" i="6"/>
  <c r="F64" i="6"/>
  <c r="F162" i="6"/>
  <c r="H112" i="6"/>
  <c r="L112" i="6" s="1"/>
  <c r="K112" i="6" s="1"/>
  <c r="H113" i="6"/>
  <c r="L113" i="6" s="1"/>
  <c r="K113" i="6" s="1"/>
  <c r="H110" i="6"/>
  <c r="L110" i="6" s="1"/>
  <c r="K110" i="6" s="1"/>
  <c r="H68" i="6"/>
  <c r="F67" i="6"/>
  <c r="F65" i="6"/>
  <c r="F66" i="6"/>
  <c r="F109" i="6"/>
  <c r="F107" i="6"/>
  <c r="F108" i="6"/>
  <c r="L68" i="6" l="1"/>
  <c r="K68" i="6" s="1"/>
  <c r="K192" i="4" l="1"/>
  <c r="J192" i="4" a="1"/>
  <c r="J192" i="4" s="1"/>
  <c r="D10" i="7" l="1"/>
  <c r="D9" i="7"/>
  <c r="D8" i="7"/>
  <c r="D7" i="7"/>
  <c r="D6" i="7"/>
  <c r="D5" i="7"/>
  <c r="D4" i="7"/>
  <c r="D3" i="7"/>
  <c r="M147" i="5"/>
  <c r="I147" i="5"/>
  <c r="M146" i="5"/>
  <c r="I146" i="5"/>
  <c r="M145" i="5"/>
  <c r="I145" i="5"/>
  <c r="M144" i="5"/>
  <c r="I144" i="5"/>
  <c r="M143" i="5"/>
  <c r="I143" i="5"/>
  <c r="M142" i="5"/>
  <c r="I142" i="5"/>
  <c r="M141" i="5"/>
  <c r="I141" i="5"/>
  <c r="M140" i="5"/>
  <c r="I140" i="5"/>
  <c r="M139" i="5"/>
  <c r="I139" i="5"/>
  <c r="M138" i="5"/>
  <c r="I138" i="5"/>
  <c r="M136" i="5"/>
  <c r="I136" i="5"/>
  <c r="M135" i="5"/>
  <c r="I135" i="5"/>
  <c r="M134" i="5"/>
  <c r="I134" i="5"/>
  <c r="M133" i="5"/>
  <c r="I133" i="5"/>
  <c r="M132" i="5"/>
  <c r="I132" i="5"/>
  <c r="M131" i="5"/>
  <c r="I131" i="5"/>
  <c r="M130" i="5"/>
  <c r="I130" i="5"/>
  <c r="M129" i="5"/>
  <c r="I129" i="5"/>
  <c r="M128" i="5"/>
  <c r="I128" i="5"/>
  <c r="M127" i="5"/>
  <c r="I127" i="5"/>
  <c r="M125" i="5"/>
  <c r="I125" i="5"/>
  <c r="M124" i="5"/>
  <c r="I124" i="5"/>
  <c r="M123" i="5"/>
  <c r="I123" i="5"/>
  <c r="M122" i="5"/>
  <c r="I122" i="5"/>
  <c r="M121" i="5"/>
  <c r="I121" i="5"/>
  <c r="M120" i="5"/>
  <c r="I120" i="5"/>
  <c r="M119" i="5"/>
  <c r="I119" i="5"/>
  <c r="M118" i="5"/>
  <c r="I118" i="5"/>
  <c r="M117" i="5"/>
  <c r="I117" i="5"/>
  <c r="M116" i="5"/>
  <c r="I116" i="5"/>
  <c r="M45" i="5"/>
  <c r="I45" i="5"/>
  <c r="M44" i="5"/>
  <c r="I44" i="5"/>
  <c r="M43" i="5"/>
  <c r="I43" i="5"/>
  <c r="M42" i="5"/>
  <c r="I42" i="5"/>
  <c r="M41" i="5"/>
  <c r="I41" i="5"/>
  <c r="M40" i="5"/>
  <c r="I40" i="5"/>
  <c r="M39" i="5"/>
  <c r="I39" i="5"/>
  <c r="M38" i="5"/>
  <c r="I38" i="5"/>
  <c r="M37" i="5"/>
  <c r="I37" i="5"/>
  <c r="M36" i="5"/>
  <c r="I36" i="5"/>
  <c r="M35" i="5"/>
  <c r="I35" i="5"/>
  <c r="M34" i="5"/>
  <c r="I34" i="5"/>
  <c r="M33" i="5"/>
  <c r="I33" i="5"/>
  <c r="M32" i="5"/>
  <c r="I32" i="5"/>
  <c r="M31" i="5"/>
  <c r="I31" i="5"/>
  <c r="M30" i="5"/>
  <c r="I30" i="5"/>
  <c r="M29" i="5"/>
  <c r="I29" i="5"/>
  <c r="M28" i="5"/>
  <c r="I28" i="5"/>
  <c r="M27" i="5"/>
  <c r="I27" i="5"/>
  <c r="M26" i="5"/>
  <c r="I26" i="5"/>
  <c r="M25" i="5"/>
  <c r="I25" i="5"/>
  <c r="M24" i="5"/>
  <c r="I24" i="5"/>
  <c r="M23" i="5"/>
  <c r="I23" i="5"/>
  <c r="M22" i="5"/>
  <c r="I22" i="5"/>
  <c r="M21" i="5"/>
  <c r="I21" i="5"/>
  <c r="M20" i="5"/>
  <c r="I20" i="5"/>
  <c r="M19" i="5"/>
  <c r="I19" i="5"/>
  <c r="M18" i="5"/>
  <c r="I18" i="5"/>
  <c r="M17" i="5"/>
  <c r="I17" i="5"/>
  <c r="M16" i="5"/>
  <c r="I16" i="5"/>
  <c r="I9" i="5"/>
  <c r="I8" i="5"/>
  <c r="I7" i="5"/>
  <c r="I6" i="5"/>
  <c r="I5" i="5"/>
  <c r="I4" i="5"/>
  <c r="K642" i="4"/>
  <c r="J642" i="4" a="1"/>
  <c r="J642" i="4"/>
  <c r="K641" i="4"/>
  <c r="J641" i="4" s="1" a="1"/>
  <c r="J641" i="4" s="1"/>
  <c r="K640" i="4"/>
  <c r="J640" i="4" s="1" a="1"/>
  <c r="J640" i="4" s="1"/>
  <c r="K639" i="4"/>
  <c r="J639" i="4" a="1"/>
  <c r="J639" i="4" s="1"/>
  <c r="K638" i="4"/>
  <c r="J638" i="4" a="1"/>
  <c r="J638" i="4" s="1"/>
  <c r="K637" i="4"/>
  <c r="J637" i="4" s="1" a="1"/>
  <c r="J637" i="4" s="1"/>
  <c r="K636" i="4"/>
  <c r="J636" i="4" s="1" a="1"/>
  <c r="J636" i="4"/>
  <c r="K635" i="4"/>
  <c r="J635" i="4" a="1"/>
  <c r="J635" i="4" s="1"/>
  <c r="K634" i="4"/>
  <c r="J634" i="4" a="1"/>
  <c r="J634" i="4" s="1"/>
  <c r="K633" i="4"/>
  <c r="J633" i="4" s="1" a="1"/>
  <c r="J633" i="4" s="1"/>
  <c r="K632" i="4"/>
  <c r="J632" i="4" a="1"/>
  <c r="J632" i="4" s="1"/>
  <c r="K631" i="4"/>
  <c r="J631" i="4" a="1"/>
  <c r="J631" i="4" s="1"/>
  <c r="K630" i="4"/>
  <c r="J630" i="4" s="1" a="1"/>
  <c r="J630" i="4" s="1"/>
  <c r="K629" i="4"/>
  <c r="J629" i="4" s="1" a="1"/>
  <c r="J629" i="4" s="1"/>
  <c r="K628" i="4"/>
  <c r="J628" i="4" a="1"/>
  <c r="J628" i="4"/>
  <c r="K627" i="4"/>
  <c r="J627" i="4" s="1" a="1"/>
  <c r="J627" i="4" s="1"/>
  <c r="K626" i="4"/>
  <c r="J626" i="4" s="1" a="1"/>
  <c r="J626" i="4" s="1"/>
  <c r="K625" i="4"/>
  <c r="J625" i="4" s="1" a="1"/>
  <c r="J625" i="4" s="1"/>
  <c r="K624" i="4"/>
  <c r="J624" i="4" s="1" a="1"/>
  <c r="J624" i="4" s="1"/>
  <c r="K623" i="4"/>
  <c r="J623" i="4" s="1" a="1"/>
  <c r="J623" i="4" s="1"/>
  <c r="K622" i="4"/>
  <c r="J622" i="4" a="1"/>
  <c r="J622" i="4" s="1"/>
  <c r="K621" i="4"/>
  <c r="J621" i="4" s="1" a="1"/>
  <c r="J621" i="4" s="1"/>
  <c r="K620" i="4"/>
  <c r="J620" i="4" a="1"/>
  <c r="J620" i="4" s="1"/>
  <c r="K618" i="4"/>
  <c r="J618" i="4" a="1"/>
  <c r="J618" i="4"/>
  <c r="K617" i="4"/>
  <c r="J617" i="4" a="1"/>
  <c r="J617" i="4"/>
  <c r="K616" i="4"/>
  <c r="J616" i="4" a="1"/>
  <c r="J616" i="4" s="1"/>
  <c r="K615" i="4"/>
  <c r="J615" i="4" s="1" a="1"/>
  <c r="J615" i="4" s="1"/>
  <c r="K614" i="4"/>
  <c r="J614" i="4" a="1"/>
  <c r="J614" i="4"/>
  <c r="K613" i="4"/>
  <c r="J613" i="4" s="1" a="1"/>
  <c r="J613" i="4" s="1"/>
  <c r="K612" i="4"/>
  <c r="J612" i="4" s="1" a="1"/>
  <c r="J612" i="4" s="1"/>
  <c r="K611" i="4"/>
  <c r="J611" i="4" s="1" a="1"/>
  <c r="J611" i="4" s="1"/>
  <c r="K610" i="4"/>
  <c r="J610" i="4" s="1" a="1"/>
  <c r="J610" i="4" s="1"/>
  <c r="K609" i="4"/>
  <c r="J609" i="4" a="1"/>
  <c r="J609" i="4" s="1"/>
  <c r="K608" i="4"/>
  <c r="J608" i="4" a="1"/>
  <c r="J608" i="4" s="1"/>
  <c r="K607" i="4"/>
  <c r="J607" i="4" a="1"/>
  <c r="J607" i="4" s="1"/>
  <c r="K606" i="4"/>
  <c r="J606" i="4" a="1"/>
  <c r="J606" i="4" s="1"/>
  <c r="K605" i="4"/>
  <c r="J605" i="4" a="1"/>
  <c r="J605" i="4" s="1"/>
  <c r="K604" i="4"/>
  <c r="J604" i="4" a="1"/>
  <c r="J604" i="4" s="1"/>
  <c r="K602" i="4"/>
  <c r="J602" i="4" s="1" a="1"/>
  <c r="J602" i="4" s="1"/>
  <c r="K601" i="4"/>
  <c r="J601" i="4" s="1" a="1"/>
  <c r="J601" i="4"/>
  <c r="K600" i="4"/>
  <c r="J600" i="4" a="1"/>
  <c r="J600" i="4"/>
  <c r="K599" i="4"/>
  <c r="J599" i="4" s="1" a="1"/>
  <c r="J599" i="4" s="1"/>
  <c r="K598" i="4"/>
  <c r="J598" i="4" a="1"/>
  <c r="J598" i="4" s="1"/>
  <c r="K597" i="4"/>
  <c r="J597" i="4" s="1" a="1"/>
  <c r="J597" i="4" s="1"/>
  <c r="K596" i="4"/>
  <c r="J596" i="4" s="1" a="1"/>
  <c r="J596" i="4" s="1"/>
  <c r="K595" i="4"/>
  <c r="J595" i="4" a="1"/>
  <c r="J595" i="4" s="1"/>
  <c r="K594" i="4"/>
  <c r="J594" i="4" a="1"/>
  <c r="J594" i="4"/>
  <c r="K593" i="4"/>
  <c r="J593" i="4" a="1"/>
  <c r="J593" i="4" s="1"/>
  <c r="K592" i="4"/>
  <c r="J592" i="4" a="1"/>
  <c r="J592" i="4" s="1"/>
  <c r="K591" i="4"/>
  <c r="J591" i="4" a="1"/>
  <c r="J591" i="4" s="1"/>
  <c r="K590" i="4"/>
  <c r="J590" i="4" s="1" a="1"/>
  <c r="J590" i="4" s="1"/>
  <c r="K589" i="4"/>
  <c r="J589" i="4" s="1" a="1"/>
  <c r="J589" i="4" s="1"/>
  <c r="K588" i="4"/>
  <c r="J588" i="4" s="1" a="1"/>
  <c r="J588" i="4" s="1"/>
  <c r="K587" i="4"/>
  <c r="J587" i="4" a="1"/>
  <c r="J587" i="4" s="1"/>
  <c r="K586" i="4"/>
  <c r="J586" i="4" a="1"/>
  <c r="J586" i="4" s="1"/>
  <c r="K585" i="4"/>
  <c r="J585" i="4" a="1"/>
  <c r="J585" i="4" s="1"/>
  <c r="K584" i="4"/>
  <c r="J584" i="4" s="1" a="1"/>
  <c r="J584" i="4" s="1"/>
  <c r="K583" i="4"/>
  <c r="J583" i="4" s="1" a="1"/>
  <c r="J583" i="4" s="1"/>
  <c r="K582" i="4"/>
  <c r="J582" i="4" a="1"/>
  <c r="J582" i="4"/>
  <c r="K581" i="4"/>
  <c r="J581" i="4" a="1"/>
  <c r="J581" i="4"/>
  <c r="K579" i="4"/>
  <c r="J579" i="4" a="1"/>
  <c r="J579" i="4" s="1"/>
  <c r="K578" i="4"/>
  <c r="J578" i="4" a="1"/>
  <c r="J578" i="4" s="1"/>
  <c r="K577" i="4"/>
  <c r="J577" i="4" a="1"/>
  <c r="J577" i="4"/>
  <c r="K576" i="4"/>
  <c r="J576" i="4" s="1" a="1"/>
  <c r="J576" i="4" s="1"/>
  <c r="K575" i="4"/>
  <c r="J575" i="4" s="1" a="1"/>
  <c r="J575" i="4" s="1"/>
  <c r="K574" i="4"/>
  <c r="J574" i="4" s="1" a="1"/>
  <c r="J574" i="4" s="1"/>
  <c r="K573" i="4"/>
  <c r="J573" i="4" s="1" a="1"/>
  <c r="J573" i="4" s="1"/>
  <c r="K572" i="4"/>
  <c r="J572" i="4" a="1"/>
  <c r="J572" i="4" s="1"/>
  <c r="K571" i="4"/>
  <c r="J571" i="4" a="1"/>
  <c r="J571" i="4" s="1"/>
  <c r="K570" i="4"/>
  <c r="J570" i="4" s="1" a="1"/>
  <c r="J570" i="4" s="1"/>
  <c r="K569" i="4"/>
  <c r="J569" i="4" a="1"/>
  <c r="J569" i="4" s="1"/>
  <c r="K568" i="4"/>
  <c r="J568" i="4" a="1"/>
  <c r="J568" i="4"/>
  <c r="K567" i="4"/>
  <c r="J567" i="4" a="1"/>
  <c r="J567" i="4"/>
  <c r="K566" i="4"/>
  <c r="J566" i="4" a="1"/>
  <c r="J566" i="4" s="1"/>
  <c r="K565" i="4"/>
  <c r="J565" i="4" s="1" a="1"/>
  <c r="J565" i="4" s="1"/>
  <c r="K564" i="4"/>
  <c r="J564" i="4" a="1"/>
  <c r="J564" i="4"/>
  <c r="K563" i="4"/>
  <c r="J563" i="4" s="1" a="1"/>
  <c r="J563" i="4" s="1"/>
  <c r="K562" i="4"/>
  <c r="J562" i="4" s="1" a="1"/>
  <c r="J562" i="4" s="1"/>
  <c r="K561" i="4"/>
  <c r="J561" i="4" s="1" a="1"/>
  <c r="J561" i="4" s="1"/>
  <c r="K560" i="4"/>
  <c r="J560" i="4" s="1" a="1"/>
  <c r="J560" i="4" s="1"/>
  <c r="K559" i="4"/>
  <c r="J559" i="4" a="1"/>
  <c r="J559" i="4" s="1"/>
  <c r="K558" i="4"/>
  <c r="J558" i="4" a="1"/>
  <c r="J558" i="4" s="1"/>
  <c r="K557" i="4"/>
  <c r="J557" i="4" a="1"/>
  <c r="J557" i="4" s="1"/>
  <c r="K556" i="4"/>
  <c r="J556" i="4" a="1"/>
  <c r="J556" i="4" s="1"/>
  <c r="K555" i="4"/>
  <c r="J555" i="4" a="1"/>
  <c r="J555" i="4" s="1"/>
  <c r="K554" i="4"/>
  <c r="J554" i="4" a="1"/>
  <c r="J554" i="4" s="1"/>
  <c r="K552" i="4"/>
  <c r="J552" i="4" s="1" a="1"/>
  <c r="J552" i="4" s="1"/>
  <c r="K551" i="4"/>
  <c r="J551" i="4" s="1" a="1"/>
  <c r="J551" i="4"/>
  <c r="K550" i="4"/>
  <c r="J550" i="4" a="1"/>
  <c r="J550" i="4"/>
  <c r="K549" i="4"/>
  <c r="J549" i="4" s="1" a="1"/>
  <c r="J549" i="4" s="1"/>
  <c r="K548" i="4"/>
  <c r="J548" i="4" a="1"/>
  <c r="J548" i="4" s="1"/>
  <c r="K547" i="4"/>
  <c r="J547" i="4" s="1" a="1"/>
  <c r="J547" i="4" s="1"/>
  <c r="K546" i="4"/>
  <c r="J546" i="4" s="1" a="1"/>
  <c r="J546" i="4" s="1"/>
  <c r="K545" i="4"/>
  <c r="J545" i="4" a="1"/>
  <c r="J545" i="4" s="1"/>
  <c r="K544" i="4"/>
  <c r="J544" i="4" a="1"/>
  <c r="J544" i="4" s="1"/>
  <c r="K543" i="4"/>
  <c r="J543" i="4" a="1"/>
  <c r="J543" i="4" s="1"/>
  <c r="K542" i="4"/>
  <c r="J542" i="4" a="1"/>
  <c r="J542" i="4" s="1"/>
  <c r="K541" i="4"/>
  <c r="J541" i="4" a="1"/>
  <c r="J541" i="4" s="1"/>
  <c r="K540" i="4"/>
  <c r="J540" i="4" s="1" a="1"/>
  <c r="J540" i="4"/>
  <c r="K539" i="4"/>
  <c r="J539" i="4" s="1" a="1"/>
  <c r="J539" i="4" s="1"/>
  <c r="K538" i="4"/>
  <c r="J538" i="4" s="1" a="1"/>
  <c r="J538" i="4"/>
  <c r="K537" i="4"/>
  <c r="J537" i="4" a="1"/>
  <c r="J537" i="4" s="1"/>
  <c r="K536" i="4"/>
  <c r="J536" i="4" s="1" a="1"/>
  <c r="J536" i="4" s="1"/>
  <c r="K535" i="4"/>
  <c r="J535" i="4" a="1"/>
  <c r="J535" i="4" s="1"/>
  <c r="K534" i="4"/>
  <c r="J534" i="4" s="1" a="1"/>
  <c r="J534" i="4" s="1"/>
  <c r="K533" i="4"/>
  <c r="J533" i="4" s="1" a="1"/>
  <c r="J533" i="4" s="1"/>
  <c r="K532" i="4"/>
  <c r="J532" i="4" a="1"/>
  <c r="J532" i="4"/>
  <c r="K531" i="4"/>
  <c r="J531" i="4" a="1"/>
  <c r="J531" i="4" s="1"/>
  <c r="K530" i="4"/>
  <c r="J530" i="4" a="1"/>
  <c r="J530" i="4" s="1"/>
  <c r="K529" i="4"/>
  <c r="J529" i="4" a="1"/>
  <c r="J529" i="4" s="1"/>
  <c r="K528" i="4"/>
  <c r="J528" i="4" a="1"/>
  <c r="J528" i="4"/>
  <c r="K527" i="4"/>
  <c r="J527" i="4" s="1" a="1"/>
  <c r="J527" i="4"/>
  <c r="K526" i="4"/>
  <c r="J526" i="4" s="1" a="1"/>
  <c r="J526" i="4" s="1"/>
  <c r="K525" i="4"/>
  <c r="J525" i="4" s="1" a="1"/>
  <c r="J525" i="4" s="1"/>
  <c r="K523" i="4"/>
  <c r="J523" i="4" s="1" a="1"/>
  <c r="J523" i="4" s="1"/>
  <c r="K522" i="4"/>
  <c r="J522" i="4" a="1"/>
  <c r="J522" i="4" s="1"/>
  <c r="K521" i="4"/>
  <c r="J521" i="4" s="1" a="1"/>
  <c r="J521" i="4" s="1"/>
  <c r="K520" i="4"/>
  <c r="J520" i="4" s="1" a="1"/>
  <c r="J520" i="4" s="1"/>
  <c r="K519" i="4"/>
  <c r="J519" i="4" a="1"/>
  <c r="J519" i="4" s="1"/>
  <c r="K518" i="4"/>
  <c r="J518" i="4" a="1"/>
  <c r="J518" i="4" s="1"/>
  <c r="K517" i="4"/>
  <c r="J517" i="4" a="1"/>
  <c r="J517" i="4" s="1"/>
  <c r="K516" i="4"/>
  <c r="J516" i="4" a="1"/>
  <c r="J516" i="4" s="1"/>
  <c r="K515" i="4"/>
  <c r="J515" i="4" s="1" a="1"/>
  <c r="J515" i="4"/>
  <c r="K514" i="4"/>
  <c r="J514" i="4" a="1"/>
  <c r="J514" i="4"/>
  <c r="K513" i="4"/>
  <c r="J513" i="4" s="1" a="1"/>
  <c r="J513" i="4" s="1"/>
  <c r="K512" i="4"/>
  <c r="J512" i="4" s="1" a="1"/>
  <c r="J512" i="4" s="1"/>
  <c r="K511" i="4"/>
  <c r="J511" i="4" s="1" a="1"/>
  <c r="J511" i="4" s="1"/>
  <c r="K510" i="4"/>
  <c r="J510" i="4" s="1" a="1"/>
  <c r="J510" i="4"/>
  <c r="K509" i="4"/>
  <c r="J509" i="4" s="1" a="1"/>
  <c r="J509" i="4" s="1"/>
  <c r="K508" i="4"/>
  <c r="J508" i="4" a="1"/>
  <c r="J508" i="4" s="1"/>
  <c r="K507" i="4"/>
  <c r="J507" i="4" a="1"/>
  <c r="J507" i="4" s="1"/>
  <c r="K506" i="4"/>
  <c r="J506" i="4" a="1"/>
  <c r="J506" i="4" s="1"/>
  <c r="K505" i="4"/>
  <c r="J505" i="4" a="1"/>
  <c r="J505" i="4" s="1"/>
  <c r="K504" i="4"/>
  <c r="J504" i="4" a="1"/>
  <c r="J504" i="4" s="1"/>
  <c r="K503" i="4"/>
  <c r="J503" i="4" s="1" a="1"/>
  <c r="J503" i="4" s="1"/>
  <c r="K502" i="4"/>
  <c r="J502" i="4" s="1" a="1"/>
  <c r="J502" i="4"/>
  <c r="K501" i="4"/>
  <c r="J501" i="4" a="1"/>
  <c r="J501" i="4"/>
  <c r="K500" i="4"/>
  <c r="J500" i="4" s="1" a="1"/>
  <c r="J500" i="4" s="1"/>
  <c r="K499" i="4"/>
  <c r="J499" i="4" a="1"/>
  <c r="J499" i="4" s="1"/>
  <c r="K498" i="4"/>
  <c r="J498" i="4" s="1" a="1"/>
  <c r="J498" i="4" s="1"/>
  <c r="K497" i="4"/>
  <c r="J497" i="4" s="1" a="1"/>
  <c r="J497" i="4"/>
  <c r="K496" i="4"/>
  <c r="J496" i="4" a="1"/>
  <c r="J496" i="4" s="1"/>
  <c r="K495" i="4"/>
  <c r="J495" i="4" a="1"/>
  <c r="J495" i="4"/>
  <c r="K494" i="4"/>
  <c r="J494" i="4" a="1"/>
  <c r="J494" i="4" s="1"/>
  <c r="K493" i="4"/>
  <c r="J493" i="4" a="1"/>
  <c r="J493" i="4" s="1"/>
  <c r="K492" i="4"/>
  <c r="J492" i="4" a="1"/>
  <c r="J492" i="4" s="1"/>
  <c r="K490" i="4"/>
  <c r="J490" i="4" s="1" a="1"/>
  <c r="J490" i="4" s="1"/>
  <c r="K489" i="4"/>
  <c r="J489" i="4" s="1" a="1"/>
  <c r="J489" i="4" s="1"/>
  <c r="K488" i="4"/>
  <c r="J488" i="4" s="1" a="1"/>
  <c r="J488" i="4"/>
  <c r="K487" i="4"/>
  <c r="J487" i="4" a="1"/>
  <c r="J487" i="4" s="1"/>
  <c r="K486" i="4"/>
  <c r="J486" i="4" s="1" a="1"/>
  <c r="J486" i="4" s="1"/>
  <c r="K485" i="4"/>
  <c r="J485" i="4" s="1" a="1"/>
  <c r="J485" i="4" s="1"/>
  <c r="K484" i="4"/>
  <c r="J484" i="4" s="1" a="1"/>
  <c r="J484" i="4" s="1"/>
  <c r="K483" i="4"/>
  <c r="J483" i="4" s="1" a="1"/>
  <c r="J483" i="4" s="1"/>
  <c r="K482" i="4"/>
  <c r="J482" i="4" a="1"/>
  <c r="J482" i="4"/>
  <c r="K481" i="4"/>
  <c r="J481" i="4" a="1"/>
  <c r="J481" i="4"/>
  <c r="K480" i="4"/>
  <c r="J480" i="4" a="1"/>
  <c r="J480" i="4" s="1"/>
  <c r="K479" i="4"/>
  <c r="J479" i="4" a="1"/>
  <c r="J479" i="4" s="1"/>
  <c r="K478" i="4"/>
  <c r="J478" i="4" a="1"/>
  <c r="J478" i="4" s="1"/>
  <c r="K477" i="4"/>
  <c r="J477" i="4" s="1" a="1"/>
  <c r="J477" i="4"/>
  <c r="K476" i="4"/>
  <c r="J476" i="4" s="1" a="1"/>
  <c r="J476" i="4" s="1"/>
  <c r="K475" i="4"/>
  <c r="J475" i="4" s="1" a="1"/>
  <c r="J475" i="4" s="1"/>
  <c r="K474" i="4"/>
  <c r="J474" i="4" s="1" a="1"/>
  <c r="J474" i="4" s="1"/>
  <c r="K473" i="4"/>
  <c r="J473" i="4" a="1"/>
  <c r="J473" i="4" s="1"/>
  <c r="K472" i="4"/>
  <c r="J472" i="4" a="1"/>
  <c r="J472" i="4" s="1"/>
  <c r="K470" i="4"/>
  <c r="J470" i="4" s="1" a="1"/>
  <c r="J470" i="4" s="1"/>
  <c r="K469" i="4"/>
  <c r="J469" i="4" a="1"/>
  <c r="J469" i="4" s="1"/>
  <c r="K468" i="4"/>
  <c r="J468" i="4" a="1"/>
  <c r="J468" i="4"/>
  <c r="K467" i="4"/>
  <c r="J467" i="4" a="1"/>
  <c r="J467" i="4" s="1"/>
  <c r="K466" i="4"/>
  <c r="J466" i="4" a="1"/>
  <c r="J466" i="4" s="1"/>
  <c r="K465" i="4"/>
  <c r="J465" i="4" s="1" a="1"/>
  <c r="J465" i="4"/>
  <c r="K464" i="4"/>
  <c r="J464" i="4" a="1"/>
  <c r="J464" i="4"/>
  <c r="K463" i="4"/>
  <c r="J463" i="4" s="1" a="1"/>
  <c r="J463" i="4"/>
  <c r="K462" i="4"/>
  <c r="J462" i="4" s="1" a="1"/>
  <c r="J462" i="4" s="1"/>
  <c r="K461" i="4"/>
  <c r="J461" i="4" s="1" a="1"/>
  <c r="J461" i="4" s="1"/>
  <c r="K460" i="4"/>
  <c r="J460" i="4" s="1" a="1"/>
  <c r="J460" i="4"/>
  <c r="K459" i="4"/>
  <c r="J459" i="4" a="1"/>
  <c r="J459" i="4" s="1"/>
  <c r="K458" i="4"/>
  <c r="J458" i="4" s="1" a="1"/>
  <c r="J458" i="4" s="1"/>
  <c r="K457" i="4"/>
  <c r="J457" i="4" a="1"/>
  <c r="J457" i="4" s="1"/>
  <c r="K456" i="4"/>
  <c r="J456" i="4" a="1"/>
  <c r="J456" i="4" s="1"/>
  <c r="K455" i="4"/>
  <c r="J455" i="4" s="1" a="1"/>
  <c r="J455" i="4" s="1"/>
  <c r="K454" i="4"/>
  <c r="J454" i="4" a="1"/>
  <c r="J454" i="4" s="1"/>
  <c r="K453" i="4"/>
  <c r="J453" i="4" s="1" a="1"/>
  <c r="J453" i="4" s="1"/>
  <c r="K452" i="4"/>
  <c r="J452" i="4" s="1" a="1"/>
  <c r="J452" i="4" s="1"/>
  <c r="K451" i="4"/>
  <c r="J451" i="4" a="1"/>
  <c r="J451" i="4"/>
  <c r="K450" i="4"/>
  <c r="J450" i="4" s="1" a="1"/>
  <c r="J450" i="4" s="1"/>
  <c r="K449" i="4"/>
  <c r="J449" i="4" s="1" a="1"/>
  <c r="J449" i="4" s="1"/>
  <c r="K447" i="4"/>
  <c r="J447" i="4" s="1" a="1"/>
  <c r="J447" i="4" s="1"/>
  <c r="K446" i="4"/>
  <c r="J446" i="4" s="1" a="1"/>
  <c r="J446" i="4"/>
  <c r="K445" i="4"/>
  <c r="J445" i="4" s="1" a="1"/>
  <c r="J445" i="4" s="1"/>
  <c r="K444" i="4"/>
  <c r="J444" i="4" a="1"/>
  <c r="J444" i="4"/>
  <c r="K443" i="4"/>
  <c r="J443" i="4" s="1" a="1"/>
  <c r="J443" i="4" s="1"/>
  <c r="K442" i="4"/>
  <c r="J442" i="4" a="1"/>
  <c r="J442" i="4" s="1"/>
  <c r="K441" i="4"/>
  <c r="J441" i="4" a="1"/>
  <c r="J441" i="4" s="1"/>
  <c r="K440" i="4"/>
  <c r="J440" i="4" s="1" a="1"/>
  <c r="J440" i="4"/>
  <c r="K439" i="4"/>
  <c r="J439" i="4" s="1" a="1"/>
  <c r="J439" i="4" s="1"/>
  <c r="K438" i="4"/>
  <c r="J438" i="4" s="1" a="1"/>
  <c r="J438" i="4"/>
  <c r="K437" i="4"/>
  <c r="J437" i="4" a="1"/>
  <c r="J437" i="4" s="1"/>
  <c r="K436" i="4"/>
  <c r="J436" i="4" s="1" a="1"/>
  <c r="J436" i="4" s="1"/>
  <c r="K435" i="4"/>
  <c r="J435" i="4" s="1" a="1"/>
  <c r="J435" i="4" s="1"/>
  <c r="K434" i="4"/>
  <c r="J434" i="4" s="1" a="1"/>
  <c r="J434" i="4" s="1"/>
  <c r="K433" i="4"/>
  <c r="J433" i="4" s="1" a="1"/>
  <c r="J433" i="4" s="1"/>
  <c r="K432" i="4"/>
  <c r="J432" i="4" a="1"/>
  <c r="J432" i="4"/>
  <c r="K431" i="4"/>
  <c r="J431" i="4" a="1"/>
  <c r="J431" i="4" s="1"/>
  <c r="K430" i="4"/>
  <c r="J430" i="4" a="1"/>
  <c r="J430" i="4" s="1"/>
  <c r="K429" i="4"/>
  <c r="J429" i="4" a="1"/>
  <c r="J429" i="4" s="1"/>
  <c r="K428" i="4"/>
  <c r="J428" i="4" a="1"/>
  <c r="J428" i="4"/>
  <c r="K427" i="4"/>
  <c r="J427" i="4" s="1" a="1"/>
  <c r="J427" i="4"/>
  <c r="K426" i="4"/>
  <c r="J426" i="4" a="1"/>
  <c r="J426" i="4" s="1"/>
  <c r="K425" i="4"/>
  <c r="J425" i="4" s="1" a="1"/>
  <c r="J425" i="4" s="1"/>
  <c r="K424" i="4"/>
  <c r="J424" i="4" s="1" a="1"/>
  <c r="J424" i="4" s="1"/>
  <c r="K423" i="4"/>
  <c r="J423" i="4" a="1"/>
  <c r="J423" i="4" s="1"/>
  <c r="K422" i="4"/>
  <c r="J422" i="4" a="1"/>
  <c r="J422" i="4"/>
  <c r="K421" i="4"/>
  <c r="J421" i="4" s="1" a="1"/>
  <c r="J421" i="4" s="1"/>
  <c r="K419" i="4"/>
  <c r="J419" i="4" a="1"/>
  <c r="J419" i="4" s="1"/>
  <c r="K418" i="4"/>
  <c r="J418" i="4" s="1" a="1"/>
  <c r="J418" i="4" s="1"/>
  <c r="K417" i="4"/>
  <c r="J417" i="4" a="1"/>
  <c r="J417" i="4"/>
  <c r="K416" i="4"/>
  <c r="J416" i="4" a="1"/>
  <c r="J416" i="4" s="1"/>
  <c r="K415" i="4"/>
  <c r="J415" i="4" a="1"/>
  <c r="J415" i="4"/>
  <c r="K414" i="4"/>
  <c r="J414" i="4" a="1"/>
  <c r="J414" i="4" s="1"/>
  <c r="K413" i="4"/>
  <c r="J413" i="4" s="1" a="1"/>
  <c r="J413" i="4" s="1"/>
  <c r="K412" i="4"/>
  <c r="J412" i="4" a="1"/>
  <c r="J412" i="4" s="1"/>
  <c r="K411" i="4"/>
  <c r="J411" i="4" s="1" a="1"/>
  <c r="J411" i="4" s="1"/>
  <c r="K410" i="4"/>
  <c r="J410" i="4" s="1" a="1"/>
  <c r="J410" i="4"/>
  <c r="K409" i="4"/>
  <c r="J409" i="4" a="1"/>
  <c r="J409" i="4" s="1"/>
  <c r="K408" i="4"/>
  <c r="J408" i="4" s="1" a="1"/>
  <c r="J408" i="4" s="1"/>
  <c r="K407" i="4"/>
  <c r="J407" i="4" a="1"/>
  <c r="J407" i="4" s="1"/>
  <c r="K406" i="4"/>
  <c r="J406" i="4" a="1"/>
  <c r="J406" i="4" s="1"/>
  <c r="K405" i="4"/>
  <c r="J405" i="4" s="1" a="1"/>
  <c r="J405" i="4" s="1"/>
  <c r="K404" i="4"/>
  <c r="J404" i="4" a="1"/>
  <c r="J404" i="4" s="1"/>
  <c r="K403" i="4"/>
  <c r="J403" i="4" a="1"/>
  <c r="J403" i="4" s="1"/>
  <c r="K402" i="4"/>
  <c r="J402" i="4" a="1"/>
  <c r="J402" i="4"/>
  <c r="K401" i="4"/>
  <c r="J401" i="4" a="1"/>
  <c r="J401" i="4" s="1"/>
  <c r="K400" i="4"/>
  <c r="J400" i="4" s="1" a="1"/>
  <c r="J400" i="4" s="1"/>
  <c r="K399" i="4"/>
  <c r="J399" i="4" a="1"/>
  <c r="J399" i="4"/>
  <c r="K398" i="4"/>
  <c r="J398" i="4" s="1" a="1"/>
  <c r="J398" i="4" s="1"/>
  <c r="K397" i="4"/>
  <c r="J397" i="4" s="1" a="1"/>
  <c r="J397" i="4" s="1"/>
  <c r="K396" i="4"/>
  <c r="J396" i="4" s="1" a="1"/>
  <c r="J396" i="4" s="1"/>
  <c r="K394" i="4"/>
  <c r="J394" i="4" a="1"/>
  <c r="J394" i="4" s="1"/>
  <c r="K393" i="4"/>
  <c r="J393" i="4" a="1"/>
  <c r="J393" i="4" s="1"/>
  <c r="K392" i="4"/>
  <c r="J392" i="4" a="1"/>
  <c r="J392" i="4" s="1"/>
  <c r="K391" i="4"/>
  <c r="J391" i="4" s="1" a="1"/>
  <c r="J391" i="4" s="1"/>
  <c r="K390" i="4"/>
  <c r="J390" i="4" s="1" a="1"/>
  <c r="J390" i="4"/>
  <c r="K389" i="4"/>
  <c r="J389" i="4" a="1"/>
  <c r="J389" i="4"/>
  <c r="K388" i="4"/>
  <c r="J388" i="4" a="1"/>
  <c r="J388" i="4"/>
  <c r="K387" i="4"/>
  <c r="J387" i="4" a="1"/>
  <c r="J387" i="4" s="1"/>
  <c r="K386" i="4"/>
  <c r="J386" i="4" s="1" a="1"/>
  <c r="J386" i="4" s="1"/>
  <c r="K385" i="4"/>
  <c r="J385" i="4" a="1"/>
  <c r="J385" i="4" s="1"/>
  <c r="K384" i="4"/>
  <c r="J384" i="4" s="1" a="1"/>
  <c r="J384" i="4" s="1"/>
  <c r="K383" i="4"/>
  <c r="J383" i="4" s="1" a="1"/>
  <c r="J383" i="4" s="1"/>
  <c r="K382" i="4"/>
  <c r="J382" i="4" a="1"/>
  <c r="J382" i="4"/>
  <c r="K381" i="4"/>
  <c r="J381" i="4" a="1"/>
  <c r="J381" i="4"/>
  <c r="K380" i="4"/>
  <c r="J380" i="4" s="1" a="1"/>
  <c r="J380" i="4" s="1"/>
  <c r="K379" i="4"/>
  <c r="J379" i="4" a="1"/>
  <c r="J379" i="4" s="1"/>
  <c r="K378" i="4"/>
  <c r="J378" i="4" a="1"/>
  <c r="J378" i="4" s="1"/>
  <c r="K377" i="4"/>
  <c r="J377" i="4" s="1" a="1"/>
  <c r="J377" i="4"/>
  <c r="K376" i="4"/>
  <c r="J376" i="4" a="1"/>
  <c r="J376" i="4"/>
  <c r="K375" i="4"/>
  <c r="J375" i="4" a="1"/>
  <c r="J375" i="4" s="1"/>
  <c r="K374" i="4"/>
  <c r="J374" i="4" s="1" a="1"/>
  <c r="J374" i="4" s="1"/>
  <c r="K373" i="4"/>
  <c r="J373" i="4" a="1"/>
  <c r="J373" i="4" s="1"/>
  <c r="K372" i="4"/>
  <c r="J372" i="4" a="1"/>
  <c r="J372" i="4"/>
  <c r="K371" i="4"/>
  <c r="J371" i="4" s="1" a="1"/>
  <c r="J371" i="4" s="1"/>
  <c r="K369" i="4"/>
  <c r="J369" i="4" a="1"/>
  <c r="J369" i="4" s="1"/>
  <c r="K368" i="4"/>
  <c r="J368" i="4" s="1" a="1"/>
  <c r="J368" i="4" s="1"/>
  <c r="K367" i="4"/>
  <c r="J367" i="4" a="1"/>
  <c r="J367" i="4"/>
  <c r="K366" i="4"/>
  <c r="J366" i="4" a="1"/>
  <c r="J366" i="4" s="1"/>
  <c r="K365" i="4"/>
  <c r="J365" i="4" a="1"/>
  <c r="J365" i="4"/>
  <c r="K364" i="4"/>
  <c r="J364" i="4" a="1"/>
  <c r="J364" i="4" s="1"/>
  <c r="K363" i="4"/>
  <c r="J363" i="4" s="1" a="1"/>
  <c r="J363" i="4" s="1"/>
  <c r="K362" i="4"/>
  <c r="J362" i="4" a="1"/>
  <c r="J362" i="4" s="1"/>
  <c r="K361" i="4"/>
  <c r="J361" i="4" s="1" a="1"/>
  <c r="J361" i="4" s="1"/>
  <c r="K360" i="4"/>
  <c r="J360" i="4" s="1" a="1"/>
  <c r="J360" i="4"/>
  <c r="K359" i="4"/>
  <c r="J359" i="4" a="1"/>
  <c r="J359" i="4" s="1"/>
  <c r="K358" i="4"/>
  <c r="J358" i="4" s="1" a="1"/>
  <c r="J358" i="4" s="1"/>
  <c r="K357" i="4"/>
  <c r="J357" i="4" a="1"/>
  <c r="J357" i="4" s="1"/>
  <c r="K356" i="4"/>
  <c r="J356" i="4" a="1"/>
  <c r="J356" i="4" s="1"/>
  <c r="K355" i="4"/>
  <c r="J355" i="4" s="1" a="1"/>
  <c r="J355" i="4" s="1"/>
  <c r="K354" i="4"/>
  <c r="J354" i="4" a="1"/>
  <c r="J354" i="4" s="1"/>
  <c r="K353" i="4"/>
  <c r="J353" i="4" a="1"/>
  <c r="J353" i="4" s="1"/>
  <c r="K352" i="4"/>
  <c r="J352" i="4" a="1"/>
  <c r="J352" i="4"/>
  <c r="K351" i="4"/>
  <c r="J351" i="4" a="1"/>
  <c r="J351" i="4" s="1"/>
  <c r="K350" i="4"/>
  <c r="J350" i="4" s="1" a="1"/>
  <c r="J350" i="4" s="1"/>
  <c r="K349" i="4"/>
  <c r="J349" i="4" a="1"/>
  <c r="J349" i="4"/>
  <c r="K348" i="4"/>
  <c r="J348" i="4" s="1" a="1"/>
  <c r="J348" i="4" s="1"/>
  <c r="K347" i="4"/>
  <c r="J347" i="4" s="1" a="1"/>
  <c r="J347" i="4" s="1"/>
  <c r="K346" i="4"/>
  <c r="J346" i="4" s="1" a="1"/>
  <c r="J346" i="4" s="1"/>
  <c r="K345" i="4"/>
  <c r="J345" i="4" a="1"/>
  <c r="J345" i="4" s="1"/>
  <c r="K344" i="4"/>
  <c r="J344" i="4" a="1"/>
  <c r="J344" i="4" s="1"/>
  <c r="K343" i="4"/>
  <c r="J343" i="4" a="1"/>
  <c r="J343" i="4" s="1"/>
  <c r="K341" i="4"/>
  <c r="J341" i="4" s="1" a="1"/>
  <c r="J341" i="4" s="1"/>
  <c r="K340" i="4"/>
  <c r="J340" i="4" s="1" a="1"/>
  <c r="J340" i="4"/>
  <c r="K339" i="4"/>
  <c r="J339" i="4" a="1"/>
  <c r="J339" i="4" s="1"/>
  <c r="K338" i="4"/>
  <c r="J338" i="4" a="1"/>
  <c r="J338" i="4"/>
  <c r="K337" i="4"/>
  <c r="J337" i="4" a="1"/>
  <c r="J337" i="4" s="1"/>
  <c r="K336" i="4"/>
  <c r="J336" i="4" s="1" a="1"/>
  <c r="J336" i="4" s="1"/>
  <c r="K335" i="4"/>
  <c r="J335" i="4" a="1"/>
  <c r="J335" i="4" s="1"/>
  <c r="K334" i="4"/>
  <c r="J334" i="4" s="1" a="1"/>
  <c r="J334" i="4" s="1"/>
  <c r="K333" i="4"/>
  <c r="J333" i="4" s="1" a="1"/>
  <c r="J333" i="4" s="1"/>
  <c r="K332" i="4"/>
  <c r="J332" i="4" a="1"/>
  <c r="J332" i="4"/>
  <c r="K331" i="4"/>
  <c r="J331" i="4" a="1"/>
  <c r="J331" i="4"/>
  <c r="K330" i="4"/>
  <c r="J330" i="4" s="1" a="1"/>
  <c r="J330" i="4" s="1"/>
  <c r="K329" i="4"/>
  <c r="J329" i="4" a="1"/>
  <c r="J329" i="4" s="1"/>
  <c r="K328" i="4"/>
  <c r="J328" i="4" a="1"/>
  <c r="J328" i="4" s="1"/>
  <c r="K327" i="4"/>
  <c r="J327" i="4" s="1" a="1"/>
  <c r="J327" i="4" s="1"/>
  <c r="K326" i="4"/>
  <c r="J326" i="4" a="1"/>
  <c r="J326" i="4"/>
  <c r="K325" i="4"/>
  <c r="J325" i="4" a="1"/>
  <c r="J325" i="4" s="1"/>
  <c r="K324" i="4"/>
  <c r="J324" i="4" s="1" a="1"/>
  <c r="J324" i="4" s="1"/>
  <c r="K323" i="4"/>
  <c r="J323" i="4" s="1" a="1"/>
  <c r="J323" i="4" s="1"/>
  <c r="K322" i="4"/>
  <c r="J322" i="4" a="1"/>
  <c r="J322" i="4" s="1"/>
  <c r="K321" i="4"/>
  <c r="J321" i="4" s="1" a="1"/>
  <c r="J321" i="4" s="1"/>
  <c r="K320" i="4"/>
  <c r="J320" i="4" a="1"/>
  <c r="J320" i="4" s="1"/>
  <c r="K319" i="4"/>
  <c r="J319" i="4" s="1" a="1"/>
  <c r="J319" i="4" s="1"/>
  <c r="K318" i="4"/>
  <c r="J318" i="4" a="1"/>
  <c r="J318" i="4" s="1"/>
  <c r="K317" i="4"/>
  <c r="J317" i="4" a="1"/>
  <c r="J317" i="4" s="1"/>
  <c r="K316" i="4"/>
  <c r="J316" i="4" a="1"/>
  <c r="J316" i="4"/>
  <c r="K315" i="4"/>
  <c r="J315" i="4" a="1"/>
  <c r="J315" i="4" s="1"/>
  <c r="K314" i="4"/>
  <c r="J314" i="4" s="1" a="1"/>
  <c r="J314" i="4" s="1"/>
  <c r="K313" i="4"/>
  <c r="J313" i="4" s="1" a="1"/>
  <c r="J313" i="4" s="1"/>
  <c r="K312" i="4"/>
  <c r="J312" i="4" s="1" a="1"/>
  <c r="J312" i="4" s="1"/>
  <c r="K311" i="4"/>
  <c r="J311" i="4" s="1" a="1"/>
  <c r="J311" i="4" s="1"/>
  <c r="K309" i="4"/>
  <c r="J309" i="4" a="1"/>
  <c r="J309" i="4" s="1"/>
  <c r="K308" i="4"/>
  <c r="J308" i="4" s="1" a="1"/>
  <c r="J308" i="4" s="1"/>
  <c r="K307" i="4"/>
  <c r="J307" i="4" a="1"/>
  <c r="J307" i="4" s="1"/>
  <c r="K306" i="4"/>
  <c r="J306" i="4" a="1"/>
  <c r="J306" i="4" s="1"/>
  <c r="K305" i="4"/>
  <c r="J305" i="4" s="1" a="1"/>
  <c r="J305" i="4" s="1"/>
  <c r="K304" i="4"/>
  <c r="J304" i="4" a="1"/>
  <c r="J304" i="4" s="1"/>
  <c r="K303" i="4"/>
  <c r="J303" i="4" a="1"/>
  <c r="J303" i="4" s="1"/>
  <c r="K302" i="4"/>
  <c r="J302" i="4" a="1"/>
  <c r="J302" i="4"/>
  <c r="K301" i="4"/>
  <c r="J301" i="4" a="1"/>
  <c r="J301" i="4" s="1"/>
  <c r="K300" i="4"/>
  <c r="J300" i="4" s="1" a="1"/>
  <c r="J300" i="4" s="1"/>
  <c r="K299" i="4"/>
  <c r="J299" i="4" a="1"/>
  <c r="J299" i="4"/>
  <c r="K298" i="4"/>
  <c r="J298" i="4" s="1" a="1"/>
  <c r="J298" i="4" s="1"/>
  <c r="K297" i="4"/>
  <c r="J297" i="4" s="1" a="1"/>
  <c r="J297" i="4" s="1"/>
  <c r="K296" i="4"/>
  <c r="J296" i="4" s="1" a="1"/>
  <c r="J296" i="4" s="1"/>
  <c r="K295" i="4"/>
  <c r="J295" i="4" a="1"/>
  <c r="J295" i="4" s="1"/>
  <c r="K294" i="4"/>
  <c r="J294" i="4" s="1" a="1"/>
  <c r="J294" i="4" s="1"/>
  <c r="K293" i="4"/>
  <c r="J293" i="4" a="1"/>
  <c r="J293" i="4" s="1"/>
  <c r="K292" i="4"/>
  <c r="J292" i="4" s="1" a="1"/>
  <c r="J292" i="4" s="1"/>
  <c r="K291" i="4"/>
  <c r="J291" i="4" s="1" a="1"/>
  <c r="J291" i="4"/>
  <c r="K290" i="4"/>
  <c r="J290" i="4" a="1"/>
  <c r="J290" i="4" s="1"/>
  <c r="K289" i="4"/>
  <c r="J289" i="4" a="1"/>
  <c r="J289" i="4"/>
  <c r="K287" i="4"/>
  <c r="J287" i="4" a="1"/>
  <c r="J287" i="4"/>
  <c r="K286" i="4"/>
  <c r="J286" i="4" s="1" a="1"/>
  <c r="J286" i="4" s="1"/>
  <c r="K285" i="4"/>
  <c r="J285" i="4" s="1" a="1"/>
  <c r="J285" i="4" s="1"/>
  <c r="K284" i="4"/>
  <c r="J284" i="4" a="1"/>
  <c r="J284" i="4"/>
  <c r="K283" i="4"/>
  <c r="J283" i="4" a="1"/>
  <c r="J283" i="4"/>
  <c r="K282" i="4"/>
  <c r="J282" i="4" s="1" a="1"/>
  <c r="J282" i="4" s="1"/>
  <c r="K281" i="4"/>
  <c r="J281" i="4" a="1"/>
  <c r="J281" i="4" s="1"/>
  <c r="K280" i="4"/>
  <c r="J280" i="4" a="1"/>
  <c r="J280" i="4"/>
  <c r="K279" i="4"/>
  <c r="J279" i="4" a="1"/>
  <c r="J279" i="4"/>
  <c r="K278" i="4"/>
  <c r="J278" i="4" s="1" a="1"/>
  <c r="J278" i="4"/>
  <c r="K277" i="4"/>
  <c r="J277" i="4" s="1" a="1"/>
  <c r="J277" i="4" s="1"/>
  <c r="K276" i="4"/>
  <c r="J276" i="4" a="1"/>
  <c r="J276" i="4"/>
  <c r="K275" i="4"/>
  <c r="J275" i="4" a="1"/>
  <c r="J275" i="4" s="1"/>
  <c r="K274" i="4"/>
  <c r="J274" i="4" s="1" a="1"/>
  <c r="J274" i="4"/>
  <c r="K273" i="4"/>
  <c r="J273" i="4" s="1" a="1"/>
  <c r="J273" i="4" s="1"/>
  <c r="K272" i="4"/>
  <c r="J272" i="4" a="1"/>
  <c r="J272" i="4"/>
  <c r="K271" i="4"/>
  <c r="J271" i="4" a="1"/>
  <c r="J271" i="4"/>
  <c r="K270" i="4"/>
  <c r="J270" i="4" s="1" a="1"/>
  <c r="J270" i="4"/>
  <c r="K269" i="4"/>
  <c r="J269" i="4" a="1"/>
  <c r="J269" i="4" s="1"/>
  <c r="K268" i="4"/>
  <c r="J268" i="4" a="1"/>
  <c r="J268" i="4"/>
  <c r="K267" i="4"/>
  <c r="J267" i="4" a="1"/>
  <c r="J267" i="4" s="1"/>
  <c r="K266" i="4"/>
  <c r="J266" i="4" s="1" a="1"/>
  <c r="J266" i="4" s="1"/>
  <c r="K265" i="4"/>
  <c r="J265" i="4" a="1"/>
  <c r="J265" i="4"/>
  <c r="K263" i="4"/>
  <c r="J263" i="4" a="1"/>
  <c r="J263" i="4"/>
  <c r="K262" i="4"/>
  <c r="J262" i="4" a="1"/>
  <c r="J262" i="4" s="1"/>
  <c r="K261" i="4"/>
  <c r="J261" i="4" s="1" a="1"/>
  <c r="J261" i="4"/>
  <c r="K260" i="4"/>
  <c r="J260" i="4" a="1"/>
  <c r="J260" i="4"/>
  <c r="K259" i="4"/>
  <c r="J259" i="4" a="1"/>
  <c r="J259" i="4"/>
  <c r="K258" i="4"/>
  <c r="J258" i="4" a="1"/>
  <c r="J258" i="4"/>
  <c r="K257" i="4"/>
  <c r="J257" i="4" s="1" a="1"/>
  <c r="J257" i="4" s="1"/>
  <c r="K256" i="4"/>
  <c r="J256" i="4" s="1" a="1"/>
  <c r="J256" i="4" s="1"/>
  <c r="K255" i="4"/>
  <c r="J255" i="4" a="1"/>
  <c r="J255" i="4"/>
  <c r="K254" i="4"/>
  <c r="J254" i="4" a="1"/>
  <c r="J254" i="4" s="1"/>
  <c r="K253" i="4"/>
  <c r="J253" i="4" s="1" a="1"/>
  <c r="J253" i="4" s="1"/>
  <c r="K252" i="4"/>
  <c r="J252" i="4" a="1"/>
  <c r="J252" i="4" s="1"/>
  <c r="K251" i="4"/>
  <c r="J251" i="4" a="1"/>
  <c r="J251" i="4"/>
  <c r="K250" i="4"/>
  <c r="J250" i="4" a="1"/>
  <c r="J250" i="4"/>
  <c r="K249" i="4"/>
  <c r="J249" i="4" s="1" a="1"/>
  <c r="J249" i="4"/>
  <c r="K248" i="4"/>
  <c r="J248" i="4" s="1" a="1"/>
  <c r="J248" i="4" s="1"/>
  <c r="K247" i="4"/>
  <c r="J247" i="4" a="1"/>
  <c r="J247" i="4"/>
  <c r="K246" i="4"/>
  <c r="J246" i="4" a="1"/>
  <c r="J246" i="4" s="1"/>
  <c r="K245" i="4"/>
  <c r="J245" i="4" s="1" a="1"/>
  <c r="J245" i="4" s="1"/>
  <c r="K244" i="4"/>
  <c r="J244" i="4" a="1"/>
  <c r="J244" i="4" s="1"/>
  <c r="K243" i="4"/>
  <c r="J243" i="4" a="1"/>
  <c r="J243" i="4"/>
  <c r="K242" i="4"/>
  <c r="J242" i="4" a="1"/>
  <c r="J242" i="4" s="1"/>
  <c r="K241" i="4"/>
  <c r="J241" i="4" s="1" a="1"/>
  <c r="J241" i="4"/>
  <c r="K239" i="4"/>
  <c r="J239" i="4" a="1"/>
  <c r="J239" i="4"/>
  <c r="K238" i="4"/>
  <c r="J238" i="4" a="1"/>
  <c r="J238" i="4"/>
  <c r="K237" i="4"/>
  <c r="J237" i="4" a="1"/>
  <c r="J237" i="4"/>
  <c r="K236" i="4"/>
  <c r="J236" i="4" s="1" a="1"/>
  <c r="J236" i="4" s="1"/>
  <c r="K235" i="4"/>
  <c r="J235" i="4" s="1" a="1"/>
  <c r="J235" i="4" s="1"/>
  <c r="K234" i="4"/>
  <c r="J234" i="4" a="1"/>
  <c r="J234" i="4"/>
  <c r="K233" i="4"/>
  <c r="J233" i="4" a="1"/>
  <c r="J233" i="4"/>
  <c r="K232" i="4"/>
  <c r="J232" i="4" s="1" a="1"/>
  <c r="J232" i="4" s="1"/>
  <c r="K231" i="4"/>
  <c r="J231" i="4" a="1"/>
  <c r="J231" i="4" s="1"/>
  <c r="K230" i="4"/>
  <c r="J230" i="4" a="1"/>
  <c r="J230" i="4"/>
  <c r="K229" i="4"/>
  <c r="J229" i="4" a="1"/>
  <c r="J229" i="4"/>
  <c r="K228" i="4"/>
  <c r="J228" i="4" s="1" a="1"/>
  <c r="J228" i="4"/>
  <c r="K227" i="4"/>
  <c r="J227" i="4" s="1" a="1"/>
  <c r="J227" i="4" s="1"/>
  <c r="K226" i="4"/>
  <c r="J226" i="4" a="1"/>
  <c r="J226" i="4"/>
  <c r="K225" i="4"/>
  <c r="J225" i="4" a="1"/>
  <c r="J225" i="4" s="1"/>
  <c r="K224" i="4"/>
  <c r="J224" i="4" s="1" a="1"/>
  <c r="J224" i="4"/>
  <c r="K223" i="4"/>
  <c r="J223" i="4" s="1" a="1"/>
  <c r="J223" i="4" s="1"/>
  <c r="K222" i="4"/>
  <c r="J222" i="4" a="1"/>
  <c r="J222" i="4"/>
  <c r="K221" i="4"/>
  <c r="J221" i="4" a="1"/>
  <c r="J221" i="4"/>
  <c r="K220" i="4"/>
  <c r="J220" i="4" s="1" a="1"/>
  <c r="J220" i="4"/>
  <c r="K219" i="4"/>
  <c r="J219" i="4" a="1"/>
  <c r="J219" i="4" s="1"/>
  <c r="K218" i="4"/>
  <c r="J218" i="4" a="1"/>
  <c r="J218" i="4"/>
  <c r="K217" i="4"/>
  <c r="J217" i="4" a="1"/>
  <c r="J217" i="4" s="1"/>
  <c r="K216" i="4"/>
  <c r="J216" i="4" s="1" a="1"/>
  <c r="J216" i="4" s="1"/>
  <c r="K214" i="4"/>
  <c r="J214" i="4" a="1"/>
  <c r="J214" i="4"/>
  <c r="K213" i="4"/>
  <c r="J213" i="4" a="1"/>
  <c r="J213" i="4"/>
  <c r="K212" i="4"/>
  <c r="J212" i="4" a="1"/>
  <c r="J212" i="4"/>
  <c r="K211" i="4"/>
  <c r="J211" i="4" s="1" a="1"/>
  <c r="J211" i="4"/>
  <c r="K210" i="4"/>
  <c r="J210" i="4" a="1"/>
  <c r="J210" i="4"/>
  <c r="K209" i="4"/>
  <c r="J209" i="4" a="1"/>
  <c r="J209" i="4" s="1"/>
  <c r="K208" i="4"/>
  <c r="J208" i="4" a="1"/>
  <c r="J208" i="4"/>
  <c r="K207" i="4"/>
  <c r="J207" i="4" s="1" a="1"/>
  <c r="J207" i="4" s="1"/>
  <c r="K206" i="4"/>
  <c r="J206" i="4" s="1" a="1"/>
  <c r="J206" i="4" s="1"/>
  <c r="K205" i="4"/>
  <c r="J205" i="4" a="1"/>
  <c r="J205" i="4" s="1"/>
  <c r="K204" i="4"/>
  <c r="J204" i="4" a="1"/>
  <c r="J204" i="4" s="1"/>
  <c r="K203" i="4"/>
  <c r="J203" i="4" s="1" a="1"/>
  <c r="J203" i="4"/>
  <c r="K202" i="4"/>
  <c r="J202" i="4" a="1"/>
  <c r="J202" i="4" s="1"/>
  <c r="K201" i="4"/>
  <c r="J201" i="4" a="1"/>
  <c r="J201" i="4"/>
  <c r="K200" i="4"/>
  <c r="J200" i="4" a="1"/>
  <c r="J200" i="4"/>
  <c r="K199" i="4"/>
  <c r="J199" i="4" s="1" a="1"/>
  <c r="J199" i="4"/>
  <c r="K198" i="4"/>
  <c r="J198" i="4" s="1" a="1"/>
  <c r="J198" i="4" s="1"/>
  <c r="K197" i="4"/>
  <c r="J197" i="4" a="1"/>
  <c r="J197" i="4"/>
  <c r="K196" i="4"/>
  <c r="J196" i="4" a="1"/>
  <c r="J196" i="4" s="1"/>
  <c r="K195" i="4"/>
  <c r="J195" i="4" s="1" a="1"/>
  <c r="J195" i="4" s="1"/>
  <c r="K194" i="4"/>
  <c r="J194" i="4" a="1"/>
  <c r="J194" i="4" s="1"/>
  <c r="K193" i="4"/>
  <c r="J193" i="4" a="1"/>
  <c r="J193" i="4"/>
  <c r="K191" i="4"/>
  <c r="J191" i="4" a="1"/>
  <c r="J191" i="4" s="1"/>
  <c r="S190" i="4" a="1"/>
  <c r="S190" i="4" s="1"/>
  <c r="K190" i="4"/>
  <c r="J190" i="4" s="1" a="1"/>
  <c r="J190" i="4" s="1"/>
  <c r="S189" i="4" a="1"/>
  <c r="S189" i="4" s="1"/>
  <c r="K189" i="4"/>
  <c r="J189" i="4" a="1"/>
  <c r="J189" i="4" s="1"/>
  <c r="S188" i="4" a="1"/>
  <c r="S188" i="4"/>
  <c r="K188" i="4"/>
  <c r="J188" i="4" s="1" a="1"/>
  <c r="J188" i="4"/>
  <c r="S187" i="4" a="1"/>
  <c r="S187" i="4" s="1"/>
  <c r="K187" i="4"/>
  <c r="J187" i="4" s="1" a="1"/>
  <c r="J187" i="4" s="1"/>
  <c r="K186" i="4"/>
  <c r="J186" i="4" s="1" a="1"/>
  <c r="J186" i="4"/>
  <c r="K184" i="4"/>
  <c r="J184" i="4" a="1"/>
  <c r="J184" i="4" s="1"/>
  <c r="K183" i="4"/>
  <c r="J183" i="4" a="1"/>
  <c r="J183" i="4"/>
  <c r="K182" i="4"/>
  <c r="J182" i="4" s="1" a="1"/>
  <c r="J182" i="4" s="1"/>
  <c r="K181" i="4"/>
  <c r="J181" i="4" s="1" a="1"/>
  <c r="J181" i="4"/>
  <c r="K180" i="4"/>
  <c r="J180" i="4" a="1"/>
  <c r="J180" i="4" s="1"/>
  <c r="K179" i="4"/>
  <c r="J179" i="4" s="1" a="1"/>
  <c r="J179" i="4" s="1"/>
  <c r="K178" i="4"/>
  <c r="J178" i="4" s="1" a="1"/>
  <c r="J178" i="4"/>
  <c r="K177" i="4"/>
  <c r="J177" i="4" s="1" a="1"/>
  <c r="J177" i="4"/>
  <c r="K176" i="4"/>
  <c r="J176" i="4" s="1" a="1"/>
  <c r="J176" i="4" s="1"/>
  <c r="K175" i="4"/>
  <c r="J175" i="4" s="1" a="1"/>
  <c r="J175" i="4" s="1"/>
  <c r="K174" i="4"/>
  <c r="J174" i="4" s="1" a="1"/>
  <c r="J174" i="4" s="1"/>
  <c r="K173" i="4"/>
  <c r="J173" i="4" s="1" a="1"/>
  <c r="J173" i="4" s="1"/>
  <c r="K172" i="4"/>
  <c r="J172" i="4" a="1"/>
  <c r="J172" i="4" s="1"/>
  <c r="K171" i="4"/>
  <c r="J171" i="4" s="1" a="1"/>
  <c r="J171" i="4" s="1"/>
  <c r="K170" i="4"/>
  <c r="J170" i="4" s="1" a="1"/>
  <c r="J170" i="4" s="1"/>
  <c r="K169" i="4"/>
  <c r="J169" i="4" s="1" a="1"/>
  <c r="J169" i="4"/>
  <c r="K168" i="4"/>
  <c r="J168" i="4" a="1"/>
  <c r="J168" i="4" s="1"/>
  <c r="K166" i="4"/>
  <c r="J166" i="4" a="1"/>
  <c r="J166" i="4"/>
  <c r="K165" i="4"/>
  <c r="J165" i="4" s="1" a="1"/>
  <c r="J165" i="4" s="1"/>
  <c r="K164" i="4"/>
  <c r="J164" i="4" s="1" a="1"/>
  <c r="J164" i="4"/>
  <c r="K163" i="4"/>
  <c r="J163" i="4" a="1"/>
  <c r="J163" i="4" s="1"/>
  <c r="K162" i="4"/>
  <c r="J162" i="4" s="1" a="1"/>
  <c r="J162" i="4" s="1"/>
  <c r="K161" i="4"/>
  <c r="J161" i="4" s="1" a="1"/>
  <c r="J161" i="4"/>
  <c r="K160" i="4"/>
  <c r="J160" i="4" s="1" a="1"/>
  <c r="J160" i="4"/>
  <c r="K159" i="4"/>
  <c r="J159" i="4" s="1" a="1"/>
  <c r="J159" i="4" s="1"/>
  <c r="K158" i="4"/>
  <c r="J158" i="4" s="1" a="1"/>
  <c r="J158" i="4" s="1"/>
  <c r="K157" i="4"/>
  <c r="J157" i="4" s="1" a="1"/>
  <c r="J157" i="4" s="1"/>
  <c r="K156" i="4"/>
  <c r="J156" i="4" s="1" a="1"/>
  <c r="J156" i="4" s="1"/>
  <c r="K155" i="4"/>
  <c r="J155" i="4" a="1"/>
  <c r="J155" i="4" s="1"/>
  <c r="K154" i="4"/>
  <c r="J154" i="4" s="1" a="1"/>
  <c r="J154" i="4" s="1"/>
  <c r="K153" i="4"/>
  <c r="J153" i="4" s="1" a="1"/>
  <c r="J153" i="4" s="1"/>
  <c r="K152" i="4"/>
  <c r="J152" i="4" s="1" a="1"/>
  <c r="J152" i="4"/>
  <c r="K151" i="4"/>
  <c r="J151" i="4" a="1"/>
  <c r="J151" i="4" s="1"/>
  <c r="K150" i="4"/>
  <c r="J150" i="4" a="1"/>
  <c r="J150" i="4"/>
  <c r="K149" i="4"/>
  <c r="J149" i="4" s="1" a="1"/>
  <c r="J149" i="4" s="1"/>
  <c r="K148" i="4"/>
  <c r="J148" i="4" s="1" a="1"/>
  <c r="J148" i="4"/>
  <c r="K147" i="4"/>
  <c r="J147" i="4" a="1"/>
  <c r="J147" i="4" s="1"/>
  <c r="S145" i="4" a="1"/>
  <c r="S145" i="4" s="1"/>
  <c r="K145" i="4"/>
  <c r="J145" i="4" s="1" a="1"/>
  <c r="J145" i="4" s="1"/>
  <c r="S144" i="4" a="1"/>
  <c r="S144" i="4"/>
  <c r="K144" i="4"/>
  <c r="J144" i="4" a="1"/>
  <c r="J144" i="4" s="1"/>
  <c r="S143" i="4" a="1"/>
  <c r="S143" i="4" s="1"/>
  <c r="K143" i="4"/>
  <c r="J143" i="4" a="1"/>
  <c r="J143" i="4"/>
  <c r="S142" i="4" a="1"/>
  <c r="S142" i="4" s="1"/>
  <c r="K142" i="4"/>
  <c r="J142" i="4" s="1" a="1"/>
  <c r="J142" i="4" s="1"/>
  <c r="K141" i="4"/>
  <c r="J141" i="4" a="1"/>
  <c r="J141" i="4"/>
  <c r="K140" i="4"/>
  <c r="J140" i="4" s="1" a="1"/>
  <c r="J140" i="4" s="1"/>
  <c r="K139" i="4"/>
  <c r="J139" i="4" a="1"/>
  <c r="J139" i="4" s="1"/>
  <c r="K138" i="4"/>
  <c r="J138" i="4" s="1" a="1"/>
  <c r="J138" i="4" s="1"/>
  <c r="K137" i="4"/>
  <c r="J137" i="4" s="1" a="1"/>
  <c r="J137" i="4" s="1"/>
  <c r="K136" i="4"/>
  <c r="J136" i="4" a="1"/>
  <c r="J136" i="4" s="1"/>
  <c r="K135" i="4"/>
  <c r="J135" i="4" a="1"/>
  <c r="J135" i="4" s="1"/>
  <c r="K134" i="4"/>
  <c r="J134" i="4" a="1"/>
  <c r="J134" i="4" s="1"/>
  <c r="K133" i="4"/>
  <c r="J133" i="4" s="1" a="1"/>
  <c r="J133" i="4" s="1"/>
  <c r="K132" i="4"/>
  <c r="J132" i="4" a="1"/>
  <c r="J132" i="4"/>
  <c r="K131" i="4"/>
  <c r="J131" i="4" s="1" a="1"/>
  <c r="J131" i="4" s="1"/>
  <c r="K130" i="4"/>
  <c r="J130" i="4" a="1"/>
  <c r="J130" i="4" s="1"/>
  <c r="S128" i="4" a="1"/>
  <c r="S128" i="4"/>
  <c r="K128" i="4"/>
  <c r="J128" i="4" s="1" a="1"/>
  <c r="J128" i="4" s="1"/>
  <c r="S127" i="4" a="1"/>
  <c r="S127" i="4"/>
  <c r="K127" i="4"/>
  <c r="J127" i="4" s="1" a="1"/>
  <c r="J127" i="4"/>
  <c r="S126" i="4" a="1"/>
  <c r="S126" i="4" s="1"/>
  <c r="K126" i="4"/>
  <c r="J126" i="4" a="1"/>
  <c r="J126" i="4" s="1"/>
  <c r="K125" i="4"/>
  <c r="J125" i="4" a="1"/>
  <c r="J125" i="4" s="1"/>
  <c r="K124" i="4"/>
  <c r="J124" i="4" s="1" a="1"/>
  <c r="J124" i="4" s="1"/>
  <c r="K123" i="4"/>
  <c r="J123" i="4" a="1"/>
  <c r="J123" i="4" s="1"/>
  <c r="K122" i="4"/>
  <c r="J122" i="4" s="1" a="1"/>
  <c r="J122" i="4" s="1"/>
  <c r="K121" i="4"/>
  <c r="J121" i="4" s="1" a="1"/>
  <c r="J121" i="4" s="1"/>
  <c r="K120" i="4"/>
  <c r="J120" i="4" s="1" a="1"/>
  <c r="J120" i="4" s="1"/>
  <c r="K119" i="4"/>
  <c r="J119" i="4" s="1" a="1"/>
  <c r="J119" i="4" s="1"/>
  <c r="K118" i="4"/>
  <c r="J118" i="4" a="1"/>
  <c r="J118" i="4"/>
  <c r="K117" i="4"/>
  <c r="J117" i="4" s="1" a="1"/>
  <c r="J117" i="4" s="1"/>
  <c r="K116" i="4"/>
  <c r="J116" i="4" a="1"/>
  <c r="J116" i="4" s="1"/>
  <c r="K115" i="4"/>
  <c r="J115" i="4" s="1" a="1"/>
  <c r="J115" i="4" s="1"/>
  <c r="K114" i="4"/>
  <c r="J114" i="4" s="1" a="1"/>
  <c r="J114" i="4" s="1"/>
  <c r="K113" i="4"/>
  <c r="J113" i="4" a="1"/>
  <c r="J113" i="4" s="1"/>
  <c r="K112" i="4"/>
  <c r="J112" i="4" a="1"/>
  <c r="J112" i="4" s="1"/>
  <c r="K111" i="4"/>
  <c r="J111" i="4" a="1"/>
  <c r="J111" i="4" s="1"/>
  <c r="K110" i="4"/>
  <c r="J110" i="4" s="1" a="1"/>
  <c r="J110" i="4" s="1"/>
  <c r="K109" i="4"/>
  <c r="J109" i="4" a="1"/>
  <c r="J109" i="4"/>
  <c r="K108" i="4"/>
  <c r="J108" i="4" s="1" a="1"/>
  <c r="J108" i="4" s="1"/>
  <c r="K107" i="4"/>
  <c r="J107" i="4" a="1"/>
  <c r="J107" i="4" s="1"/>
  <c r="K106" i="4"/>
  <c r="J106" i="4" a="1"/>
  <c r="J106" i="4"/>
  <c r="K105" i="4"/>
  <c r="J105" i="4" a="1"/>
  <c r="J105" i="4" s="1"/>
  <c r="K104" i="4"/>
  <c r="J104" i="4" a="1"/>
  <c r="J104" i="4" s="1"/>
  <c r="K103" i="4"/>
  <c r="J103" i="4" s="1" a="1"/>
  <c r="J103" i="4" s="1"/>
  <c r="K102" i="4"/>
  <c r="J102" i="4" a="1"/>
  <c r="J102" i="4" s="1"/>
  <c r="K101" i="4"/>
  <c r="J101" i="4" a="1"/>
  <c r="J101" i="4" s="1"/>
  <c r="K100" i="4"/>
  <c r="J100" i="4" s="1" a="1"/>
  <c r="J100" i="4" s="1"/>
  <c r="K99" i="4"/>
  <c r="J99" i="4" a="1"/>
  <c r="J99" i="4" s="1"/>
  <c r="K98" i="4"/>
  <c r="J98" i="4" s="1" a="1"/>
  <c r="J98" i="4" s="1"/>
  <c r="K97" i="4"/>
  <c r="J97" i="4" s="1" a="1"/>
  <c r="J97" i="4" s="1"/>
  <c r="K96" i="4"/>
  <c r="J96" i="4" s="1" a="1"/>
  <c r="J96" i="4" s="1"/>
  <c r="K95" i="4"/>
  <c r="J95" i="4" s="1" a="1"/>
  <c r="J95" i="4" s="1"/>
  <c r="K94" i="4"/>
  <c r="J94" i="4" a="1"/>
  <c r="J94" i="4"/>
  <c r="K93" i="4"/>
  <c r="J93" i="4" s="1" a="1"/>
  <c r="J93" i="4" s="1"/>
  <c r="S91" i="4" a="1"/>
  <c r="S91" i="4"/>
  <c r="K91" i="4"/>
  <c r="J91" i="4" a="1"/>
  <c r="J91" i="4"/>
  <c r="S90" i="4" a="1"/>
  <c r="S90" i="4"/>
  <c r="K90" i="4"/>
  <c r="J90" i="4" a="1"/>
  <c r="J90" i="4" s="1"/>
  <c r="S89" i="4" a="1"/>
  <c r="S89" i="4"/>
  <c r="K89" i="4"/>
  <c r="J89" i="4" a="1"/>
  <c r="J89" i="4" s="1"/>
  <c r="S88" i="4" a="1"/>
  <c r="S88" i="4" s="1"/>
  <c r="K88" i="4"/>
  <c r="J88" i="4" a="1"/>
  <c r="J88" i="4"/>
  <c r="K87" i="4"/>
  <c r="J87" i="4" a="1"/>
  <c r="J87" i="4" s="1"/>
  <c r="K86" i="4"/>
  <c r="J86" i="4" a="1"/>
  <c r="J86" i="4" s="1"/>
  <c r="K85" i="4"/>
  <c r="J85" i="4" a="1"/>
  <c r="J85" i="4" s="1"/>
  <c r="K84" i="4"/>
  <c r="J84" i="4" a="1"/>
  <c r="J84" i="4"/>
  <c r="K83" i="4"/>
  <c r="J83" i="4" a="1"/>
  <c r="J83" i="4" s="1"/>
  <c r="K82" i="4"/>
  <c r="J82" i="4" a="1"/>
  <c r="J82" i="4" s="1"/>
  <c r="K81" i="4"/>
  <c r="J81" i="4" a="1"/>
  <c r="J81" i="4" s="1"/>
  <c r="K80" i="4"/>
  <c r="J80" i="4" a="1"/>
  <c r="J80" i="4"/>
  <c r="K79" i="4"/>
  <c r="J79" i="4" a="1"/>
  <c r="J79" i="4" s="1"/>
  <c r="K78" i="4"/>
  <c r="J78" i="4" a="1"/>
  <c r="J78" i="4" s="1"/>
  <c r="K77" i="4"/>
  <c r="J77" i="4" a="1"/>
  <c r="J77" i="4" s="1"/>
  <c r="K76" i="4"/>
  <c r="J76" i="4" a="1"/>
  <c r="J76" i="4"/>
  <c r="K75" i="4"/>
  <c r="J75" i="4" a="1"/>
  <c r="J75" i="4" s="1"/>
  <c r="K74" i="4"/>
  <c r="J74" i="4" a="1"/>
  <c r="J74" i="4" s="1"/>
  <c r="K73" i="4"/>
  <c r="J73" i="4" a="1"/>
  <c r="J73" i="4" s="1"/>
  <c r="K72" i="4"/>
  <c r="J72" i="4" a="1"/>
  <c r="J72" i="4"/>
  <c r="K71" i="4"/>
  <c r="J71" i="4" a="1"/>
  <c r="J71" i="4" s="1"/>
  <c r="K70" i="4"/>
  <c r="J70" i="4" a="1"/>
  <c r="J70" i="4" s="1"/>
  <c r="K69" i="4"/>
  <c r="J69" i="4" a="1"/>
  <c r="J69" i="4" s="1"/>
  <c r="K68" i="4"/>
  <c r="J68" i="4" a="1"/>
  <c r="J68" i="4"/>
  <c r="K67" i="4"/>
  <c r="J67" i="4" a="1"/>
  <c r="J67" i="4" s="1"/>
  <c r="K66" i="4"/>
  <c r="J66" i="4" a="1"/>
  <c r="J66" i="4" s="1"/>
  <c r="K65" i="4"/>
  <c r="J65" i="4" a="1"/>
  <c r="J65" i="4" s="1"/>
  <c r="K64" i="4"/>
  <c r="J64" i="4" a="1"/>
  <c r="J64" i="4"/>
  <c r="K63" i="4"/>
  <c r="J63" i="4" a="1"/>
  <c r="J63" i="4" s="1"/>
  <c r="K62" i="4"/>
  <c r="J62" i="4" a="1"/>
  <c r="J62" i="4" s="1"/>
  <c r="K61" i="4"/>
  <c r="J61" i="4" a="1"/>
  <c r="J61" i="4" s="1"/>
  <c r="K60" i="4"/>
  <c r="J60" i="4" a="1"/>
  <c r="J60" i="4"/>
  <c r="K59" i="4"/>
  <c r="J59" i="4" a="1"/>
  <c r="J59" i="4" s="1"/>
  <c r="K58" i="4"/>
  <c r="J58" i="4" a="1"/>
  <c r="J58" i="4" s="1"/>
  <c r="K57" i="4"/>
  <c r="J57" i="4" a="1"/>
  <c r="J57" i="4" s="1"/>
  <c r="K56" i="4"/>
  <c r="J56" i="4" a="1"/>
  <c r="J56" i="4"/>
  <c r="K55" i="4"/>
  <c r="J55" i="4" a="1"/>
  <c r="J55" i="4" s="1"/>
  <c r="K54" i="4"/>
  <c r="J54" i="4" a="1"/>
  <c r="J54" i="4" s="1"/>
  <c r="K53" i="4"/>
  <c r="J53" i="4" a="1"/>
  <c r="J53" i="4" s="1"/>
  <c r="K51" i="4"/>
  <c r="J51" i="4" a="1"/>
  <c r="J51" i="4"/>
  <c r="K50" i="4"/>
  <c r="J50" i="4" a="1"/>
  <c r="J50" i="4" s="1"/>
  <c r="K49" i="4"/>
  <c r="J49" i="4" a="1"/>
  <c r="J49" i="4" s="1"/>
  <c r="K48" i="4"/>
  <c r="J48" i="4" a="1"/>
  <c r="J48" i="4" s="1"/>
  <c r="K47" i="4"/>
  <c r="J47" i="4" a="1"/>
  <c r="J47" i="4"/>
  <c r="K46" i="4"/>
  <c r="J46" i="4" a="1"/>
  <c r="J46" i="4" s="1"/>
  <c r="K45" i="4"/>
  <c r="J45" i="4" a="1"/>
  <c r="J45" i="4" s="1"/>
  <c r="K44" i="4"/>
  <c r="J44" i="4" a="1"/>
  <c r="J44" i="4" s="1"/>
  <c r="K43" i="4"/>
  <c r="J43" i="4" a="1"/>
  <c r="J43" i="4"/>
  <c r="K42" i="4"/>
  <c r="J42" i="4" a="1"/>
  <c r="J42" i="4" s="1"/>
  <c r="K41" i="4"/>
  <c r="J41" i="4" a="1"/>
  <c r="J41" i="4" s="1"/>
  <c r="K40" i="4"/>
  <c r="J40" i="4" a="1"/>
  <c r="J40" i="4" s="1"/>
  <c r="K39" i="4"/>
  <c r="J39" i="4" a="1"/>
  <c r="J39" i="4"/>
  <c r="K38" i="4"/>
  <c r="J38" i="4" a="1"/>
  <c r="J38" i="4" s="1"/>
  <c r="K37" i="4"/>
  <c r="J37" i="4" a="1"/>
  <c r="J37" i="4" s="1"/>
  <c r="K36" i="4"/>
  <c r="J36" i="4" a="1"/>
  <c r="J36" i="4" s="1"/>
  <c r="K35" i="4"/>
  <c r="J35" i="4" a="1"/>
  <c r="J35" i="4"/>
  <c r="K34" i="4"/>
  <c r="J34" i="4" a="1"/>
  <c r="J34" i="4" s="1"/>
  <c r="K33" i="4"/>
  <c r="J33" i="4" a="1"/>
  <c r="J33" i="4" s="1"/>
  <c r="K32" i="4"/>
  <c r="J32" i="4" a="1"/>
  <c r="J32" i="4" s="1"/>
  <c r="K31" i="4"/>
  <c r="J31" i="4" a="1"/>
  <c r="J31" i="4"/>
  <c r="K30" i="4"/>
  <c r="J30" i="4" a="1"/>
  <c r="J30" i="4" s="1"/>
  <c r="K29" i="4"/>
  <c r="J29" i="4" a="1"/>
  <c r="J29" i="4" s="1"/>
  <c r="K28" i="4"/>
  <c r="J28" i="4" a="1"/>
  <c r="J28" i="4" s="1"/>
  <c r="K27" i="4"/>
  <c r="J27" i="4" a="1"/>
  <c r="J27" i="4"/>
  <c r="K26" i="4"/>
  <c r="J26" i="4" a="1"/>
  <c r="J26" i="4" s="1"/>
  <c r="K25" i="4"/>
  <c r="J25" i="4" a="1"/>
  <c r="J25" i="4" s="1"/>
  <c r="K24" i="4"/>
  <c r="J24" i="4" a="1"/>
  <c r="J24" i="4" s="1"/>
  <c r="K23" i="4"/>
  <c r="J23" i="4" a="1"/>
  <c r="J23" i="4"/>
  <c r="K22" i="4"/>
  <c r="J22" i="4" a="1"/>
  <c r="J22" i="4" s="1"/>
  <c r="K21" i="4"/>
  <c r="J21" i="4" a="1"/>
  <c r="J21" i="4" s="1"/>
  <c r="S18" i="4" a="1"/>
  <c r="S18" i="4"/>
  <c r="Q18" i="4"/>
  <c r="P18" i="4"/>
  <c r="K18" i="4"/>
  <c r="J18" i="4" a="1"/>
  <c r="J18" i="4"/>
  <c r="S17" i="4" a="1"/>
  <c r="S17" i="4" s="1"/>
  <c r="Q17" i="4"/>
  <c r="P17" i="4"/>
  <c r="K17" i="4"/>
  <c r="J17" i="4" s="1" a="1"/>
  <c r="J17" i="4"/>
  <c r="S16" i="4" a="1"/>
  <c r="S16" i="4" s="1"/>
  <c r="Q16" i="4"/>
  <c r="P16" i="4"/>
  <c r="K16" i="4"/>
  <c r="J16" i="4" a="1"/>
  <c r="J16" i="4"/>
  <c r="S15" i="4" a="1"/>
  <c r="S15" i="4" s="1"/>
  <c r="Q15" i="4"/>
  <c r="P15" i="4"/>
  <c r="K15" i="4"/>
  <c r="J15" i="4" a="1"/>
  <c r="J15" i="4" s="1"/>
  <c r="S14" i="4" a="1"/>
  <c r="S14" i="4" s="1"/>
  <c r="Q14" i="4"/>
  <c r="P14" i="4"/>
  <c r="K14" i="4"/>
  <c r="J14" i="4" a="1"/>
  <c r="J14" i="4"/>
  <c r="S13" i="4" a="1"/>
  <c r="S13" i="4" s="1"/>
  <c r="Q13" i="4"/>
  <c r="P13" i="4"/>
  <c r="K13" i="4"/>
  <c r="J13" i="4" a="1"/>
  <c r="J13" i="4"/>
  <c r="S12" i="4" a="1"/>
  <c r="S12" i="4"/>
  <c r="Q12" i="4"/>
  <c r="P12" i="4"/>
  <c r="K12" i="4"/>
  <c r="J12" i="4" a="1"/>
  <c r="J12" i="4" s="1"/>
  <c r="S11" i="4" a="1"/>
  <c r="S11" i="4"/>
  <c r="Q11" i="4"/>
  <c r="P11" i="4"/>
  <c r="K11" i="4"/>
  <c r="J11" i="4" a="1"/>
  <c r="J11" i="4" s="1"/>
  <c r="S10" i="4" a="1"/>
  <c r="S10" i="4"/>
  <c r="Q10" i="4"/>
  <c r="P10" i="4"/>
  <c r="K10" i="4"/>
  <c r="J10" i="4" a="1"/>
  <c r="J10" i="4"/>
  <c r="S9" i="4" a="1"/>
  <c r="S9" i="4"/>
  <c r="Q9" i="4"/>
  <c r="P9" i="4"/>
  <c r="K9" i="4"/>
  <c r="J9" i="4" a="1"/>
  <c r="J9" i="4"/>
  <c r="S8" i="4" a="1"/>
  <c r="S8" i="4"/>
  <c r="Q8" i="4"/>
  <c r="P8" i="4"/>
  <c r="K8" i="4"/>
  <c r="J8" i="4" s="1" a="1"/>
  <c r="J8" i="4"/>
  <c r="S7" i="4" a="1"/>
  <c r="S7" i="4"/>
  <c r="Q7" i="4"/>
  <c r="P7" i="4"/>
  <c r="K7" i="4"/>
  <c r="J7" i="4" a="1"/>
  <c r="J7" i="4"/>
  <c r="S6" i="4" a="1"/>
  <c r="S6" i="4"/>
  <c r="Q6" i="4"/>
  <c r="P6" i="4"/>
  <c r="K6" i="4"/>
  <c r="J6" i="4" s="1" a="1"/>
  <c r="J6" i="4" s="1"/>
  <c r="S5" i="4" a="1"/>
  <c r="S5" i="4" s="1"/>
  <c r="Q5" i="4"/>
  <c r="P5" i="4"/>
  <c r="K5" i="4"/>
  <c r="J5" i="4" s="1" a="1"/>
  <c r="J5" i="4"/>
  <c r="H155" i="6"/>
  <c r="L155" i="6" s="1"/>
  <c r="K155" i="6" s="1"/>
  <c r="G155" i="6"/>
  <c r="F155" i="6"/>
  <c r="H154" i="6"/>
  <c r="L154" i="6" s="1"/>
  <c r="K154" i="6" s="1"/>
  <c r="G154" i="6"/>
  <c r="F154" i="6"/>
  <c r="H153" i="6"/>
  <c r="L153" i="6" s="1"/>
  <c r="K153" i="6" s="1"/>
  <c r="G153" i="6"/>
  <c r="F153" i="6"/>
  <c r="H152" i="6"/>
  <c r="L152" i="6" s="1"/>
  <c r="K152" i="6" s="1"/>
  <c r="G152" i="6"/>
  <c r="F152" i="6"/>
  <c r="H151" i="6"/>
  <c r="L151" i="6" s="1"/>
  <c r="K151" i="6" s="1"/>
  <c r="G151" i="6"/>
  <c r="F151" i="6"/>
  <c r="H150" i="6"/>
  <c r="L150" i="6" s="1"/>
  <c r="K150" i="6" s="1"/>
  <c r="G150" i="6"/>
  <c r="F150" i="6"/>
  <c r="H149" i="6"/>
  <c r="L149" i="6" s="1"/>
  <c r="K149" i="6" s="1"/>
  <c r="G149" i="6"/>
  <c r="F149" i="6"/>
  <c r="H148" i="6"/>
  <c r="L148" i="6" s="1"/>
  <c r="K148" i="6" s="1"/>
  <c r="G148" i="6"/>
  <c r="F148" i="6"/>
  <c r="H146" i="6"/>
  <c r="L146" i="6" s="1"/>
  <c r="K146" i="6" s="1"/>
  <c r="G146" i="6"/>
  <c r="F146" i="6"/>
  <c r="H29" i="6"/>
  <c r="L29" i="6" s="1"/>
  <c r="K29" i="6" s="1"/>
  <c r="G29" i="6"/>
  <c r="F29" i="6"/>
  <c r="H28" i="6"/>
  <c r="L28" i="6" s="1"/>
  <c r="K28" i="6" s="1"/>
  <c r="G28" i="6"/>
  <c r="F28" i="6"/>
  <c r="H27" i="6"/>
  <c r="L27" i="6" s="1"/>
  <c r="K27" i="6" s="1"/>
  <c r="G27" i="6"/>
  <c r="F27" i="6"/>
  <c r="H26" i="6"/>
  <c r="L26" i="6" s="1"/>
  <c r="K26" i="6" s="1"/>
  <c r="G26" i="6"/>
  <c r="F26" i="6"/>
  <c r="H25" i="6"/>
  <c r="L25" i="6" s="1"/>
  <c r="K25" i="6" s="1"/>
  <c r="G25" i="6"/>
  <c r="F25" i="6"/>
  <c r="H24" i="6"/>
  <c r="L24" i="6" s="1"/>
  <c r="K24" i="6" s="1"/>
  <c r="G24" i="6"/>
  <c r="F24" i="6"/>
  <c r="H23" i="6"/>
  <c r="L23" i="6" s="1"/>
  <c r="K23" i="6" s="1"/>
  <c r="G23" i="6"/>
  <c r="F23" i="6"/>
  <c r="H22" i="6"/>
  <c r="L22" i="6" s="1"/>
  <c r="K22" i="6" s="1"/>
  <c r="G22" i="6"/>
  <c r="F22" i="6"/>
  <c r="H20" i="6"/>
  <c r="L20" i="6" s="1"/>
  <c r="K20" i="6" s="1"/>
  <c r="G20" i="6"/>
  <c r="F20" i="6"/>
  <c r="AQ6" i="6"/>
  <c r="AO5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<sst xmlns="http://schemas.openxmlformats.org/spreadsheetml/2006/main" count="3361" uniqueCount="781">
  <si>
    <t>id</t>
  </si>
  <si>
    <t>name</t>
  </si>
  <si>
    <t>bgm</t>
  </si>
  <si>
    <t>scene_resource</t>
  </si>
  <si>
    <t>scene_road</t>
  </si>
  <si>
    <t>water_height</t>
  </si>
  <si>
    <t>scene_water_view</t>
  </si>
  <si>
    <t>vfx_environment</t>
  </si>
  <si>
    <t>scene_initial_resource</t>
  </si>
  <si>
    <t>uint key</t>
  </si>
  <si>
    <t>string</t>
  </si>
  <si>
    <t>uint</t>
  </si>
  <si>
    <t>(uint,float,float,float)[]</t>
  </si>
  <si>
    <t>float?</t>
  </si>
  <si>
    <t>编号</t>
  </si>
  <si>
    <t>备注</t>
  </si>
  <si>
    <t>名称</t>
  </si>
  <si>
    <t>背景音乐</t>
  </si>
  <si>
    <t>路面id</t>
  </si>
  <si>
    <t>海拔
init</t>
  </si>
  <si>
    <t>海拔
min</t>
  </si>
  <si>
    <t>海拔
max</t>
  </si>
  <si>
    <t>辅助列
怪物组1
id</t>
  </si>
  <si>
    <t>辅助列
怪物组2
id</t>
  </si>
  <si>
    <t>辅助列
怪物组3
id</t>
  </si>
  <si>
    <t>辅助列
怪物组4
id</t>
  </si>
  <si>
    <r>
      <rPr>
        <b/>
        <sz val="11"/>
        <color theme="1"/>
        <rFont val="等线"/>
        <family val="3"/>
        <charset val="134"/>
        <scheme val="minor"/>
      </rPr>
      <t>水面</t>
    </r>
    <r>
      <rPr>
        <sz val="11"/>
        <color theme="1"/>
        <rFont val="等线"/>
        <family val="3"/>
        <charset val="134"/>
        <scheme val="minor"/>
      </rPr>
      <t xml:space="preserve">
初始高度</t>
    </r>
  </si>
  <si>
    <r>
      <rPr>
        <b/>
        <sz val="11"/>
        <color theme="1"/>
        <rFont val="等线"/>
        <family val="3"/>
        <charset val="134"/>
        <scheme val="minor"/>
      </rPr>
      <t>水面</t>
    </r>
    <r>
      <rPr>
        <sz val="11"/>
        <color theme="1"/>
        <rFont val="等线"/>
        <family val="3"/>
        <charset val="134"/>
        <scheme val="minor"/>
      </rPr>
      <t xml:space="preserve">
path</t>
    </r>
  </si>
  <si>
    <r>
      <rPr>
        <b/>
        <sz val="11"/>
        <color theme="1"/>
        <rFont val="等线"/>
        <family val="3"/>
        <charset val="134"/>
        <scheme val="minor"/>
      </rPr>
      <t xml:space="preserve">场景
环境特效
</t>
    </r>
    <r>
      <rPr>
        <sz val="11"/>
        <color theme="1"/>
        <rFont val="等线"/>
        <family val="3"/>
        <charset val="134"/>
        <scheme val="minor"/>
      </rPr>
      <t>path</t>
    </r>
  </si>
  <si>
    <t>命名辅助</t>
  </si>
  <si>
    <r>
      <rPr>
        <b/>
        <sz val="11"/>
        <color theme="1"/>
        <rFont val="等线"/>
        <family val="3"/>
        <charset val="134"/>
        <scheme val="minor"/>
      </rPr>
      <t>进入场景
初始环境素材</t>
    </r>
    <r>
      <rPr>
        <sz val="11"/>
        <color theme="1"/>
        <rFont val="等线"/>
        <family val="3"/>
        <charset val="134"/>
        <scheme val="minor"/>
      </rPr>
      <t xml:space="preserve">
path</t>
    </r>
  </si>
  <si>
    <t>春 - 1</t>
  </si>
  <si>
    <t>汤谷</t>
  </si>
  <si>
    <t>121101~0~-1.6~1.6;121102~6.2~6~7</t>
  </si>
  <si>
    <t>water</t>
  </si>
  <si>
    <t>spring_yinghua</t>
  </si>
  <si>
    <t>大人之堂</t>
  </si>
  <si>
    <t>新手地宫</t>
  </si>
  <si>
    <t>起始篝火</t>
  </si>
  <si>
    <t>111100~0~-2~4</t>
  </si>
  <si>
    <t>initial_obj_waicheng</t>
  </si>
  <si>
    <t>美术测试</t>
  </si>
  <si>
    <t>42011~0~-0.1~2</t>
  </si>
  <si>
    <t>地宫</t>
  </si>
  <si>
    <t>1C</t>
  </si>
  <si>
    <t>1B</t>
  </si>
  <si>
    <t>1A</t>
  </si>
  <si>
    <t>大湖</t>
  </si>
  <si>
    <t>8A</t>
  </si>
  <si>
    <t>8B</t>
  </si>
  <si>
    <t>8C</t>
  </si>
  <si>
    <t>云间</t>
  </si>
  <si>
    <t>2A</t>
  </si>
  <si>
    <t>2B</t>
  </si>
  <si>
    <t>2C</t>
  </si>
  <si>
    <t>密林</t>
  </si>
  <si>
    <t>3A</t>
  </si>
  <si>
    <t>3B</t>
  </si>
  <si>
    <t>3C</t>
  </si>
  <si>
    <t>树梢</t>
  </si>
  <si>
    <t>4A</t>
  </si>
  <si>
    <t>4B</t>
  </si>
  <si>
    <t>4C</t>
  </si>
  <si>
    <t>田间</t>
  </si>
  <si>
    <t>5A</t>
  </si>
  <si>
    <t>5B</t>
  </si>
  <si>
    <t>5C</t>
  </si>
  <si>
    <t>永夜</t>
  </si>
  <si>
    <t>6A</t>
  </si>
  <si>
    <t>6B</t>
  </si>
  <si>
    <t>6C</t>
  </si>
  <si>
    <t>荒漠</t>
  </si>
  <si>
    <t>7A</t>
  </si>
  <si>
    <t>7B</t>
  </si>
  <si>
    <t>7C</t>
  </si>
  <si>
    <t>#enum spawn_type: int {RndPosition = 0,FixedDistance = 1,SubsceneRes = 2}</t>
  </si>
  <si>
    <t>group_id</t>
  </si>
  <si>
    <t>sub_id</t>
  </si>
  <si>
    <t>z_distance</t>
  </si>
  <si>
    <t>resource_path</t>
  </si>
  <si>
    <t>rnd_type</t>
  </si>
  <si>
    <t>fixed_length</t>
  </si>
  <si>
    <t>rnd_pos.x</t>
  </si>
  <si>
    <t>rnd_pos.y</t>
  </si>
  <si>
    <t>rnd_p.active</t>
  </si>
  <si>
    <t>rnd_p.muted</t>
  </si>
  <si>
    <t>resource_length</t>
  </si>
  <si>
    <t>sub_scene</t>
  </si>
  <si>
    <t>float</t>
  </si>
  <si>
    <t>string[]</t>
  </si>
  <si>
    <t>spawn_type</t>
  </si>
  <si>
    <t>(float,float)</t>
  </si>
  <si>
    <t>bool[]</t>
  </si>
  <si>
    <t>资源组
id</t>
  </si>
  <si>
    <t>资源组
子id</t>
  </si>
  <si>
    <t>编号1
max</t>
  </si>
  <si>
    <r>
      <rPr>
        <b/>
        <sz val="11"/>
        <color theme="1"/>
        <rFont val="等线"/>
        <family val="3"/>
        <charset val="134"/>
        <scheme val="minor"/>
      </rPr>
      <t xml:space="preserve">编号2
自定义
</t>
    </r>
    <r>
      <rPr>
        <i/>
        <sz val="11"/>
        <color theme="1"/>
        <rFont val="等线"/>
        <family val="3"/>
        <charset val="134"/>
        <scheme val="minor"/>
      </rPr>
      <t>当编号1为空时</t>
    </r>
  </si>
  <si>
    <r>
      <rPr>
        <b/>
        <sz val="11"/>
        <color theme="1"/>
        <rFont val="等线"/>
        <family val="3"/>
        <charset val="134"/>
        <scheme val="minor"/>
      </rPr>
      <t xml:space="preserve">个人备注
</t>
    </r>
    <r>
      <rPr>
        <i/>
        <sz val="11"/>
        <color theme="1"/>
        <rFont val="等线"/>
        <family val="3"/>
        <charset val="134"/>
        <scheme val="minor"/>
      </rPr>
      <t>不构成命名</t>
    </r>
  </si>
  <si>
    <t>被摄物距离</t>
  </si>
  <si>
    <r>
      <rPr>
        <b/>
        <sz val="11"/>
        <color theme="1"/>
        <rFont val="等线"/>
        <family val="3"/>
        <charset val="134"/>
        <scheme val="minor"/>
      </rPr>
      <t xml:space="preserve">前缀1
</t>
    </r>
    <r>
      <rPr>
        <i/>
        <sz val="11"/>
        <color theme="1"/>
        <rFont val="等线"/>
        <family val="3"/>
        <charset val="134"/>
        <scheme val="minor"/>
      </rPr>
      <t>构成命名</t>
    </r>
  </si>
  <si>
    <r>
      <rPr>
        <b/>
        <sz val="11"/>
        <color theme="1"/>
        <rFont val="等线"/>
        <family val="3"/>
        <charset val="134"/>
        <scheme val="minor"/>
      </rPr>
      <t xml:space="preserve">前缀2
</t>
    </r>
    <r>
      <rPr>
        <i/>
        <sz val="11"/>
        <color theme="1"/>
        <rFont val="等线"/>
        <family val="3"/>
        <charset val="134"/>
        <scheme val="minor"/>
      </rPr>
      <t>构成命名</t>
    </r>
  </si>
  <si>
    <t>资源folder</t>
  </si>
  <si>
    <t>资源命名辅助列
名称列表</t>
  </si>
  <si>
    <t>随机生成方式</t>
  </si>
  <si>
    <t>固定长度</t>
  </si>
  <si>
    <t>随机位移
水平</t>
  </si>
  <si>
    <t>随机位移
竖直</t>
  </si>
  <si>
    <t>概率：
连续刷出</t>
  </si>
  <si>
    <t>概率：
连续不刷出</t>
  </si>
  <si>
    <t>过宽物体辅助宽度</t>
  </si>
  <si>
    <t>会在哪些
“次级场景”
里出现</t>
  </si>
  <si>
    <r>
      <rPr>
        <b/>
        <sz val="11"/>
        <color theme="1"/>
        <rFont val="等线"/>
        <family val="3"/>
        <charset val="134"/>
        <scheme val="minor"/>
      </rPr>
      <t>辅助列</t>
    </r>
    <r>
      <rPr>
        <sz val="11"/>
        <color theme="1"/>
        <rFont val="等线"/>
        <family val="3"/>
        <charset val="134"/>
        <scheme val="minor"/>
      </rPr>
      <t xml:space="preserve">
次级场景0</t>
    </r>
  </si>
  <si>
    <r>
      <rPr>
        <b/>
        <sz val="11"/>
        <color theme="1"/>
        <rFont val="等线"/>
        <family val="3"/>
        <charset val="134"/>
        <scheme val="minor"/>
      </rPr>
      <t>辅助列</t>
    </r>
    <r>
      <rPr>
        <sz val="11"/>
        <color theme="1"/>
        <rFont val="等线"/>
        <family val="3"/>
        <charset val="134"/>
        <scheme val="minor"/>
      </rPr>
      <t xml:space="preserve">
次级场景1</t>
    </r>
  </si>
  <si>
    <r>
      <rPr>
        <b/>
        <sz val="11"/>
        <color theme="1"/>
        <rFont val="等线"/>
        <family val="3"/>
        <charset val="134"/>
        <scheme val="minor"/>
      </rPr>
      <t>辅助列</t>
    </r>
    <r>
      <rPr>
        <sz val="11"/>
        <color theme="1"/>
        <rFont val="等线"/>
        <family val="3"/>
        <charset val="134"/>
        <scheme val="minor"/>
      </rPr>
      <t xml:space="preserve">
次级场景2</t>
    </r>
  </si>
  <si>
    <r>
      <rPr>
        <b/>
        <sz val="11"/>
        <color theme="1"/>
        <rFont val="等线"/>
        <family val="3"/>
        <charset val="134"/>
        <scheme val="minor"/>
      </rPr>
      <t>辅助列</t>
    </r>
    <r>
      <rPr>
        <sz val="11"/>
        <color theme="1"/>
        <rFont val="等线"/>
        <family val="3"/>
        <charset val="134"/>
        <scheme val="minor"/>
      </rPr>
      <t xml:space="preserve">
次级场景3</t>
    </r>
  </si>
  <si>
    <r>
      <rPr>
        <b/>
        <sz val="11"/>
        <color theme="1"/>
        <rFont val="等线"/>
        <family val="3"/>
        <charset val="134"/>
        <scheme val="minor"/>
      </rPr>
      <t>辅助列</t>
    </r>
    <r>
      <rPr>
        <sz val="11"/>
        <color theme="1"/>
        <rFont val="等线"/>
        <family val="3"/>
        <charset val="134"/>
        <scheme val="minor"/>
      </rPr>
      <t xml:space="preserve">
次级场景4</t>
    </r>
  </si>
  <si>
    <r>
      <rPr>
        <b/>
        <sz val="11"/>
        <color theme="1"/>
        <rFont val="等线"/>
        <family val="3"/>
        <charset val="134"/>
        <scheme val="minor"/>
      </rPr>
      <t>辅助列</t>
    </r>
    <r>
      <rPr>
        <sz val="11"/>
        <color theme="1"/>
        <rFont val="等线"/>
        <family val="3"/>
        <charset val="134"/>
        <scheme val="minor"/>
      </rPr>
      <t xml:space="preserve">
次级场景5</t>
    </r>
  </si>
  <si>
    <r>
      <rPr>
        <b/>
        <sz val="11"/>
        <color theme="1"/>
        <rFont val="等线"/>
        <family val="3"/>
        <charset val="134"/>
        <scheme val="minor"/>
      </rPr>
      <t>辅助列</t>
    </r>
    <r>
      <rPr>
        <sz val="11"/>
        <color theme="1"/>
        <rFont val="等线"/>
        <family val="3"/>
        <charset val="134"/>
        <scheme val="minor"/>
      </rPr>
      <t xml:space="preserve">
次级场景6</t>
    </r>
  </si>
  <si>
    <r>
      <rPr>
        <b/>
        <sz val="11"/>
        <color theme="1"/>
        <rFont val="等线"/>
        <family val="3"/>
        <charset val="134"/>
        <scheme val="minor"/>
      </rPr>
      <t>辅助列</t>
    </r>
    <r>
      <rPr>
        <sz val="11"/>
        <color theme="1"/>
        <rFont val="等线"/>
        <family val="3"/>
        <charset val="134"/>
        <scheme val="minor"/>
      </rPr>
      <t xml:space="preserve">
次级场景7</t>
    </r>
  </si>
  <si>
    <r>
      <rPr>
        <b/>
        <sz val="11"/>
        <color theme="1"/>
        <rFont val="等线"/>
        <family val="3"/>
        <charset val="134"/>
        <scheme val="minor"/>
      </rPr>
      <t>辅助列</t>
    </r>
    <r>
      <rPr>
        <sz val="11"/>
        <color theme="1"/>
        <rFont val="等线"/>
        <family val="3"/>
        <charset val="134"/>
        <scheme val="minor"/>
      </rPr>
      <t xml:space="preserve">
次级场景8</t>
    </r>
  </si>
  <si>
    <t>grass</t>
  </si>
  <si>
    <t>ft</t>
  </si>
  <si>
    <t>winter</t>
  </si>
  <si>
    <t>RndPosition</t>
  </si>
  <si>
    <t>30~48</t>
  </si>
  <si>
    <t>atm</t>
  </si>
  <si>
    <t>FixedDistance</t>
  </si>
  <si>
    <t>ground</t>
  </si>
  <si>
    <t>tree</t>
  </si>
  <si>
    <t>architecture</t>
  </si>
  <si>
    <t>mountain</t>
  </si>
  <si>
    <t>cloud</t>
  </si>
  <si>
    <t>sky</t>
  </si>
  <si>
    <t>obj</t>
  </si>
  <si>
    <t>1a</t>
  </si>
  <si>
    <t>20~66</t>
  </si>
  <si>
    <t>stone</t>
  </si>
  <si>
    <t>15~77</t>
  </si>
  <si>
    <t>10~80</t>
  </si>
  <si>
    <t>10~40</t>
  </si>
  <si>
    <t>30~80</t>
  </si>
  <si>
    <t>20~48</t>
  </si>
  <si>
    <t>15~55</t>
  </si>
  <si>
    <t>16~50</t>
  </si>
  <si>
    <t>0~2</t>
  </si>
  <si>
    <t>pillar</t>
  </si>
  <si>
    <t>10~30</t>
  </si>
  <si>
    <t>20~50</t>
  </si>
  <si>
    <t>20~60</t>
  </si>
  <si>
    <t>0~2.7</t>
  </si>
  <si>
    <t>10~42</t>
  </si>
  <si>
    <t>10~32</t>
  </si>
  <si>
    <t>10~60</t>
  </si>
  <si>
    <t>20~80</t>
  </si>
  <si>
    <t>10~22</t>
  </si>
  <si>
    <t>front</t>
  </si>
  <si>
    <t>1b</t>
  </si>
  <si>
    <t>10~48</t>
  </si>
  <si>
    <t>branch</t>
  </si>
  <si>
    <t>20~52</t>
  </si>
  <si>
    <t>statu</t>
  </si>
  <si>
    <t>12~55</t>
  </si>
  <si>
    <t>5~22</t>
  </si>
  <si>
    <t>11~48</t>
  </si>
  <si>
    <t>0~3</t>
  </si>
  <si>
    <t>light</t>
  </si>
  <si>
    <t>10~33</t>
  </si>
  <si>
    <t>0~1</t>
  </si>
  <si>
    <t>archi</t>
  </si>
  <si>
    <t>1c</t>
  </si>
  <si>
    <t>50~300</t>
  </si>
  <si>
    <t>railing</t>
  </si>
  <si>
    <t>8~22</t>
  </si>
  <si>
    <t>6~22</t>
  </si>
  <si>
    <t>2~10</t>
  </si>
  <si>
    <t>wall</t>
  </si>
  <si>
    <t>20~88</t>
  </si>
  <si>
    <t>20~70</t>
  </si>
  <si>
    <t>road</t>
  </si>
  <si>
    <t>30~88</t>
  </si>
  <si>
    <t>slope</t>
  </si>
  <si>
    <t>gem</t>
  </si>
  <si>
    <t>2a</t>
  </si>
  <si>
    <t>13~48</t>
  </si>
  <si>
    <t>rail</t>
  </si>
  <si>
    <t>30~122</t>
  </si>
  <si>
    <t>stick</t>
  </si>
  <si>
    <t>2b</t>
  </si>
  <si>
    <t>14~42</t>
  </si>
  <si>
    <t>whale</t>
  </si>
  <si>
    <t>kumo</t>
  </si>
  <si>
    <t>dragon</t>
  </si>
  <si>
    <t>chain</t>
  </si>
  <si>
    <t>2c</t>
  </si>
  <si>
    <t>50~180</t>
  </si>
  <si>
    <t>40~100</t>
  </si>
  <si>
    <t>13~30</t>
  </si>
  <si>
    <t>bird</t>
  </si>
  <si>
    <t>smallstone</t>
  </si>
  <si>
    <t>16~33</t>
  </si>
  <si>
    <t>20~28</t>
  </si>
  <si>
    <t>17~33</t>
  </si>
  <si>
    <t>15~36</t>
  </si>
  <si>
    <t>3a</t>
  </si>
  <si>
    <t>86~136</t>
  </si>
  <si>
    <t>waterfall</t>
  </si>
  <si>
    <t>66~100</t>
  </si>
  <si>
    <t>bubble</t>
  </si>
  <si>
    <t>12~36</t>
  </si>
  <si>
    <t>30~66</t>
  </si>
  <si>
    <t>20~78</t>
  </si>
  <si>
    <t>16~48</t>
  </si>
  <si>
    <t>plant</t>
  </si>
  <si>
    <t>22~48</t>
  </si>
  <si>
    <t>floor</t>
  </si>
  <si>
    <t>30~100</t>
  </si>
  <si>
    <t>50~148</t>
  </si>
  <si>
    <t>pond</t>
  </si>
  <si>
    <t>12~30</t>
  </si>
  <si>
    <t>hill</t>
  </si>
  <si>
    <t>20~34</t>
  </si>
  <si>
    <t>15~22</t>
  </si>
  <si>
    <t>8~15</t>
  </si>
  <si>
    <t>smoke</t>
  </si>
  <si>
    <t>5~12</t>
  </si>
  <si>
    <t>3b</t>
  </si>
  <si>
    <t>23~58</t>
  </si>
  <si>
    <t>5~27</t>
  </si>
  <si>
    <t>trunk</t>
  </si>
  <si>
    <t>40~77</t>
  </si>
  <si>
    <t>70~148</t>
  </si>
  <si>
    <t>14~40</t>
  </si>
  <si>
    <t>35~78</t>
  </si>
  <si>
    <t>10~28</t>
  </si>
  <si>
    <t>20~33</t>
  </si>
  <si>
    <t>24~48</t>
  </si>
  <si>
    <t>trunkdeco</t>
  </si>
  <si>
    <t>4~13</t>
  </si>
  <si>
    <t>5~15</t>
  </si>
  <si>
    <t>forest</t>
  </si>
  <si>
    <t>3c</t>
  </si>
  <si>
    <t>nest</t>
  </si>
  <si>
    <t>25~68</t>
  </si>
  <si>
    <t>4~20</t>
  </si>
  <si>
    <t>leaves</t>
  </si>
  <si>
    <t>14~43</t>
  </si>
  <si>
    <t>30~78</t>
  </si>
  <si>
    <t>60~120</t>
  </si>
  <si>
    <t>5~25</t>
  </si>
  <si>
    <t>22~44</t>
  </si>
  <si>
    <t>15~30</t>
  </si>
  <si>
    <t>10~55</t>
  </si>
  <si>
    <t>12~35</t>
  </si>
  <si>
    <t>4a</t>
  </si>
  <si>
    <t>50~150</t>
  </si>
  <si>
    <t>lantern</t>
  </si>
  <si>
    <t>35~86</t>
  </si>
  <si>
    <t>8~60</t>
  </si>
  <si>
    <t>5~75</t>
  </si>
  <si>
    <t>14~65</t>
  </si>
  <si>
    <t>50~135</t>
  </si>
  <si>
    <t>stair</t>
  </si>
  <si>
    <t>5~99</t>
  </si>
  <si>
    <t>25~85</t>
  </si>
  <si>
    <t>50~105</t>
  </si>
  <si>
    <t>14~68</t>
  </si>
  <si>
    <t>7~36</t>
  </si>
  <si>
    <t>22~88</t>
  </si>
  <si>
    <t>6~40</t>
  </si>
  <si>
    <t>35~85</t>
  </si>
  <si>
    <t>17~34</t>
  </si>
  <si>
    <t>5~14</t>
  </si>
  <si>
    <t>11~24</t>
  </si>
  <si>
    <t>5~18</t>
  </si>
  <si>
    <t>4b</t>
  </si>
  <si>
    <t>6~60</t>
  </si>
  <si>
    <t>13~60</t>
  </si>
  <si>
    <t>40~80</t>
  </si>
  <si>
    <t>13~88</t>
  </si>
  <si>
    <t>60~118</t>
  </si>
  <si>
    <t>18~38</t>
  </si>
  <si>
    <t>12~38</t>
  </si>
  <si>
    <t>8~28</t>
  </si>
  <si>
    <t>8~38</t>
  </si>
  <si>
    <t>4c</t>
  </si>
  <si>
    <t>33~73</t>
  </si>
  <si>
    <t>bush</t>
  </si>
  <si>
    <t>25~50</t>
  </si>
  <si>
    <t>50~100</t>
  </si>
  <si>
    <t>35~90</t>
  </si>
  <si>
    <t>25~66</t>
  </si>
  <si>
    <t>15~34</t>
  </si>
  <si>
    <t>26~74</t>
  </si>
  <si>
    <t>15~50</t>
  </si>
  <si>
    <t>15~80</t>
  </si>
  <si>
    <t>36~60</t>
  </si>
  <si>
    <t>15~24</t>
  </si>
  <si>
    <t>25~55</t>
  </si>
  <si>
    <t>bridge</t>
  </si>
  <si>
    <t>5a</t>
  </si>
  <si>
    <t>8~48</t>
  </si>
  <si>
    <t>4~24</t>
  </si>
  <si>
    <t>68~120</t>
  </si>
  <si>
    <t>3~12</t>
  </si>
  <si>
    <t>18~60</t>
  </si>
  <si>
    <t>lake</t>
  </si>
  <si>
    <t>18~40</t>
  </si>
  <si>
    <t>house</t>
  </si>
  <si>
    <t>18~50</t>
  </si>
  <si>
    <t>2~5</t>
  </si>
  <si>
    <t>3~13</t>
  </si>
  <si>
    <t>8~47</t>
  </si>
  <si>
    <t>3~8</t>
  </si>
  <si>
    <t>6~18</t>
  </si>
  <si>
    <t>8~40</t>
  </si>
  <si>
    <t>14~33</t>
  </si>
  <si>
    <t>8~20</t>
  </si>
  <si>
    <t>2.5~8</t>
  </si>
  <si>
    <t>48~120</t>
  </si>
  <si>
    <t>16~36</t>
  </si>
  <si>
    <t>sea</t>
  </si>
  <si>
    <t>5b</t>
  </si>
  <si>
    <t>40~120</t>
  </si>
  <si>
    <t>11~38</t>
  </si>
  <si>
    <t>5~20</t>
  </si>
  <si>
    <t>groundobj</t>
  </si>
  <si>
    <t>9~18</t>
  </si>
  <si>
    <t>12~31</t>
  </si>
  <si>
    <t>8~24</t>
  </si>
  <si>
    <t>14~23</t>
  </si>
  <si>
    <t>12~16</t>
  </si>
  <si>
    <t>hugetrees</t>
  </si>
  <si>
    <t>4~8</t>
  </si>
  <si>
    <t>trees</t>
  </si>
  <si>
    <t>12~26</t>
  </si>
  <si>
    <t>5c</t>
  </si>
  <si>
    <t>field</t>
  </si>
  <si>
    <t>30~50</t>
  </si>
  <si>
    <t>8~33</t>
  </si>
  <si>
    <t>3~15</t>
  </si>
  <si>
    <t>20~40</t>
  </si>
  <si>
    <t>14~32</t>
  </si>
  <si>
    <t>16~40</t>
  </si>
  <si>
    <t>30~52</t>
  </si>
  <si>
    <t>15~20</t>
  </si>
  <si>
    <t>6a</t>
  </si>
  <si>
    <t>7~24</t>
  </si>
  <si>
    <t>64~120</t>
  </si>
  <si>
    <t>44~70</t>
  </si>
  <si>
    <t>40~85</t>
  </si>
  <si>
    <t>20~45</t>
  </si>
  <si>
    <t>36~65</t>
  </si>
  <si>
    <t>34~60</t>
  </si>
  <si>
    <t>bone</t>
  </si>
  <si>
    <t>44~120</t>
  </si>
  <si>
    <t>26~45</t>
  </si>
  <si>
    <t>sunshine</t>
  </si>
  <si>
    <t>35~70</t>
  </si>
  <si>
    <t>20~32</t>
  </si>
  <si>
    <t>35~56</t>
  </si>
  <si>
    <t>45~50</t>
  </si>
  <si>
    <t>45~90</t>
  </si>
  <si>
    <t>sparkle</t>
  </si>
  <si>
    <t>6b</t>
  </si>
  <si>
    <t>candle</t>
  </si>
  <si>
    <t>2~30</t>
  </si>
  <si>
    <t>16~42</t>
  </si>
  <si>
    <t>15~44</t>
  </si>
  <si>
    <t>fog</t>
  </si>
  <si>
    <t>36~66</t>
  </si>
  <si>
    <t>1~20</t>
  </si>
  <si>
    <t>12~40</t>
  </si>
  <si>
    <t>8~25</t>
  </si>
  <si>
    <t>15~45</t>
  </si>
  <si>
    <t>40~90</t>
  </si>
  <si>
    <t>10~25</t>
  </si>
  <si>
    <t>8~14</t>
  </si>
  <si>
    <t>6~8</t>
  </si>
  <si>
    <t>35~60</t>
  </si>
  <si>
    <t>2~4.6</t>
  </si>
  <si>
    <t>10~18</t>
  </si>
  <si>
    <t>10~12</t>
  </si>
  <si>
    <t>6c</t>
  </si>
  <si>
    <t>10~35</t>
  </si>
  <si>
    <t>land</t>
  </si>
  <si>
    <t>22~42</t>
  </si>
  <si>
    <t>35~66</t>
  </si>
  <si>
    <t>31~66</t>
  </si>
  <si>
    <t>20~36</t>
  </si>
  <si>
    <t>20~46</t>
  </si>
  <si>
    <t>star</t>
  </si>
  <si>
    <t>15~25</t>
  </si>
  <si>
    <t>7a</t>
  </si>
  <si>
    <t>12~48</t>
  </si>
  <si>
    <t>4~18</t>
  </si>
  <si>
    <t>3.5~16</t>
  </si>
  <si>
    <t>35~80</t>
  </si>
  <si>
    <t>5~16</t>
  </si>
  <si>
    <t>55~90</t>
  </si>
  <si>
    <t>18~42</t>
  </si>
  <si>
    <t>35~55</t>
  </si>
  <si>
    <t>7~28</t>
  </si>
  <si>
    <t>15~32</t>
  </si>
  <si>
    <t>12~22</t>
  </si>
  <si>
    <t>22~54</t>
  </si>
  <si>
    <t>25~54</t>
  </si>
  <si>
    <t>40~60</t>
  </si>
  <si>
    <t>moon</t>
  </si>
  <si>
    <t>7b</t>
  </si>
  <si>
    <t>15~48</t>
  </si>
  <si>
    <t>25~48</t>
  </si>
  <si>
    <t>8~26</t>
  </si>
  <si>
    <t>20~55</t>
  </si>
  <si>
    <t>13~31</t>
  </si>
  <si>
    <t>14~26</t>
  </si>
  <si>
    <t>10~24</t>
  </si>
  <si>
    <t>27~33</t>
  </si>
  <si>
    <t>7c</t>
  </si>
  <si>
    <t>30~67</t>
  </si>
  <si>
    <t>50~80</t>
  </si>
  <si>
    <t>30~60</t>
  </si>
  <si>
    <t>30~62</t>
  </si>
  <si>
    <t>30~70</t>
  </si>
  <si>
    <t>30~55</t>
  </si>
  <si>
    <t>50~72</t>
  </si>
  <si>
    <t>60~100</t>
  </si>
  <si>
    <t>50~78</t>
  </si>
  <si>
    <t>8a</t>
  </si>
  <si>
    <t>25~65</t>
  </si>
  <si>
    <t>24~42</t>
  </si>
  <si>
    <t>25~52</t>
  </si>
  <si>
    <t>16~52</t>
  </si>
  <si>
    <t>10~52</t>
  </si>
  <si>
    <t>8b</t>
  </si>
  <si>
    <t>13~33</t>
  </si>
  <si>
    <t>52~105</t>
  </si>
  <si>
    <t>22~55</t>
  </si>
  <si>
    <t>33~80</t>
  </si>
  <si>
    <t>18~44</t>
  </si>
  <si>
    <t>20~30</t>
  </si>
  <si>
    <t>8c</t>
  </si>
  <si>
    <t>24~35</t>
  </si>
  <si>
    <t>10~36</t>
  </si>
  <si>
    <t>8~18</t>
  </si>
  <si>
    <t>generate_weight</t>
  </si>
  <si>
    <t>generate_distance</t>
  </si>
  <si>
    <t>road_data_path</t>
  </si>
  <si>
    <t>hidden</t>
  </si>
  <si>
    <t>int</t>
  </si>
  <si>
    <t>bool</t>
  </si>
  <si>
    <t>组id</t>
  </si>
  <si>
    <t>子id</t>
  </si>
  <si>
    <t>备注1
世界</t>
  </si>
  <si>
    <t>备注2
关卡</t>
  </si>
  <si>
    <t>备注3
路段</t>
  </si>
  <si>
    <t>备注4
性质</t>
  </si>
  <si>
    <t>生成-权重</t>
  </si>
  <si>
    <r>
      <rPr>
        <b/>
        <sz val="11"/>
        <color theme="1"/>
        <rFont val="等线"/>
        <family val="3"/>
        <charset val="134"/>
        <scheme val="minor"/>
      </rPr>
      <t xml:space="preserve">生成-距离间隔
</t>
    </r>
    <r>
      <rPr>
        <i/>
        <sz val="9"/>
        <color theme="1"/>
        <rFont val="等线"/>
        <family val="3"/>
        <charset val="134"/>
        <scheme val="minor"/>
      </rPr>
      <t>距离内不会再次生成同一路面</t>
    </r>
  </si>
  <si>
    <r>
      <rPr>
        <b/>
        <sz val="11"/>
        <color theme="1"/>
        <rFont val="等线"/>
        <family val="3"/>
        <charset val="134"/>
        <scheme val="minor"/>
      </rPr>
      <t>路面曲线数据</t>
    </r>
    <r>
      <rPr>
        <sz val="11"/>
        <color theme="1"/>
        <rFont val="等线"/>
        <family val="3"/>
        <charset val="134"/>
        <scheme val="minor"/>
      </rPr>
      <t xml:space="preserve">
address</t>
    </r>
  </si>
  <si>
    <t>命名辅助
1</t>
  </si>
  <si>
    <t>命名辅助
2</t>
  </si>
  <si>
    <t>命名辅助
3</t>
  </si>
  <si>
    <t>平均斜率校验</t>
  </si>
  <si>
    <t>变更记录</t>
  </si>
  <si>
    <t>变更日期</t>
  </si>
  <si>
    <t>路面是否
默认隐藏</t>
  </si>
  <si>
    <t>春季世界</t>
  </si>
  <si>
    <t>x=3</t>
  </si>
  <si>
    <t>——</t>
  </si>
  <si>
    <t>spring</t>
  </si>
  <si>
    <t>tanggu_1</t>
  </si>
  <si>
    <t>tanggu_2</t>
  </si>
  <si>
    <t>栈桥</t>
  </si>
  <si>
    <t>副路面</t>
  </si>
  <si>
    <t>bridge_1</t>
  </si>
  <si>
    <t>bridge_2</t>
  </si>
  <si>
    <t>断桥</t>
  </si>
  <si>
    <t>bridge_broken_1</t>
  </si>
  <si>
    <t>bridge_broken_2</t>
  </si>
  <si>
    <t>art_road_01</t>
  </si>
  <si>
    <t>Scene id</t>
  </si>
  <si>
    <t>Scene Name</t>
  </si>
  <si>
    <t>沉睡旷野</t>
  </si>
  <si>
    <t>石墟遗林</t>
  </si>
  <si>
    <t>失落围城</t>
  </si>
  <si>
    <t>云雾山巅</t>
  </si>
  <si>
    <t>灵光天境</t>
  </si>
  <si>
    <t>倒悬天都</t>
  </si>
  <si>
    <t>果酒瀑布</t>
  </si>
  <si>
    <t>古灵之森</t>
  </si>
  <si>
    <t>枯木幻林</t>
  </si>
  <si>
    <t>青霄古城</t>
  </si>
  <si>
    <t>百花山谷</t>
  </si>
  <si>
    <t>树海天阶</t>
  </si>
  <si>
    <t>云野风歌</t>
  </si>
  <si>
    <t>丘光潋滟</t>
  </si>
  <si>
    <t>山霞叠彩</t>
  </si>
  <si>
    <t>黄昏沼泽</t>
  </si>
  <si>
    <t>幽光迷境</t>
  </si>
  <si>
    <t>天河幕下</t>
  </si>
  <si>
    <t>烈阳沙林</t>
  </si>
  <si>
    <t>地火荒原</t>
  </si>
  <si>
    <t>风吞大漠</t>
  </si>
  <si>
    <t>水天灵境</t>
  </si>
  <si>
    <t>流波群山</t>
  </si>
  <si>
    <t>bubble</t>
    <phoneticPr fontId="25" type="noConversion"/>
  </si>
  <si>
    <t>70~128</t>
    <phoneticPr fontId="25" type="noConversion"/>
  </si>
  <si>
    <t>35~68</t>
    <phoneticPr fontId="25" type="noConversion"/>
  </si>
  <si>
    <t>20~42</t>
    <phoneticPr fontId="25" type="noConversion"/>
  </si>
  <si>
    <t>18~35</t>
    <phoneticPr fontId="25" type="noConversion"/>
  </si>
  <si>
    <t>树梢</t>
    <phoneticPr fontId="25" type="noConversion"/>
  </si>
  <si>
    <t>荒漠</t>
    <phoneticPr fontId="25" type="noConversion"/>
  </si>
  <si>
    <t>7.荒漠</t>
    <phoneticPr fontId="25" type="noConversion"/>
  </si>
  <si>
    <t>8.大湖</t>
    <phoneticPr fontId="25" type="noConversion"/>
  </si>
  <si>
    <t>1.地宫</t>
    <phoneticPr fontId="25" type="noConversion"/>
  </si>
  <si>
    <t>4.树梢</t>
    <phoneticPr fontId="25" type="noConversion"/>
  </si>
  <si>
    <t>场景
序数</t>
    <phoneticPr fontId="25" type="noConversion"/>
  </si>
  <si>
    <t>场景
类型</t>
    <phoneticPr fontId="25" type="noConversion"/>
  </si>
  <si>
    <t>int</t>
    <phoneticPr fontId="25" type="noConversion"/>
  </si>
  <si>
    <t>场景编号起点</t>
    <phoneticPr fontId="25" type="noConversion"/>
  </si>
  <si>
    <t>场景编号终点</t>
    <phoneticPr fontId="25" type="noConversion"/>
  </si>
  <si>
    <t>场景类型</t>
    <phoneticPr fontId="25" type="noConversion"/>
  </si>
  <si>
    <t>初始</t>
    <phoneticPr fontId="25" type="noConversion"/>
  </si>
  <si>
    <t>普通</t>
    <phoneticPr fontId="25" type="noConversion"/>
  </si>
  <si>
    <t>精英</t>
    <phoneticPr fontId="25" type="noConversion"/>
  </si>
  <si>
    <t>最终</t>
    <phoneticPr fontId="25" type="noConversion"/>
  </si>
  <si>
    <r>
      <rPr>
        <b/>
        <sz val="11"/>
        <color theme="1"/>
        <rFont val="等线"/>
        <family val="3"/>
        <charset val="134"/>
        <scheme val="minor"/>
      </rPr>
      <t>场景路面数组</t>
    </r>
    <r>
      <rPr>
        <i/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item1-路面id
item2-初始海拔
item3-最小海拔
item4-最大海拔</t>
    </r>
    <phoneticPr fontId="25" type="noConversion"/>
  </si>
  <si>
    <r>
      <rPr>
        <b/>
        <sz val="11"/>
        <color theme="1"/>
        <rFont val="等线"/>
        <family val="3"/>
        <charset val="134"/>
        <scheme val="minor"/>
      </rPr>
      <t>场景美术资源</t>
    </r>
    <r>
      <rPr>
        <i/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scene_resource
表 id</t>
    </r>
    <phoneticPr fontId="25" type="noConversion"/>
  </si>
  <si>
    <t>辅助列
怪物组5
id</t>
  </si>
  <si>
    <t>辅助列
怪物组6
id</t>
  </si>
  <si>
    <t>辅助列
怪物组7
id</t>
  </si>
  <si>
    <t>辅助列
怪物组8
id</t>
  </si>
  <si>
    <t>辅助列
怪物组9
id</t>
  </si>
  <si>
    <t>辅助列
怪物组10
id</t>
  </si>
  <si>
    <t>辅助列
怪物组11
id</t>
  </si>
  <si>
    <t>辅助列
怪物组12
id</t>
  </si>
  <si>
    <t>怪物组
数量
合法性
校验</t>
    <phoneticPr fontId="25" type="noConversion"/>
  </si>
  <si>
    <t>大湖</t>
    <phoneticPr fontId="25" type="noConversion"/>
  </si>
  <si>
    <t>分类</t>
    <phoneticPr fontId="25" type="noConversion"/>
  </si>
  <si>
    <t>base_len</t>
    <phoneticPr fontId="25" type="noConversion"/>
  </si>
  <si>
    <t>id</t>
    <phoneticPr fontId="25" type="noConversion"/>
  </si>
  <si>
    <t>备注</t>
    <phoneticPr fontId="25" type="noConversion"/>
  </si>
  <si>
    <t>泡泡金鱼</t>
    <phoneticPr fontId="25" type="noConversion"/>
  </si>
  <si>
    <t>海藻小妖</t>
    <phoneticPr fontId="25" type="noConversion"/>
  </si>
  <si>
    <t>似目草海</t>
    <phoneticPr fontId="25" type="noConversion"/>
  </si>
  <si>
    <t>大小水母</t>
    <phoneticPr fontId="25" type="noConversion"/>
  </si>
  <si>
    <t>螃蟹埋伏</t>
    <phoneticPr fontId="25" type="noConversion"/>
  </si>
  <si>
    <t>海贝青蛙</t>
    <phoneticPr fontId="25" type="noConversion"/>
  </si>
  <si>
    <t>贝壳乌贼</t>
    <phoneticPr fontId="25" type="noConversion"/>
  </si>
  <si>
    <t>自爆水母</t>
    <phoneticPr fontId="25" type="noConversion"/>
  </si>
  <si>
    <t>青蛙草海</t>
    <phoneticPr fontId="25" type="noConversion"/>
  </si>
  <si>
    <t>缠绕水藻</t>
    <phoneticPr fontId="25" type="noConversion"/>
  </si>
  <si>
    <t>金鱼之王</t>
    <phoneticPr fontId="25" type="noConversion"/>
  </si>
  <si>
    <t>渊齿巨鱼</t>
    <phoneticPr fontId="25" type="noConversion"/>
  </si>
  <si>
    <t>长度倍率</t>
    <phoneticPr fontId="25" type="noConversion"/>
  </si>
  <si>
    <t>类型</t>
    <phoneticPr fontId="25" type="noConversion"/>
  </si>
  <si>
    <t>场景序数加成</t>
    <phoneticPr fontId="25" type="noConversion"/>
  </si>
  <si>
    <t>bgm_1a</t>
  </si>
  <si>
    <t>42011~1.85~0.8~2.2</t>
  </si>
  <si>
    <t>Correct</t>
  </si>
  <si>
    <t>bgm_4a</t>
  </si>
  <si>
    <t>42041~1.85~0.8~2.2</t>
  </si>
  <si>
    <t>bgm_7a</t>
  </si>
  <si>
    <t>42071~1.85~0.8~2.2</t>
  </si>
  <si>
    <t>bgm_8a</t>
  </si>
  <si>
    <t>42081~1.85~0.8~2.2</t>
  </si>
  <si>
    <t>基础守卫</t>
    <phoneticPr fontId="25" type="noConversion"/>
  </si>
  <si>
    <t>仙人掌群</t>
    <phoneticPr fontId="25" type="noConversion"/>
  </si>
  <si>
    <t>风滚草群</t>
    <phoneticPr fontId="25" type="noConversion"/>
  </si>
  <si>
    <t>沙漠毒蝎</t>
    <phoneticPr fontId="25" type="noConversion"/>
  </si>
  <si>
    <t xml:space="preserve"> 关卡内容 人话翻译器</t>
    <phoneticPr fontId="25" type="noConversion"/>
  </si>
  <si>
    <t>涂涂鸟群</t>
    <phoneticPr fontId="25" type="noConversion"/>
  </si>
  <si>
    <t>鬼狰幽浮</t>
    <phoneticPr fontId="25" type="noConversion"/>
  </si>
  <si>
    <t>鱼妖突袭</t>
    <phoneticPr fontId="25" type="noConversion"/>
  </si>
  <si>
    <t>画中鱼妖</t>
    <phoneticPr fontId="25" type="noConversion"/>
  </si>
  <si>
    <t>刺果鬼瓮</t>
    <phoneticPr fontId="25" type="noConversion"/>
  </si>
  <si>
    <t>(int,int)</t>
    <phoneticPr fontId="25" type="noConversion"/>
  </si>
  <si>
    <t>RS_Shop_pool</t>
    <phoneticPr fontId="25" type="noConversion"/>
  </si>
  <si>
    <t>RS_Event_pool</t>
    <phoneticPr fontId="25" type="noConversion"/>
  </si>
  <si>
    <t>dict&lt;uint,int&gt;</t>
    <phoneticPr fontId="25" type="noConversion"/>
  </si>
  <si>
    <t>2~2</t>
    <phoneticPr fontId="25" type="noConversion"/>
  </si>
  <si>
    <t>451001=1;451002=1</t>
  </si>
  <si>
    <t>451001=1;451002=1</t>
    <phoneticPr fontId="25" type="noConversion"/>
  </si>
  <si>
    <t>2~3</t>
    <phoneticPr fontId="25" type="noConversion"/>
  </si>
  <si>
    <t>选路
商店
随机池</t>
    <phoneticPr fontId="25" type="noConversion"/>
  </si>
  <si>
    <t>选路
事件
随机池</t>
    <phoneticPr fontId="25" type="noConversion"/>
  </si>
  <si>
    <t>自爆+针刺</t>
    <phoneticPr fontId="25" type="noConversion"/>
  </si>
  <si>
    <t>sub_id</t>
    <phoneticPr fontId="25" type="noConversion"/>
  </si>
  <si>
    <t>// 初始=1</t>
    <phoneticPr fontId="25" type="noConversion"/>
  </si>
  <si>
    <t>测试</t>
    <phoneticPr fontId="25" type="noConversion"/>
  </si>
  <si>
    <t>晴天</t>
    <phoneticPr fontId="25" type="noConversion"/>
  </si>
  <si>
    <t>难度0</t>
    <phoneticPr fontId="25" type="noConversion"/>
  </si>
  <si>
    <t>难度1</t>
  </si>
  <si>
    <t>难度2</t>
  </si>
  <si>
    <t>难度3</t>
  </si>
  <si>
    <t>应用场景</t>
    <phoneticPr fontId="25" type="noConversion"/>
  </si>
  <si>
    <t>1,2</t>
    <phoneticPr fontId="25" type="noConversion"/>
  </si>
  <si>
    <t>天气等级-难度对应表</t>
    <phoneticPr fontId="25" type="noConversion"/>
  </si>
  <si>
    <t>天气场景分布与初始分布</t>
    <phoneticPr fontId="25" type="noConversion"/>
  </si>
  <si>
    <t>wthr_lvl</t>
    <phoneticPr fontId="25" type="noConversion"/>
  </si>
  <si>
    <t>weather</t>
    <phoneticPr fontId="25" type="noConversion"/>
  </si>
  <si>
    <t>group_id</t>
    <phoneticPr fontId="25" type="noConversion"/>
  </si>
  <si>
    <t>01</t>
    <phoneticPr fontId="25" type="noConversion"/>
  </si>
  <si>
    <t>02</t>
    <phoneticPr fontId="25" type="noConversion"/>
  </si>
  <si>
    <t>03</t>
    <phoneticPr fontId="25" type="noConversion"/>
  </si>
  <si>
    <t>04</t>
    <phoneticPr fontId="25" type="noConversion"/>
  </si>
  <si>
    <t>05</t>
    <phoneticPr fontId="25" type="noConversion"/>
  </si>
  <si>
    <t>06</t>
    <phoneticPr fontId="25" type="noConversion"/>
  </si>
  <si>
    <t>07</t>
    <phoneticPr fontId="25" type="noConversion"/>
  </si>
  <si>
    <t>08</t>
    <phoneticPr fontId="25" type="noConversion"/>
  </si>
  <si>
    <t>09</t>
    <phoneticPr fontId="25" type="noConversion"/>
  </si>
  <si>
    <t>Demo</t>
    <phoneticPr fontId="25" type="noConversion"/>
  </si>
  <si>
    <t>Test</t>
    <phoneticPr fontId="25" type="noConversion"/>
  </si>
  <si>
    <t>RS_icon</t>
    <phoneticPr fontId="25" type="noConversion"/>
  </si>
  <si>
    <t>string</t>
    <phoneticPr fontId="25" type="noConversion"/>
  </si>
  <si>
    <r>
      <t xml:space="preserve">选路icon
</t>
    </r>
    <r>
      <rPr>
        <i/>
        <sz val="10"/>
        <color theme="1"/>
        <rFont val="等线"/>
        <family val="3"/>
        <charset val="134"/>
        <scheme val="minor"/>
      </rPr>
      <t>选路时出现在望远镜中的图片</t>
    </r>
    <phoneticPr fontId="25" type="noConversion"/>
  </si>
  <si>
    <t>备注
世界</t>
    <phoneticPr fontId="25" type="noConversion"/>
  </si>
  <si>
    <t>备注
定级</t>
    <phoneticPr fontId="25" type="noConversion"/>
  </si>
  <si>
    <t>初始金鱼</t>
    <phoneticPr fontId="25" type="noConversion"/>
  </si>
  <si>
    <t>loot_drop_coef</t>
    <phoneticPr fontId="25" type="noConversion"/>
  </si>
  <si>
    <t>RS_MG_num</t>
    <phoneticPr fontId="25" type="noConversion"/>
  </si>
  <si>
    <t>选路
怪物组
数量</t>
    <phoneticPr fontId="25" type="noConversion"/>
  </si>
  <si>
    <t>RS_MG_pool</t>
    <phoneticPr fontId="25" type="noConversion"/>
  </si>
  <si>
    <t>选路ui文本</t>
    <phoneticPr fontId="25" type="noConversion"/>
  </si>
  <si>
    <t>海藻小妖</t>
  </si>
  <si>
    <t>贝壳乌贼</t>
  </si>
  <si>
    <t>自爆水母</t>
  </si>
  <si>
    <t>泡泡金鱼</t>
  </si>
  <si>
    <t>两种水母</t>
    <phoneticPr fontId="25" type="noConversion"/>
  </si>
  <si>
    <t>脑水母</t>
    <phoneticPr fontId="25" type="noConversion"/>
  </si>
  <si>
    <t>河蚌与青蛙</t>
    <phoneticPr fontId="25" type="noConversion"/>
  </si>
  <si>
    <t>似目草与青蛙</t>
    <phoneticPr fontId="25" type="noConversion"/>
  </si>
  <si>
    <r>
      <t xml:space="preserve">怪物组随机池
</t>
    </r>
    <r>
      <rPr>
        <sz val="11"/>
        <color theme="1"/>
        <rFont val="等线"/>
        <family val="3"/>
        <charset val="134"/>
        <scheme val="minor"/>
      </rPr>
      <t xml:space="preserve">(怪物组id~随机权重~长度~选路ui文本)[]
</t>
    </r>
    <r>
      <rPr>
        <b/>
        <sz val="11"/>
        <color theme="1"/>
        <rFont val="等线"/>
        <family val="3"/>
        <charset val="134"/>
        <scheme val="minor"/>
      </rPr>
      <t>(uint,int,float,string)[]</t>
    </r>
    <phoneticPr fontId="25" type="noConversion"/>
  </si>
  <si>
    <t>MG_pursuing</t>
    <phoneticPr fontId="25" type="noConversion"/>
  </si>
  <si>
    <t>追兵怪物组</t>
    <phoneticPr fontId="25" type="noConversion"/>
  </si>
  <si>
    <t>1~2</t>
    <phoneticPr fontId="25" type="noConversion"/>
  </si>
  <si>
    <t>uint</t>
    <phoneticPr fontId="25" type="noConversion"/>
  </si>
  <si>
    <r>
      <rPr>
        <b/>
        <sz val="11"/>
        <color theme="1"/>
        <rFont val="等线"/>
        <family val="3"/>
        <charset val="134"/>
        <scheme val="minor"/>
      </rPr>
      <t>场景天气</t>
    </r>
    <r>
      <rPr>
        <i/>
        <sz val="11"/>
        <color theme="1"/>
        <rFont val="等线"/>
        <family val="3"/>
        <charset val="134"/>
        <scheme val="minor"/>
      </rPr>
      <t xml:space="preserve">
</t>
    </r>
    <r>
      <rPr>
        <i/>
        <sz val="10"/>
        <color theme="1"/>
        <rFont val="等线"/>
        <family val="3"/>
        <charset val="134"/>
        <scheme val="minor"/>
      </rPr>
      <t>item1-天气组 group_id
item2-天气组 sub_id
item3-随机权重
item4-UI提示文本的翻译表key</t>
    </r>
    <r>
      <rPr>
        <sz val="11"/>
        <color theme="1"/>
        <rFont val="等线"/>
        <family val="3"/>
        <charset val="134"/>
        <scheme val="minor"/>
      </rPr>
      <t xml:space="preserve">
</t>
    </r>
    <r>
      <rPr>
        <b/>
        <sz val="11"/>
        <color theme="1"/>
        <rFont val="等线"/>
        <family val="3"/>
        <charset val="134"/>
        <scheme val="minor"/>
      </rPr>
      <t>(uint,int,int,string)[]</t>
    </r>
    <phoneticPr fontId="25" type="noConversion"/>
  </si>
  <si>
    <t>0</t>
    <phoneticPr fontId="25" type="noConversion"/>
  </si>
  <si>
    <t>10</t>
    <phoneticPr fontId="25" type="noConversion"/>
  </si>
  <si>
    <t>11</t>
    <phoneticPr fontId="25" type="noConversion"/>
  </si>
  <si>
    <t>12</t>
    <phoneticPr fontId="25" type="noConversion"/>
  </si>
  <si>
    <t>13</t>
    <phoneticPr fontId="25" type="noConversion"/>
  </si>
  <si>
    <t>02</t>
  </si>
  <si>
    <t>03</t>
  </si>
  <si>
    <t>04</t>
  </si>
  <si>
    <t>05</t>
  </si>
  <si>
    <t>06</t>
  </si>
  <si>
    <t>07</t>
  </si>
  <si>
    <t>08</t>
  </si>
  <si>
    <t>09</t>
  </si>
  <si>
    <t>晴空万里</t>
    <phoneticPr fontId="25" type="noConversion"/>
  </si>
  <si>
    <t>晴转阴</t>
    <phoneticPr fontId="25" type="noConversion"/>
  </si>
  <si>
    <t>阴</t>
    <phoneticPr fontId="25" type="noConversion"/>
  </si>
  <si>
    <t>晴转小雨</t>
    <phoneticPr fontId="25" type="noConversion"/>
  </si>
  <si>
    <t>阴转小雨</t>
    <phoneticPr fontId="25" type="noConversion"/>
  </si>
  <si>
    <t>小雨</t>
    <phoneticPr fontId="25" type="noConversion"/>
  </si>
  <si>
    <t>晴转大雨</t>
    <phoneticPr fontId="25" type="noConversion"/>
  </si>
  <si>
    <t>阴转大雨</t>
    <phoneticPr fontId="25" type="noConversion"/>
  </si>
  <si>
    <t>小雨渐大</t>
    <phoneticPr fontId="25" type="noConversion"/>
  </si>
  <si>
    <t>大雨倾盆</t>
    <phoneticPr fontId="25" type="noConversion"/>
  </si>
  <si>
    <t>晴转雷暴雨</t>
    <phoneticPr fontId="25" type="noConversion"/>
  </si>
  <si>
    <t>阴转雷暴雨</t>
    <phoneticPr fontId="25" type="noConversion"/>
  </si>
  <si>
    <t>大雨转雷暴雨</t>
    <phoneticPr fontId="25" type="noConversion"/>
  </si>
  <si>
    <t>雷暴雨</t>
    <phoneticPr fontId="25" type="noConversion"/>
  </si>
  <si>
    <t>小雨转雷暴雨</t>
    <phoneticPr fontId="25" type="noConversion"/>
  </si>
  <si>
    <t>大湖：所有天气的选路描述</t>
    <phoneticPr fontId="25" type="noConversion"/>
  </si>
  <si>
    <t>group\sub</t>
    <phoneticPr fontId="25" type="noConversion"/>
  </si>
  <si>
    <t>正式数据</t>
    <phoneticPr fontId="25" type="noConversion"/>
  </si>
  <si>
    <t>样例及公式记录</t>
    <phoneticPr fontId="25" type="noConversion"/>
  </si>
  <si>
    <t>样例</t>
    <phoneticPr fontId="25" type="noConversion"/>
  </si>
  <si>
    <t>旧版本废弃数据</t>
    <phoneticPr fontId="25" type="noConversion"/>
  </si>
  <si>
    <t>tb_weather_distribution</t>
    <phoneticPr fontId="25" type="noConversion"/>
  </si>
  <si>
    <t>tb_weather_subid</t>
    <phoneticPr fontId="25" type="noConversion"/>
  </si>
  <si>
    <t>tb_weather_info_08</t>
    <phoneticPr fontId="25" type="noConversion"/>
  </si>
  <si>
    <t>RS_Weather_pool</t>
    <phoneticPr fontId="25" type="noConversion"/>
  </si>
  <si>
    <t>enemy_hp_mod</t>
    <phoneticPr fontId="25" type="noConversion"/>
  </si>
  <si>
    <r>
      <t xml:space="preserve">怪物
血量
修正系数
</t>
    </r>
    <r>
      <rPr>
        <i/>
        <sz val="10"/>
        <color theme="1"/>
        <rFont val="等线"/>
        <family val="3"/>
        <charset val="134"/>
        <scheme val="minor"/>
      </rPr>
      <t>千分比</t>
    </r>
    <phoneticPr fontId="25" type="noConversion"/>
  </si>
  <si>
    <r>
      <t xml:space="preserve">怪物
战利品爆率
修正系数
</t>
    </r>
    <r>
      <rPr>
        <i/>
        <sz val="10"/>
        <color theme="1"/>
        <rFont val="等线"/>
        <family val="3"/>
        <charset val="134"/>
        <scheme val="minor"/>
      </rPr>
      <t>千分比</t>
    </r>
    <phoneticPr fontId="25" type="noConversion"/>
  </si>
  <si>
    <t>scene_index</t>
    <phoneticPr fontId="25" type="noConversion"/>
  </si>
  <si>
    <t>hp_mod</t>
    <phoneticPr fontId="25" type="noConversion"/>
  </si>
  <si>
    <t>enemy战力修正</t>
    <phoneticPr fontId="25" type="noConversion"/>
  </si>
  <si>
    <t>拦路乌贼</t>
    <phoneticPr fontId="25" type="noConversion"/>
  </si>
  <si>
    <t>陆行乌贼</t>
    <phoneticPr fontId="25" type="noConversion"/>
  </si>
  <si>
    <t>(uint,int,float,string)[]</t>
    <phoneticPr fontId="25" type="noConversion"/>
  </si>
  <si>
    <t>RS_num</t>
    <phoneticPr fontId="25" type="noConversion"/>
  </si>
  <si>
    <t>选路
路线
随机数量</t>
    <phoneticPr fontId="25" type="noConversion"/>
  </si>
  <si>
    <t>1~1</t>
    <phoneticPr fontId="25" type="noConversion"/>
  </si>
  <si>
    <t>uint key</t>
    <phoneticPr fontId="25" type="noConversion"/>
  </si>
  <si>
    <t>shop_list</t>
    <phoneticPr fontId="25" type="noConversion"/>
  </si>
  <si>
    <t>商店组
id</t>
    <phoneticPr fontId="25" type="noConversion"/>
  </si>
  <si>
    <t>商店列表</t>
    <phoneticPr fontId="25" type="noConversion"/>
  </si>
  <si>
    <t>string[]</t>
    <phoneticPr fontId="25" type="noConversion"/>
  </si>
  <si>
    <t>role</t>
  </si>
  <si>
    <t>repair</t>
  </si>
  <si>
    <t>device</t>
    <phoneticPr fontId="25" type="noConversion"/>
  </si>
  <si>
    <t>权重</t>
    <phoneticPr fontId="25" type="noConversion"/>
  </si>
  <si>
    <t>relic</t>
    <phoneticPr fontId="25" type="noConversion"/>
  </si>
  <si>
    <t>商店权重</t>
    <phoneticPr fontId="25" type="noConversion"/>
  </si>
  <si>
    <t>最终权重</t>
    <phoneticPr fontId="25" type="noConversion"/>
  </si>
  <si>
    <t>role</t>
    <phoneticPr fontId="25" type="noConversion"/>
  </si>
  <si>
    <t>repair</t>
    <phoneticPr fontId="25" type="noConversion"/>
  </si>
  <si>
    <t>Empty</t>
    <phoneticPr fontId="25" type="noConversion"/>
  </si>
  <si>
    <t>(uint,int,int,string)[]</t>
  </si>
  <si>
    <t>dict&lt;uint,int&gt;</t>
  </si>
  <si>
    <t>0_raw_text</t>
    <phoneticPr fontId="25" type="noConversion"/>
  </si>
  <si>
    <t>10_raw_text</t>
    <phoneticPr fontId="25" type="noConversion"/>
  </si>
  <si>
    <t>11_raw_text</t>
    <phoneticPr fontId="25" type="noConversion"/>
  </si>
  <si>
    <t>12_raw_text</t>
    <phoneticPr fontId="25" type="noConversion"/>
  </si>
  <si>
    <t>13_raw_text</t>
    <phoneticPr fontId="25" type="noConversion"/>
  </si>
  <si>
    <t>0_color</t>
    <phoneticPr fontId="25" type="noConversion"/>
  </si>
  <si>
    <t>10_color</t>
    <phoneticPr fontId="25" type="noConversion"/>
  </si>
  <si>
    <t>11_color</t>
    <phoneticPr fontId="25" type="noConversion"/>
  </si>
  <si>
    <t>12_color</t>
    <phoneticPr fontId="25" type="noConversion"/>
  </si>
  <si>
    <t>13_color</t>
    <phoneticPr fontId="25" type="noConversion"/>
  </si>
  <si>
    <t>red</t>
    <phoneticPr fontId="25" type="noConversion"/>
  </si>
  <si>
    <t>orange</t>
    <phoneticPr fontId="25" type="noConversion"/>
  </si>
  <si>
    <t>grey</t>
    <phoneticPr fontId="25" type="noConversion"/>
  </si>
  <si>
    <t>#999900</t>
    <phoneticPr fontId="25" type="noConversion"/>
  </si>
  <si>
    <t>purple</t>
    <phoneticPr fontId="25" type="noConversion"/>
  </si>
  <si>
    <t>参考ui字色</t>
    <phoneticPr fontId="25" type="noConversion"/>
  </si>
  <si>
    <t>选路ui字色</t>
    <phoneticPr fontId="25" type="noConversion"/>
  </si>
  <si>
    <t>#007328</t>
    <phoneticPr fontId="25" type="noConversion"/>
  </si>
  <si>
    <t>河滩螃蟹</t>
    <phoneticPr fontId="25" type="noConversion"/>
  </si>
  <si>
    <t>大钳螃蟹群</t>
    <phoneticPr fontId="25" type="noConversion"/>
  </si>
  <si>
    <t>小螃蟹群</t>
    <phoneticPr fontId="25" type="noConversion"/>
  </si>
  <si>
    <t>聒噪海贝</t>
    <phoneticPr fontId="25" type="noConversion"/>
  </si>
  <si>
    <t>滩涂海贝</t>
    <phoneticPr fontId="25" type="noConversion"/>
  </si>
  <si>
    <t>似目草海(+海贝)</t>
    <phoneticPr fontId="25" type="noConversion"/>
  </si>
  <si>
    <t>猎手草丛</t>
    <phoneticPr fontId="25" type="noConversion"/>
  </si>
  <si>
    <t>似目草草海</t>
    <phoneticPr fontId="25" type="noConversion"/>
  </si>
  <si>
    <t>450802=1</t>
  </si>
  <si>
    <t>450803=1</t>
  </si>
  <si>
    <t>450804=1</t>
  </si>
  <si>
    <t>450805=1</t>
  </si>
  <si>
    <t>450806=1</t>
  </si>
  <si>
    <t>450807=1</t>
  </si>
  <si>
    <t>450808=1</t>
  </si>
  <si>
    <t>450809=1</t>
  </si>
  <si>
    <t>450810=1</t>
  </si>
  <si>
    <t>450811=1</t>
  </si>
  <si>
    <t>450812=1</t>
  </si>
  <si>
    <t>450813=1</t>
  </si>
  <si>
    <t>450814=1</t>
  </si>
  <si>
    <t>450815=1</t>
  </si>
  <si>
    <t>450816=1</t>
  </si>
  <si>
    <t>450817=1</t>
  </si>
  <si>
    <t>450818=1</t>
  </si>
  <si>
    <t>450819=1</t>
  </si>
  <si>
    <t>450801=1</t>
    <phoneticPr fontId="25" type="noConversion"/>
  </si>
  <si>
    <t>450854=1</t>
  </si>
  <si>
    <t>450855=1</t>
  </si>
  <si>
    <t>450856=1</t>
  </si>
  <si>
    <t>450857=1</t>
  </si>
  <si>
    <t>450858=1</t>
  </si>
  <si>
    <t>450859=1</t>
  </si>
  <si>
    <t>450860=1</t>
  </si>
  <si>
    <t>450861=1</t>
  </si>
  <si>
    <t>450862=1</t>
  </si>
  <si>
    <t>450863=1</t>
  </si>
  <si>
    <t>450864=1</t>
  </si>
  <si>
    <t>450865=1</t>
  </si>
  <si>
    <t>450866=1</t>
  </si>
  <si>
    <t>450867=1</t>
  </si>
  <si>
    <t>450868=1</t>
  </si>
  <si>
    <t>450869=1</t>
    <phoneticPr fontId="25" type="noConversion"/>
  </si>
  <si>
    <t>场景序数</t>
    <phoneticPr fontId="25" type="noConversion"/>
  </si>
  <si>
    <t>设备商店</t>
    <phoneticPr fontId="25" type="noConversion"/>
  </si>
  <si>
    <t>角色商店</t>
    <phoneticPr fontId="25" type="noConversion"/>
  </si>
  <si>
    <t>遗物商店</t>
    <phoneticPr fontId="25" type="noConversion"/>
  </si>
  <si>
    <t>遗物奖励</t>
    <phoneticPr fontId="25" type="noConversion"/>
  </si>
  <si>
    <t>修车铺</t>
    <phoneticPr fontId="25" type="noConversion"/>
  </si>
  <si>
    <t>初始场景</t>
    <phoneticPr fontId="25" type="noConversion"/>
  </si>
  <si>
    <t>必定出现</t>
    <phoneticPr fontId="25" type="noConversion"/>
  </si>
  <si>
    <t>不可能</t>
    <phoneticPr fontId="25" type="noConversion"/>
  </si>
  <si>
    <t>——</t>
    <phoneticPr fontId="25" type="noConversion"/>
  </si>
  <si>
    <t>几率出现</t>
    <phoneticPr fontId="25" type="noConversion"/>
  </si>
  <si>
    <t>最终场景</t>
    <phoneticPr fontId="25" type="noConversion"/>
  </si>
  <si>
    <t>bool_to_01</t>
    <phoneticPr fontId="25" type="noConversion"/>
  </si>
  <si>
    <t>elite_relic</t>
    <phoneticPr fontId="25" type="noConversion"/>
  </si>
  <si>
    <t>0~0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</si>
</sst>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i/>
      <sz val="11"/>
      <color theme="6"/>
      <name val="等线"/>
      <family val="3"/>
      <charset val="134"/>
      <scheme val="minor"/>
    </font>
    <font>
      <i/>
      <sz val="11"/>
      <color theme="9"/>
      <name val="等线"/>
      <family val="3"/>
      <charset val="134"/>
      <scheme val="minor"/>
    </font>
    <font>
      <i/>
      <sz val="11"/>
      <color theme="8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0"/>
      <color theme="8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 tint="0.499984740745262"/>
      <name val="等线"/>
      <family val="3"/>
      <charset val="134"/>
      <scheme val="minor"/>
    </font>
    <font>
      <sz val="11"/>
      <color theme="8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5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theme="0" tint="-0.499984740745262"/>
      <name val="等线"/>
      <family val="3"/>
      <charset val="134"/>
      <scheme val="minor"/>
    </font>
    <font>
      <sz val="11"/>
      <color theme="1" tint="0.499984740745262"/>
      <name val="等线"/>
      <family val="3"/>
      <charset val="134"/>
      <scheme val="minor"/>
    </font>
    <font>
      <i/>
      <sz val="11"/>
      <color theme="1" tint="0.499984740745262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i/>
      <sz val="11"/>
      <color theme="0"/>
      <name val="等线"/>
      <family val="3"/>
      <charset val="134"/>
      <scheme val="minor"/>
    </font>
    <font>
      <i/>
      <sz val="11"/>
      <color theme="5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i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i/>
      <sz val="10"/>
      <color theme="1"/>
      <name val="等线"/>
      <family val="3"/>
      <charset val="134"/>
      <scheme val="minor"/>
    </font>
    <font>
      <i/>
      <sz val="10"/>
      <color theme="1" tint="0.499984740745262"/>
      <name val="等线"/>
      <family val="3"/>
      <charset val="134"/>
      <scheme val="minor"/>
    </font>
    <font>
      <b/>
      <i/>
      <sz val="11"/>
      <color theme="1" tint="0.499984740745262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i/>
      <sz val="11"/>
      <color rgb="FF0070C0"/>
      <name val="等线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5576B"/>
        <bgColor indexed="64"/>
      </patternFill>
    </fill>
    <fill>
      <patternFill patternType="solid">
        <fgColor rgb="FFC1E1D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7FCD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9E7A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BFEC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4" fillId="0" borderId="0"/>
  </cellStyleXfs>
  <cellXfs count="111">
    <xf numFmtId="0" fontId="0" fillId="0" borderId="0" xfId="0"/>
    <xf numFmtId="0" fontId="24" fillId="0" borderId="0" xfId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18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18" fillId="7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4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0" fillId="10" borderId="0" xfId="0" applyFill="1"/>
    <xf numFmtId="0" fontId="18" fillId="10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0" fontId="22" fillId="3" borderId="0" xfId="0" applyFont="1" applyFill="1" applyAlignment="1">
      <alignment horizontal="center" vertical="center" wrapText="1"/>
    </xf>
    <xf numFmtId="0" fontId="18" fillId="11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2" fillId="0" borderId="0" xfId="0" quotePrefix="1" applyFont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27" fillId="14" borderId="0" xfId="0" applyFont="1" applyFill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2" fillId="15" borderId="0" xfId="0" quotePrefix="1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19" fillId="16" borderId="0" xfId="0" applyFont="1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22" fillId="17" borderId="0" xfId="0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 wrapText="1"/>
    </xf>
    <xf numFmtId="0" fontId="30" fillId="3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2" fillId="18" borderId="3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85">
    <dxf>
      <fill>
        <patternFill>
          <bgColor rgb="FFFF0000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 tint="-0.24994659260841701"/>
        </patternFill>
      </fill>
    </dxf>
    <dxf>
      <fill>
        <patternFill patternType="solid">
          <bgColor theme="6" tint="-0.24994659260841701"/>
        </patternFill>
      </fill>
    </dxf>
    <dxf>
      <font>
        <color rgb="FFC00000"/>
      </font>
      <fill>
        <patternFill>
          <bgColor rgb="FFB5576B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等线"/>
        <charset val="13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B5576B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B5576B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1E1D9"/>
      <color rgb="FFCCFFCC"/>
      <color rgb="FFCCFF99"/>
      <color rgb="FFB557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D95714-D7AC-40C1-9FA3-B919718B4ED5}" name="tb_mg" displayName="tb_mg" ref="F3:K37" totalsRowShown="0" headerRowDxfId="84">
  <autoFilter ref="F3:K37" xr:uid="{A1D95714-D7AC-40C1-9FA3-B919718B4ED5}"/>
  <tableColumns count="6">
    <tableColumn id="1" xr3:uid="{C2866887-A74A-421B-A405-A9E4CB95A033}" name="id" dataDxfId="83"/>
    <tableColumn id="2" xr3:uid="{9FC4BBA7-BF14-4C66-8D0A-2A651C15767A}" name="分类" dataDxfId="82"/>
    <tableColumn id="3" xr3:uid="{4FCBC61E-B420-48A5-90EC-0F82252EE55F}" name="备注" dataDxfId="81"/>
    <tableColumn id="4" xr3:uid="{317A4C87-51C0-454A-BB3E-1DC1C5704C22}" name="base_len" dataDxfId="80"/>
    <tableColumn id="5" xr3:uid="{168FD4AE-6A3D-4ADB-A523-95A189B88E88}" name="选路ui文本" dataDxfId="79"/>
    <tableColumn id="6" xr3:uid="{EAFE57D0-BA37-4CB3-9DC0-6F0F825B3187}" name="选路ui字色" dataDxfId="78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C58042-E4E2-43C7-8343-C4925C1256C0}" name="tb_scene_type" displayName="tb_scene_type" ref="A3:C9" totalsRowShown="0" headerRowDxfId="77">
  <autoFilter ref="A3:C9" xr:uid="{8DC58042-E4E2-43C7-8343-C4925C1256C0}"/>
  <tableColumns count="3">
    <tableColumn id="1" xr3:uid="{CA1E2E12-8B66-464F-B900-E4AE5CB8987B}" name="类型" dataDxfId="76"/>
    <tableColumn id="2" xr3:uid="{4AE8D5CB-5A6A-4C52-A0D1-D6048DA1DF68}" name="长度倍率" dataDxfId="75"/>
    <tableColumn id="3" xr3:uid="{A066195E-9419-4949-8107-FA306DE3F6E0}" name="场景序数加成" dataDxfId="7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F69E05D-4087-4C43-9FFD-2B7E68E17F68}" name="tb_enemy_mod" displayName="tb_enemy_mod" ref="A15:B35" totalsRowShown="0" headerRowDxfId="73" dataDxfId="72">
  <autoFilter ref="A15:B35" xr:uid="{1F69E05D-4087-4C43-9FFD-2B7E68E17F68}"/>
  <tableColumns count="2">
    <tableColumn id="1" xr3:uid="{3E4AD3D3-388C-4581-AC45-2CDAE60E5161}" name="scene_index" dataDxfId="71"/>
    <tableColumn id="2" xr3:uid="{81E73D5B-A90E-4716-BD8D-2D69CD735AEE}" name="hp_mod" dataDxfId="70"/>
  </tableColumns>
  <tableStyleInfo name="TableStyleDark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2C8251-6757-4002-9425-898975143A8B}" name="tb_weather_distribution" displayName="tb_weather_distribution" ref="A16:H36" totalsRowShown="0" headerRowDxfId="69" dataDxfId="68">
  <autoFilter ref="A16:H36" xr:uid="{852C8251-6757-4002-9425-898975143A8B}"/>
  <tableColumns count="8">
    <tableColumn id="1" xr3:uid="{B6004F50-A041-4DA0-832F-2E9CB15F620F}" name="wthr_lvl" dataDxfId="67"/>
    <tableColumn id="7" xr3:uid="{8059A111-47F1-471F-A276-F616E54BBA1B}" name="应用场景" dataDxfId="66"/>
    <tableColumn id="8" xr3:uid="{B1786AD2-3682-4C79-9980-81B8133B6E58}" name="group_id" dataDxfId="65"/>
    <tableColumn id="2" xr3:uid="{92685D7B-7F03-4C62-A8EF-4EFC2FEF3DD5}" name="晴天" dataDxfId="64"/>
    <tableColumn id="3" xr3:uid="{CF3F7EF6-4E70-45EE-8158-EFA2E8D3F125}" name="难度0" dataDxfId="63"/>
    <tableColumn id="4" xr3:uid="{04CE25B7-FDEB-47E4-8E9A-D067AE3C7F4A}" name="难度1" dataDxfId="62"/>
    <tableColumn id="5" xr3:uid="{E4B86584-0A00-45A5-A083-431A8AB85ED6}" name="难度2" dataDxfId="61"/>
    <tableColumn id="6" xr3:uid="{D4CE8C6F-40E0-49D1-AC4C-A0A24AB45B74}" name="难度3" dataDxfId="60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8E6929-D958-412E-80B5-5FFA409F6437}" name="tb_weather_subid" displayName="tb_weather_subid" ref="A5:C10" totalsRowShown="0" headerRowDxfId="59">
  <autoFilter ref="A5:C10" xr:uid="{6D8E6929-D958-412E-80B5-5FFA409F6437}"/>
  <tableColumns count="3">
    <tableColumn id="1" xr3:uid="{8D9B719C-6E97-4CF8-A163-4FEC52BA3BEB}" name="weather" dataDxfId="58"/>
    <tableColumn id="2" xr3:uid="{7FB7B6CE-4D09-4E1F-893E-9193EEFE9CD6}" name="sub_id" dataDxfId="57"/>
    <tableColumn id="3" xr3:uid="{ED20CA11-211E-4408-A6BA-6070827E2AE9}" name="参考ui字色" dataDxfId="5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ACD74BD-1B9C-40A5-80EC-36603B387BBA}" name="tb_weather_info_08" displayName="tb_weather_info_08" ref="J15:Y24" totalsRowShown="0" headerRowDxfId="55">
  <autoFilter ref="J15:Y24" xr:uid="{AACD74BD-1B9C-40A5-80EC-36603B387BBA}"/>
  <tableColumns count="16">
    <tableColumn id="6" xr3:uid="{7FA5B341-0ECA-4391-A245-C6FBA44A04AC}" name="group\sub" dataDxfId="54"/>
    <tableColumn id="5" xr3:uid="{5A039858-3281-4F7B-B874-BAD53978DB07}" name="0" dataDxfId="53">
      <calculatedColumnFormula array="1">_xlfn.LET(_xlpm._text,tb_weather_info_08[[#This Row],[0_raw_text]],
_xlpm._color,tb_weather_info_08[[#This Row],[0_color]],
_xlfn.IFS(_xlpm._text="","",_xlpm._color="",_xlpm._text,TRUE,_xlfn.CONCAT("&lt;color=",_xlpm._color,"&gt;",_xlpm._text,"&lt;/color&gt;")))</calculatedColumnFormula>
    </tableColumn>
    <tableColumn id="8" xr3:uid="{AD2CD4A9-4CB4-4E69-93F9-41E2C1B466BF}" name="10" dataDxfId="52">
      <calculatedColumnFormula array="1">_xlfn.LET(_xlpm._text,tb_weather_info_08[[#This Row],[10_raw_text]],
_xlpm._color,tb_weather_info_08[[#This Row],[10_color]],
_xlfn.IFS(_xlpm._text="","",_xlpm._color="",_xlpm._text,TRUE,_xlfn.CONCAT("&lt;color=",_xlpm._color,"&gt;",_xlpm._text,"&lt;/color&gt;")))</calculatedColumnFormula>
    </tableColumn>
    <tableColumn id="9" xr3:uid="{D9C02418-44F4-4166-85D2-42F1DBAABB80}" name="11" dataDxfId="51">
      <calculatedColumnFormula array="1">_xlfn.LET(_xlpm._text,tb_weather_info_08[[#This Row],[11_raw_text]],
_xlpm._color,tb_weather_info_08[[#This Row],[11_color]],
_xlfn.IFS(_xlpm._text="","",_xlpm._color="",_xlpm._text,TRUE,_xlfn.CONCAT("&lt;color=",_xlpm._color,"&gt;",_xlpm._text,"&lt;/color&gt;")))</calculatedColumnFormula>
    </tableColumn>
    <tableColumn id="10" xr3:uid="{459E6571-CF43-4AE4-A228-4D410C871F26}" name="12" dataDxfId="50">
      <calculatedColumnFormula array="1">_xlfn.LET(_xlpm._text,tb_weather_info_08[[#This Row],[12_raw_text]],
_xlpm._color,tb_weather_info_08[[#This Row],[12_color]],
_xlfn.IFS(_xlpm._text="","",_xlpm._color="",_xlpm._text,TRUE,_xlfn.CONCAT("&lt;color=",_xlpm._color,"&gt;",_xlpm._text,"&lt;/color&gt;")))</calculatedColumnFormula>
    </tableColumn>
    <tableColumn id="11" xr3:uid="{9B524096-C4BF-43A0-9EE6-2AAD09E70157}" name="13" dataDxfId="49">
      <calculatedColumnFormula array="1">_xlfn.LET(_xlpm._text,tb_weather_info_08[[#This Row],[13_raw_text]],
_xlpm._color,tb_weather_info_08[[#This Row],[13_color]],
_xlfn.IFS(_xlpm._text="","",_xlpm._color="",_xlpm._text,TRUE,_xlfn.CONCAT("&lt;color=",_xlpm._color,"&gt;",_xlpm._text,"&lt;/color&gt;")))</calculatedColumnFormula>
    </tableColumn>
    <tableColumn id="1" xr3:uid="{03A2C975-D307-4742-BE35-FFA6BD2E2898}" name="0_raw_text" dataDxfId="48"/>
    <tableColumn id="2" xr3:uid="{80B682F9-5F6F-4A25-BC7E-F097A651F6A0}" name="10_raw_text" dataDxfId="47"/>
    <tableColumn id="3" xr3:uid="{09090704-213E-44A1-A9EE-3A0625BA5032}" name="11_raw_text" dataDxfId="46"/>
    <tableColumn id="4" xr3:uid="{9C6F9D88-F1B9-4D8F-BA35-BC8DD6DC14FF}" name="12_raw_text" dataDxfId="45"/>
    <tableColumn id="7" xr3:uid="{772ADF76-F0F1-4C34-AB7B-8818B7E5A070}" name="13_raw_text" dataDxfId="44"/>
    <tableColumn id="12" xr3:uid="{A191E9B2-90CB-4C6A-8ABC-CAE4EF271208}" name="0_color" dataDxfId="43"/>
    <tableColumn id="13" xr3:uid="{42B7C8F9-02EA-4A63-B2C4-E6461D7AB235}" name="10_color" dataDxfId="42"/>
    <tableColumn id="14" xr3:uid="{176E03EA-07E3-45F1-919A-12D2E6E5AC6B}" name="11_color" dataDxfId="41"/>
    <tableColumn id="15" xr3:uid="{B2783577-AAD0-4F82-9980-8B5FC721CEFA}" name="12_color" dataDxfId="40"/>
    <tableColumn id="16" xr3:uid="{A0D2F44C-B62C-47F6-B7DC-2AF5D0802513}" name="13_color" dataDxfId="39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83ED8C-4E72-4566-901C-BA3F8338C33A}" name="tb_shop_weight" displayName="tb_shop_weight" ref="L5:M11" totalsRowShown="0" headerRowDxfId="38" dataDxfId="37">
  <autoFilter ref="L5:M11" xr:uid="{6C83ED8C-4E72-4566-901C-BA3F8338C33A}"/>
  <tableColumns count="2">
    <tableColumn id="1" xr3:uid="{D1992E2B-ADF3-4129-9DD0-C1B54CB94F3B}" name="类型" dataDxfId="36"/>
    <tableColumn id="2" xr3:uid="{6E3A923C-8DA0-4664-B9F3-176B8FDBC23A}" name="权重" dataDxfId="3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1BD3C98-FB9F-41FB-ACD9-DCBA273450B1}" name="tb_shop" displayName="tb_shop" ref="Y15:AA35" totalsRowShown="0" headerRowDxfId="34">
  <autoFilter ref="Y15:AA35" xr:uid="{71BD3C98-FB9F-41FB-ACD9-DCBA273450B1}"/>
  <tableColumns count="3">
    <tableColumn id="1" xr3:uid="{26FB5C74-64E2-492A-8A5A-9CAD3CF8A78A}" name="场景序数" dataDxfId="33"/>
    <tableColumn id="2" xr3:uid="{1975260B-8699-4C22-B983-FE14A0F090B7}" name="普通" dataDxfId="32">
      <calculatedColumnFormula array="1">_xlfn.LET(_xlpm._arr_text,_xlfn._xlws.FILTER($N16:$W16,$N$15:$W$15=Z$15),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calculatedColumnFormula>
    </tableColumn>
    <tableColumn id="3" xr3:uid="{66337CBD-B168-43B1-951F-656175FDC9DA}" name="精英" dataDxfId="31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world" displayName="tb_world" ref="B2:D11" totalsRowShown="0">
  <autoFilter ref="B2:D11" xr:uid="{00000000-0009-0000-0100-000001000000}"/>
  <tableColumns count="3">
    <tableColumn id="1" xr3:uid="{00000000-0010-0000-0000-000001000000}" name="id" dataDxfId="30"/>
    <tableColumn id="2" xr3:uid="{00000000-0010-0000-0000-000002000000}" name="name" dataDxfId="29"/>
    <tableColumn id="3" xr3:uid="{00000000-0010-0000-0000-000003000000}" name="编号" dataDxfId="28">
      <calculatedColumnFormula>tb_world[[#This Row],[id]]</calculatedColumnFormula>
    </tableColumn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b_scene_name" displayName="tb_scene_name" ref="B16:C40" totalsRowShown="0">
  <autoFilter ref="B16:C40" xr:uid="{00000000-0009-0000-0100-000004000000}"/>
  <tableColumns count="2">
    <tableColumn id="1" xr3:uid="{00000000-0010-0000-0200-000001000000}" name="Scene id" dataDxfId="27"/>
    <tableColumn id="2" xr3:uid="{00000000-0010-0000-0200-000002000000}" name="Scene Name" dataDxfId="26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C1E73E-BA86-4C4E-B371-D204034B4B25}" name="tb_scene_id_type" displayName="tb_scene_id_type" ref="E16:G20" totalsRowShown="0" headerRowDxfId="25" headerRowCellStyle="常规 2">
  <autoFilter ref="E16:G20" xr:uid="{09C1E73E-BA86-4C4E-B371-D204034B4B25}"/>
  <tableColumns count="3">
    <tableColumn id="1" xr3:uid="{4FC5CA7C-2B67-45BD-B1D0-77244B51ED57}" name="场景编号起点" dataDxfId="24" dataCellStyle="常规 2"/>
    <tableColumn id="2" xr3:uid="{03A73790-149F-4447-A41B-F0AA708EFE2F}" name="场景编号终点" dataDxfId="23" dataCellStyle="常规 2"/>
    <tableColumn id="3" xr3:uid="{5D3CB143-B72D-40F0-B923-B9C7465E2099}" name="场景类型" dataDxfId="22" dataCellStyle="常规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97"/>
  <sheetViews>
    <sheetView tabSelected="1" workbookViewId="0">
      <pane xSplit="6" ySplit="3" topLeftCell="R4" activePane="bottomRight" state="frozen"/>
      <selection pane="topRight" activeCell="E1" sqref="E1"/>
      <selection pane="bottomLeft" activeCell="A4" sqref="A4"/>
      <selection pane="bottomRight" activeCell="E188" sqref="E188"/>
    </sheetView>
  </sheetViews>
  <sheetFormatPr defaultColWidth="9.125" defaultRowHeight="14.25"/>
  <cols>
    <col min="1" max="1" width="10.5" style="5" customWidth="1"/>
    <col min="2" max="2" width="8.75" style="43" customWidth="1"/>
    <col min="3" max="3" width="5.75" style="43" bestFit="1" customWidth="1"/>
    <col min="4" max="4" width="9.125" style="43" bestFit="1" customWidth="1"/>
    <col min="5" max="6" width="10.5" style="43" customWidth="1"/>
    <col min="7" max="7" width="9" style="35" bestFit="1" customWidth="1"/>
    <col min="8" max="8" width="14.25" style="35" bestFit="1" customWidth="1"/>
    <col min="9" max="9" width="9.125" style="5" bestFit="1" customWidth="1"/>
    <col min="10" max="10" width="36.5" style="35" bestFit="1" customWidth="1"/>
    <col min="11" max="11" width="35" style="5" customWidth="1"/>
    <col min="12" max="12" width="6.875" style="9" customWidth="1"/>
    <col min="13" max="15" width="4.875" style="9" customWidth="1"/>
    <col min="16" max="16" width="139.75" style="5" customWidth="1"/>
    <col min="17" max="18" width="14.125" style="5" bestFit="1" customWidth="1"/>
    <col min="19" max="19" width="13.375" style="5" bestFit="1" customWidth="1"/>
    <col min="20" max="20" width="98.875" style="5" bestFit="1" customWidth="1"/>
    <col min="21" max="21" width="19.25" style="5" bestFit="1" customWidth="1"/>
    <col min="22" max="22" width="12.375" style="5" bestFit="1" customWidth="1"/>
    <col min="23" max="23" width="11.75" style="5" bestFit="1" customWidth="1"/>
    <col min="24" max="24" width="99.125" style="5" customWidth="1"/>
    <col min="25" max="25" width="9.25" style="43" customWidth="1"/>
    <col min="26" max="26" width="79.875" style="73" customWidth="1"/>
    <col min="27" max="38" width="9.25" style="44" customWidth="1"/>
    <col min="39" max="39" width="12.25" style="5" customWidth="1"/>
    <col min="40" max="40" width="21.5" style="5" customWidth="1"/>
    <col min="41" max="41" width="17.125" style="5" customWidth="1"/>
    <col min="42" max="42" width="14.5" style="9" customWidth="1"/>
    <col min="43" max="43" width="34" style="5" customWidth="1"/>
    <col min="44" max="44" width="18.875" style="9" customWidth="1"/>
    <col min="45" max="16384" width="9.125" style="5"/>
  </cols>
  <sheetData>
    <row r="1" spans="1:44" s="2" customFormat="1">
      <c r="A1" s="2" t="s">
        <v>0</v>
      </c>
      <c r="B1" s="45"/>
      <c r="C1" s="45"/>
      <c r="D1" s="45"/>
      <c r="E1" s="45"/>
      <c r="F1" s="45"/>
      <c r="G1" s="2" t="s">
        <v>2</v>
      </c>
      <c r="H1" s="2" t="s">
        <v>3</v>
      </c>
      <c r="I1" s="2" t="s">
        <v>1</v>
      </c>
      <c r="J1" s="2" t="s">
        <v>613</v>
      </c>
      <c r="K1" s="2" t="s">
        <v>4</v>
      </c>
      <c r="L1" s="16"/>
      <c r="M1" s="16"/>
      <c r="N1" s="16"/>
      <c r="O1" s="16"/>
      <c r="P1" s="2" t="s">
        <v>675</v>
      </c>
      <c r="Q1" s="2" t="s">
        <v>619</v>
      </c>
      <c r="R1" s="2" t="s">
        <v>676</v>
      </c>
      <c r="S1" s="2" t="s">
        <v>685</v>
      </c>
      <c r="T1" s="2" t="s">
        <v>577</v>
      </c>
      <c r="U1" s="2" t="s">
        <v>578</v>
      </c>
      <c r="V1" s="2" t="s">
        <v>633</v>
      </c>
      <c r="W1" s="2" t="s">
        <v>620</v>
      </c>
      <c r="X1" s="2" t="s">
        <v>622</v>
      </c>
      <c r="Y1" s="45"/>
      <c r="Z1" s="45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2" t="s">
        <v>5</v>
      </c>
      <c r="AN1" s="2" t="s">
        <v>6</v>
      </c>
      <c r="AO1" s="2" t="s">
        <v>7</v>
      </c>
      <c r="AP1" s="16"/>
      <c r="AQ1" s="2" t="s">
        <v>8</v>
      </c>
      <c r="AR1" s="16"/>
    </row>
    <row r="2" spans="1:44" s="11" customFormat="1">
      <c r="A2" s="11" t="s">
        <v>9</v>
      </c>
      <c r="B2" s="45"/>
      <c r="C2" s="45"/>
      <c r="D2" s="45"/>
      <c r="E2" s="45"/>
      <c r="F2" s="45"/>
      <c r="G2" s="11" t="s">
        <v>10</v>
      </c>
      <c r="H2" s="11" t="s">
        <v>11</v>
      </c>
      <c r="I2" s="11" t="s">
        <v>10</v>
      </c>
      <c r="J2" s="11" t="s">
        <v>614</v>
      </c>
      <c r="K2" s="11" t="s">
        <v>12</v>
      </c>
      <c r="L2" s="16"/>
      <c r="M2" s="16"/>
      <c r="N2" s="16"/>
      <c r="O2" s="16"/>
      <c r="P2" s="11" t="s">
        <v>703</v>
      </c>
      <c r="Q2" s="11" t="s">
        <v>518</v>
      </c>
      <c r="R2" s="11" t="s">
        <v>518</v>
      </c>
      <c r="S2" s="11" t="s">
        <v>576</v>
      </c>
      <c r="T2" s="11" t="s">
        <v>704</v>
      </c>
      <c r="U2" s="11" t="s">
        <v>579</v>
      </c>
      <c r="V2" s="11" t="s">
        <v>636</v>
      </c>
      <c r="W2" s="11" t="s">
        <v>518</v>
      </c>
      <c r="X2" s="11" t="s">
        <v>684</v>
      </c>
      <c r="Y2" s="45"/>
      <c r="Z2" s="45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11" t="s">
        <v>13</v>
      </c>
      <c r="AN2" s="11" t="s">
        <v>10</v>
      </c>
      <c r="AO2" s="11" t="s">
        <v>10</v>
      </c>
      <c r="AP2" s="16"/>
      <c r="AQ2" s="11" t="s">
        <v>10</v>
      </c>
      <c r="AR2" s="16"/>
    </row>
    <row r="3" spans="1:44" s="4" customFormat="1" ht="81">
      <c r="A3" s="4" t="s">
        <v>14</v>
      </c>
      <c r="B3" s="68" t="s">
        <v>616</v>
      </c>
      <c r="C3" s="68" t="s">
        <v>516</v>
      </c>
      <c r="D3" s="68" t="s">
        <v>517</v>
      </c>
      <c r="E3" s="68" t="s">
        <v>617</v>
      </c>
      <c r="F3" s="46"/>
      <c r="G3" s="14" t="s">
        <v>17</v>
      </c>
      <c r="H3" s="70" t="s">
        <v>527</v>
      </c>
      <c r="I3" s="13" t="s">
        <v>16</v>
      </c>
      <c r="J3" s="14" t="s">
        <v>615</v>
      </c>
      <c r="K3" s="70" t="s">
        <v>526</v>
      </c>
      <c r="L3" s="47" t="s">
        <v>18</v>
      </c>
      <c r="M3" s="54" t="s">
        <v>19</v>
      </c>
      <c r="N3" s="54" t="s">
        <v>20</v>
      </c>
      <c r="O3" s="54" t="s">
        <v>21</v>
      </c>
      <c r="P3" s="70" t="s">
        <v>637</v>
      </c>
      <c r="Q3" s="14" t="s">
        <v>678</v>
      </c>
      <c r="R3" s="14" t="s">
        <v>677</v>
      </c>
      <c r="S3" s="14" t="s">
        <v>686</v>
      </c>
      <c r="T3" s="14" t="s">
        <v>584</v>
      </c>
      <c r="U3" s="14" t="s">
        <v>585</v>
      </c>
      <c r="V3" s="14" t="s">
        <v>634</v>
      </c>
      <c r="W3" s="76" t="s">
        <v>621</v>
      </c>
      <c r="X3" s="76" t="s">
        <v>632</v>
      </c>
      <c r="Y3" s="68" t="s">
        <v>536</v>
      </c>
      <c r="Z3" s="75" t="s">
        <v>570</v>
      </c>
      <c r="AA3" s="72" t="s">
        <v>22</v>
      </c>
      <c r="AB3" s="72" t="s">
        <v>23</v>
      </c>
      <c r="AC3" s="72" t="s">
        <v>24</v>
      </c>
      <c r="AD3" s="72" t="s">
        <v>25</v>
      </c>
      <c r="AE3" s="72" t="s">
        <v>528</v>
      </c>
      <c r="AF3" s="72" t="s">
        <v>529</v>
      </c>
      <c r="AG3" s="72" t="s">
        <v>530</v>
      </c>
      <c r="AH3" s="72" t="s">
        <v>531</v>
      </c>
      <c r="AI3" s="72" t="s">
        <v>532</v>
      </c>
      <c r="AJ3" s="72" t="s">
        <v>533</v>
      </c>
      <c r="AK3" s="72" t="s">
        <v>534</v>
      </c>
      <c r="AL3" s="72" t="s">
        <v>535</v>
      </c>
      <c r="AM3" s="56" t="s">
        <v>26</v>
      </c>
      <c r="AN3" s="56" t="s">
        <v>27</v>
      </c>
      <c r="AO3" s="56" t="s">
        <v>28</v>
      </c>
      <c r="AP3" s="50" t="s">
        <v>29</v>
      </c>
      <c r="AQ3" s="56" t="s">
        <v>30</v>
      </c>
      <c r="AR3" s="50" t="s">
        <v>29</v>
      </c>
    </row>
    <row r="4" spans="1:44" s="81" customFormat="1">
      <c r="B4" s="87" t="s">
        <v>671</v>
      </c>
      <c r="C4" s="82"/>
      <c r="D4" s="82"/>
      <c r="E4" s="82"/>
      <c r="F4" s="82"/>
      <c r="G4" s="83"/>
      <c r="H4" s="83"/>
      <c r="J4" s="83"/>
      <c r="L4" s="84"/>
      <c r="M4" s="84"/>
      <c r="N4" s="84"/>
      <c r="O4" s="84"/>
      <c r="Y4" s="82"/>
      <c r="Z4" s="85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P4" s="84"/>
      <c r="AR4" s="84"/>
    </row>
    <row r="5" spans="1:44">
      <c r="A5" s="5">
        <v>130000101</v>
      </c>
      <c r="B5" s="43" t="s">
        <v>31</v>
      </c>
      <c r="F5" s="43" t="s">
        <v>32</v>
      </c>
      <c r="G5" s="25"/>
      <c r="H5" s="25">
        <v>100100</v>
      </c>
      <c r="I5" s="5" t="s">
        <v>32</v>
      </c>
      <c r="J5" s="25"/>
      <c r="K5" s="5" t="s">
        <v>33</v>
      </c>
      <c r="Q5" s="59"/>
      <c r="R5" s="59"/>
      <c r="AM5" s="5">
        <v>0.5</v>
      </c>
      <c r="AN5" s="5" t="s">
        <v>34</v>
      </c>
      <c r="AO5" s="7" t="str">
        <f>_xlfn.TEXTJOIN("_",1,"lsv",IF(AP5="",$A5,AP5))</f>
        <v>lsv_spring_yinghua</v>
      </c>
      <c r="AP5" s="9" t="s">
        <v>35</v>
      </c>
    </row>
    <row r="6" spans="1:44">
      <c r="A6" s="5">
        <v>130009010</v>
      </c>
      <c r="B6" s="43" t="s">
        <v>37</v>
      </c>
      <c r="F6" s="43" t="s">
        <v>38</v>
      </c>
      <c r="G6" s="5"/>
      <c r="H6" s="5">
        <v>111100</v>
      </c>
      <c r="I6" s="5" t="s">
        <v>38</v>
      </c>
      <c r="J6" s="5"/>
      <c r="K6" s="5" t="s">
        <v>39</v>
      </c>
      <c r="AQ6" t="str">
        <f>_xlfn.TEXTJOIN("_",1,"lio",$A6,AR6)</f>
        <v>lio_130009010_initial_obj_waicheng</v>
      </c>
      <c r="AR6" s="9" t="s">
        <v>40</v>
      </c>
    </row>
    <row r="7" spans="1:44" s="42" customFormat="1">
      <c r="A7" s="42">
        <v>16</v>
      </c>
      <c r="B7" s="48"/>
      <c r="C7" s="48"/>
      <c r="D7" s="48"/>
      <c r="E7" s="48"/>
      <c r="F7" s="48" t="s">
        <v>41</v>
      </c>
      <c r="G7" s="49"/>
      <c r="H7" s="49">
        <v>16</v>
      </c>
      <c r="I7" s="42" t="s">
        <v>41</v>
      </c>
      <c r="J7" s="49"/>
      <c r="K7" s="42" t="s">
        <v>42</v>
      </c>
      <c r="L7" s="50">
        <v>42011</v>
      </c>
      <c r="M7" s="50">
        <v>0</v>
      </c>
      <c r="N7" s="50">
        <v>-0.1</v>
      </c>
      <c r="O7" s="50">
        <v>3.1</v>
      </c>
      <c r="Y7" s="48"/>
      <c r="Z7" s="74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P7" s="50"/>
      <c r="AR7" s="50"/>
    </row>
    <row r="8" spans="1:44">
      <c r="Q8" s="59"/>
      <c r="R8" s="59"/>
    </row>
    <row r="10" spans="1:44" s="81" customFormat="1">
      <c r="B10" s="87" t="s">
        <v>669</v>
      </c>
      <c r="C10" s="82"/>
      <c r="D10" s="82"/>
      <c r="E10" s="82"/>
      <c r="F10" s="82"/>
      <c r="G10" s="83"/>
      <c r="H10" s="83"/>
      <c r="J10" s="83"/>
      <c r="L10" s="84"/>
      <c r="M10" s="84"/>
      <c r="N10" s="84"/>
      <c r="O10" s="84"/>
      <c r="Y10" s="82"/>
      <c r="Z10" s="85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P10" s="84"/>
      <c r="AR10" s="84"/>
    </row>
    <row r="11" spans="1:44">
      <c r="V11" s="51"/>
      <c r="W11" s="51"/>
      <c r="X11" s="51"/>
      <c r="Y11" s="43" t="str">
        <f>IF(A11="","",IF(COUNTA(AA11:AL11)&gt;=#REF!,"Correct","Error"))</f>
        <v/>
      </c>
      <c r="Z11" s="73" t="str" cm="1">
        <f t="array" ref="Z11">_xlfn.TEXTJOIN("; ",1,_xlfn.MAP(AA11:AL11,_xlfn.LAMBDA(_xlpm._i,_xlfn.XLOOKUP(_xlpm._i,tb_mg[id],tb_mg[备注],"-TBN-"))))</f>
        <v/>
      </c>
    </row>
    <row r="12" spans="1:44">
      <c r="A12" s="5">
        <v>429501</v>
      </c>
      <c r="B12" s="43" t="str" cm="1">
        <f t="array" ref="B12">IF($A12&lt;&gt;"",_xlfn.XLOOKUP(_f_get_world_index($A12),tb_world[id],tb_world[name],"查找失败"),"")</f>
        <v>样例</v>
      </c>
      <c r="C12" s="43">
        <f t="shared" ref="C12:C15" si="0">IF(MOD(A12,100)&gt;90,20,MOD(A12,50))</f>
        <v>1</v>
      </c>
      <c r="D12" s="43" t="str">
        <f>VLOOKUP(MOD(A12,100),tb_scene_id_type[#All],3,1)</f>
        <v>初始</v>
      </c>
      <c r="E12" s="43" t="str">
        <f t="shared" ref="E12:E15" si="1">MID(A12,4,1)&amp;CHAR(INT((C12-1)/7+1)+64)</f>
        <v>5A</v>
      </c>
      <c r="F12" s="43" t="str">
        <f>IFERROR(VLOOKUP(E12,tb_scene_name[],2,0),"")</f>
        <v>云野风歌</v>
      </c>
      <c r="G12" s="51" t="str">
        <f t="shared" ref="G12:G15" si="2">"bgm_"&amp;LOWER(E12)</f>
        <v>bgm_5a</v>
      </c>
      <c r="H12" s="51" t="str">
        <f t="shared" ref="H12:H15" si="3">420&amp;LEFT(E12,1)&amp;_xlfn.UNICODE(RIGHT(E12,1))-64</f>
        <v>42051</v>
      </c>
      <c r="I12" s="51" t="str">
        <f>"scene_"&amp;$E12</f>
        <v>scene_5A</v>
      </c>
      <c r="J12" s="51" t="str">
        <f>_xlfn.LET(_xlpm._id,(LEFT($E12,1)-1)*3+_xlfn.UNICODE(RIGHT($E12,1))-65,
_xlfn.CONCAT("rs_scene_icon[ui_level_icon_thumbnail_",_xlpm._id,"]"))</f>
        <v>rs_scene_icon[ui_level_icon_thumbnail_12]</v>
      </c>
      <c r="K12" s="51" t="str">
        <f t="shared" ref="K12:K15" si="4">_xlfn.TEXTJOIN("~",1,L12:O12)</f>
        <v>42051~1.85~0.8~2.2</v>
      </c>
      <c r="L12" s="35" t="str">
        <f t="shared" ref="L12:L15" si="5">H12</f>
        <v>42051</v>
      </c>
      <c r="M12" s="35">
        <f>N12+(O12-N12)*0.75</f>
        <v>1.85</v>
      </c>
      <c r="N12" s="35">
        <v>0.8</v>
      </c>
      <c r="O12" s="35">
        <f>MIN(3.2,2.2+(C12-1)*0.05)</f>
        <v>2.2000000000000002</v>
      </c>
      <c r="P12" s="51" t="str" cm="1">
        <f t="array" ref="P12">_xlfn.LET(_xlpm._scene_id,A12,
_xlpm._scene_index,C12,
_xlpm._out,_xlfn.MAKEARRAY(2,5,_xlfn.LAMBDA(_xlpm.x,_xlpm.y,
    _xlfn.LET(_xlpm._weather_lvl,_xlpm._scene_index+_xlpm.x-2,
    _xlpm._gid,_xlfn.XLOOKUP(_xlpm._weather_lvl,tb_weather_distribution[wthr_lvl],tb_weather_distribution[group_id],""),
    _xlpm._sid,INDEX(tb_weather_subid[sub_id],_xlpm.y),
    _xlpm._wght,INDEX(_xlfn.XLOOKUP(_xlpm._weather_lvl,tb_weather_distribution[wthr_lvl],tb_weather_distribution[[晴天]:[难度3]],_xlfn.SEQUENCE(1,5,-1,0)),_xlpm.y),
    _xlpm._txt,IFERROR(INDEX(_xlfn.XLOOKUP(_xlpm._gid,tb_weather_info_08[group\sub],tb_weather_info_08[[0]:[13]]),_xlpm.y),""),
    IF(OR(_xlpm._gid="",_xlpm._wght=-1,_xlpm._wght=""),"",_xlfn.TEXTJOIN("~",0,LEFT(_xlpm._scene_id,4)&amp;_xlpm._gid,_xlpm._sid,_xlpm._wght,_xlpm._txt)))
)),
_xlfn.TEXTJOIN(";",1,_xlpm._out))</f>
        <v>429501~0~100~&lt;color=grey&gt;晴空万里&lt;/color&gt;</v>
      </c>
      <c r="Q12" s="59">
        <v>1000</v>
      </c>
      <c r="R12" s="51">
        <f>_xlfn.XLOOKUP(C12,tb_enemy_mod[scene_index],tb_enemy_mod[hp_mod],1000)</f>
        <v>1000</v>
      </c>
      <c r="S12" s="59" t="s">
        <v>687</v>
      </c>
      <c r="T12" s="99" t="str" cm="1">
        <f t="array" ref="T12">_xlfn.LAMBDA(_xlpm._type,_xlpm._index,
_xlfn.SWITCH(_xlpm._type,"精英",_xlfn.XLOOKUP(_xlpm._index,tb_shop[场景序数],tb_shop[精英]),_xlfn.XLOOKUP(_xlpm._index,tb_shop[场景序数],tb_shop[普通])))(D12,C12)</f>
        <v>30103=8640</v>
      </c>
      <c r="U12" s="59" t="s">
        <v>582</v>
      </c>
      <c r="V12" s="51"/>
      <c r="W12" s="51" cm="1">
        <f t="array" ref="W12">_xlfn.SWITCH(D12,0,"","初始",1,"普通",INT(LOG(C12,8.2))+2,"最终",2,1)</f>
        <v>1</v>
      </c>
      <c r="X12" s="51" t="str" cm="1">
        <f t="array" ref="X12">_xlfn.LAMBDA(_xlpm._scene_type,_xlpm._scene_index,_xlpm._mg_list,
_xlfn.TEXTJOIN(";",1,
    _xlfn.MAP(_xlpm._mg_list,_xlfn.LAMBDA(_xlpm.x,
        _xlfn.LET(_xlpm._mg_len_coef,_xlfn.XLOOKUP(_xlpm._scene_type,tb_scene_type[类型],tb_scene_type[长度倍率],1)+_xlpm._scene_index*_xlfn.XLOOKUP(_xlpm._scene_type,tb_scene_type[类型],tb_scene_type[场景序数加成],1),
            _xlpm._mg_len,MROUND(_xlfn.XLOOKUP(_xlpm.x,tb_mg[id],tb_mg[base_len],300)*_xlpm._mg_len_coef,5),
            _xlpm._ui_text,_xlfn.XLOOKUP(_xlpm.x,tb_mg[id],tb_mg[选路ui文本],""),
            _xlpm._ui_text_color,_xlfn.XLOOKUP(_xlpm.x,tb_mg[id],tb_mg[选路ui字色],""),
            _xlpm._basic_mg_info,_xlfn.TEXTJOIN("~",1,_xlpm.x,1,_xlpm._mg_len),
            _xlfn.IFS(_xlpm.x="","",_xlpm._ui_text_color="",_xlpm._basic_mg_info&amp;"~"&amp;_xlpm._ui_text,TRUE,_xlfn.CONCAT(_xlpm._basic_mg_info,"~","&lt;color=",_xlpm._ui_text_color,"&gt;",_xlpm._ui_text,"&lt;/color&gt;")))))))($D12,$C12,$AA12:$AL12)</f>
        <v>420800~1~170~</v>
      </c>
      <c r="Y12" s="43" t="str">
        <f>IF(A12="","",IF(COUNTA(AA12:AL12)&gt;=W12,"Correct","Error"))</f>
        <v>Correct</v>
      </c>
      <c r="Z12" s="73" t="str" cm="1">
        <f t="array" ref="Z12">_xlfn.TEXTJOIN("; ",1,_xlfn.MAP(AA12:AL12,_xlfn.LAMBDA(_xlpm._i,_xlfn.XLOOKUP(_xlpm._i,tb_mg[id],tb_mg[备注],"-TBN-"))))</f>
        <v>初始金鱼</v>
      </c>
      <c r="AA12" s="57">
        <v>420800</v>
      </c>
      <c r="AP12" s="5"/>
      <c r="AR12" s="5"/>
    </row>
    <row r="13" spans="1:44">
      <c r="A13" s="5">
        <v>429508</v>
      </c>
      <c r="B13" s="43" t="str" cm="1">
        <f t="array" ref="B13">IF($A13&lt;&gt;"",_xlfn.XLOOKUP(_f_get_world_index($A13),tb_world[id],tb_world[name],"查找失败"),"")</f>
        <v>样例</v>
      </c>
      <c r="C13" s="43">
        <f t="shared" si="0"/>
        <v>8</v>
      </c>
      <c r="D13" s="43" t="str">
        <f>VLOOKUP(MOD(A13,100),tb_scene_id_type[#All],3,1)</f>
        <v>普通</v>
      </c>
      <c r="E13" s="43" t="str">
        <f t="shared" si="1"/>
        <v>5B</v>
      </c>
      <c r="F13" s="43" t="str">
        <f>IFERROR(VLOOKUP(E13,tb_scene_name[],2,0),"")</f>
        <v>丘光潋滟</v>
      </c>
      <c r="G13" s="51" t="str">
        <f t="shared" si="2"/>
        <v>bgm_5b</v>
      </c>
      <c r="H13" s="51" t="str">
        <f t="shared" si="3"/>
        <v>42052</v>
      </c>
      <c r="I13" s="51" t="str">
        <f t="shared" ref="I13:I15" si="6">"scene_"&amp;$E13</f>
        <v>scene_5B</v>
      </c>
      <c r="J13" s="51" t="str">
        <f>_xlfn.LET(_xlpm._id,(LEFT($E13,1)-1)*3+_xlfn.UNICODE(RIGHT($E13,1))-65,
_xlfn.CONCAT("rs_scene_icon[ui_level_icon_thumbnail_",_xlpm._id,"]"))</f>
        <v>rs_scene_icon[ui_level_icon_thumbnail_13]</v>
      </c>
      <c r="K13" s="51" t="str">
        <f t="shared" si="4"/>
        <v>42052~2.1125~0.8~2.55</v>
      </c>
      <c r="L13" s="35" t="str">
        <f t="shared" si="5"/>
        <v>42052</v>
      </c>
      <c r="M13" s="35">
        <f t="shared" ref="M13" si="7">N13+(O13-N13)*0.75</f>
        <v>2.1125000000000003</v>
      </c>
      <c r="N13" s="35">
        <v>0.8</v>
      </c>
      <c r="O13" s="35">
        <f>MIN(3.2,2.2+(C13-1)*0.05)</f>
        <v>2.5500000000000003</v>
      </c>
      <c r="P13" s="51" t="str" cm="1">
        <f t="array" ref="P13">_xlfn.LET(_xlpm._scene_id,A13,
_xlpm._scene_index,C13,
_xlpm._out,_xlfn.MAKEARRAY(2,5,_xlfn.LAMBDA(_xlpm.x,_xlpm.y,
    _xlfn.LET(_xlpm._weather_lvl,_xlpm._scene_index+_xlpm.x-2,
    _xlpm._gid,_xlfn.XLOOKUP(_xlpm._weather_lvl,tb_weather_distribution[wthr_lvl],tb_weather_distribution[group_id],""),
    _xlpm._sid,INDEX(tb_weather_subid[sub_id],_xlpm.y),
    _xlpm._wght,INDEX(_xlfn.XLOOKUP(_xlpm._weather_lvl,tb_weather_distribution[wthr_lvl],tb_weather_distribution[[晴天]:[难度3]],_xlfn.SEQUENCE(1,5,-1,0)),_xlpm.y),
    _xlpm._txt,IFERROR(INDEX(_xlfn.XLOOKUP(_xlpm._gid,tb_weather_info_08[group\sub],tb_weather_info_08[[0]:[13]]),_xlpm.y),""),
    IF(OR(_xlpm._gid="",_xlpm._wght=-1,_xlpm._wght=""),"",_xlfn.TEXTJOIN("~",0,LEFT(_xlpm._scene_id,4)&amp;_xlpm._gid,_xlpm._sid,_xlpm._wght,_xlpm._txt)))
)),
_xlfn.TEXTJOIN(";",1,_xlpm._out))</f>
        <v>429504~0~100~&lt;color=orange&gt;晴转大雨&lt;/color&gt;;429504~10~50~&lt;color=orange&gt;阴转大雨&lt;/color&gt;;429504~11~50~&lt;color=orange&gt;小雨渐大&lt;/color&gt;;429504~12~50~&lt;color=orange&gt;大雨倾盆&lt;/color&gt;;429505~0~100~&lt;color=red&gt;晴转雷暴雨&lt;/color&gt;;429505~10~50~&lt;color=red&gt;阴转雷暴雨&lt;/color&gt;;429505~11~50~&lt;color=red&gt;小雨转雷暴雨&lt;/color&gt;;429505~12~50~&lt;color=red&gt;大雨转雷暴雨&lt;/color&gt;;429505~13~0~&lt;color=purple&gt;雷暴雨&lt;/color&gt;</v>
      </c>
      <c r="Q13" s="59">
        <v>1000</v>
      </c>
      <c r="R13" s="51">
        <f>_xlfn.XLOOKUP(C13,tb_enemy_mod[scene_index],tb_enemy_mod[hp_mod],1000)</f>
        <v>2987</v>
      </c>
      <c r="S13" s="59" t="s">
        <v>583</v>
      </c>
      <c r="T13" s="99" t="str" cm="1">
        <f t="array" ref="T13">_xlfn.LAMBDA(_xlpm._type,_xlpm._index,
_xlfn.SWITCH(_xlpm._type,"精英",_xlfn.XLOOKUP(_xlpm._index,tb_shop[场景序数],tb_shop[精英]),_xlfn.XLOOKUP(_xlpm._index,tb_shop[场景序数],tb_shop[普通])))(D13,C13)</f>
        <v>20003=23040;30013=2880;30007=20160;40017=2520</v>
      </c>
      <c r="U13" s="59" t="s">
        <v>582</v>
      </c>
      <c r="V13" s="88">
        <v>42080001</v>
      </c>
      <c r="W13" s="51" cm="1">
        <f t="array" ref="W13">_xlfn.SWITCH(D13,0,"","初始",1,"普通",INT(LOG(C13,8.2))+2,"最终",2,1)</f>
        <v>2</v>
      </c>
      <c r="X13" s="51" t="str" cm="1">
        <f t="array" ref="X13">_xlfn.LAMBDA(_xlpm._scene_type,_xlpm._scene_index,_xlpm._mg_list,
_xlfn.TEXTJOIN(";",1,
    _xlfn.MAP(_xlpm._mg_list,_xlfn.LAMBDA(_xlpm.x,
        _xlfn.LET(_xlpm._mg_len_coef,_xlfn.XLOOKUP(_xlpm._scene_type,tb_scene_type[类型],tb_scene_type[长度倍率],1)+_xlpm._scene_index*_xlfn.XLOOKUP(_xlpm._scene_type,tb_scene_type[类型],tb_scene_type[场景序数加成],1),
            _xlpm._mg_len,MROUND(_xlfn.XLOOKUP(_xlpm.x,tb_mg[id],tb_mg[base_len],300)*_xlpm._mg_len_coef,5),
            _xlpm._ui_text,_xlfn.XLOOKUP(_xlpm.x,tb_mg[id],tb_mg[选路ui文本],""),
            _xlpm._ui_text_color,_xlfn.XLOOKUP(_xlpm.x,tb_mg[id],tb_mg[选路ui字色],""),
            _xlpm._basic_mg_info,_xlfn.TEXTJOIN("~",1,_xlpm.x,1,_xlpm._mg_len),
            _xlfn.IFS(_xlpm.x="","",_xlpm._ui_text_color="",_xlpm._basic_mg_info&amp;"~"&amp;_xlpm._ui_text,TRUE,_xlfn.CONCAT(_xlpm._basic_mg_info,"~","&lt;color=",_xlpm._ui_text_color,"&gt;",_xlpm._ui_text,"&lt;/color&gt;")))))))($D13,$C13,$AA13:$AL13)</f>
        <v>420801~1~325~&lt;color=#007328&gt;泡泡金鱼&lt;/color&gt;;420802~1~325~&lt;color=#007328&gt;海藻小妖&lt;/color&gt;;420804~1~325~&lt;color=orange&gt;滩涂海贝&lt;/color&gt;</v>
      </c>
      <c r="Y13" s="43" t="str">
        <f>IF(A13="","",IF(COUNTA(AA13:AL13)&gt;=W13,"Correct","Error"))</f>
        <v>Correct</v>
      </c>
      <c r="Z13" s="73" t="str" cm="1">
        <f t="array" ref="Z13">_xlfn.TEXTJOIN("; ",1,_xlfn.MAP(AA13:AL13,_xlfn.LAMBDA(_xlpm._i,_xlfn.XLOOKUP(_xlpm._i,tb_mg[id],tb_mg[备注],"-TBN-"))))</f>
        <v>泡泡金鱼; 海藻小妖; 聒噪海贝</v>
      </c>
      <c r="AA13" s="57">
        <v>420801</v>
      </c>
      <c r="AB13" s="57">
        <v>420802</v>
      </c>
      <c r="AC13" s="57">
        <v>420804</v>
      </c>
      <c r="AP13" s="5"/>
      <c r="AR13" s="5"/>
    </row>
    <row r="14" spans="1:44">
      <c r="A14" s="5">
        <v>429563</v>
      </c>
      <c r="B14" s="43" t="str" cm="1">
        <f t="array" ref="B14">IF($A14&lt;&gt;"",_xlfn.XLOOKUP(_f_get_world_index($A14),tb_world[id],tb_world[name],"查找失败"),"")</f>
        <v>样例</v>
      </c>
      <c r="C14" s="43">
        <f t="shared" si="0"/>
        <v>13</v>
      </c>
      <c r="D14" s="43" t="str">
        <f>VLOOKUP(MOD(A14,100),tb_scene_id_type[#All],3,1)</f>
        <v>精英</v>
      </c>
      <c r="E14" s="43" t="str">
        <f t="shared" si="1"/>
        <v>5B</v>
      </c>
      <c r="F14" s="43" t="str">
        <f>IFERROR(VLOOKUP(E14,tb_scene_name[],2,0),"")</f>
        <v>丘光潋滟</v>
      </c>
      <c r="G14" s="51" t="str">
        <f t="shared" si="2"/>
        <v>bgm_5b</v>
      </c>
      <c r="H14" s="51" t="str">
        <f t="shared" si="3"/>
        <v>42052</v>
      </c>
      <c r="I14" s="51" t="str">
        <f t="shared" si="6"/>
        <v>scene_5B</v>
      </c>
      <c r="J14" s="51" t="str">
        <f>_xlfn.LET(_xlpm._id,(LEFT($E14,1)-1)*3+_xlfn.UNICODE(RIGHT($E14,1))-65,
_xlfn.CONCAT("rs_scene_icon[ui_level_icon_thumbnail_",_xlpm._id,"]"))</f>
        <v>rs_scene_icon[ui_level_icon_thumbnail_13]</v>
      </c>
      <c r="K14" s="51" t="str">
        <f t="shared" si="4"/>
        <v>42052~2.3~0.8~2.8</v>
      </c>
      <c r="L14" s="35" t="str">
        <f t="shared" si="5"/>
        <v>42052</v>
      </c>
      <c r="M14" s="35">
        <f>N14+(O14-N14)*0.75</f>
        <v>2.2999999999999998</v>
      </c>
      <c r="N14" s="35">
        <v>0.8</v>
      </c>
      <c r="O14" s="35">
        <f t="shared" ref="O14:O15" si="8">MIN(3.2,2.2+(C14-1)*0.05)</f>
        <v>2.8000000000000003</v>
      </c>
      <c r="P14" s="51" t="str" cm="1">
        <f t="array" ref="P14">_xlfn.LET(_xlpm._scene_id,A14,
_xlpm._scene_index,C14,
_xlpm._out,_xlfn.MAKEARRAY(2,5,_xlfn.LAMBDA(_xlpm.x,_xlpm.y,
    _xlfn.LET(_xlpm._weather_lvl,_xlpm._scene_index+_xlpm.x-2,
    _xlpm._gid,_xlfn.XLOOKUP(_xlpm._weather_lvl,tb_weather_distribution[wthr_lvl],tb_weather_distribution[group_id],""),
    _xlpm._sid,INDEX(tb_weather_subid[sub_id],_xlpm.y),
    _xlpm._wght,INDEX(_xlfn.XLOOKUP(_xlpm._weather_lvl,tb_weather_distribution[wthr_lvl],tb_weather_distribution[[晴天]:[难度3]],_xlfn.SEQUENCE(1,5,-1,0)),_xlpm.y),
    _xlpm._txt,IFERROR(INDEX(_xlfn.XLOOKUP(_xlpm._gid,tb_weather_info_08[group\sub],tb_weather_info_08[[0]:[13]]),_xlpm.y),""),
    IF(OR(_xlpm._gid="",_xlpm._wght=-1,_xlpm._wght=""),"",_xlfn.TEXTJOIN("~",0,LEFT(_xlpm._scene_id,4)&amp;_xlpm._gid,_xlpm._sid,_xlpm._wght,_xlpm._txt)))
)),
_xlfn.TEXTJOIN(";",1,_xlpm._out))</f>
        <v>429505~0~50~&lt;color=red&gt;晴转雷暴雨&lt;/color&gt;;429505~10~50~&lt;color=red&gt;阴转雷暴雨&lt;/color&gt;;429505~11~100~&lt;color=red&gt;小雨转雷暴雨&lt;/color&gt;;429505~12~100~&lt;color=red&gt;大雨转雷暴雨&lt;/color&gt;;429505~13~100~&lt;color=purple&gt;雷暴雨&lt;/color&gt;;429506~10~50~&lt;color=red&gt;阴转雷暴雨&lt;/color&gt;;429506~11~50~&lt;color=red&gt;小雨转雷暴雨&lt;/color&gt;;429506~12~100~&lt;color=red&gt;大雨转雷暴雨&lt;/color&gt;;429506~13~100~&lt;color=purple&gt;雷暴雨&lt;/color&gt;</v>
      </c>
      <c r="Q14" s="59">
        <v>1000</v>
      </c>
      <c r="R14" s="51">
        <f>_xlfn.XLOOKUP(C14,tb_enemy_mod[scene_index],tb_enemy_mod[hp_mod],1000)</f>
        <v>9715</v>
      </c>
      <c r="S14" s="59" t="s">
        <v>687</v>
      </c>
      <c r="T14" s="99" t="str" cm="1">
        <f t="array" ref="T14">_xlfn.LAMBDA(_xlpm._type,_xlpm._index,
_xlfn.SWITCH(_xlpm._type,"精英",_xlfn.XLOOKUP(_xlpm._index,tb_shop[场景序数],tb_shop[精英]),_xlfn.XLOOKUP(_xlpm._index,tb_shop[场景序数],tb_shop[普通])))(D14,C14)</f>
        <v>30111=1728;40113=1080</v>
      </c>
      <c r="U14" s="59" t="s">
        <v>582</v>
      </c>
      <c r="V14" s="51"/>
      <c r="W14" s="51" cm="1">
        <f t="array" ref="W14">_xlfn.SWITCH(D14,0,"","初始",1,"普通",INT(LOG(C14,8.2))+2,"最终",2,1)</f>
        <v>1</v>
      </c>
      <c r="X14" s="51" t="str" cm="1">
        <f t="array" ref="X14">_xlfn.LAMBDA(_xlpm._scene_type,_xlpm._scene_index,_xlpm._mg_list,
_xlfn.TEXTJOIN(";",1,
    _xlfn.MAP(_xlpm._mg_list,_xlfn.LAMBDA(_xlpm.x,
        _xlfn.LET(_xlpm._mg_len_coef,_xlfn.XLOOKUP(_xlpm._scene_type,tb_scene_type[类型],tb_scene_type[长度倍率],1)+_xlpm._scene_index*_xlfn.XLOOKUP(_xlpm._scene_type,tb_scene_type[类型],tb_scene_type[场景序数加成],1),
            _xlpm._mg_len,MROUND(_xlfn.XLOOKUP(_xlpm.x,tb_mg[id],tb_mg[base_len],300)*_xlpm._mg_len_coef,5),
            _xlpm._ui_text,_xlfn.XLOOKUP(_xlpm.x,tb_mg[id],tb_mg[选路ui文本],""),
            _xlpm._ui_text_color,_xlfn.XLOOKUP(_xlpm.x,tb_mg[id],tb_mg[选路ui字色],""),
            _xlpm._basic_mg_info,_xlfn.TEXTJOIN("~",1,_xlpm.x,1,_xlpm._mg_len),
            _xlfn.IFS(_xlpm.x="","",_xlpm._ui_text_color="",_xlpm._basic_mg_info&amp;"~"&amp;_xlpm._ui_text,TRUE,_xlfn.CONCAT(_xlpm._basic_mg_info,"~","&lt;color=",_xlpm._ui_text_color,"&gt;",_xlpm._ui_text,"&lt;/color&gt;")))))))($D14,$C14,$AA14:$AL14)</f>
        <v>420850~1~50~&lt;color=purple&gt;渊齿巨鱼&lt;/color&gt;;420851~1~50~&lt;color=purple&gt;缠绕水藻&lt;/color&gt;;420852~1~50~&lt;color=purple&gt;金鱼之王&lt;/color&gt;</v>
      </c>
      <c r="Y14" s="43" t="str">
        <f>IF(A14="","",IF(COUNTA(AA14:AL14)&gt;=W14,"Correct","Error"))</f>
        <v>Correct</v>
      </c>
      <c r="Z14" s="73" t="str" cm="1">
        <f t="array" ref="Z14">_xlfn.TEXTJOIN("; ",1,_xlfn.MAP(AA14:AL14,_xlfn.LAMBDA(_xlpm._i,_xlfn.XLOOKUP(_xlpm._i,tb_mg[id],tb_mg[备注],"-TBN-"))))</f>
        <v>渊齿巨鱼; 缠绕水藻; 金鱼之王</v>
      </c>
      <c r="AA14" s="58">
        <v>420850</v>
      </c>
      <c r="AB14" s="58">
        <v>420851</v>
      </c>
      <c r="AC14" s="58">
        <v>420852</v>
      </c>
      <c r="AP14" s="5"/>
      <c r="AR14" s="5"/>
    </row>
    <row r="15" spans="1:44">
      <c r="A15" s="5">
        <v>429599</v>
      </c>
      <c r="B15" s="43" t="str" cm="1">
        <f t="array" ref="B15">IF($A15&lt;&gt;"",_xlfn.XLOOKUP(_f_get_world_index($A15),tb_world[id],tb_world[name],"查找失败"),"")</f>
        <v>样例</v>
      </c>
      <c r="C15" s="43">
        <f t="shared" si="0"/>
        <v>20</v>
      </c>
      <c r="D15" s="43" t="str">
        <f>VLOOKUP(MOD(A15,100),tb_scene_id_type[#All],3,1)</f>
        <v>最终</v>
      </c>
      <c r="E15" s="43" t="str">
        <f t="shared" si="1"/>
        <v>5C</v>
      </c>
      <c r="F15" s="43" t="str">
        <f>IFERROR(VLOOKUP(E15,tb_scene_name[],2,0),"")</f>
        <v>山霞叠彩</v>
      </c>
      <c r="G15" s="51" t="str">
        <f t="shared" si="2"/>
        <v>bgm_5c</v>
      </c>
      <c r="H15" s="51" t="str">
        <f t="shared" si="3"/>
        <v>42053</v>
      </c>
      <c r="I15" s="51" t="str">
        <f t="shared" si="6"/>
        <v>scene_5C</v>
      </c>
      <c r="J15" s="51" t="str">
        <f t="shared" ref="J15" si="9">_xlfn.LET(_xlpm._id,(LEFT($E15,1)-1)*3+_xlfn.UNICODE(RIGHT($E15,1))-65,
_xlfn.CONCAT("rs_scene_icon[ui_level_icon_thumbnail_",_xlpm._id,"]"))</f>
        <v>rs_scene_icon[ui_level_icon_thumbnail_14]</v>
      </c>
      <c r="K15" s="51" t="str">
        <f t="shared" si="4"/>
        <v>42053~2.5625~0.8~3.15</v>
      </c>
      <c r="L15" s="35" t="str">
        <f t="shared" si="5"/>
        <v>42053</v>
      </c>
      <c r="M15" s="35">
        <f t="shared" ref="M15" si="10">N15+(O15-N15)*0.75</f>
        <v>2.5625000000000004</v>
      </c>
      <c r="N15" s="35">
        <v>0.8</v>
      </c>
      <c r="O15" s="35">
        <f t="shared" si="8"/>
        <v>3.1500000000000004</v>
      </c>
      <c r="P15" s="51" t="str" cm="1">
        <f t="array" ref="P15">_xlfn.LET(_xlpm._scene_id,A15,
_xlpm._scene_index,C15,
_xlpm._out,_xlfn.MAKEARRAY(2,5,_xlfn.LAMBDA(_xlpm.x,_xlpm.y,
    _xlfn.LET(_xlpm._weather_lvl,_xlpm._scene_index+_xlpm.x-2,
    _xlpm._gid,_xlfn.XLOOKUP(_xlpm._weather_lvl,tb_weather_distribution[wthr_lvl],tb_weather_distribution[group_id],""),
    _xlpm._sid,INDEX(tb_weather_subid[sub_id],_xlpm.y),
    _xlpm._wght,INDEX(_xlfn.XLOOKUP(_xlpm._weather_lvl,tb_weather_distribution[wthr_lvl],tb_weather_distribution[[晴天]:[难度3]],_xlfn.SEQUENCE(1,5,-1,0)),_xlpm.y),
    _xlpm._txt,IFERROR(INDEX(_xlfn.XLOOKUP(_xlpm._gid,tb_weather_info_08[group\sub],tb_weather_info_08[[0]:[13]]),_xlpm.y),""),
    IF(OR(_xlpm._gid="",_xlpm._wght=-1,_xlpm._wght=""),"",_xlfn.TEXTJOIN("~",0,LEFT(_xlpm._scene_id,4)&amp;_xlpm._gid,_xlpm._sid,_xlpm._wght,_xlpm._txt)))
)),
_xlfn.TEXTJOIN(";",1,_xlpm._out))</f>
        <v>429509~13~100~&lt;color=purple&gt;雷暴雨&lt;/color&gt;;429509~13~50~&lt;color=purple&gt;雷暴雨&lt;/color&gt;</v>
      </c>
      <c r="Q15" s="59">
        <v>1000</v>
      </c>
      <c r="R15" s="51">
        <f>_xlfn.XLOOKUP(C15,tb_enemy_mod[scene_index],tb_enemy_mod[hp_mod],1000)</f>
        <v>35205</v>
      </c>
      <c r="S15" s="59" t="s">
        <v>687</v>
      </c>
      <c r="T15" s="99" t="str" cm="1">
        <f t="array" ref="T15">_xlfn.LAMBDA(_xlpm._type,_xlpm._index,
_xlfn.SWITCH(_xlpm._type,"精英",_xlfn.XLOOKUP(_xlpm._index,tb_shop[场景序数],tb_shop[精英]),_xlfn.XLOOKUP(_xlpm._index,tb_shop[场景序数],tb_shop[普通])))(D15,C15)</f>
        <v/>
      </c>
      <c r="U15" s="59" t="s">
        <v>581</v>
      </c>
      <c r="V15" s="51"/>
      <c r="W15" s="51" cm="1">
        <f t="array" ref="W15">_xlfn.SWITCH(D15,0,"","初始",1,"普通",INT(LOG(C15,8.2))+2,"最终",2,1)</f>
        <v>2</v>
      </c>
      <c r="X15" s="51" t="str" cm="1">
        <f t="array" ref="X15">_xlfn.LAMBDA(_xlpm._scene_type,_xlpm._scene_index,_xlpm._mg_list,
_xlfn.TEXTJOIN(";",1,
    _xlfn.MAP(_xlpm._mg_list,_xlfn.LAMBDA(_xlpm.x,
        _xlfn.LET(_xlpm._mg_len_coef,_xlfn.XLOOKUP(_xlpm._scene_type,tb_scene_type[类型],tb_scene_type[长度倍率],1)+_xlpm._scene_index*_xlfn.XLOOKUP(_xlpm._scene_type,tb_scene_type[类型],tb_scene_type[场景序数加成],1),
            _xlpm._mg_len,MROUND(_xlfn.XLOOKUP(_xlpm.x,tb_mg[id],tb_mg[base_len],300)*_xlpm._mg_len_coef,5),
            _xlpm._ui_text,_xlfn.XLOOKUP(_xlpm.x,tb_mg[id],tb_mg[选路ui文本],""),
            _xlpm._ui_text_color,_xlfn.XLOOKUP(_xlpm.x,tb_mg[id],tb_mg[选路ui字色],""),
            _xlpm._basic_mg_info,_xlfn.TEXTJOIN("~",1,_xlpm.x,1,_xlpm._mg_len),
            _xlfn.IFS(_xlpm.x="","",_xlpm._ui_text_color="",_xlpm._basic_mg_info&amp;"~"&amp;_xlpm._ui_text,TRUE,_xlfn.CONCAT(_xlpm._basic_mg_info,"~","&lt;color=",_xlpm._ui_text_color,"&gt;",_xlpm._ui_text,"&lt;/color&gt;")))))))($D15,$C15,$AA15:$AL15)</f>
        <v>420850~1~75~&lt;color=purple&gt;渊齿巨鱼&lt;/color&gt;;420851~1~75~&lt;color=purple&gt;缠绕水藻&lt;/color&gt;;420852~1~75~&lt;color=purple&gt;金鱼之王&lt;/color&gt;</v>
      </c>
      <c r="Y15" s="43" t="str">
        <f>IF(A15="","",IF(COUNTA(AA15:AL15)&gt;=W15,"Correct","Error"))</f>
        <v>Correct</v>
      </c>
      <c r="Z15" s="73" t="str" cm="1">
        <f t="array" ref="Z15">_xlfn.TEXTJOIN("; ",1,_xlfn.MAP(AA15:AL15,_xlfn.LAMBDA(_xlpm._i,_xlfn.XLOOKUP(_xlpm._i,tb_mg[id],tb_mg[备注],"-TBN-"))))</f>
        <v>渊齿巨鱼; 缠绕水藻; 金鱼之王</v>
      </c>
      <c r="AA15" s="58">
        <v>420850</v>
      </c>
      <c r="AB15" s="58">
        <v>420851</v>
      </c>
      <c r="AC15" s="58">
        <v>420852</v>
      </c>
      <c r="AP15" s="5"/>
      <c r="AR15" s="5"/>
    </row>
    <row r="17" spans="1:44" s="81" customFormat="1">
      <c r="B17" s="87" t="s">
        <v>668</v>
      </c>
      <c r="C17" s="82"/>
      <c r="D17" s="82"/>
      <c r="E17" s="82"/>
      <c r="F17" s="82"/>
      <c r="G17" s="83"/>
      <c r="H17" s="83"/>
      <c r="J17" s="83"/>
      <c r="L17" s="84"/>
      <c r="M17" s="84"/>
      <c r="N17" s="84"/>
      <c r="O17" s="84"/>
      <c r="Y17" s="82"/>
      <c r="Z17" s="85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P17" s="84"/>
      <c r="AR17" s="84"/>
    </row>
    <row r="18" spans="1:44">
      <c r="V18" s="51"/>
      <c r="W18" s="51"/>
      <c r="X18" s="51"/>
      <c r="Y18" s="43" t="str">
        <f>IF(A18="","",IF(COUNTA(AA18:AL18)&gt;=#REF!,"Correct","Error"))</f>
        <v/>
      </c>
      <c r="Z18" s="73" t="str" cm="1">
        <f t="array" ref="Z18">_xlfn.TEXTJOIN("; ",1,_xlfn.MAP(AA18:AL18,_xlfn.LAMBDA(_xlpm._i,_xlfn.XLOOKUP(_xlpm._i,tb_mg[id],tb_mg[备注],"-TBN-"))))</f>
        <v/>
      </c>
    </row>
    <row r="19" spans="1:44">
      <c r="Q19" s="59"/>
      <c r="R19" s="59"/>
    </row>
    <row r="20" spans="1:44">
      <c r="A20" s="5">
        <v>420101</v>
      </c>
      <c r="B20" s="90" t="str" cm="1">
        <f t="array" ref="B20">_F_get_world_name($A20)</f>
        <v>地宫</v>
      </c>
      <c r="C20" s="43">
        <f>IF(MOD(A20,100)&gt;90,20,MOD(A20,50))</f>
        <v>1</v>
      </c>
      <c r="D20" s="43" t="str">
        <f>VLOOKUP(MOD(A20,100),tb_scene_id_type[#All],3,1)</f>
        <v>初始</v>
      </c>
      <c r="E20" s="43" t="str">
        <f t="shared" ref="E20:E39" si="11">MID(A20,4,1)&amp;CHAR(INT((C20-1)/7+1)+64)</f>
        <v>1A</v>
      </c>
      <c r="F20" s="43" t="str">
        <f>IFERROR(VLOOKUP(E20,tb_scene_name[],2,0),"")</f>
        <v>沉睡旷野</v>
      </c>
      <c r="G20" s="51" t="str">
        <f>"bgm_"&amp;LOWER(E20)</f>
        <v>bgm_1a</v>
      </c>
      <c r="H20" s="51" t="str">
        <f>420&amp;LEFT(E20,1)&amp;_xlfn.UNICODE(RIGHT(E20,1))-64</f>
        <v>42011</v>
      </c>
      <c r="I20" s="51" t="str">
        <f>"scene_"&amp;$E20</f>
        <v>scene_1A</v>
      </c>
      <c r="J20" s="51" t="str">
        <f>_xlfn.LET(_xlpm._id,(LEFT($E20,1)-1)*3+_xlfn.UNICODE(RIGHT($E20,1))-65,
_xlfn.CONCAT("rs_scene_icon[ui_level_icon_thumbnail_",_xlpm._id,"]"))</f>
        <v>rs_scene_icon[ui_level_icon_thumbnail_0]</v>
      </c>
      <c r="K20" s="51" t="str">
        <f>_xlfn.TEXTJOIN("~",1,L20:O20)</f>
        <v>42011~1.85~0.8~2.2</v>
      </c>
      <c r="L20" s="35" t="str">
        <f>H20</f>
        <v>42011</v>
      </c>
      <c r="M20" s="35">
        <f>N20+(O20-N20)*0.75</f>
        <v>1.85</v>
      </c>
      <c r="N20" s="35">
        <v>0.8</v>
      </c>
      <c r="O20" s="35">
        <f>MIN(3.2,2.2+(C20-1)*0.05)</f>
        <v>2.2000000000000002</v>
      </c>
      <c r="P20" s="92" t="str" cm="1">
        <f t="array" ref="P20">_F_get_RS_Weather_pool($A20,$C20)</f>
        <v>420101~0~100~&lt;color=grey&gt;晴空万里&lt;/color&gt;</v>
      </c>
      <c r="Q20" s="59">
        <v>0</v>
      </c>
      <c r="R20" s="51">
        <f>_xlfn.XLOOKUP(C20,tb_enemy_mod[scene_index],tb_enemy_mod[hp_mod],1000)</f>
        <v>1000</v>
      </c>
      <c r="S20" s="59" t="s">
        <v>687</v>
      </c>
      <c r="T20" s="99" t="str" cm="1">
        <f t="array" ref="T20">_F_get_RS_Shop_pool(D20,C20)</f>
        <v>30103=8640</v>
      </c>
      <c r="U20" s="59" t="s">
        <v>749</v>
      </c>
      <c r="V20" s="51"/>
      <c r="W20" s="51" cm="1">
        <f t="array" ref="W20">_xlfn.SWITCH(D20,0,"","初始",1,"普通",INT(LOG(C20,8.2))+2,"最终",2,1)</f>
        <v>1</v>
      </c>
      <c r="X20" s="91" t="str" cm="1">
        <f t="array" ref="X20">_F_get_RS_MG_pool($D20,$C20,$AA20:$AL20)</f>
        <v>420103~1~300~</v>
      </c>
      <c r="Y20" s="43" t="str">
        <f>IF(A20="","",IF(COUNTA(AA20:AL20)&gt;=W20,"Correct","Error"))</f>
        <v>Correct</v>
      </c>
      <c r="Z20" s="73" t="str" cm="1">
        <f t="array" ref="Z20">_xlfn.TEXTJOIN("; ",1,_xlfn.MAP(AA20:AL20,_xlfn.LAMBDA(_xlpm._i,_xlfn.XLOOKUP(_xlpm._i,tb_mg[id],tb_mg[备注],"-TBN-"))))</f>
        <v>-TBN-</v>
      </c>
      <c r="AA20" s="57">
        <v>420103</v>
      </c>
    </row>
    <row r="21" spans="1:44">
      <c r="B21" s="5"/>
      <c r="I21" s="51"/>
      <c r="Q21" s="59"/>
      <c r="R21" s="59"/>
      <c r="V21" s="51"/>
      <c r="W21" s="51" t="str" cm="1">
        <f t="array" ref="W21">_xlfn.SWITCH(D21,0,"","初始",1,"普通",INT(LOG(C21,8.2))+2,"最终",2,1)</f>
        <v/>
      </c>
      <c r="X21" s="51"/>
      <c r="Y21" s="43" t="str">
        <f t="shared" ref="Y21:Y84" si="12">IF(A21="","",IF(COUNTA(AA21:AL21)&gt;=W21,"Correct","Error"))</f>
        <v/>
      </c>
      <c r="Z21" s="73" t="str" cm="1">
        <f t="array" ref="Z21">_xlfn.TEXTJOIN("; ",1,_xlfn.MAP(AA21:AL21,_xlfn.LAMBDA(_xlpm._i,_xlfn.XLOOKUP(_xlpm._i,tb_mg[id],tb_mg[备注],"-TBN-"))))</f>
        <v/>
      </c>
    </row>
    <row r="22" spans="1:44">
      <c r="A22" s="5">
        <v>420102</v>
      </c>
      <c r="B22" s="90" t="str" cm="1">
        <f t="array" ref="B22">_F_get_world_name($A22)</f>
        <v>地宫</v>
      </c>
      <c r="C22" s="43">
        <f t="shared" ref="C22:C39" si="13">IF(MOD(A22,100)&gt;90,20,MOD(A22,50))</f>
        <v>2</v>
      </c>
      <c r="D22" s="43" t="str">
        <f>VLOOKUP(MOD(A22,100),tb_scene_id_type[#All],3,1)</f>
        <v>普通</v>
      </c>
      <c r="E22" s="43" t="str">
        <f t="shared" si="11"/>
        <v>1A</v>
      </c>
      <c r="F22" s="43" t="str">
        <f>IFERROR(VLOOKUP(E22,tb_scene_name[],2,0),"")</f>
        <v>沉睡旷野</v>
      </c>
      <c r="G22" s="51" t="str">
        <f t="shared" ref="G22:G29" si="14">"bgm_"&amp;LOWER(E22)</f>
        <v>bgm_1a</v>
      </c>
      <c r="H22" s="51" t="str">
        <f t="shared" ref="H22:H29" si="15">420&amp;LEFT(E22,1)&amp;_xlfn.UNICODE(RIGHT(E22,1))-64</f>
        <v>42011</v>
      </c>
      <c r="I22" s="51" t="str">
        <f t="shared" ref="I22:I58" si="16">"scene_"&amp;$E22</f>
        <v>scene_1A</v>
      </c>
      <c r="J22" s="51" t="str">
        <f>_xlfn.LET(_xlpm._id,(LEFT($E22,1)-1)*3+_xlfn.UNICODE(RIGHT($E22,1))-65,
_xlfn.CONCAT("rs_scene_icon[ui_level_icon_thumbnail_",_xlpm._id,"]"))</f>
        <v>rs_scene_icon[ui_level_icon_thumbnail_0]</v>
      </c>
      <c r="K22" s="51" t="str">
        <f>_xlfn.TEXTJOIN("~",1,L22:O22)</f>
        <v>42011~1.8875~0.8~2.25</v>
      </c>
      <c r="L22" s="35" t="str">
        <f t="shared" ref="L22:L29" si="17">H22</f>
        <v>42011</v>
      </c>
      <c r="M22" s="35">
        <f t="shared" ref="M22:M29" si="18">N22+(O22-N22)*0.75</f>
        <v>1.8875</v>
      </c>
      <c r="N22" s="35">
        <v>0.8</v>
      </c>
      <c r="O22" s="35">
        <f>MIN(3.2,2.2+(C22-1)*0.05)</f>
        <v>2.25</v>
      </c>
      <c r="P22" s="92" t="str" cm="1">
        <f t="array" ref="P22">_F_get_RS_Weather_pool($A22,$C22)</f>
        <v>420101~0~100~&lt;color=grey&gt;晴空万里&lt;/color&gt;;420102~0~100~&lt;color=grey&gt;晴转阴&lt;/color&gt;;420102~10~0~&lt;color=grey&gt;阴&lt;/color&gt;</v>
      </c>
      <c r="Q22" s="59">
        <v>889</v>
      </c>
      <c r="R22" s="51">
        <v>1000</v>
      </c>
      <c r="S22" s="59" t="s">
        <v>635</v>
      </c>
      <c r="T22" s="99" t="str" cm="1">
        <f t="array" ref="T22">_F_get_RS_Shop_pool(D22,C22)</f>
        <v>20005=32256;30007=20160</v>
      </c>
      <c r="U22" s="59" t="s">
        <v>731</v>
      </c>
      <c r="V22" s="51"/>
      <c r="W22" s="51" cm="1">
        <f t="array" ref="W22">_xlfn.SWITCH(D22,0,"","初始",1,"普通",INT(LOG(C22,8.2))+2,"最终",2,1)</f>
        <v>2</v>
      </c>
      <c r="X22" s="91" t="str" cm="1">
        <f t="array" ref="X22">_F_get_RS_MG_pool($D22,$C22,$AA22:$AL22)</f>
        <v>420103~1~305~;420104~1~305~</v>
      </c>
      <c r="Y22" s="43" t="str">
        <f t="shared" si="12"/>
        <v>Correct</v>
      </c>
      <c r="Z22" s="73" t="str" cm="1">
        <f t="array" ref="Z22">_xlfn.TEXTJOIN("; ",1,_xlfn.MAP(AA22:AL22,_xlfn.LAMBDA(_xlpm._i,_xlfn.XLOOKUP(_xlpm._i,tb_mg[id],tb_mg[备注],"-TBN-"))))</f>
        <v>-TBN-; -TBN-</v>
      </c>
      <c r="AA22" s="57">
        <v>420103</v>
      </c>
      <c r="AB22" s="57">
        <v>420104</v>
      </c>
    </row>
    <row r="23" spans="1:44">
      <c r="A23" s="5">
        <v>420103</v>
      </c>
      <c r="B23" s="90" t="str" cm="1">
        <f t="array" ref="B23">_F_get_world_name($A23)</f>
        <v>地宫</v>
      </c>
      <c r="C23" s="43">
        <f t="shared" si="13"/>
        <v>3</v>
      </c>
      <c r="D23" s="43" t="str">
        <f>VLOOKUP(MOD(A23,100),tb_scene_id_type[#All],3,1)</f>
        <v>普通</v>
      </c>
      <c r="E23" s="43" t="str">
        <f t="shared" si="11"/>
        <v>1A</v>
      </c>
      <c r="F23" s="43" t="str">
        <f>IFERROR(VLOOKUP(E23,tb_scene_name[],2,0),"")</f>
        <v>沉睡旷野</v>
      </c>
      <c r="G23" s="51" t="str">
        <f t="shared" si="14"/>
        <v>bgm_1a</v>
      </c>
      <c r="H23" s="51" t="str">
        <f t="shared" si="15"/>
        <v>42011</v>
      </c>
      <c r="I23" s="51" t="str">
        <f t="shared" si="16"/>
        <v>scene_1A</v>
      </c>
      <c r="J23" s="51" t="str">
        <f t="shared" ref="J23:J39" si="19">_xlfn.LET(_xlpm._id,(LEFT($E23,1)-1)*3+_xlfn.UNICODE(RIGHT($E23,1))-65,
_xlfn.CONCAT("rs_scene_icon[ui_level_icon_thumbnail_",_xlpm._id,"]"))</f>
        <v>rs_scene_icon[ui_level_icon_thumbnail_0]</v>
      </c>
      <c r="K23" s="51" t="str">
        <f>_xlfn.TEXTJOIN("~",1,L23:O23)</f>
        <v>42011~1.925~0.8~2.3</v>
      </c>
      <c r="L23" s="35" t="str">
        <f t="shared" si="17"/>
        <v>42011</v>
      </c>
      <c r="M23" s="35">
        <f t="shared" si="18"/>
        <v>1.9250000000000003</v>
      </c>
      <c r="N23" s="35">
        <v>0.8</v>
      </c>
      <c r="O23" s="35">
        <f t="shared" ref="O23:O58" si="20">MIN(3.2,2.2+(C23-1)*0.05)</f>
        <v>2.3000000000000003</v>
      </c>
      <c r="P23" s="92" t="str" cm="1">
        <f t="array" ref="P23">_F_get_RS_Weather_pool($A23,$C23)</f>
        <v>420102~0~100~&lt;color=grey&gt;晴转阴&lt;/color&gt;;420102~10~0~&lt;color=grey&gt;阴&lt;/color&gt;;420102~0~100~&lt;color=grey&gt;晴转阴&lt;/color&gt;;420102~10~50~&lt;color=grey&gt;阴&lt;/color&gt;</v>
      </c>
      <c r="Q23" s="59">
        <v>1097</v>
      </c>
      <c r="R23" s="51">
        <v>1044</v>
      </c>
      <c r="S23" s="59" t="s">
        <v>635</v>
      </c>
      <c r="T23" s="99" t="str" cm="1">
        <f t="array" ref="T23">_F_get_RS_Shop_pool(D23,C23)</f>
        <v>20005=32256;30007=20160</v>
      </c>
      <c r="U23" s="59" t="s">
        <v>732</v>
      </c>
      <c r="V23" s="51"/>
      <c r="W23" s="51" cm="1">
        <f t="array" ref="W23">_xlfn.SWITCH(D23,0,"","初始",1,"普通",INT(LOG(C23,8.2))+2,"最终",2,1)</f>
        <v>2</v>
      </c>
      <c r="X23" s="91" t="str" cm="1">
        <f t="array" ref="X23">_F_get_RS_MG_pool($D23,$C23,$AA23:$AL23)</f>
        <v>420103~1~310~;420104~1~310~;420105~1~310~</v>
      </c>
      <c r="Y23" s="43" t="str">
        <f t="shared" si="12"/>
        <v>Correct</v>
      </c>
      <c r="Z23" s="73" t="str" cm="1">
        <f t="array" ref="Z23">_xlfn.TEXTJOIN("; ",1,_xlfn.MAP(AA23:AL23,_xlfn.LAMBDA(_xlpm._i,_xlfn.XLOOKUP(_xlpm._i,tb_mg[id],tb_mg[备注],"-TBN-"))))</f>
        <v>-TBN-; -TBN-; -TBN-</v>
      </c>
      <c r="AA23" s="57">
        <v>420103</v>
      </c>
      <c r="AB23" s="57">
        <v>420104</v>
      </c>
      <c r="AC23" s="57">
        <v>420105</v>
      </c>
    </row>
    <row r="24" spans="1:44">
      <c r="A24" s="5">
        <v>420104</v>
      </c>
      <c r="B24" s="90" t="str" cm="1">
        <f t="array" ref="B24">_F_get_world_name($A24)</f>
        <v>地宫</v>
      </c>
      <c r="C24" s="43">
        <f t="shared" si="13"/>
        <v>4</v>
      </c>
      <c r="D24" s="43" t="str">
        <f>VLOOKUP(MOD(A24,100),tb_scene_id_type[#All],3,1)</f>
        <v>普通</v>
      </c>
      <c r="E24" s="43" t="str">
        <f t="shared" si="11"/>
        <v>1A</v>
      </c>
      <c r="F24" s="43" t="str">
        <f>IFERROR(VLOOKUP(E24,tb_scene_name[],2,0),"")</f>
        <v>沉睡旷野</v>
      </c>
      <c r="G24" s="51" t="str">
        <f t="shared" si="14"/>
        <v>bgm_1a</v>
      </c>
      <c r="H24" s="51" t="str">
        <f t="shared" si="15"/>
        <v>42011</v>
      </c>
      <c r="I24" s="51" t="str">
        <f t="shared" si="16"/>
        <v>scene_1A</v>
      </c>
      <c r="J24" s="51" t="str">
        <f t="shared" si="19"/>
        <v>rs_scene_icon[ui_level_icon_thumbnail_0]</v>
      </c>
      <c r="K24" s="51" t="str">
        <f t="shared" ref="K24" si="21">_xlfn.TEXTJOIN("~",1,L24:O24)</f>
        <v>42011~1.9625~0.8~2.35</v>
      </c>
      <c r="L24" s="35" t="str">
        <f t="shared" si="17"/>
        <v>42011</v>
      </c>
      <c r="M24" s="35">
        <f t="shared" si="18"/>
        <v>1.9625000000000001</v>
      </c>
      <c r="N24" s="35">
        <v>0.8</v>
      </c>
      <c r="O24" s="35">
        <f t="shared" si="20"/>
        <v>2.35</v>
      </c>
      <c r="P24" s="92" t="str" cm="1">
        <f t="array" ref="P24">_F_get_RS_Weather_pool($A24,$C24)</f>
        <v>420102~0~100~&lt;color=grey&gt;晴转阴&lt;/color&gt;;420102~10~50~&lt;color=grey&gt;阴&lt;/color&gt;;420103~0~100~&lt;color=#999900&gt;晴转小雨&lt;/color&gt;;420103~10~50~&lt;color=#999900&gt;阴转小雨&lt;/color&gt;;420103~11~0~&lt;color=#999900&gt;小雨&lt;/color&gt;</v>
      </c>
      <c r="Q24" s="59">
        <v>1311</v>
      </c>
      <c r="R24" s="51">
        <v>1438</v>
      </c>
      <c r="S24" s="59" t="s">
        <v>687</v>
      </c>
      <c r="T24" s="99" t="str" cm="1">
        <f t="array" ref="T24">_F_get_RS_Shop_pool(D24,C24)</f>
        <v>40113=1080</v>
      </c>
      <c r="U24" s="59" t="s">
        <v>733</v>
      </c>
      <c r="V24" s="51"/>
      <c r="W24" s="51" cm="1">
        <f t="array" ref="W24">_xlfn.SWITCH(D24,0,"","初始",1,"普通",INT(LOG(C24,8.2))+2,"最终",2,1)</f>
        <v>2</v>
      </c>
      <c r="X24" s="91" t="str" cm="1">
        <f t="array" ref="X24">_F_get_RS_MG_pool($D24,$C24,$AA24:$AL24)</f>
        <v>420103~1~310~;420104~1~310~;420105~1~310~</v>
      </c>
      <c r="Y24" s="43" t="str">
        <f t="shared" si="12"/>
        <v>Correct</v>
      </c>
      <c r="Z24" s="73" t="str" cm="1">
        <f t="array" ref="Z24">_xlfn.TEXTJOIN("; ",1,_xlfn.MAP(AA24:AL24,_xlfn.LAMBDA(_xlpm._i,_xlfn.XLOOKUP(_xlpm._i,tb_mg[id],tb_mg[备注],"-TBN-"))))</f>
        <v>-TBN-; -TBN-; -TBN-</v>
      </c>
      <c r="AA24" s="57">
        <v>420103</v>
      </c>
      <c r="AB24" s="57">
        <v>420104</v>
      </c>
      <c r="AC24" s="57">
        <v>420105</v>
      </c>
    </row>
    <row r="25" spans="1:44">
      <c r="A25" s="5">
        <v>420105</v>
      </c>
      <c r="B25" s="90" t="str" cm="1">
        <f t="array" ref="B25">_F_get_world_name($A25)</f>
        <v>地宫</v>
      </c>
      <c r="C25" s="43">
        <f t="shared" si="13"/>
        <v>5</v>
      </c>
      <c r="D25" s="43" t="str">
        <f>VLOOKUP(MOD(A25,100),tb_scene_id_type[#All],3,1)</f>
        <v>普通</v>
      </c>
      <c r="E25" s="43" t="str">
        <f t="shared" si="11"/>
        <v>1A</v>
      </c>
      <c r="F25" s="43" t="str">
        <f>IFERROR(VLOOKUP(E25,tb_scene_name[],2,0),"")</f>
        <v>沉睡旷野</v>
      </c>
      <c r="G25" s="51" t="str">
        <f t="shared" si="14"/>
        <v>bgm_1a</v>
      </c>
      <c r="H25" s="51" t="str">
        <f t="shared" si="15"/>
        <v>42011</v>
      </c>
      <c r="I25" s="51" t="str">
        <f t="shared" si="16"/>
        <v>scene_1A</v>
      </c>
      <c r="J25" s="51" t="str">
        <f t="shared" si="19"/>
        <v>rs_scene_icon[ui_level_icon_thumbnail_0]</v>
      </c>
      <c r="K25" s="51" t="str">
        <f t="shared" ref="K25" si="22">_xlfn.TEXTJOIN("~",1,L25:O25)</f>
        <v>42011~2~0.8~2.4</v>
      </c>
      <c r="L25" s="35" t="str">
        <f t="shared" si="17"/>
        <v>42011</v>
      </c>
      <c r="M25" s="35">
        <f t="shared" si="18"/>
        <v>2</v>
      </c>
      <c r="N25" s="35">
        <v>0.8</v>
      </c>
      <c r="O25" s="35">
        <f t="shared" si="20"/>
        <v>2.4000000000000004</v>
      </c>
      <c r="P25" s="92" t="str" cm="1">
        <f t="array" ref="P25">_F_get_RS_Weather_pool($A25,$C25)</f>
        <v>420103~0~100~&lt;color=#999900&gt;晴转小雨&lt;/color&gt;;420103~10~50~&lt;color=#999900&gt;阴转小雨&lt;/color&gt;;420103~11~0~&lt;color=#999900&gt;小雨&lt;/color&gt;;420103~0~100~&lt;color=#999900&gt;晴转小雨&lt;/color&gt;;420103~10~50~&lt;color=#999900&gt;阴转小雨&lt;/color&gt;;420103~11~50~&lt;color=#999900&gt;小雨&lt;/color&gt;</v>
      </c>
      <c r="Q25" s="59">
        <v>1554</v>
      </c>
      <c r="R25" s="51">
        <v>1887</v>
      </c>
      <c r="S25" s="59" t="s">
        <v>583</v>
      </c>
      <c r="T25" s="99" t="str" cm="1">
        <f t="array" ref="T25">_F_get_RS_Shop_pool(D25,C25)</f>
        <v>10001=36864;20011=4608;20003=23040;30013=2880;20005=32256;30015=4032;30007=20160;40017=2520</v>
      </c>
      <c r="U25" s="59" t="s">
        <v>734</v>
      </c>
      <c r="V25" s="51"/>
      <c r="W25" s="51" cm="1">
        <f t="array" ref="W25">_xlfn.SWITCH(D25,0,"","初始",1,"普通",INT(LOG(C25,8.2))+2,"最终",2,1)</f>
        <v>2</v>
      </c>
      <c r="X25" s="91" t="str" cm="1">
        <f t="array" ref="X25">_F_get_RS_MG_pool($D25,$C25,$AA25:$AL25)</f>
        <v>420103~1~315~;420104~1~315~;420105~1~315~;420112~1~315~</v>
      </c>
      <c r="Y25" s="43" t="str">
        <f t="shared" si="12"/>
        <v>Correct</v>
      </c>
      <c r="Z25" s="73" t="str" cm="1">
        <f t="array" ref="Z25">_xlfn.TEXTJOIN("; ",1,_xlfn.MAP(AA25:AL25,_xlfn.LAMBDA(_xlpm._i,_xlfn.XLOOKUP(_xlpm._i,tb_mg[id],tb_mg[备注],"-TBN-"))))</f>
        <v>-TBN-; -TBN-; -TBN-; -TBN-</v>
      </c>
      <c r="AA25" s="57">
        <v>420103</v>
      </c>
      <c r="AB25" s="57">
        <v>420104</v>
      </c>
      <c r="AC25" s="57">
        <v>420105</v>
      </c>
      <c r="AD25" s="57">
        <v>420112</v>
      </c>
    </row>
    <row r="26" spans="1:44">
      <c r="A26" s="5">
        <v>420106</v>
      </c>
      <c r="B26" s="90" t="str" cm="1">
        <f t="array" ref="B26">_F_get_world_name($A26)</f>
        <v>地宫</v>
      </c>
      <c r="C26" s="43">
        <f t="shared" si="13"/>
        <v>6</v>
      </c>
      <c r="D26" s="43" t="str">
        <f>VLOOKUP(MOD(A26,100),tb_scene_id_type[#All],3,1)</f>
        <v>普通</v>
      </c>
      <c r="E26" s="43" t="str">
        <f t="shared" si="11"/>
        <v>1A</v>
      </c>
      <c r="F26" s="43" t="str">
        <f>IFERROR(VLOOKUP(E26,tb_scene_name[],2,0),"")</f>
        <v>沉睡旷野</v>
      </c>
      <c r="G26" s="51" t="str">
        <f t="shared" si="14"/>
        <v>bgm_1a</v>
      </c>
      <c r="H26" s="51" t="str">
        <f t="shared" si="15"/>
        <v>42011</v>
      </c>
      <c r="I26" s="51" t="str">
        <f t="shared" si="16"/>
        <v>scene_1A</v>
      </c>
      <c r="J26" s="51" t="str">
        <f t="shared" si="19"/>
        <v>rs_scene_icon[ui_level_icon_thumbnail_0]</v>
      </c>
      <c r="K26" s="51" t="str">
        <f t="shared" ref="K26:K29" si="23">_xlfn.TEXTJOIN("~",1,L26:O26)</f>
        <v>42011~2.0375~0.8~2.45</v>
      </c>
      <c r="L26" s="35" t="str">
        <f t="shared" si="17"/>
        <v>42011</v>
      </c>
      <c r="M26" s="35">
        <f t="shared" si="18"/>
        <v>2.0375000000000001</v>
      </c>
      <c r="N26" s="35">
        <v>0.8</v>
      </c>
      <c r="O26" s="35">
        <f t="shared" si="20"/>
        <v>2.4500000000000002</v>
      </c>
      <c r="P26" s="92" t="str" cm="1">
        <f t="array" ref="P26">_F_get_RS_Weather_pool($A26,$C26)</f>
        <v>420103~0~100~&lt;color=#999900&gt;晴转小雨&lt;/color&gt;;420103~10~50~&lt;color=#999900&gt;阴转小雨&lt;/color&gt;;420103~11~50~&lt;color=#999900&gt;小雨&lt;/color&gt;;420104~0~100~&lt;color=orange&gt;晴转大雨&lt;/color&gt;;420104~10~50~&lt;color=orange&gt;阴转大雨&lt;/color&gt;;420104~11~50~&lt;color=orange&gt;小雨渐大&lt;/color&gt;;420104~12~0~&lt;color=orange&gt;大雨倾盆&lt;/color&gt;</v>
      </c>
      <c r="Q26" s="59">
        <v>1801</v>
      </c>
      <c r="R26" s="51">
        <v>2404</v>
      </c>
      <c r="S26" s="59" t="s">
        <v>583</v>
      </c>
      <c r="T26" s="99" t="str" cm="1">
        <f t="array" ref="T26">_F_get_RS_Shop_pool(D26,C26)</f>
        <v>10001=36864;20011=4608;20003=23040;30013=2880;20005=32256;30015=4032;30007=20160;40017=2520</v>
      </c>
      <c r="U26" s="59" t="s">
        <v>735</v>
      </c>
      <c r="V26" s="51"/>
      <c r="W26" s="51" cm="1">
        <f t="array" ref="W26">_xlfn.SWITCH(D26,0,"","初始",1,"普通",INT(LOG(C26,8.2))+2,"最终",2,1)</f>
        <v>2</v>
      </c>
      <c r="X26" s="91" t="str" cm="1">
        <f t="array" ref="X26">_F_get_RS_MG_pool($D26,$C26,$AA26:$AL26)</f>
        <v>420103~1~320~;420104~1~320~;420105~1~320~;420112~1~320~</v>
      </c>
      <c r="Y26" s="43" t="str">
        <f t="shared" si="12"/>
        <v>Correct</v>
      </c>
      <c r="Z26" s="73" t="str" cm="1">
        <f t="array" ref="Z26">_xlfn.TEXTJOIN("; ",1,_xlfn.MAP(AA26:AL26,_xlfn.LAMBDA(_xlpm._i,_xlfn.XLOOKUP(_xlpm._i,tb_mg[id],tb_mg[备注],"-TBN-"))))</f>
        <v>-TBN-; -TBN-; -TBN-; -TBN-</v>
      </c>
      <c r="AA26" s="57">
        <v>420103</v>
      </c>
      <c r="AB26" s="57">
        <v>420104</v>
      </c>
      <c r="AC26" s="57">
        <v>420105</v>
      </c>
      <c r="AD26" s="57">
        <v>420112</v>
      </c>
    </row>
    <row r="27" spans="1:44">
      <c r="A27" s="5">
        <v>420107</v>
      </c>
      <c r="B27" s="90" t="str" cm="1">
        <f t="array" ref="B27">_F_get_world_name($A27)</f>
        <v>地宫</v>
      </c>
      <c r="C27" s="43">
        <f t="shared" si="13"/>
        <v>7</v>
      </c>
      <c r="D27" s="43" t="str">
        <f>VLOOKUP(MOD(A27,100),tb_scene_id_type[#All],3,1)</f>
        <v>普通</v>
      </c>
      <c r="E27" s="43" t="str">
        <f t="shared" si="11"/>
        <v>1A</v>
      </c>
      <c r="F27" s="43" t="str">
        <f>IFERROR(VLOOKUP(E27,tb_scene_name[],2,0),"")</f>
        <v>沉睡旷野</v>
      </c>
      <c r="G27" s="51" t="str">
        <f t="shared" si="14"/>
        <v>bgm_1a</v>
      </c>
      <c r="H27" s="51" t="str">
        <f t="shared" si="15"/>
        <v>42011</v>
      </c>
      <c r="I27" s="51" t="str">
        <f t="shared" si="16"/>
        <v>scene_1A</v>
      </c>
      <c r="J27" s="51" t="str">
        <f t="shared" si="19"/>
        <v>rs_scene_icon[ui_level_icon_thumbnail_0]</v>
      </c>
      <c r="K27" s="51" t="str">
        <f t="shared" si="23"/>
        <v>42011~2.075~0.8~2.5</v>
      </c>
      <c r="L27" s="35" t="str">
        <f t="shared" si="17"/>
        <v>42011</v>
      </c>
      <c r="M27" s="35">
        <f t="shared" si="18"/>
        <v>2.0750000000000002</v>
      </c>
      <c r="N27" s="35">
        <v>0.8</v>
      </c>
      <c r="O27" s="35">
        <f t="shared" si="20"/>
        <v>2.5</v>
      </c>
      <c r="P27" s="92" t="str" cm="1">
        <f t="array" ref="P27">_F_get_RS_Weather_pool($A27,$C27)</f>
        <v>420104~0~100~&lt;color=orange&gt;晴转大雨&lt;/color&gt;;420104~10~50~&lt;color=orange&gt;阴转大雨&lt;/color&gt;;420104~11~50~&lt;color=orange&gt;小雨渐大&lt;/color&gt;;420104~12~0~&lt;color=orange&gt;大雨倾盆&lt;/color&gt;;420104~0~100~&lt;color=orange&gt;晴转大雨&lt;/color&gt;;420104~10~50~&lt;color=orange&gt;阴转大雨&lt;/color&gt;;420104~11~50~&lt;color=orange&gt;小雨渐大&lt;/color&gt;;420104~12~50~&lt;color=orange&gt;大雨倾盆&lt;/color&gt;</v>
      </c>
      <c r="Q27" s="59">
        <v>2066</v>
      </c>
      <c r="R27" s="51">
        <v>3002</v>
      </c>
      <c r="S27" s="59" t="s">
        <v>580</v>
      </c>
      <c r="T27" s="99" t="str" cm="1">
        <f t="array" ref="T27">_F_get_RS_Shop_pool(D27,C27)</f>
        <v>20011=4608;30013=2880;30015=4032;40017=2520</v>
      </c>
      <c r="U27" s="59" t="s">
        <v>736</v>
      </c>
      <c r="V27" s="51"/>
      <c r="W27" s="51" cm="1">
        <f t="array" ref="W27">_xlfn.SWITCH(D27,0,"","初始",1,"普通",INT(LOG(C27,8.2))+2,"最终",2,1)</f>
        <v>2</v>
      </c>
      <c r="X27" s="91" t="str" cm="1">
        <f t="array" ref="X27">_F_get_RS_MG_pool($D27,$C27,$AA27:$AL27)</f>
        <v>420103~1~320~;420104~1~320~;420105~1~320~;420112~1~320~;420112~1~320~</v>
      </c>
      <c r="Y27" s="43" t="str">
        <f t="shared" si="12"/>
        <v>Correct</v>
      </c>
      <c r="Z27" s="73" t="str" cm="1">
        <f t="array" ref="Z27">_xlfn.TEXTJOIN("; ",1,_xlfn.MAP(AA27:AL27,_xlfn.LAMBDA(_xlpm._i,_xlfn.XLOOKUP(_xlpm._i,tb_mg[id],tb_mg[备注],"-TBN-"))))</f>
        <v>-TBN-; -TBN-; -TBN-; -TBN-; -TBN-</v>
      </c>
      <c r="AA27" s="57">
        <v>420103</v>
      </c>
      <c r="AB27" s="57">
        <v>420104</v>
      </c>
      <c r="AC27" s="57">
        <v>420105</v>
      </c>
      <c r="AD27" s="57">
        <v>420112</v>
      </c>
      <c r="AE27" s="57">
        <v>420112</v>
      </c>
    </row>
    <row r="28" spans="1:44">
      <c r="A28" s="5">
        <v>420108</v>
      </c>
      <c r="B28" s="90" t="str" cm="1">
        <f t="array" ref="B28">_F_get_world_name($A28)</f>
        <v>地宫</v>
      </c>
      <c r="C28" s="43">
        <f t="shared" si="13"/>
        <v>8</v>
      </c>
      <c r="D28" s="43" t="str">
        <f>VLOOKUP(MOD(A28,100),tb_scene_id_type[#All],3,1)</f>
        <v>普通</v>
      </c>
      <c r="E28" s="43" t="str">
        <f t="shared" si="11"/>
        <v>1B</v>
      </c>
      <c r="F28" s="43" t="str">
        <f>IFERROR(VLOOKUP(E28,tb_scene_name[],2,0),"")</f>
        <v>石墟遗林</v>
      </c>
      <c r="G28" s="51" t="str">
        <f t="shared" si="14"/>
        <v>bgm_1b</v>
      </c>
      <c r="H28" s="51" t="str">
        <f t="shared" si="15"/>
        <v>42012</v>
      </c>
      <c r="I28" s="51" t="str">
        <f t="shared" si="16"/>
        <v>scene_1B</v>
      </c>
      <c r="J28" s="51" t="str">
        <f t="shared" si="19"/>
        <v>rs_scene_icon[ui_level_icon_thumbnail_1]</v>
      </c>
      <c r="K28" s="51" t="str">
        <f t="shared" si="23"/>
        <v>42012~2.1125~0.8~2.55</v>
      </c>
      <c r="L28" s="35" t="str">
        <f t="shared" si="17"/>
        <v>42012</v>
      </c>
      <c r="M28" s="35">
        <f t="shared" si="18"/>
        <v>2.1125000000000003</v>
      </c>
      <c r="N28" s="35">
        <v>0.8</v>
      </c>
      <c r="O28" s="35">
        <f t="shared" si="20"/>
        <v>2.5500000000000003</v>
      </c>
      <c r="P28" s="92" t="str" cm="1">
        <f t="array" ref="P28">_F_get_RS_Weather_pool($A28,$C28)</f>
        <v>420104~0~100~&lt;color=orange&gt;晴转大雨&lt;/color&gt;;420104~10~50~&lt;color=orange&gt;阴转大雨&lt;/color&gt;;420104~11~50~&lt;color=orange&gt;小雨渐大&lt;/color&gt;;420104~12~50~&lt;color=orange&gt;大雨倾盆&lt;/color&gt;;420105~0~100~&lt;color=red&gt;晴转雷暴雨&lt;/color&gt;;420105~10~50~&lt;color=red&gt;阴转雷暴雨&lt;/color&gt;;420105~11~50~&lt;color=red&gt;小雨转雷暴雨&lt;/color&gt;;420105~12~50~&lt;color=red&gt;大雨转雷暴雨&lt;/color&gt;;420105~13~0~&lt;color=purple&gt;雷暴雨&lt;/color&gt;</v>
      </c>
      <c r="Q28" s="59">
        <v>2355</v>
      </c>
      <c r="R28" s="51">
        <v>3702</v>
      </c>
      <c r="S28" s="59" t="s">
        <v>583</v>
      </c>
      <c r="T28" s="99" t="str" cm="1">
        <f t="array" ref="T28">_F_get_RS_Shop_pool(D28,C28)</f>
        <v>20003=23040;30013=2880;30007=20160;40017=2520</v>
      </c>
      <c r="U28" s="59" t="s">
        <v>737</v>
      </c>
      <c r="V28" s="51"/>
      <c r="W28" s="51" cm="1">
        <f t="array" ref="W28">_xlfn.SWITCH(D28,0,"","初始",1,"普通",INT(LOG(C28,8.2))+2,"最终",2,1)</f>
        <v>2</v>
      </c>
      <c r="X28" s="91" t="str" cm="1">
        <f t="array" ref="X28">_F_get_RS_MG_pool($D28,$C28,$AA28:$AL28)</f>
        <v>420103~1~325~;420104~1~325~;420105~1~325~;420111~1~325~;420112~1~325~</v>
      </c>
      <c r="Y28" s="43" t="str">
        <f t="shared" si="12"/>
        <v>Correct</v>
      </c>
      <c r="Z28" s="73" t="str" cm="1">
        <f t="array" ref="Z28">_xlfn.TEXTJOIN("; ",1,_xlfn.MAP(AA28:AL28,_xlfn.LAMBDA(_xlpm._i,_xlfn.XLOOKUP(_xlpm._i,tb_mg[id],tb_mg[备注],"-TBN-"))))</f>
        <v>-TBN-; -TBN-; -TBN-; -TBN-; -TBN-</v>
      </c>
      <c r="AA28" s="57">
        <v>420103</v>
      </c>
      <c r="AB28" s="57">
        <v>420104</v>
      </c>
      <c r="AC28" s="57">
        <v>420105</v>
      </c>
      <c r="AD28" s="57">
        <v>420111</v>
      </c>
      <c r="AE28" s="57">
        <v>420112</v>
      </c>
      <c r="AP28" s="5"/>
      <c r="AR28" s="5"/>
    </row>
    <row r="29" spans="1:44">
      <c r="A29" s="5">
        <v>420109</v>
      </c>
      <c r="B29" s="90" t="str" cm="1">
        <f t="array" ref="B29">_F_get_world_name($A29)</f>
        <v>地宫</v>
      </c>
      <c r="C29" s="43">
        <f t="shared" si="13"/>
        <v>9</v>
      </c>
      <c r="D29" s="43" t="str">
        <f>VLOOKUP(MOD(A29,100),tb_scene_id_type[#All],3,1)</f>
        <v>普通</v>
      </c>
      <c r="E29" s="43" t="str">
        <f t="shared" si="11"/>
        <v>1B</v>
      </c>
      <c r="F29" s="43" t="str">
        <f>IFERROR(VLOOKUP(E29,tb_scene_name[],2,0),"")</f>
        <v>石墟遗林</v>
      </c>
      <c r="G29" s="51" t="str">
        <f t="shared" si="14"/>
        <v>bgm_1b</v>
      </c>
      <c r="H29" s="51" t="str">
        <f t="shared" si="15"/>
        <v>42012</v>
      </c>
      <c r="I29" s="51" t="str">
        <f t="shared" si="16"/>
        <v>scene_1B</v>
      </c>
      <c r="J29" s="51" t="str">
        <f t="shared" si="19"/>
        <v>rs_scene_icon[ui_level_icon_thumbnail_1]</v>
      </c>
      <c r="K29" s="51" t="str">
        <f t="shared" si="23"/>
        <v>42012~2.15~0.8~2.6</v>
      </c>
      <c r="L29" s="35" t="str">
        <f t="shared" si="17"/>
        <v>42012</v>
      </c>
      <c r="M29" s="35">
        <f t="shared" si="18"/>
        <v>2.1500000000000004</v>
      </c>
      <c r="N29" s="35">
        <v>0.8</v>
      </c>
      <c r="O29" s="35">
        <f t="shared" si="20"/>
        <v>2.6</v>
      </c>
      <c r="P29" s="92" t="str" cm="1">
        <f t="array" ref="P29">_F_get_RS_Weather_pool($A29,$C29)</f>
        <v>420105~0~100~&lt;color=red&gt;晴转雷暴雨&lt;/color&gt;;420105~10~50~&lt;color=red&gt;阴转雷暴雨&lt;/color&gt;;420105~11~50~&lt;color=red&gt;小雨转雷暴雨&lt;/color&gt;;420105~12~50~&lt;color=red&gt;大雨转雷暴雨&lt;/color&gt;;420105~13~0~&lt;color=purple&gt;雷暴雨&lt;/color&gt;;420105~0~50~&lt;color=red&gt;晴转雷暴雨&lt;/color&gt;;420105~10~50~&lt;color=red&gt;阴转雷暴雨&lt;/color&gt;;420105~11~50~&lt;color=red&gt;小雨转雷暴雨&lt;/color&gt;;420105~12~50~&lt;color=red&gt;大雨转雷暴雨&lt;/color&gt;;420105~13~0~&lt;color=purple&gt;雷暴雨&lt;/color&gt;</v>
      </c>
      <c r="Q29" s="59">
        <v>2642</v>
      </c>
      <c r="R29" s="51">
        <v>4508</v>
      </c>
      <c r="S29" s="59" t="s">
        <v>583</v>
      </c>
      <c r="T29" s="99" t="str" cm="1">
        <f t="array" ref="T29">_F_get_RS_Shop_pool(D29,C29)</f>
        <v>20101=13824;30111=1728;30103=8640;40113=1080</v>
      </c>
      <c r="U29" s="59" t="s">
        <v>738</v>
      </c>
      <c r="V29" s="51"/>
      <c r="W29" s="51" cm="1">
        <f t="array" ref="W29">_xlfn.SWITCH(D29,0,"","初始",1,"普通",INT(LOG(C29,8.2))+2,"最终",2,1)</f>
        <v>3</v>
      </c>
      <c r="X29" s="91" t="str" cm="1">
        <f t="array" ref="X29">_F_get_RS_MG_pool($D29,$C29,$AA29:$AL29)</f>
        <v>420103~1~325~;420104~1~325~;420105~1~325~;420111~1~325~;420112~1~325~;420114~1~325~</v>
      </c>
      <c r="Y29" s="43" t="str">
        <f t="shared" si="12"/>
        <v>Correct</v>
      </c>
      <c r="Z29" s="73" t="str" cm="1">
        <f t="array" ref="Z29">_xlfn.TEXTJOIN("; ",1,_xlfn.MAP(AA29:AL29,_xlfn.LAMBDA(_xlpm._i,_xlfn.XLOOKUP(_xlpm._i,tb_mg[id],tb_mg[备注],"-TBN-"))))</f>
        <v>-TBN-; -TBN-; -TBN-; -TBN-; -TBN-; -TBN-</v>
      </c>
      <c r="AA29" s="57">
        <v>420103</v>
      </c>
      <c r="AB29" s="57">
        <v>420104</v>
      </c>
      <c r="AC29" s="57">
        <v>420105</v>
      </c>
      <c r="AD29" s="57">
        <v>420111</v>
      </c>
      <c r="AE29" s="57">
        <v>420112</v>
      </c>
      <c r="AF29" s="57">
        <v>420114</v>
      </c>
      <c r="AP29" s="5"/>
      <c r="AR29" s="5"/>
    </row>
    <row r="30" spans="1:44">
      <c r="A30" s="5">
        <v>420110</v>
      </c>
      <c r="B30" s="90" t="str" cm="1">
        <f t="array" ref="B30">_F_get_world_name($A30)</f>
        <v>地宫</v>
      </c>
      <c r="C30" s="43">
        <f t="shared" si="13"/>
        <v>10</v>
      </c>
      <c r="D30" s="43" t="str">
        <f>VLOOKUP(MOD(A30,100),tb_scene_id_type[#All],3,1)</f>
        <v>普通</v>
      </c>
      <c r="E30" s="43" t="str">
        <f t="shared" si="11"/>
        <v>1B</v>
      </c>
      <c r="F30" s="43" t="str">
        <f>IFERROR(VLOOKUP(E30,tb_scene_name[],2,0),"")</f>
        <v>石墟遗林</v>
      </c>
      <c r="G30" s="51" t="str">
        <f>"bgm_"&amp;LOWER(E30)</f>
        <v>bgm_1b</v>
      </c>
      <c r="H30" s="51" t="str">
        <f>420&amp;LEFT(E30,1)&amp;_xlfn.UNICODE(RIGHT(E30,1))-64</f>
        <v>42012</v>
      </c>
      <c r="I30" s="51" t="str">
        <f t="shared" si="16"/>
        <v>scene_1B</v>
      </c>
      <c r="J30" s="51" t="str">
        <f t="shared" si="19"/>
        <v>rs_scene_icon[ui_level_icon_thumbnail_1]</v>
      </c>
      <c r="K30" s="51" t="str">
        <f>_xlfn.TEXTJOIN("~",1,L30:O30)</f>
        <v>42012~2.1875~0.8~2.65</v>
      </c>
      <c r="L30" s="35" t="str">
        <f>H30</f>
        <v>42012</v>
      </c>
      <c r="M30" s="35">
        <f>N30+(O30-N30)*0.75</f>
        <v>2.1875</v>
      </c>
      <c r="N30" s="35">
        <v>0.8</v>
      </c>
      <c r="O30" s="35">
        <f t="shared" si="20"/>
        <v>2.6500000000000004</v>
      </c>
      <c r="P30" s="92" t="str" cm="1">
        <f t="array" ref="P30">_F_get_RS_Weather_pool($A30,$C30)</f>
        <v>420105~0~50~&lt;color=red&gt;晴转雷暴雨&lt;/color&gt;;420105~10~50~&lt;color=red&gt;阴转雷暴雨&lt;/color&gt;;420105~11~50~&lt;color=red&gt;小雨转雷暴雨&lt;/color&gt;;420105~12~50~&lt;color=red&gt;大雨转雷暴雨&lt;/color&gt;;420105~13~0~&lt;color=purple&gt;雷暴雨&lt;/color&gt;;420105~0~50~&lt;color=red&gt;晴转雷暴雨&lt;/color&gt;;420105~10~50~&lt;color=red&gt;阴转雷暴雨&lt;/color&gt;;420105~11~50~&lt;color=red&gt;小雨转雷暴雨&lt;/color&gt;;420105~12~50~&lt;color=red&gt;大雨转雷暴雨&lt;/color&gt;;420105~13~50~&lt;color=purple&gt;雷暴雨&lt;/color&gt;</v>
      </c>
      <c r="Q30" s="59">
        <v>2942</v>
      </c>
      <c r="R30" s="51">
        <v>5435</v>
      </c>
      <c r="S30" s="59" t="s">
        <v>583</v>
      </c>
      <c r="T30" s="99" t="str" cm="1">
        <f t="array" ref="T30">_F_get_RS_Shop_pool(D30,C30)</f>
        <v>10001=36864;20011=4608;20003=23040;30013=2880;20005=32256;30015=4032;30007=20160;40017=2520</v>
      </c>
      <c r="U30" s="59" t="s">
        <v>739</v>
      </c>
      <c r="V30" s="51"/>
      <c r="W30" s="51" cm="1">
        <f t="array" ref="W30">_xlfn.SWITCH(D30,0,"","初始",1,"普通",INT(LOG(C30,8.2))+2,"最终",2,1)</f>
        <v>3</v>
      </c>
      <c r="X30" s="91" t="str" cm="1">
        <f t="array" ref="X30">_F_get_RS_MG_pool($D30,$C30,$AA30:$AL30)</f>
        <v>420103~1~330~;420104~1~330~;420105~1~330~;420111~1~330~;420112~1~330~;420114~1~330~</v>
      </c>
      <c r="Y30" s="43" t="str">
        <f t="shared" si="12"/>
        <v>Correct</v>
      </c>
      <c r="Z30" s="73" t="str" cm="1">
        <f t="array" ref="Z30">_xlfn.TEXTJOIN("; ",1,_xlfn.MAP(AA30:AL30,_xlfn.LAMBDA(_xlpm._i,_xlfn.XLOOKUP(_xlpm._i,tb_mg[id],tb_mg[备注],"-TBN-"))))</f>
        <v>-TBN-; -TBN-; -TBN-; -TBN-; -TBN-; -TBN-</v>
      </c>
      <c r="AA30" s="57">
        <v>420103</v>
      </c>
      <c r="AB30" s="57">
        <v>420104</v>
      </c>
      <c r="AC30" s="57">
        <v>420105</v>
      </c>
      <c r="AD30" s="57">
        <v>420111</v>
      </c>
      <c r="AE30" s="57">
        <v>420112</v>
      </c>
      <c r="AF30" s="57">
        <v>420114</v>
      </c>
    </row>
    <row r="31" spans="1:44">
      <c r="A31" s="5">
        <v>420111</v>
      </c>
      <c r="B31" s="90" t="str" cm="1">
        <f t="array" ref="B31">_F_get_world_name($A31)</f>
        <v>地宫</v>
      </c>
      <c r="C31" s="43">
        <f t="shared" si="13"/>
        <v>11</v>
      </c>
      <c r="D31" s="43" t="str">
        <f>VLOOKUP(MOD(A31,100),tb_scene_id_type[#All],3,1)</f>
        <v>普通</v>
      </c>
      <c r="E31" s="43" t="str">
        <f t="shared" si="11"/>
        <v>1B</v>
      </c>
      <c r="F31" s="43" t="str">
        <f>IFERROR(VLOOKUP(E31,tb_scene_name[],2,0),"")</f>
        <v>石墟遗林</v>
      </c>
      <c r="G31" s="51" t="str">
        <f t="shared" ref="G31:G38" si="24">"bgm_"&amp;LOWER(E31)</f>
        <v>bgm_1b</v>
      </c>
      <c r="H31" s="51" t="str">
        <f t="shared" ref="H31:H38" si="25">420&amp;LEFT(E31,1)&amp;_xlfn.UNICODE(RIGHT(E31,1))-64</f>
        <v>42012</v>
      </c>
      <c r="I31" s="51" t="str">
        <f t="shared" si="16"/>
        <v>scene_1B</v>
      </c>
      <c r="J31" s="51" t="str">
        <f t="shared" si="19"/>
        <v>rs_scene_icon[ui_level_icon_thumbnail_1]</v>
      </c>
      <c r="K31" s="51" t="str">
        <f>_xlfn.TEXTJOIN("~",1,L31:O31)</f>
        <v>42012~2.225~0.8~2.7</v>
      </c>
      <c r="L31" s="35" t="str">
        <f t="shared" ref="L31:L38" si="26">H31</f>
        <v>42012</v>
      </c>
      <c r="M31" s="35">
        <f t="shared" ref="M31:M38" si="27">N31+(O31-N31)*0.75</f>
        <v>2.2250000000000001</v>
      </c>
      <c r="N31" s="35">
        <v>0.8</v>
      </c>
      <c r="O31" s="35">
        <f t="shared" si="20"/>
        <v>2.7</v>
      </c>
      <c r="P31" s="92" t="str" cm="1">
        <f t="array" ref="P31">_F_get_RS_Weather_pool($A31,$C31)</f>
        <v>420105~0~50~&lt;color=red&gt;晴转雷暴雨&lt;/color&gt;;420105~10~50~&lt;color=red&gt;阴转雷暴雨&lt;/color&gt;;420105~11~50~&lt;color=red&gt;小雨转雷暴雨&lt;/color&gt;;420105~12~50~&lt;color=red&gt;大雨转雷暴雨&lt;/color&gt;;420105~13~50~&lt;color=purple&gt;雷暴雨&lt;/color&gt;;420105~0~50~&lt;color=red&gt;晴转雷暴雨&lt;/color&gt;;420105~10~100~&lt;color=red&gt;阴转雷暴雨&lt;/color&gt;;420105~11~100~&lt;color=red&gt;小雨转雷暴雨&lt;/color&gt;;420105~12~100~&lt;color=red&gt;大雨转雷暴雨&lt;/color&gt;;420105~13~100~&lt;color=purple&gt;雷暴雨&lt;/color&gt;</v>
      </c>
      <c r="Q31" s="59">
        <v>3256</v>
      </c>
      <c r="R31" s="51">
        <v>6499</v>
      </c>
      <c r="S31" s="59" t="s">
        <v>583</v>
      </c>
      <c r="T31" s="99" t="str" cm="1">
        <f t="array" ref="T31">_F_get_RS_Shop_pool(D31,C31)</f>
        <v>20011=4608;30013=2880;30015=4032;40017=2520</v>
      </c>
      <c r="U31" s="59" t="s">
        <v>740</v>
      </c>
      <c r="V31" s="51"/>
      <c r="W31" s="51" cm="1">
        <f t="array" ref="W31">_xlfn.SWITCH(D31,0,"","初始",1,"普通",INT(LOG(C31,8.2))+2,"最终",2,1)</f>
        <v>3</v>
      </c>
      <c r="X31" s="91" t="str" cm="1">
        <f t="array" ref="X31">_F_get_RS_MG_pool($D31,$C31,$AA31:$AL31)</f>
        <v>420103~1~335~;420104~1~335~;420105~1~335~;420111~1~335~;420112~1~335~;420114~1~335~</v>
      </c>
      <c r="Y31" s="43" t="str">
        <f t="shared" si="12"/>
        <v>Correct</v>
      </c>
      <c r="Z31" s="73" t="str" cm="1">
        <f t="array" ref="Z31">_xlfn.TEXTJOIN("; ",1,_xlfn.MAP(AA31:AL31,_xlfn.LAMBDA(_xlpm._i,_xlfn.XLOOKUP(_xlpm._i,tb_mg[id],tb_mg[备注],"-TBN-"))))</f>
        <v>-TBN-; -TBN-; -TBN-; -TBN-; -TBN-; -TBN-</v>
      </c>
      <c r="AA31" s="57">
        <v>420103</v>
      </c>
      <c r="AB31" s="57">
        <v>420104</v>
      </c>
      <c r="AC31" s="57">
        <v>420105</v>
      </c>
      <c r="AD31" s="57">
        <v>420111</v>
      </c>
      <c r="AE31" s="57">
        <v>420112</v>
      </c>
      <c r="AF31" s="57">
        <v>420114</v>
      </c>
    </row>
    <row r="32" spans="1:44">
      <c r="A32" s="5">
        <v>420112</v>
      </c>
      <c r="B32" s="90" t="str" cm="1">
        <f t="array" ref="B32">_F_get_world_name($A32)</f>
        <v>地宫</v>
      </c>
      <c r="C32" s="43">
        <f t="shared" si="13"/>
        <v>12</v>
      </c>
      <c r="D32" s="43" t="str">
        <f>VLOOKUP(MOD(A32,100),tb_scene_id_type[#All],3,1)</f>
        <v>普通</v>
      </c>
      <c r="E32" s="43" t="str">
        <f t="shared" si="11"/>
        <v>1B</v>
      </c>
      <c r="F32" s="43" t="str">
        <f>IFERROR(VLOOKUP(E32,tb_scene_name[],2,0),"")</f>
        <v>石墟遗林</v>
      </c>
      <c r="G32" s="51" t="str">
        <f t="shared" si="24"/>
        <v>bgm_1b</v>
      </c>
      <c r="H32" s="51" t="str">
        <f t="shared" si="25"/>
        <v>42012</v>
      </c>
      <c r="I32" s="51" t="str">
        <f t="shared" si="16"/>
        <v>scene_1B</v>
      </c>
      <c r="J32" s="51" t="str">
        <f t="shared" si="19"/>
        <v>rs_scene_icon[ui_level_icon_thumbnail_1]</v>
      </c>
      <c r="K32" s="51" t="str">
        <f>_xlfn.TEXTJOIN("~",1,L32:O32)</f>
        <v>42012~2.2625~0.8~2.75</v>
      </c>
      <c r="L32" s="35" t="str">
        <f t="shared" si="26"/>
        <v>42012</v>
      </c>
      <c r="M32" s="35">
        <f t="shared" si="27"/>
        <v>2.2625000000000002</v>
      </c>
      <c r="N32" s="35">
        <v>0.8</v>
      </c>
      <c r="O32" s="35">
        <f t="shared" si="20"/>
        <v>2.75</v>
      </c>
      <c r="P32" s="92" t="str" cm="1">
        <f t="array" ref="P32">_F_get_RS_Weather_pool($A32,$C32)</f>
        <v>420105~0~50~&lt;color=red&gt;晴转雷暴雨&lt;/color&gt;;420105~10~100~&lt;color=red&gt;阴转雷暴雨&lt;/color&gt;;420105~11~100~&lt;color=red&gt;小雨转雷暴雨&lt;/color&gt;;420105~12~100~&lt;color=red&gt;大雨转雷暴雨&lt;/color&gt;;420105~13~100~&lt;color=purple&gt;雷暴雨&lt;/color&gt;;420105~0~50~&lt;color=red&gt;晴转雷暴雨&lt;/color&gt;;420105~10~50~&lt;color=red&gt;阴转雷暴雨&lt;/color&gt;;420105~11~100~&lt;color=red&gt;小雨转雷暴雨&lt;/color&gt;;420105~12~100~&lt;color=red&gt;大雨转雷暴雨&lt;/color&gt;;420105~13~100~&lt;color=purple&gt;雷暴雨&lt;/color&gt;</v>
      </c>
      <c r="Q32" s="59">
        <v>3571</v>
      </c>
      <c r="R32" s="51">
        <v>7698</v>
      </c>
      <c r="S32" s="59" t="s">
        <v>583</v>
      </c>
      <c r="T32" s="99" t="str" cm="1">
        <f t="array" ref="T32">_F_get_RS_Shop_pool(D32,C32)</f>
        <v>20003=23040;30013=2880;30007=20160;40017=2520</v>
      </c>
      <c r="U32" s="59" t="s">
        <v>741</v>
      </c>
      <c r="V32" s="51"/>
      <c r="W32" s="51" cm="1">
        <f t="array" ref="W32">_xlfn.SWITCH(D32,0,"","初始",1,"普通",INT(LOG(C32,8.2))+2,"最终",2,1)</f>
        <v>3</v>
      </c>
      <c r="X32" s="91" t="str" cm="1">
        <f t="array" ref="X32">_F_get_RS_MG_pool($D32,$C32,$AA32:$AL32)</f>
        <v>420103~1~335~;420104~1~335~;420105~1~335~;420111~1~335~;420112~1~335~;420113~1~335~;420114~1~335~</v>
      </c>
      <c r="Y32" s="43" t="str">
        <f t="shared" si="12"/>
        <v>Correct</v>
      </c>
      <c r="Z32" s="73" t="str" cm="1">
        <f t="array" ref="Z32">_xlfn.TEXTJOIN("; ",1,_xlfn.MAP(AA32:AL32,_xlfn.LAMBDA(_xlpm._i,_xlfn.XLOOKUP(_xlpm._i,tb_mg[id],tb_mg[备注],"-TBN-"))))</f>
        <v>-TBN-; -TBN-; -TBN-; -TBN-; -TBN-; -TBN-; -TBN-</v>
      </c>
      <c r="AA32" s="57">
        <v>420103</v>
      </c>
      <c r="AB32" s="57">
        <v>420104</v>
      </c>
      <c r="AC32" s="57">
        <v>420105</v>
      </c>
      <c r="AD32" s="57">
        <v>420111</v>
      </c>
      <c r="AE32" s="57">
        <v>420112</v>
      </c>
      <c r="AF32" s="57">
        <v>420113</v>
      </c>
      <c r="AG32" s="57">
        <v>420114</v>
      </c>
    </row>
    <row r="33" spans="1:44">
      <c r="A33" s="5">
        <v>420113</v>
      </c>
      <c r="B33" s="90" t="str" cm="1">
        <f t="array" ref="B33">_F_get_world_name($A33)</f>
        <v>地宫</v>
      </c>
      <c r="C33" s="43">
        <f t="shared" si="13"/>
        <v>13</v>
      </c>
      <c r="D33" s="43" t="str">
        <f>VLOOKUP(MOD(A33,100),tb_scene_id_type[#All],3,1)</f>
        <v>普通</v>
      </c>
      <c r="E33" s="43" t="str">
        <f t="shared" si="11"/>
        <v>1B</v>
      </c>
      <c r="F33" s="43" t="str">
        <f>IFERROR(VLOOKUP(E33,tb_scene_name[],2,0),"")</f>
        <v>石墟遗林</v>
      </c>
      <c r="G33" s="51" t="str">
        <f t="shared" si="24"/>
        <v>bgm_1b</v>
      </c>
      <c r="H33" s="51" t="str">
        <f t="shared" si="25"/>
        <v>42012</v>
      </c>
      <c r="I33" s="51" t="str">
        <f t="shared" si="16"/>
        <v>scene_1B</v>
      </c>
      <c r="J33" s="51" t="str">
        <f t="shared" si="19"/>
        <v>rs_scene_icon[ui_level_icon_thumbnail_1]</v>
      </c>
      <c r="K33" s="51" t="str">
        <f t="shared" ref="K33:K38" si="28">_xlfn.TEXTJOIN("~",1,L33:O33)</f>
        <v>42012~2.3~0.8~2.8</v>
      </c>
      <c r="L33" s="35" t="str">
        <f t="shared" si="26"/>
        <v>42012</v>
      </c>
      <c r="M33" s="35">
        <f t="shared" si="27"/>
        <v>2.2999999999999998</v>
      </c>
      <c r="N33" s="35">
        <v>0.8</v>
      </c>
      <c r="O33" s="35">
        <f t="shared" si="20"/>
        <v>2.8000000000000003</v>
      </c>
      <c r="P33" s="92" t="str" cm="1">
        <f t="array" ref="P33">_F_get_RS_Weather_pool($A33,$C33)</f>
        <v>420105~0~50~&lt;color=red&gt;晴转雷暴雨&lt;/color&gt;;420105~10~50~&lt;color=red&gt;阴转雷暴雨&lt;/color&gt;;420105~11~100~&lt;color=red&gt;小雨转雷暴雨&lt;/color&gt;;420105~12~100~&lt;color=red&gt;大雨转雷暴雨&lt;/color&gt;;420105~13~100~&lt;color=purple&gt;雷暴雨&lt;/color&gt;;420106~10~50~&lt;color=red&gt;阴转雷暴雨&lt;/color&gt;;420106~11~50~&lt;color=red&gt;小雨转雷暴雨&lt;/color&gt;;420106~12~100~&lt;color=red&gt;大雨转雷暴雨&lt;/color&gt;;420106~13~100~&lt;color=purple&gt;雷暴雨&lt;/color&gt;</v>
      </c>
      <c r="Q33" s="59">
        <v>3889</v>
      </c>
      <c r="R33" s="51">
        <v>9051</v>
      </c>
      <c r="S33" s="59" t="s">
        <v>580</v>
      </c>
      <c r="T33" s="99" t="str" cm="1">
        <f t="array" ref="T33">_F_get_RS_Shop_pool(D33,C33)</f>
        <v>10001=36864;20011=4608;20003=23040;30013=2880;20005=32256;30015=4032;30007=20160;40017=2520</v>
      </c>
      <c r="U33" s="59" t="s">
        <v>742</v>
      </c>
      <c r="V33" s="51"/>
      <c r="W33" s="51" cm="1">
        <f t="array" ref="W33">_xlfn.SWITCH(D33,0,"","初始",1,"普通",INT(LOG(C33,8.2))+2,"最终",2,1)</f>
        <v>3</v>
      </c>
      <c r="X33" s="91" t="str" cm="1">
        <f t="array" ref="X33">_F_get_RS_MG_pool($D33,$C33,$AA33:$AL33)</f>
        <v>420103~1~340~;420104~1~340~;420105~1~340~;420111~1~340~;420112~1~340~;420113~1~340~;420114~1~340~</v>
      </c>
      <c r="Y33" s="43" t="str">
        <f t="shared" si="12"/>
        <v>Correct</v>
      </c>
      <c r="Z33" s="73" t="str" cm="1">
        <f t="array" ref="Z33">_xlfn.TEXTJOIN("; ",1,_xlfn.MAP(AA33:AL33,_xlfn.LAMBDA(_xlpm._i,_xlfn.XLOOKUP(_xlpm._i,tb_mg[id],tb_mg[备注],"-TBN-"))))</f>
        <v>-TBN-; -TBN-; -TBN-; -TBN-; -TBN-; -TBN-; -TBN-</v>
      </c>
      <c r="AA33" s="57">
        <v>420103</v>
      </c>
      <c r="AB33" s="57">
        <v>420104</v>
      </c>
      <c r="AC33" s="57">
        <v>420105</v>
      </c>
      <c r="AD33" s="57">
        <v>420111</v>
      </c>
      <c r="AE33" s="57">
        <v>420112</v>
      </c>
      <c r="AF33" s="57">
        <v>420113</v>
      </c>
      <c r="AG33" s="57">
        <v>420114</v>
      </c>
    </row>
    <row r="34" spans="1:44">
      <c r="A34" s="5">
        <v>420114</v>
      </c>
      <c r="B34" s="90" t="str" cm="1">
        <f t="array" ref="B34">_F_get_world_name($A34)</f>
        <v>地宫</v>
      </c>
      <c r="C34" s="43">
        <f t="shared" si="13"/>
        <v>14</v>
      </c>
      <c r="D34" s="43" t="str">
        <f>VLOOKUP(MOD(A34,100),tb_scene_id_type[#All],3,1)</f>
        <v>普通</v>
      </c>
      <c r="E34" s="43" t="str">
        <f t="shared" si="11"/>
        <v>1B</v>
      </c>
      <c r="F34" s="43" t="str">
        <f>IFERROR(VLOOKUP(E34,tb_scene_name[],2,0),"")</f>
        <v>石墟遗林</v>
      </c>
      <c r="G34" s="51" t="str">
        <f t="shared" si="24"/>
        <v>bgm_1b</v>
      </c>
      <c r="H34" s="51" t="str">
        <f t="shared" si="25"/>
        <v>42012</v>
      </c>
      <c r="I34" s="51" t="str">
        <f t="shared" si="16"/>
        <v>scene_1B</v>
      </c>
      <c r="J34" s="51" t="str">
        <f t="shared" si="19"/>
        <v>rs_scene_icon[ui_level_icon_thumbnail_1]</v>
      </c>
      <c r="K34" s="51" t="str">
        <f t="shared" si="28"/>
        <v>42012~2.3375~0.8~2.85</v>
      </c>
      <c r="L34" s="35" t="str">
        <f t="shared" si="26"/>
        <v>42012</v>
      </c>
      <c r="M34" s="35">
        <f t="shared" si="27"/>
        <v>2.3374999999999999</v>
      </c>
      <c r="N34" s="35">
        <v>0.8</v>
      </c>
      <c r="O34" s="35">
        <f t="shared" si="20"/>
        <v>2.85</v>
      </c>
      <c r="P34" s="92" t="str" cm="1">
        <f t="array" ref="P34">_F_get_RS_Weather_pool($A34,$C34)</f>
        <v>420106~10~50~&lt;color=red&gt;阴转雷暴雨&lt;/color&gt;;420106~11~50~&lt;color=red&gt;小雨转雷暴雨&lt;/color&gt;;420106~12~100~&lt;color=red&gt;大雨转雷暴雨&lt;/color&gt;;420106~13~100~&lt;color=purple&gt;雷暴雨&lt;/color&gt;;420106~10~0~&lt;color=red&gt;阴转雷暴雨&lt;/color&gt;;420106~11~50~&lt;color=red&gt;小雨转雷暴雨&lt;/color&gt;;420106~12~100~&lt;color=red&gt;大雨转雷暴雨&lt;/color&gt;;420106~13~100~&lt;color=purple&gt;雷暴雨&lt;/color&gt;</v>
      </c>
      <c r="Q34" s="59">
        <v>4211</v>
      </c>
      <c r="R34" s="51">
        <v>10574</v>
      </c>
      <c r="S34" s="59" t="s">
        <v>583</v>
      </c>
      <c r="T34" s="99" t="str" cm="1">
        <f t="array" ref="T34">_F_get_RS_Shop_pool(D34,C34)</f>
        <v>20101=13824;30111=1728;30103=8640;40113=1080</v>
      </c>
      <c r="U34" s="59" t="s">
        <v>743</v>
      </c>
      <c r="V34" s="51"/>
      <c r="W34" s="51" cm="1">
        <f t="array" ref="W34">_xlfn.SWITCH(D34,0,"","初始",1,"普通",INT(LOG(C34,8.2))+2,"最终",2,1)</f>
        <v>3</v>
      </c>
      <c r="X34" s="91" t="str" cm="1">
        <f t="array" ref="X34">_F_get_RS_MG_pool($D34,$C34,$AA34:$AL34)</f>
        <v>420103~1~340~;420104~1~340~;420105~1~340~;420111~1~340~;420112~1~340~;420113~1~340~;420114~1~340~</v>
      </c>
      <c r="Y34" s="43" t="str">
        <f t="shared" si="12"/>
        <v>Correct</v>
      </c>
      <c r="Z34" s="73" t="str" cm="1">
        <f t="array" ref="Z34">_xlfn.TEXTJOIN("; ",1,_xlfn.MAP(AA34:AL34,_xlfn.LAMBDA(_xlpm._i,_xlfn.XLOOKUP(_xlpm._i,tb_mg[id],tb_mg[备注],"-TBN-"))))</f>
        <v>-TBN-; -TBN-; -TBN-; -TBN-; -TBN-; -TBN-; -TBN-</v>
      </c>
      <c r="AA34" s="57">
        <v>420103</v>
      </c>
      <c r="AB34" s="57">
        <v>420104</v>
      </c>
      <c r="AC34" s="57">
        <v>420105</v>
      </c>
      <c r="AD34" s="57">
        <v>420111</v>
      </c>
      <c r="AE34" s="57">
        <v>420112</v>
      </c>
      <c r="AF34" s="57">
        <v>420113</v>
      </c>
      <c r="AG34" s="57">
        <v>420114</v>
      </c>
    </row>
    <row r="35" spans="1:44">
      <c r="A35" s="5">
        <v>420115</v>
      </c>
      <c r="B35" s="90" t="str" cm="1">
        <f t="array" ref="B35">_F_get_world_name($A35)</f>
        <v>地宫</v>
      </c>
      <c r="C35" s="43">
        <f t="shared" si="13"/>
        <v>15</v>
      </c>
      <c r="D35" s="43" t="str">
        <f>VLOOKUP(MOD(A35,100),tb_scene_id_type[#All],3,1)</f>
        <v>普通</v>
      </c>
      <c r="E35" s="43" t="str">
        <f t="shared" si="11"/>
        <v>1C</v>
      </c>
      <c r="F35" s="43" t="str">
        <f>IFERROR(VLOOKUP(E35,tb_scene_name[],2,0),"")</f>
        <v>失落围城</v>
      </c>
      <c r="G35" s="51" t="str">
        <f t="shared" si="24"/>
        <v>bgm_1c</v>
      </c>
      <c r="H35" s="51" t="str">
        <f t="shared" si="25"/>
        <v>42013</v>
      </c>
      <c r="I35" s="51" t="str">
        <f t="shared" si="16"/>
        <v>scene_1C</v>
      </c>
      <c r="J35" s="51" t="str">
        <f t="shared" si="19"/>
        <v>rs_scene_icon[ui_level_icon_thumbnail_2]</v>
      </c>
      <c r="K35" s="51" t="str">
        <f t="shared" si="28"/>
        <v>42013~2.375~0.8~2.9</v>
      </c>
      <c r="L35" s="35" t="str">
        <f t="shared" si="26"/>
        <v>42013</v>
      </c>
      <c r="M35" s="35">
        <f t="shared" si="27"/>
        <v>2.3750000000000004</v>
      </c>
      <c r="N35" s="35">
        <v>0.8</v>
      </c>
      <c r="O35" s="35">
        <f t="shared" si="20"/>
        <v>2.9000000000000004</v>
      </c>
      <c r="P35" s="92" t="str" cm="1">
        <f t="array" ref="P35">_F_get_RS_Weather_pool($A35,$C35)</f>
        <v>420106~10~0~&lt;color=red&gt;阴转雷暴雨&lt;/color&gt;;420106~11~50~&lt;color=red&gt;小雨转雷暴雨&lt;/color&gt;;420106~12~100~&lt;color=red&gt;大雨转雷暴雨&lt;/color&gt;;420106~13~100~&lt;color=purple&gt;雷暴雨&lt;/color&gt;;420107~11~50~&lt;color=red&gt;小雨转雷暴雨&lt;/color&gt;;420107~12~100~&lt;color=red&gt;大雨转雷暴雨&lt;/color&gt;;420107~13~100~&lt;color=purple&gt;雷暴雨&lt;/color&gt;</v>
      </c>
      <c r="Q35" s="59">
        <v>4545</v>
      </c>
      <c r="R35" s="51">
        <v>12263</v>
      </c>
      <c r="S35" s="59" t="s">
        <v>583</v>
      </c>
      <c r="T35" s="99" t="str" cm="1">
        <f t="array" ref="T35">_F_get_RS_Shop_pool(D35,C35)</f>
        <v>20011=4608;30013=2880;30015=4032;40017=2520</v>
      </c>
      <c r="U35" s="59" t="s">
        <v>744</v>
      </c>
      <c r="V35" s="51"/>
      <c r="W35" s="51" cm="1">
        <f t="array" ref="W35">_xlfn.SWITCH(D35,0,"","初始",1,"普通",INT(LOG(C35,8.2))+2,"最终",2,1)</f>
        <v>3</v>
      </c>
      <c r="X35" s="91" t="str" cm="1">
        <f t="array" ref="X35">_F_get_RS_MG_pool($D35,$C35,$AA35:$AL35)</f>
        <v>420103~1~345~;420104~1~345~;420105~1~345~;420111~1~345~;420112~1~345~;420113~1~345~;420114~1~345~;420123~1~345~</v>
      </c>
      <c r="Y35" s="43" t="str">
        <f t="shared" si="12"/>
        <v>Correct</v>
      </c>
      <c r="Z35" s="73" t="str" cm="1">
        <f t="array" ref="Z35">_xlfn.TEXTJOIN("; ",1,_xlfn.MAP(AA35:AL35,_xlfn.LAMBDA(_xlpm._i,_xlfn.XLOOKUP(_xlpm._i,tb_mg[id],tb_mg[备注],"-TBN-"))))</f>
        <v>-TBN-; -TBN-; -TBN-; -TBN-; -TBN-; -TBN-; -TBN-; -TBN-</v>
      </c>
      <c r="AA35" s="57">
        <v>420103</v>
      </c>
      <c r="AB35" s="57">
        <v>420104</v>
      </c>
      <c r="AC35" s="57">
        <v>420105</v>
      </c>
      <c r="AD35" s="57">
        <v>420111</v>
      </c>
      <c r="AE35" s="57">
        <v>420112</v>
      </c>
      <c r="AF35" s="57">
        <v>420113</v>
      </c>
      <c r="AG35" s="57">
        <v>420114</v>
      </c>
      <c r="AH35" s="57">
        <v>420123</v>
      </c>
    </row>
    <row r="36" spans="1:44">
      <c r="A36" s="5">
        <v>420116</v>
      </c>
      <c r="B36" s="90" t="str" cm="1">
        <f t="array" ref="B36">_F_get_world_name($A36)</f>
        <v>地宫</v>
      </c>
      <c r="C36" s="43">
        <f t="shared" si="13"/>
        <v>16</v>
      </c>
      <c r="D36" s="43" t="str">
        <f>VLOOKUP(MOD(A36,100),tb_scene_id_type[#All],3,1)</f>
        <v>普通</v>
      </c>
      <c r="E36" s="43" t="str">
        <f t="shared" si="11"/>
        <v>1C</v>
      </c>
      <c r="F36" s="43" t="str">
        <f>IFERROR(VLOOKUP(E36,tb_scene_name[],2,0),"")</f>
        <v>失落围城</v>
      </c>
      <c r="G36" s="51" t="str">
        <f t="shared" si="24"/>
        <v>bgm_1c</v>
      </c>
      <c r="H36" s="51" t="str">
        <f t="shared" si="25"/>
        <v>42013</v>
      </c>
      <c r="I36" s="51" t="str">
        <f t="shared" si="16"/>
        <v>scene_1C</v>
      </c>
      <c r="J36" s="51" t="str">
        <f t="shared" si="19"/>
        <v>rs_scene_icon[ui_level_icon_thumbnail_2]</v>
      </c>
      <c r="K36" s="51" t="str">
        <f t="shared" si="28"/>
        <v>42013~2.4125~0.8~2.95</v>
      </c>
      <c r="L36" s="35" t="str">
        <f t="shared" si="26"/>
        <v>42013</v>
      </c>
      <c r="M36" s="35">
        <f t="shared" si="27"/>
        <v>2.4125000000000005</v>
      </c>
      <c r="N36" s="35">
        <v>0.8</v>
      </c>
      <c r="O36" s="35">
        <f t="shared" si="20"/>
        <v>2.95</v>
      </c>
      <c r="P36" s="92" t="str" cm="1">
        <f t="array" ref="P36">_F_get_RS_Weather_pool($A36,$C36)</f>
        <v>420107~11~50~&lt;color=red&gt;小雨转雷暴雨&lt;/color&gt;;420107~12~100~&lt;color=red&gt;大雨转雷暴雨&lt;/color&gt;;420107~13~100~&lt;color=purple&gt;雷暴雨&lt;/color&gt;;420107~11~0~&lt;color=red&gt;小雨转雷暴雨&lt;/color&gt;;420107~12~100~&lt;color=red&gt;大雨转雷暴雨&lt;/color&gt;;420107~13~100~&lt;color=purple&gt;雷暴雨&lt;/color&gt;</v>
      </c>
      <c r="Q36" s="59">
        <v>4871</v>
      </c>
      <c r="R36" s="51">
        <v>14139</v>
      </c>
      <c r="S36" s="59" t="s">
        <v>583</v>
      </c>
      <c r="T36" s="99" t="str" cm="1">
        <f t="array" ref="T36">_F_get_RS_Shop_pool(D36,C36)</f>
        <v>20003=23040;30013=2880;30007=20160;40017=2520</v>
      </c>
      <c r="U36" s="59" t="s">
        <v>745</v>
      </c>
      <c r="V36" s="51"/>
      <c r="W36" s="51" cm="1">
        <f t="array" ref="W36">_xlfn.SWITCH(D36,0,"","初始",1,"普通",INT(LOG(C36,8.2))+2,"最终",2,1)</f>
        <v>3</v>
      </c>
      <c r="X36" s="91" t="str" cm="1">
        <f t="array" ref="X36">_F_get_RS_MG_pool($D36,$C36,$AA36:$AL36)</f>
        <v>420103~1~350~;420104~1~350~;420105~1~350~;420111~1~350~;420112~1~350~;420113~1~350~;420114~1~350~;420123~1~350~</v>
      </c>
      <c r="Y36" s="43" t="str">
        <f t="shared" si="12"/>
        <v>Correct</v>
      </c>
      <c r="Z36" s="73" t="str" cm="1">
        <f t="array" ref="Z36">_xlfn.TEXTJOIN("; ",1,_xlfn.MAP(AA36:AL36,_xlfn.LAMBDA(_xlpm._i,_xlfn.XLOOKUP(_xlpm._i,tb_mg[id],tb_mg[备注],"-TBN-"))))</f>
        <v>-TBN-; -TBN-; -TBN-; -TBN-; -TBN-; -TBN-; -TBN-; -TBN-</v>
      </c>
      <c r="AA36" s="57">
        <v>420103</v>
      </c>
      <c r="AB36" s="57">
        <v>420104</v>
      </c>
      <c r="AC36" s="57">
        <v>420105</v>
      </c>
      <c r="AD36" s="57">
        <v>420111</v>
      </c>
      <c r="AE36" s="57">
        <v>420112</v>
      </c>
      <c r="AF36" s="57">
        <v>420113</v>
      </c>
      <c r="AG36" s="57">
        <v>420114</v>
      </c>
      <c r="AH36" s="57">
        <v>420123</v>
      </c>
    </row>
    <row r="37" spans="1:44">
      <c r="A37" s="5">
        <v>420117</v>
      </c>
      <c r="B37" s="90" t="str" cm="1">
        <f t="array" ref="B37">_F_get_world_name($A37)</f>
        <v>地宫</v>
      </c>
      <c r="C37" s="43">
        <f t="shared" si="13"/>
        <v>17</v>
      </c>
      <c r="D37" s="43" t="str">
        <f>VLOOKUP(MOD(A37,100),tb_scene_id_type[#All],3,1)</f>
        <v>普通</v>
      </c>
      <c r="E37" s="43" t="str">
        <f t="shared" si="11"/>
        <v>1C</v>
      </c>
      <c r="F37" s="43" t="str">
        <f>IFERROR(VLOOKUP(E37,tb_scene_name[],2,0),"")</f>
        <v>失落围城</v>
      </c>
      <c r="G37" s="51" t="str">
        <f t="shared" si="24"/>
        <v>bgm_1c</v>
      </c>
      <c r="H37" s="51" t="str">
        <f t="shared" si="25"/>
        <v>42013</v>
      </c>
      <c r="I37" s="51" t="str">
        <f t="shared" si="16"/>
        <v>scene_1C</v>
      </c>
      <c r="J37" s="51" t="str">
        <f t="shared" si="19"/>
        <v>rs_scene_icon[ui_level_icon_thumbnail_2]</v>
      </c>
      <c r="K37" s="51" t="str">
        <f t="shared" si="28"/>
        <v>42013~2.45~0.8~3</v>
      </c>
      <c r="L37" s="35" t="str">
        <f t="shared" si="26"/>
        <v>42013</v>
      </c>
      <c r="M37" s="35">
        <f t="shared" si="27"/>
        <v>2.4500000000000002</v>
      </c>
      <c r="N37" s="35">
        <v>0.8</v>
      </c>
      <c r="O37" s="35">
        <f t="shared" si="20"/>
        <v>3</v>
      </c>
      <c r="P37" s="92" t="str" cm="1">
        <f t="array" ref="P37">_F_get_RS_Weather_pool($A37,$C37)</f>
        <v>420107~11~0~&lt;color=red&gt;小雨转雷暴雨&lt;/color&gt;;420107~12~100~&lt;color=red&gt;大雨转雷暴雨&lt;/color&gt;;420107~13~100~&lt;color=purple&gt;雷暴雨&lt;/color&gt;;420108~12~100~&lt;color=red&gt;大雨转雷暴雨&lt;/color&gt;;420108~13~100~&lt;color=purple&gt;雷暴雨&lt;/color&gt;</v>
      </c>
      <c r="Q37" s="59">
        <v>5200</v>
      </c>
      <c r="R37" s="51">
        <v>16204</v>
      </c>
      <c r="S37" s="59" t="s">
        <v>583</v>
      </c>
      <c r="T37" s="99" t="str" cm="1">
        <f t="array" ref="T37">_F_get_RS_Shop_pool(D37,C37)</f>
        <v>10001=36864;20011=4608;20003=23040;30013=2880;20005=32256;30015=4032;30007=20160;40017=2520</v>
      </c>
      <c r="U37" s="59" t="s">
        <v>746</v>
      </c>
      <c r="V37" s="51"/>
      <c r="W37" s="51" cm="1">
        <f t="array" ref="W37">_xlfn.SWITCH(D37,0,"","初始",1,"普通",INT(LOG(C37,8.2))+2,"最终",2,1)</f>
        <v>3</v>
      </c>
      <c r="X37" s="91" t="str" cm="1">
        <f t="array" ref="X37">_F_get_RS_MG_pool($D37,$C37,$AA37:$AL37)</f>
        <v>420103~1~350~;420104~1~350~;420105~1~350~;420111~1~350~;420112~1~350~;420113~1~350~;420114~1~350~;420123~1~350~</v>
      </c>
      <c r="Y37" s="43" t="str">
        <f t="shared" si="12"/>
        <v>Correct</v>
      </c>
      <c r="Z37" s="73" t="str" cm="1">
        <f t="array" ref="Z37">_xlfn.TEXTJOIN("; ",1,_xlfn.MAP(AA37:AL37,_xlfn.LAMBDA(_xlpm._i,_xlfn.XLOOKUP(_xlpm._i,tb_mg[id],tb_mg[备注],"-TBN-"))))</f>
        <v>-TBN-; -TBN-; -TBN-; -TBN-; -TBN-; -TBN-; -TBN-; -TBN-</v>
      </c>
      <c r="AA37" s="57">
        <v>420103</v>
      </c>
      <c r="AB37" s="57">
        <v>420104</v>
      </c>
      <c r="AC37" s="57">
        <v>420105</v>
      </c>
      <c r="AD37" s="57">
        <v>420111</v>
      </c>
      <c r="AE37" s="57">
        <v>420112</v>
      </c>
      <c r="AF37" s="57">
        <v>420113</v>
      </c>
      <c r="AG37" s="57">
        <v>420114</v>
      </c>
      <c r="AH37" s="57">
        <v>420123</v>
      </c>
      <c r="AP37" s="5"/>
      <c r="AR37" s="5"/>
    </row>
    <row r="38" spans="1:44">
      <c r="A38" s="5">
        <v>420118</v>
      </c>
      <c r="B38" s="90" t="str" cm="1">
        <f t="array" ref="B38">_F_get_world_name($A38)</f>
        <v>地宫</v>
      </c>
      <c r="C38" s="43">
        <f t="shared" si="13"/>
        <v>18</v>
      </c>
      <c r="D38" s="43" t="str">
        <f>VLOOKUP(MOD(A38,100),tb_scene_id_type[#All],3,1)</f>
        <v>普通</v>
      </c>
      <c r="E38" s="43" t="str">
        <f t="shared" si="11"/>
        <v>1C</v>
      </c>
      <c r="F38" s="43" t="str">
        <f>IFERROR(VLOOKUP(E38,tb_scene_name[],2,0),"")</f>
        <v>失落围城</v>
      </c>
      <c r="G38" s="51" t="str">
        <f t="shared" si="24"/>
        <v>bgm_1c</v>
      </c>
      <c r="H38" s="51" t="str">
        <f t="shared" si="25"/>
        <v>42013</v>
      </c>
      <c r="I38" s="51" t="str">
        <f t="shared" si="16"/>
        <v>scene_1C</v>
      </c>
      <c r="J38" s="51" t="str">
        <f t="shared" si="19"/>
        <v>rs_scene_icon[ui_level_icon_thumbnail_2]</v>
      </c>
      <c r="K38" s="51" t="str">
        <f t="shared" si="28"/>
        <v>42013~2.4875~0.8~3.05</v>
      </c>
      <c r="L38" s="35" t="str">
        <f t="shared" si="26"/>
        <v>42013</v>
      </c>
      <c r="M38" s="35">
        <f t="shared" si="27"/>
        <v>2.4874999999999998</v>
      </c>
      <c r="N38" s="35">
        <v>0.8</v>
      </c>
      <c r="O38" s="35">
        <f t="shared" si="20"/>
        <v>3.0500000000000003</v>
      </c>
      <c r="P38" s="92" t="str" cm="1">
        <f t="array" ref="P38">_F_get_RS_Weather_pool($A38,$C38)</f>
        <v>420108~12~100~&lt;color=red&gt;大雨转雷暴雨&lt;/color&gt;;420108~13~100~&lt;color=purple&gt;雷暴雨&lt;/color&gt;;420108~12~50~&lt;color=red&gt;大雨转雷暴雨&lt;/color&gt;;420108~13~100~&lt;color=purple&gt;雷暴雨&lt;/color&gt;</v>
      </c>
      <c r="Q38" s="59">
        <v>5539</v>
      </c>
      <c r="R38" s="51">
        <v>18456</v>
      </c>
      <c r="S38" s="59" t="s">
        <v>583</v>
      </c>
      <c r="T38" s="99" t="str" cm="1">
        <f t="array" ref="T38">_F_get_RS_Shop_pool(D38,C38)</f>
        <v>10001=36864;20011=4608;20003=23040;30013=2880;20005=32256;30015=4032;30007=20160;40017=2520</v>
      </c>
      <c r="U38" s="59" t="s">
        <v>747</v>
      </c>
      <c r="V38" s="51"/>
      <c r="W38" s="51" cm="1">
        <f t="array" ref="W38">_xlfn.SWITCH(D38,0,"","初始",1,"普通",INT(LOG(C38,8.2))+2,"最终",2,1)</f>
        <v>3</v>
      </c>
      <c r="X38" s="91" t="str" cm="1">
        <f t="array" ref="X38">_F_get_RS_MG_pool($D38,$C38,$AA38:$AL38)</f>
        <v>420104~1~355~;420105~1~355~;420111~1~355~;420112~1~355~;420113~1~355~;420114~1~355~;420123~1~355~</v>
      </c>
      <c r="Y38" s="43" t="str">
        <f t="shared" si="12"/>
        <v>Correct</v>
      </c>
      <c r="Z38" s="73" t="str" cm="1">
        <f t="array" ref="Z38">_xlfn.TEXTJOIN("; ",1,_xlfn.MAP(AA38:AL38,_xlfn.LAMBDA(_xlpm._i,_xlfn.XLOOKUP(_xlpm._i,tb_mg[id],tb_mg[备注],"-TBN-"))))</f>
        <v>-TBN-; -TBN-; -TBN-; -TBN-; -TBN-; -TBN-; -TBN-</v>
      </c>
      <c r="AB38" s="57">
        <v>420104</v>
      </c>
      <c r="AC38" s="57">
        <v>420105</v>
      </c>
      <c r="AD38" s="57">
        <v>420111</v>
      </c>
      <c r="AE38" s="57">
        <v>420112</v>
      </c>
      <c r="AF38" s="57">
        <v>420113</v>
      </c>
      <c r="AG38" s="57">
        <v>420114</v>
      </c>
      <c r="AH38" s="57">
        <v>420123</v>
      </c>
      <c r="AP38" s="5"/>
      <c r="AR38" s="5"/>
    </row>
    <row r="39" spans="1:44">
      <c r="A39" s="5">
        <v>420119</v>
      </c>
      <c r="B39" s="90" t="str" cm="1">
        <f t="array" ref="B39">_F_get_world_name($A39)</f>
        <v>地宫</v>
      </c>
      <c r="C39" s="43">
        <f t="shared" si="13"/>
        <v>19</v>
      </c>
      <c r="D39" s="43" t="str">
        <f>VLOOKUP(MOD(A39,100),tb_scene_id_type[#All],3,1)</f>
        <v>普通</v>
      </c>
      <c r="E39" s="43" t="str">
        <f t="shared" si="11"/>
        <v>1C</v>
      </c>
      <c r="F39" s="43" t="str">
        <f>IFERROR(VLOOKUP(E39,tb_scene_name[],2,0),"")</f>
        <v>失落围城</v>
      </c>
      <c r="G39" s="51" t="str">
        <f t="shared" ref="G39" si="29">"bgm_"&amp;LOWER(E39)</f>
        <v>bgm_1c</v>
      </c>
      <c r="H39" s="51" t="str">
        <f t="shared" ref="H39" si="30">420&amp;LEFT(E39,1)&amp;_xlfn.UNICODE(RIGHT(E39,1))-64</f>
        <v>42013</v>
      </c>
      <c r="I39" s="51" t="str">
        <f t="shared" si="16"/>
        <v>scene_1C</v>
      </c>
      <c r="J39" s="51" t="str">
        <f t="shared" si="19"/>
        <v>rs_scene_icon[ui_level_icon_thumbnail_2]</v>
      </c>
      <c r="K39" s="51" t="str">
        <f t="shared" ref="K39" si="31">_xlfn.TEXTJOIN("~",1,L39:O39)</f>
        <v>42013~2.525~0.8~3.1</v>
      </c>
      <c r="L39" s="35" t="str">
        <f t="shared" ref="L39" si="32">H39</f>
        <v>42013</v>
      </c>
      <c r="M39" s="35">
        <f t="shared" ref="M39" si="33">N39+(O39-N39)*0.75</f>
        <v>2.5249999999999999</v>
      </c>
      <c r="N39" s="35">
        <v>0.8</v>
      </c>
      <c r="O39" s="35">
        <f t="shared" si="20"/>
        <v>3.1</v>
      </c>
      <c r="P39" s="92" t="str" cm="1">
        <f t="array" ref="P39">_F_get_RS_Weather_pool($A39,$C39)</f>
        <v>420108~12~50~&lt;color=red&gt;大雨转雷暴雨&lt;/color&gt;;420108~13~100~&lt;color=purple&gt;雷暴雨&lt;/color&gt;;420109~13~100~&lt;color=purple&gt;雷暴雨&lt;/color&gt;</v>
      </c>
      <c r="Q39" s="59">
        <v>5872</v>
      </c>
      <c r="R39" s="51">
        <v>20929</v>
      </c>
      <c r="S39" s="59" t="s">
        <v>687</v>
      </c>
      <c r="T39" s="99" t="str" cm="1">
        <f t="array" ref="T39">_F_get_RS_Shop_pool(D39,C39)</f>
        <v>40113=1080</v>
      </c>
      <c r="U39" s="59" t="s">
        <v>748</v>
      </c>
      <c r="V39" s="51"/>
      <c r="W39" s="51" cm="1">
        <f t="array" ref="W39">_xlfn.SWITCH(D39,0,"","初始",1,"普通",INT(LOG(C39,8.2))+2,"最终",2,1)</f>
        <v>3</v>
      </c>
      <c r="X39" s="91" t="str" cm="1">
        <f t="array" ref="X39">_F_get_RS_MG_pool($D39,$C39,$AA39:$AL39)</f>
        <v>420104~1~355~;420105~1~355~;420111~1~355~;420112~1~355~;420113~1~355~;420114~1~355~;420123~1~355~</v>
      </c>
      <c r="Y39" s="43" t="str">
        <f t="shared" si="12"/>
        <v>Correct</v>
      </c>
      <c r="Z39" s="73" t="str" cm="1">
        <f t="array" ref="Z39">_xlfn.TEXTJOIN("; ",1,_xlfn.MAP(AA39:AL39,_xlfn.LAMBDA(_xlpm._i,_xlfn.XLOOKUP(_xlpm._i,tb_mg[id],tb_mg[备注],"-TBN-"))))</f>
        <v>-TBN-; -TBN-; -TBN-; -TBN-; -TBN-; -TBN-; -TBN-</v>
      </c>
      <c r="AB39" s="57">
        <v>420104</v>
      </c>
      <c r="AC39" s="57">
        <v>420105</v>
      </c>
      <c r="AD39" s="57">
        <v>420111</v>
      </c>
      <c r="AE39" s="57">
        <v>420112</v>
      </c>
      <c r="AF39" s="57">
        <v>420113</v>
      </c>
      <c r="AG39" s="57">
        <v>420114</v>
      </c>
      <c r="AH39" s="57">
        <v>420123</v>
      </c>
      <c r="AP39" s="5"/>
      <c r="AR39" s="5"/>
    </row>
    <row r="40" spans="1:44">
      <c r="B40" s="5"/>
      <c r="I40" s="51"/>
      <c r="Q40" s="59"/>
      <c r="R40" s="59"/>
      <c r="V40" s="51"/>
      <c r="W40" s="51" t="str" cm="1">
        <f t="array" ref="W40">_xlfn.SWITCH(D40,0,"","初始",1,"普通",INT(LOG(C40,8.2))+2,"最终",2,1)</f>
        <v/>
      </c>
      <c r="X40" s="51"/>
      <c r="Y40" s="43" t="str">
        <f t="shared" si="12"/>
        <v/>
      </c>
      <c r="Z40" s="73" t="str" cm="1">
        <f t="array" ref="Z40">_xlfn.TEXTJOIN("; ",1,_xlfn.MAP(AA40:AL40,_xlfn.LAMBDA(_xlpm._i,_xlfn.XLOOKUP(_xlpm._i,tb_mg[id],tb_mg[备注],"-TBN-"))))</f>
        <v/>
      </c>
    </row>
    <row r="41" spans="1:44">
      <c r="A41" s="5">
        <v>420154</v>
      </c>
      <c r="B41" s="90" t="str" cm="1">
        <f t="array" ref="B41">_F_get_world_name($A41)</f>
        <v>地宫</v>
      </c>
      <c r="C41" s="43">
        <f>IF(MOD(A41,100)&gt;90,20,MOD(A41,50))</f>
        <v>4</v>
      </c>
      <c r="D41" s="43" t="str">
        <f>VLOOKUP(MOD(A41,100),tb_scene_id_type[#All],3,1)</f>
        <v>精英</v>
      </c>
      <c r="E41" s="43" t="str">
        <f t="shared" ref="E41:E55" si="34">MID(A41,4,1)&amp;CHAR(INT((C41-1)/7+1)+64)</f>
        <v>1A</v>
      </c>
      <c r="F41" s="43" t="str">
        <f>IFERROR(VLOOKUP(E41,tb_scene_name[],2,0),"")</f>
        <v>沉睡旷野</v>
      </c>
      <c r="G41" s="51" t="str">
        <f>"bgm_"&amp;LOWER(E41)</f>
        <v>bgm_1a</v>
      </c>
      <c r="H41" s="51" t="str">
        <f>420&amp;LEFT(E41,1)&amp;_xlfn.UNICODE(RIGHT(E41,1))-64</f>
        <v>42011</v>
      </c>
      <c r="I41" s="51" t="str">
        <f t="shared" si="16"/>
        <v>scene_1A</v>
      </c>
      <c r="J41" s="51" t="str">
        <f>_xlfn.LET(_xlpm._id,(LEFT($E41,1)-1)*3+_xlfn.UNICODE(RIGHT($E41,1))-65,
_xlfn.CONCAT("rs_scene_icon[ui_level_icon_thumbnail_",_xlpm._id,"]"))</f>
        <v>rs_scene_icon[ui_level_icon_thumbnail_0]</v>
      </c>
      <c r="K41" s="51" t="str">
        <f>_xlfn.TEXTJOIN("~",1,L41:O41)</f>
        <v>42011~1.9625~0.8~2.35</v>
      </c>
      <c r="L41" s="35" t="str">
        <f>H41</f>
        <v>42011</v>
      </c>
      <c r="M41" s="35">
        <f>N41+(O41-N41)*0.75</f>
        <v>1.9625000000000001</v>
      </c>
      <c r="N41" s="35">
        <v>0.8</v>
      </c>
      <c r="O41" s="35">
        <f t="shared" si="20"/>
        <v>2.35</v>
      </c>
      <c r="P41" s="92" t="str" cm="1">
        <f t="array" ref="P41">_F_get_RS_Weather_pool($A41,$C41)</f>
        <v>420102~0~100~&lt;color=grey&gt;晴转阴&lt;/color&gt;;420102~10~50~&lt;color=grey&gt;阴&lt;/color&gt;;420103~0~100~&lt;color=#999900&gt;晴转小雨&lt;/color&gt;;420103~10~50~&lt;color=#999900&gt;阴转小雨&lt;/color&gt;;420103~11~0~&lt;color=#999900&gt;小雨&lt;/color&gt;</v>
      </c>
      <c r="Q41" s="59">
        <v>0</v>
      </c>
      <c r="R41" s="51">
        <v>1438</v>
      </c>
      <c r="S41" s="59" t="s">
        <v>687</v>
      </c>
      <c r="T41" s="99" t="str" cm="1">
        <f t="array" ref="T41">_F_get_RS_Shop_pool(D41,C41)</f>
        <v/>
      </c>
      <c r="U41" s="59" t="s">
        <v>750</v>
      </c>
      <c r="V41" s="51"/>
      <c r="W41" s="51" cm="1">
        <f t="array" ref="W41">_xlfn.SWITCH(D41,0,"","初始",1,"普通",INT(LOG(C41,8.2))+2,"最终",2,1)</f>
        <v>1</v>
      </c>
      <c r="X41" s="91" t="str" cm="1">
        <f t="array" ref="X41">_F_get_RS_MG_pool($D41,$C41,$AA41:$AL41)</f>
        <v>420850~1~50~&lt;color=purple&gt;渊齿巨鱼&lt;/color&gt;;420851~1~50~&lt;color=purple&gt;缠绕水藻&lt;/color&gt;;420852~1~50~&lt;color=purple&gt;金鱼之王&lt;/color&gt;</v>
      </c>
      <c r="Y41" s="43" t="str">
        <f t="shared" si="12"/>
        <v>Correct</v>
      </c>
      <c r="Z41" s="73" t="str" cm="1">
        <f t="array" ref="Z41">_xlfn.TEXTJOIN("; ",1,_xlfn.MAP(AA41:AL41,_xlfn.LAMBDA(_xlpm._i,_xlfn.XLOOKUP(_xlpm._i,tb_mg[id],tb_mg[备注],"-TBN-"))))</f>
        <v>渊齿巨鱼; 缠绕水藻; 金鱼之王</v>
      </c>
      <c r="AA41" s="71">
        <v>420850</v>
      </c>
      <c r="AB41" s="71">
        <v>420851</v>
      </c>
      <c r="AC41" s="71">
        <v>420852</v>
      </c>
    </row>
    <row r="42" spans="1:44">
      <c r="A42" s="5">
        <v>420155</v>
      </c>
      <c r="B42" s="90" t="str" cm="1">
        <f t="array" ref="B42">_F_get_world_name($A42)</f>
        <v>地宫</v>
      </c>
      <c r="C42" s="43">
        <f t="shared" ref="C42:C55" si="35">IF(MOD(A42,100)&gt;90,20,MOD(A42,50))</f>
        <v>5</v>
      </c>
      <c r="D42" s="43" t="str">
        <f>VLOOKUP(MOD(A42,100),tb_scene_id_type[#All],3,1)</f>
        <v>精英</v>
      </c>
      <c r="E42" s="43" t="str">
        <f t="shared" si="34"/>
        <v>1A</v>
      </c>
      <c r="F42" s="43" t="str">
        <f>IFERROR(VLOOKUP(E42,tb_scene_name[],2,0),"")</f>
        <v>沉睡旷野</v>
      </c>
      <c r="G42" s="51" t="str">
        <f t="shared" ref="G42:G49" si="36">"bgm_"&amp;LOWER(E42)</f>
        <v>bgm_1a</v>
      </c>
      <c r="H42" s="51" t="str">
        <f t="shared" ref="H42:H49" si="37">420&amp;LEFT(E42,1)&amp;_xlfn.UNICODE(RIGHT(E42,1))-64</f>
        <v>42011</v>
      </c>
      <c r="I42" s="51" t="str">
        <f t="shared" si="16"/>
        <v>scene_1A</v>
      </c>
      <c r="J42" s="51" t="str">
        <f t="shared" ref="J42:J58" si="38">_xlfn.LET(_xlpm._id,(LEFT($E42,1)-1)*3+_xlfn.UNICODE(RIGHT($E42,1))-65,
_xlfn.CONCAT("rs_scene_icon[ui_level_icon_thumbnail_",_xlpm._id,"]"))</f>
        <v>rs_scene_icon[ui_level_icon_thumbnail_0]</v>
      </c>
      <c r="K42" s="51" t="str">
        <f>_xlfn.TEXTJOIN("~",1,L42:O42)</f>
        <v>42011~2~0.8~2.4</v>
      </c>
      <c r="L42" s="35" t="str">
        <f t="shared" ref="L42:L49" si="39">H42</f>
        <v>42011</v>
      </c>
      <c r="M42" s="35">
        <f t="shared" ref="M42:M49" si="40">N42+(O42-N42)*0.75</f>
        <v>2</v>
      </c>
      <c r="N42" s="35">
        <v>0.8</v>
      </c>
      <c r="O42" s="35">
        <f t="shared" si="20"/>
        <v>2.4000000000000004</v>
      </c>
      <c r="P42" s="92" t="str" cm="1">
        <f t="array" ref="P42">_F_get_RS_Weather_pool($A42,$C42)</f>
        <v>420103~0~100~&lt;color=#999900&gt;晴转小雨&lt;/color&gt;;420103~10~50~&lt;color=#999900&gt;阴转小雨&lt;/color&gt;;420103~11~0~&lt;color=#999900&gt;小雨&lt;/color&gt;;420103~0~100~&lt;color=#999900&gt;晴转小雨&lt;/color&gt;;420103~10~50~&lt;color=#999900&gt;阴转小雨&lt;/color&gt;;420103~11~50~&lt;color=#999900&gt;小雨&lt;/color&gt;</v>
      </c>
      <c r="Q42" s="59">
        <v>0</v>
      </c>
      <c r="R42" s="51">
        <v>1887</v>
      </c>
      <c r="S42" s="59" t="s">
        <v>687</v>
      </c>
      <c r="T42" s="99" t="str" cm="1">
        <f t="array" ref="T42">_F_get_RS_Shop_pool(D42,C42)</f>
        <v>30111=1728;40113=1080</v>
      </c>
      <c r="U42" s="59" t="s">
        <v>751</v>
      </c>
      <c r="V42" s="51"/>
      <c r="W42" s="51" cm="1">
        <f t="array" ref="W42">_xlfn.SWITCH(D42,0,"","初始",1,"普通",INT(LOG(C42,8.2))+2,"最终",2,1)</f>
        <v>1</v>
      </c>
      <c r="X42" s="91" t="str" cm="1">
        <f t="array" ref="X42">_F_get_RS_MG_pool($D42,$C42,$AA42:$AL42)</f>
        <v>420850~1~50~&lt;color=purple&gt;渊齿巨鱼&lt;/color&gt;;420851~1~50~&lt;color=purple&gt;缠绕水藻&lt;/color&gt;;420852~1~50~&lt;color=purple&gt;金鱼之王&lt;/color&gt;</v>
      </c>
      <c r="Y42" s="43" t="str">
        <f t="shared" si="12"/>
        <v>Correct</v>
      </c>
      <c r="Z42" s="73" t="str" cm="1">
        <f t="array" ref="Z42">_xlfn.TEXTJOIN("; ",1,_xlfn.MAP(AA42:AL42,_xlfn.LAMBDA(_xlpm._i,_xlfn.XLOOKUP(_xlpm._i,tb_mg[id],tb_mg[备注],"-TBN-"))))</f>
        <v>渊齿巨鱼; 缠绕水藻; 金鱼之王</v>
      </c>
      <c r="AA42" s="71">
        <v>420850</v>
      </c>
      <c r="AB42" s="71">
        <v>420851</v>
      </c>
      <c r="AC42" s="71">
        <v>420852</v>
      </c>
    </row>
    <row r="43" spans="1:44">
      <c r="A43" s="5">
        <v>420156</v>
      </c>
      <c r="B43" s="90" t="str" cm="1">
        <f t="array" ref="B43">_F_get_world_name($A43)</f>
        <v>地宫</v>
      </c>
      <c r="C43" s="43">
        <f t="shared" si="35"/>
        <v>6</v>
      </c>
      <c r="D43" s="43" t="str">
        <f>VLOOKUP(MOD(A43,100),tb_scene_id_type[#All],3,1)</f>
        <v>精英</v>
      </c>
      <c r="E43" s="43" t="str">
        <f t="shared" si="34"/>
        <v>1A</v>
      </c>
      <c r="F43" s="43" t="str">
        <f>IFERROR(VLOOKUP(E43,tb_scene_name[],2,0),"")</f>
        <v>沉睡旷野</v>
      </c>
      <c r="G43" s="51" t="str">
        <f t="shared" si="36"/>
        <v>bgm_1a</v>
      </c>
      <c r="H43" s="51" t="str">
        <f t="shared" si="37"/>
        <v>42011</v>
      </c>
      <c r="I43" s="51" t="str">
        <f t="shared" si="16"/>
        <v>scene_1A</v>
      </c>
      <c r="J43" s="51" t="str">
        <f t="shared" si="38"/>
        <v>rs_scene_icon[ui_level_icon_thumbnail_0]</v>
      </c>
      <c r="K43" s="51" t="str">
        <f>_xlfn.TEXTJOIN("~",1,L43:O43)</f>
        <v>42011~2.0375~0.8~2.45</v>
      </c>
      <c r="L43" s="35" t="str">
        <f t="shared" si="39"/>
        <v>42011</v>
      </c>
      <c r="M43" s="35">
        <f t="shared" si="40"/>
        <v>2.0375000000000001</v>
      </c>
      <c r="N43" s="35">
        <v>0.8</v>
      </c>
      <c r="O43" s="35">
        <f t="shared" si="20"/>
        <v>2.4500000000000002</v>
      </c>
      <c r="P43" s="92" t="str" cm="1">
        <f t="array" ref="P43">_F_get_RS_Weather_pool($A43,$C43)</f>
        <v>420103~0~100~&lt;color=#999900&gt;晴转小雨&lt;/color&gt;;420103~10~50~&lt;color=#999900&gt;阴转小雨&lt;/color&gt;;420103~11~50~&lt;color=#999900&gt;小雨&lt;/color&gt;;420104~0~100~&lt;color=orange&gt;晴转大雨&lt;/color&gt;;420104~10~50~&lt;color=orange&gt;阴转大雨&lt;/color&gt;;420104~11~50~&lt;color=orange&gt;小雨渐大&lt;/color&gt;;420104~12~0~&lt;color=orange&gt;大雨倾盆&lt;/color&gt;</v>
      </c>
      <c r="Q43" s="59">
        <v>0</v>
      </c>
      <c r="R43" s="51">
        <v>2404</v>
      </c>
      <c r="S43" s="59" t="s">
        <v>687</v>
      </c>
      <c r="T43" s="99" t="str" cm="1">
        <f t="array" ref="T43">_F_get_RS_Shop_pool(D43,C43)</f>
        <v>30111=1728;40113=1080</v>
      </c>
      <c r="U43" s="59" t="s">
        <v>752</v>
      </c>
      <c r="V43" s="51"/>
      <c r="W43" s="51" cm="1">
        <f t="array" ref="W43">_xlfn.SWITCH(D43,0,"","初始",1,"普通",INT(LOG(C43,8.2))+2,"最终",2,1)</f>
        <v>1</v>
      </c>
      <c r="X43" s="91" t="str" cm="1">
        <f t="array" ref="X43">_F_get_RS_MG_pool($D43,$C43,$AA43:$AL43)</f>
        <v>420850~1~50~&lt;color=purple&gt;渊齿巨鱼&lt;/color&gt;;420851~1~50~&lt;color=purple&gt;缠绕水藻&lt;/color&gt;;420852~1~50~&lt;color=purple&gt;金鱼之王&lt;/color&gt;</v>
      </c>
      <c r="Y43" s="43" t="str">
        <f t="shared" si="12"/>
        <v>Correct</v>
      </c>
      <c r="Z43" s="73" t="str" cm="1">
        <f t="array" ref="Z43">_xlfn.TEXTJOIN("; ",1,_xlfn.MAP(AA43:AL43,_xlfn.LAMBDA(_xlpm._i,_xlfn.XLOOKUP(_xlpm._i,tb_mg[id],tb_mg[备注],"-TBN-"))))</f>
        <v>渊齿巨鱼; 缠绕水藻; 金鱼之王</v>
      </c>
      <c r="AA43" s="71">
        <v>420850</v>
      </c>
      <c r="AB43" s="71">
        <v>420851</v>
      </c>
      <c r="AC43" s="71">
        <v>420852</v>
      </c>
    </row>
    <row r="44" spans="1:44">
      <c r="A44" s="5">
        <v>420157</v>
      </c>
      <c r="B44" s="90" t="str" cm="1">
        <f t="array" ref="B44">_F_get_world_name($A44)</f>
        <v>地宫</v>
      </c>
      <c r="C44" s="43">
        <f t="shared" si="35"/>
        <v>7</v>
      </c>
      <c r="D44" s="43" t="str">
        <f>VLOOKUP(MOD(A44,100),tb_scene_id_type[#All],3,1)</f>
        <v>精英</v>
      </c>
      <c r="E44" s="43" t="str">
        <f t="shared" si="34"/>
        <v>1A</v>
      </c>
      <c r="F44" s="43" t="str">
        <f>IFERROR(VLOOKUP(E44,tb_scene_name[],2,0),"")</f>
        <v>沉睡旷野</v>
      </c>
      <c r="G44" s="51" t="str">
        <f t="shared" si="36"/>
        <v>bgm_1a</v>
      </c>
      <c r="H44" s="51" t="str">
        <f t="shared" si="37"/>
        <v>42011</v>
      </c>
      <c r="I44" s="51" t="str">
        <f t="shared" si="16"/>
        <v>scene_1A</v>
      </c>
      <c r="J44" s="51" t="str">
        <f t="shared" si="38"/>
        <v>rs_scene_icon[ui_level_icon_thumbnail_0]</v>
      </c>
      <c r="K44" s="51" t="str">
        <f t="shared" ref="K44:K49" si="41">_xlfn.TEXTJOIN("~",1,L44:O44)</f>
        <v>42011~2.075~0.8~2.5</v>
      </c>
      <c r="L44" s="35" t="str">
        <f t="shared" si="39"/>
        <v>42011</v>
      </c>
      <c r="M44" s="35">
        <f t="shared" si="40"/>
        <v>2.0750000000000002</v>
      </c>
      <c r="N44" s="35">
        <v>0.8</v>
      </c>
      <c r="O44" s="35">
        <f t="shared" si="20"/>
        <v>2.5</v>
      </c>
      <c r="P44" s="92" t="str" cm="1">
        <f t="array" ref="P44">_F_get_RS_Weather_pool($A44,$C44)</f>
        <v>420104~0~100~&lt;color=orange&gt;晴转大雨&lt;/color&gt;;420104~10~50~&lt;color=orange&gt;阴转大雨&lt;/color&gt;;420104~11~50~&lt;color=orange&gt;小雨渐大&lt;/color&gt;;420104~12~0~&lt;color=orange&gt;大雨倾盆&lt;/color&gt;;420104~0~100~&lt;color=orange&gt;晴转大雨&lt;/color&gt;;420104~10~50~&lt;color=orange&gt;阴转大雨&lt;/color&gt;;420104~11~50~&lt;color=orange&gt;小雨渐大&lt;/color&gt;;420104~12~50~&lt;color=orange&gt;大雨倾盆&lt;/color&gt;</v>
      </c>
      <c r="Q44" s="59">
        <v>0</v>
      </c>
      <c r="R44" s="51">
        <v>3002</v>
      </c>
      <c r="S44" s="59" t="s">
        <v>687</v>
      </c>
      <c r="T44" s="99" t="str" cm="1">
        <f t="array" ref="T44">_F_get_RS_Shop_pool(D44,C44)</f>
        <v>30111=1728;40113=1080</v>
      </c>
      <c r="U44" s="59" t="s">
        <v>753</v>
      </c>
      <c r="V44" s="51"/>
      <c r="W44" s="51" cm="1">
        <f t="array" ref="W44">_xlfn.SWITCH(D44,0,"","初始",1,"普通",INT(LOG(C44,8.2))+2,"最终",2,1)</f>
        <v>1</v>
      </c>
      <c r="X44" s="91" t="str" cm="1">
        <f t="array" ref="X44">_F_get_RS_MG_pool($D44,$C44,$AA44:$AL44)</f>
        <v>420850~1~50~&lt;color=purple&gt;渊齿巨鱼&lt;/color&gt;;420851~1~50~&lt;color=purple&gt;缠绕水藻&lt;/color&gt;;420852~1~50~&lt;color=purple&gt;金鱼之王&lt;/color&gt;</v>
      </c>
      <c r="Y44" s="43" t="str">
        <f t="shared" si="12"/>
        <v>Correct</v>
      </c>
      <c r="Z44" s="73" t="str" cm="1">
        <f t="array" ref="Z44">_xlfn.TEXTJOIN("; ",1,_xlfn.MAP(AA44:AL44,_xlfn.LAMBDA(_xlpm._i,_xlfn.XLOOKUP(_xlpm._i,tb_mg[id],tb_mg[备注],"-TBN-"))))</f>
        <v>渊齿巨鱼; 缠绕水藻; 金鱼之王</v>
      </c>
      <c r="AA44" s="71">
        <v>420850</v>
      </c>
      <c r="AB44" s="71">
        <v>420851</v>
      </c>
      <c r="AC44" s="71">
        <v>420852</v>
      </c>
    </row>
    <row r="45" spans="1:44">
      <c r="A45" s="5">
        <v>420158</v>
      </c>
      <c r="B45" s="90" t="str" cm="1">
        <f t="array" ref="B45">_F_get_world_name($A45)</f>
        <v>地宫</v>
      </c>
      <c r="C45" s="43">
        <f t="shared" si="35"/>
        <v>8</v>
      </c>
      <c r="D45" s="43" t="str">
        <f>VLOOKUP(MOD(A45,100),tb_scene_id_type[#All],3,1)</f>
        <v>精英</v>
      </c>
      <c r="E45" s="43" t="str">
        <f t="shared" si="34"/>
        <v>1B</v>
      </c>
      <c r="F45" s="43" t="str">
        <f>IFERROR(VLOOKUP(E45,tb_scene_name[],2,0),"")</f>
        <v>石墟遗林</v>
      </c>
      <c r="G45" s="51" t="str">
        <f t="shared" si="36"/>
        <v>bgm_1b</v>
      </c>
      <c r="H45" s="51" t="str">
        <f t="shared" si="37"/>
        <v>42012</v>
      </c>
      <c r="I45" s="51" t="str">
        <f t="shared" si="16"/>
        <v>scene_1B</v>
      </c>
      <c r="J45" s="51" t="str">
        <f t="shared" si="38"/>
        <v>rs_scene_icon[ui_level_icon_thumbnail_1]</v>
      </c>
      <c r="K45" s="51" t="str">
        <f t="shared" si="41"/>
        <v>42012~2.1125~0.8~2.55</v>
      </c>
      <c r="L45" s="35" t="str">
        <f t="shared" si="39"/>
        <v>42012</v>
      </c>
      <c r="M45" s="35">
        <f t="shared" si="40"/>
        <v>2.1125000000000003</v>
      </c>
      <c r="N45" s="35">
        <v>0.8</v>
      </c>
      <c r="O45" s="35">
        <f t="shared" si="20"/>
        <v>2.5500000000000003</v>
      </c>
      <c r="P45" s="92" t="str" cm="1">
        <f t="array" ref="P45">_F_get_RS_Weather_pool($A45,$C45)</f>
        <v>420104~0~100~&lt;color=orange&gt;晴转大雨&lt;/color&gt;;420104~10~50~&lt;color=orange&gt;阴转大雨&lt;/color&gt;;420104~11~50~&lt;color=orange&gt;小雨渐大&lt;/color&gt;;420104~12~50~&lt;color=orange&gt;大雨倾盆&lt;/color&gt;;420105~0~100~&lt;color=red&gt;晴转雷暴雨&lt;/color&gt;;420105~10~50~&lt;color=red&gt;阴转雷暴雨&lt;/color&gt;;420105~11~50~&lt;color=red&gt;小雨转雷暴雨&lt;/color&gt;;420105~12~50~&lt;color=red&gt;大雨转雷暴雨&lt;/color&gt;;420105~13~0~&lt;color=purple&gt;雷暴雨&lt;/color&gt;</v>
      </c>
      <c r="Q45" s="59">
        <v>0</v>
      </c>
      <c r="R45" s="51">
        <v>3702</v>
      </c>
      <c r="S45" s="59" t="s">
        <v>687</v>
      </c>
      <c r="T45" s="99" t="str" cm="1">
        <f t="array" ref="T45">_F_get_RS_Shop_pool(D45,C45)</f>
        <v>40113=1080</v>
      </c>
      <c r="U45" s="59" t="s">
        <v>754</v>
      </c>
      <c r="V45" s="51"/>
      <c r="W45" s="51" cm="1">
        <f t="array" ref="W45">_xlfn.SWITCH(D45,0,"","初始",1,"普通",INT(LOG(C45,8.2))+2,"最终",2,1)</f>
        <v>1</v>
      </c>
      <c r="X45" s="91" t="str" cm="1">
        <f t="array" ref="X45">_F_get_RS_MG_pool($D45,$C45,$AA45:$AL45)</f>
        <v>420850~1~50~&lt;color=purple&gt;渊齿巨鱼&lt;/color&gt;;420851~1~50~&lt;color=purple&gt;缠绕水藻&lt;/color&gt;;420852~1~50~&lt;color=purple&gt;金鱼之王&lt;/color&gt;</v>
      </c>
      <c r="Y45" s="43" t="str">
        <f t="shared" si="12"/>
        <v>Correct</v>
      </c>
      <c r="Z45" s="73" t="str" cm="1">
        <f t="array" ref="Z45">_xlfn.TEXTJOIN("; ",1,_xlfn.MAP(AA45:AL45,_xlfn.LAMBDA(_xlpm._i,_xlfn.XLOOKUP(_xlpm._i,tb_mg[id],tb_mg[备注],"-TBN-"))))</f>
        <v>渊齿巨鱼; 缠绕水藻; 金鱼之王</v>
      </c>
      <c r="AA45" s="71">
        <v>420850</v>
      </c>
      <c r="AB45" s="71">
        <v>420851</v>
      </c>
      <c r="AC45" s="71">
        <v>420852</v>
      </c>
    </row>
    <row r="46" spans="1:44">
      <c r="A46" s="5">
        <v>420159</v>
      </c>
      <c r="B46" s="90" t="str" cm="1">
        <f t="array" ref="B46">_F_get_world_name($A46)</f>
        <v>地宫</v>
      </c>
      <c r="C46" s="43">
        <f t="shared" si="35"/>
        <v>9</v>
      </c>
      <c r="D46" s="43" t="str">
        <f>VLOOKUP(MOD(A46,100),tb_scene_id_type[#All],3,1)</f>
        <v>精英</v>
      </c>
      <c r="E46" s="43" t="str">
        <f t="shared" si="34"/>
        <v>1B</v>
      </c>
      <c r="F46" s="43" t="str">
        <f>IFERROR(VLOOKUP(E46,tb_scene_name[],2,0),"")</f>
        <v>石墟遗林</v>
      </c>
      <c r="G46" s="51" t="str">
        <f t="shared" si="36"/>
        <v>bgm_1b</v>
      </c>
      <c r="H46" s="51" t="str">
        <f t="shared" si="37"/>
        <v>42012</v>
      </c>
      <c r="I46" s="51" t="str">
        <f t="shared" si="16"/>
        <v>scene_1B</v>
      </c>
      <c r="J46" s="51" t="str">
        <f t="shared" si="38"/>
        <v>rs_scene_icon[ui_level_icon_thumbnail_1]</v>
      </c>
      <c r="K46" s="51" t="str">
        <f t="shared" si="41"/>
        <v>42012~2.15~0.8~2.6</v>
      </c>
      <c r="L46" s="35" t="str">
        <f t="shared" si="39"/>
        <v>42012</v>
      </c>
      <c r="M46" s="35">
        <f t="shared" si="40"/>
        <v>2.1500000000000004</v>
      </c>
      <c r="N46" s="35">
        <v>0.8</v>
      </c>
      <c r="O46" s="35">
        <f t="shared" si="20"/>
        <v>2.6</v>
      </c>
      <c r="P46" s="92" t="str" cm="1">
        <f t="array" ref="P46">_F_get_RS_Weather_pool($A46,$C46)</f>
        <v>420105~0~100~&lt;color=red&gt;晴转雷暴雨&lt;/color&gt;;420105~10~50~&lt;color=red&gt;阴转雷暴雨&lt;/color&gt;;420105~11~50~&lt;color=red&gt;小雨转雷暴雨&lt;/color&gt;;420105~12~50~&lt;color=red&gt;大雨转雷暴雨&lt;/color&gt;;420105~13~0~&lt;color=purple&gt;雷暴雨&lt;/color&gt;;420105~0~50~&lt;color=red&gt;晴转雷暴雨&lt;/color&gt;;420105~10~50~&lt;color=red&gt;阴转雷暴雨&lt;/color&gt;;420105~11~50~&lt;color=red&gt;小雨转雷暴雨&lt;/color&gt;;420105~12~50~&lt;color=red&gt;大雨转雷暴雨&lt;/color&gt;;420105~13~0~&lt;color=purple&gt;雷暴雨&lt;/color&gt;</v>
      </c>
      <c r="Q46" s="59">
        <v>0</v>
      </c>
      <c r="R46" s="51">
        <v>4508</v>
      </c>
      <c r="S46" s="59" t="s">
        <v>687</v>
      </c>
      <c r="T46" s="99" t="str" cm="1">
        <f t="array" ref="T46">_F_get_RS_Shop_pool(D46,C46)</f>
        <v>30111=1728;40113=1080</v>
      </c>
      <c r="U46" s="59" t="s">
        <v>755</v>
      </c>
      <c r="V46" s="51"/>
      <c r="W46" s="51" cm="1">
        <f t="array" ref="W46">_xlfn.SWITCH(D46,0,"","初始",1,"普通",INT(LOG(C46,8.2))+2,"最终",2,1)</f>
        <v>1</v>
      </c>
      <c r="X46" s="91" t="str" cm="1">
        <f t="array" ref="X46">_F_get_RS_MG_pool($D46,$C46,$AA46:$AL46)</f>
        <v>420850~1~50~&lt;color=purple&gt;渊齿巨鱼&lt;/color&gt;;420851~1~50~&lt;color=purple&gt;缠绕水藻&lt;/color&gt;;420852~1~50~&lt;color=purple&gt;金鱼之王&lt;/color&gt;</v>
      </c>
      <c r="Y46" s="43" t="str">
        <f t="shared" si="12"/>
        <v>Correct</v>
      </c>
      <c r="Z46" s="73" t="str" cm="1">
        <f t="array" ref="Z46">_xlfn.TEXTJOIN("; ",1,_xlfn.MAP(AA46:AL46,_xlfn.LAMBDA(_xlpm._i,_xlfn.XLOOKUP(_xlpm._i,tb_mg[id],tb_mg[备注],"-TBN-"))))</f>
        <v>渊齿巨鱼; 缠绕水藻; 金鱼之王</v>
      </c>
      <c r="AA46" s="71">
        <v>420850</v>
      </c>
      <c r="AB46" s="71">
        <v>420851</v>
      </c>
      <c r="AC46" s="71">
        <v>420852</v>
      </c>
    </row>
    <row r="47" spans="1:44">
      <c r="A47" s="5">
        <v>420160</v>
      </c>
      <c r="B47" s="90" t="str" cm="1">
        <f t="array" ref="B47">_F_get_world_name($A47)</f>
        <v>地宫</v>
      </c>
      <c r="C47" s="43">
        <f t="shared" si="35"/>
        <v>10</v>
      </c>
      <c r="D47" s="43" t="str">
        <f>VLOOKUP(MOD(A47,100),tb_scene_id_type[#All],3,1)</f>
        <v>精英</v>
      </c>
      <c r="E47" s="43" t="str">
        <f t="shared" si="34"/>
        <v>1B</v>
      </c>
      <c r="F47" s="43" t="str">
        <f>IFERROR(VLOOKUP(E47,tb_scene_name[],2,0),"")</f>
        <v>石墟遗林</v>
      </c>
      <c r="G47" s="51" t="str">
        <f t="shared" si="36"/>
        <v>bgm_1b</v>
      </c>
      <c r="H47" s="51" t="str">
        <f t="shared" si="37"/>
        <v>42012</v>
      </c>
      <c r="I47" s="51" t="str">
        <f t="shared" si="16"/>
        <v>scene_1B</v>
      </c>
      <c r="J47" s="51" t="str">
        <f t="shared" si="38"/>
        <v>rs_scene_icon[ui_level_icon_thumbnail_1]</v>
      </c>
      <c r="K47" s="51" t="str">
        <f t="shared" si="41"/>
        <v>42012~2.1875~0.8~2.65</v>
      </c>
      <c r="L47" s="35" t="str">
        <f t="shared" si="39"/>
        <v>42012</v>
      </c>
      <c r="M47" s="35">
        <f t="shared" si="40"/>
        <v>2.1875</v>
      </c>
      <c r="N47" s="35">
        <v>0.8</v>
      </c>
      <c r="O47" s="35">
        <f t="shared" si="20"/>
        <v>2.6500000000000004</v>
      </c>
      <c r="P47" s="92" t="str" cm="1">
        <f t="array" ref="P47">_F_get_RS_Weather_pool($A47,$C47)</f>
        <v>420105~0~50~&lt;color=red&gt;晴转雷暴雨&lt;/color&gt;;420105~10~50~&lt;color=red&gt;阴转雷暴雨&lt;/color&gt;;420105~11~50~&lt;color=red&gt;小雨转雷暴雨&lt;/color&gt;;420105~12~50~&lt;color=red&gt;大雨转雷暴雨&lt;/color&gt;;420105~13~0~&lt;color=purple&gt;雷暴雨&lt;/color&gt;;420105~0~50~&lt;color=red&gt;晴转雷暴雨&lt;/color&gt;;420105~10~50~&lt;color=red&gt;阴转雷暴雨&lt;/color&gt;;420105~11~50~&lt;color=red&gt;小雨转雷暴雨&lt;/color&gt;;420105~12~50~&lt;color=red&gt;大雨转雷暴雨&lt;/color&gt;;420105~13~50~&lt;color=purple&gt;雷暴雨&lt;/color&gt;</v>
      </c>
      <c r="Q47" s="59">
        <v>0</v>
      </c>
      <c r="R47" s="51">
        <v>5435</v>
      </c>
      <c r="S47" s="59" t="s">
        <v>687</v>
      </c>
      <c r="T47" s="99" t="str" cm="1">
        <f t="array" ref="T47">_F_get_RS_Shop_pool(D47,C47)</f>
        <v>30111=1728;40113=1080</v>
      </c>
      <c r="U47" s="59" t="s">
        <v>756</v>
      </c>
      <c r="V47" s="51"/>
      <c r="W47" s="51" cm="1">
        <f t="array" ref="W47">_xlfn.SWITCH(D47,0,"","初始",1,"普通",INT(LOG(C47,8.2))+2,"最终",2,1)</f>
        <v>1</v>
      </c>
      <c r="X47" s="91" t="str" cm="1">
        <f t="array" ref="X47">_F_get_RS_MG_pool($D47,$C47,$AA47:$AL47)</f>
        <v>420850~1~50~&lt;color=purple&gt;渊齿巨鱼&lt;/color&gt;;420851~1~50~&lt;color=purple&gt;缠绕水藻&lt;/color&gt;;420852~1~50~&lt;color=purple&gt;金鱼之王&lt;/color&gt;</v>
      </c>
      <c r="Y47" s="43" t="str">
        <f t="shared" si="12"/>
        <v>Correct</v>
      </c>
      <c r="Z47" s="73" t="str" cm="1">
        <f t="array" ref="Z47">_xlfn.TEXTJOIN("; ",1,_xlfn.MAP(AA47:AL47,_xlfn.LAMBDA(_xlpm._i,_xlfn.XLOOKUP(_xlpm._i,tb_mg[id],tb_mg[备注],"-TBN-"))))</f>
        <v>渊齿巨鱼; 缠绕水藻; 金鱼之王</v>
      </c>
      <c r="AA47" s="71">
        <v>420850</v>
      </c>
      <c r="AB47" s="71">
        <v>420851</v>
      </c>
      <c r="AC47" s="71">
        <v>420852</v>
      </c>
    </row>
    <row r="48" spans="1:44">
      <c r="A48" s="5">
        <v>420161</v>
      </c>
      <c r="B48" s="90" t="str" cm="1">
        <f t="array" ref="B48">_F_get_world_name($A48)</f>
        <v>地宫</v>
      </c>
      <c r="C48" s="43">
        <f t="shared" si="35"/>
        <v>11</v>
      </c>
      <c r="D48" s="43" t="str">
        <f>VLOOKUP(MOD(A48,100),tb_scene_id_type[#All],3,1)</f>
        <v>精英</v>
      </c>
      <c r="E48" s="43" t="str">
        <f t="shared" si="34"/>
        <v>1B</v>
      </c>
      <c r="F48" s="43" t="str">
        <f>IFERROR(VLOOKUP(E48,tb_scene_name[],2,0),"")</f>
        <v>石墟遗林</v>
      </c>
      <c r="G48" s="51" t="str">
        <f t="shared" si="36"/>
        <v>bgm_1b</v>
      </c>
      <c r="H48" s="51" t="str">
        <f t="shared" si="37"/>
        <v>42012</v>
      </c>
      <c r="I48" s="51" t="str">
        <f t="shared" si="16"/>
        <v>scene_1B</v>
      </c>
      <c r="J48" s="51" t="str">
        <f t="shared" si="38"/>
        <v>rs_scene_icon[ui_level_icon_thumbnail_1]</v>
      </c>
      <c r="K48" s="51" t="str">
        <f t="shared" si="41"/>
        <v>42012~2.225~0.8~2.7</v>
      </c>
      <c r="L48" s="35" t="str">
        <f t="shared" si="39"/>
        <v>42012</v>
      </c>
      <c r="M48" s="35">
        <f t="shared" si="40"/>
        <v>2.2250000000000001</v>
      </c>
      <c r="N48" s="35">
        <v>0.8</v>
      </c>
      <c r="O48" s="35">
        <f t="shared" si="20"/>
        <v>2.7</v>
      </c>
      <c r="P48" s="92" t="str" cm="1">
        <f t="array" ref="P48">_F_get_RS_Weather_pool($A48,$C48)</f>
        <v>420105~0~50~&lt;color=red&gt;晴转雷暴雨&lt;/color&gt;;420105~10~50~&lt;color=red&gt;阴转雷暴雨&lt;/color&gt;;420105~11~50~&lt;color=red&gt;小雨转雷暴雨&lt;/color&gt;;420105~12~50~&lt;color=red&gt;大雨转雷暴雨&lt;/color&gt;;420105~13~50~&lt;color=purple&gt;雷暴雨&lt;/color&gt;;420105~0~50~&lt;color=red&gt;晴转雷暴雨&lt;/color&gt;;420105~10~100~&lt;color=red&gt;阴转雷暴雨&lt;/color&gt;;420105~11~100~&lt;color=red&gt;小雨转雷暴雨&lt;/color&gt;;420105~12~100~&lt;color=red&gt;大雨转雷暴雨&lt;/color&gt;;420105~13~100~&lt;color=purple&gt;雷暴雨&lt;/color&gt;</v>
      </c>
      <c r="Q48" s="59">
        <v>0</v>
      </c>
      <c r="R48" s="51">
        <v>6499</v>
      </c>
      <c r="S48" s="59" t="s">
        <v>687</v>
      </c>
      <c r="T48" s="99" t="str" cm="1">
        <f t="array" ref="T48">_F_get_RS_Shop_pool(D48,C48)</f>
        <v>30111=1728;40113=1080</v>
      </c>
      <c r="U48" s="59" t="s">
        <v>757</v>
      </c>
      <c r="V48" s="51"/>
      <c r="W48" s="51" cm="1">
        <f t="array" ref="W48">_xlfn.SWITCH(D48,0,"","初始",1,"普通",INT(LOG(C48,8.2))+2,"最终",2,1)</f>
        <v>1</v>
      </c>
      <c r="X48" s="91" t="str" cm="1">
        <f t="array" ref="X48">_F_get_RS_MG_pool($D48,$C48,$AA48:$AL48)</f>
        <v>420850~1~50~&lt;color=purple&gt;渊齿巨鱼&lt;/color&gt;;420851~1~50~&lt;color=purple&gt;缠绕水藻&lt;/color&gt;;420852~1~50~&lt;color=purple&gt;金鱼之王&lt;/color&gt;</v>
      </c>
      <c r="Y48" s="43" t="str">
        <f t="shared" si="12"/>
        <v>Correct</v>
      </c>
      <c r="Z48" s="73" t="str" cm="1">
        <f t="array" ref="Z48">_xlfn.TEXTJOIN("; ",1,_xlfn.MAP(AA48:AL48,_xlfn.LAMBDA(_xlpm._i,_xlfn.XLOOKUP(_xlpm._i,tb_mg[id],tb_mg[备注],"-TBN-"))))</f>
        <v>渊齿巨鱼; 缠绕水藻; 金鱼之王</v>
      </c>
      <c r="AA48" s="71">
        <v>420850</v>
      </c>
      <c r="AB48" s="71">
        <v>420851</v>
      </c>
      <c r="AC48" s="71">
        <v>420852</v>
      </c>
      <c r="AP48" s="5"/>
      <c r="AR48" s="5"/>
    </row>
    <row r="49" spans="1:44">
      <c r="A49" s="5">
        <v>420162</v>
      </c>
      <c r="B49" s="90" t="str" cm="1">
        <f t="array" ref="B49">_F_get_world_name($A49)</f>
        <v>地宫</v>
      </c>
      <c r="C49" s="43">
        <f t="shared" si="35"/>
        <v>12</v>
      </c>
      <c r="D49" s="43" t="str">
        <f>VLOOKUP(MOD(A49,100),tb_scene_id_type[#All],3,1)</f>
        <v>精英</v>
      </c>
      <c r="E49" s="43" t="str">
        <f t="shared" si="34"/>
        <v>1B</v>
      </c>
      <c r="F49" s="43" t="str">
        <f>IFERROR(VLOOKUP(E49,tb_scene_name[],2,0),"")</f>
        <v>石墟遗林</v>
      </c>
      <c r="G49" s="51" t="str">
        <f t="shared" si="36"/>
        <v>bgm_1b</v>
      </c>
      <c r="H49" s="51" t="str">
        <f t="shared" si="37"/>
        <v>42012</v>
      </c>
      <c r="I49" s="51" t="str">
        <f t="shared" si="16"/>
        <v>scene_1B</v>
      </c>
      <c r="J49" s="51" t="str">
        <f t="shared" si="38"/>
        <v>rs_scene_icon[ui_level_icon_thumbnail_1]</v>
      </c>
      <c r="K49" s="51" t="str">
        <f t="shared" si="41"/>
        <v>42012~2.2625~0.8~2.75</v>
      </c>
      <c r="L49" s="35" t="str">
        <f t="shared" si="39"/>
        <v>42012</v>
      </c>
      <c r="M49" s="35">
        <f t="shared" si="40"/>
        <v>2.2625000000000002</v>
      </c>
      <c r="N49" s="35">
        <v>0.8</v>
      </c>
      <c r="O49" s="35">
        <f t="shared" si="20"/>
        <v>2.75</v>
      </c>
      <c r="P49" s="92" t="str" cm="1">
        <f t="array" ref="P49">_F_get_RS_Weather_pool($A49,$C49)</f>
        <v>420105~0~50~&lt;color=red&gt;晴转雷暴雨&lt;/color&gt;;420105~10~100~&lt;color=red&gt;阴转雷暴雨&lt;/color&gt;;420105~11~100~&lt;color=red&gt;小雨转雷暴雨&lt;/color&gt;;420105~12~100~&lt;color=red&gt;大雨转雷暴雨&lt;/color&gt;;420105~13~100~&lt;color=purple&gt;雷暴雨&lt;/color&gt;;420105~0~50~&lt;color=red&gt;晴转雷暴雨&lt;/color&gt;;420105~10~50~&lt;color=red&gt;阴转雷暴雨&lt;/color&gt;;420105~11~100~&lt;color=red&gt;小雨转雷暴雨&lt;/color&gt;;420105~12~100~&lt;color=red&gt;大雨转雷暴雨&lt;/color&gt;;420105~13~100~&lt;color=purple&gt;雷暴雨&lt;/color&gt;</v>
      </c>
      <c r="Q49" s="59">
        <v>0</v>
      </c>
      <c r="R49" s="51">
        <v>7698</v>
      </c>
      <c r="S49" s="59" t="s">
        <v>687</v>
      </c>
      <c r="T49" s="99" t="str" cm="1">
        <f t="array" ref="T49">_F_get_RS_Shop_pool(D49,C49)</f>
        <v>40113=1080</v>
      </c>
      <c r="U49" s="59" t="s">
        <v>758</v>
      </c>
      <c r="V49" s="51"/>
      <c r="W49" s="51" cm="1">
        <f t="array" ref="W49">_xlfn.SWITCH(D49,0,"","初始",1,"普通",INT(LOG(C49,8.2))+2,"最终",2,1)</f>
        <v>1</v>
      </c>
      <c r="X49" s="91" t="str" cm="1">
        <f t="array" ref="X49">_F_get_RS_MG_pool($D49,$C49,$AA49:$AL49)</f>
        <v>420850~1~50~&lt;color=purple&gt;渊齿巨鱼&lt;/color&gt;;420851~1~50~&lt;color=purple&gt;缠绕水藻&lt;/color&gt;;420852~1~50~&lt;color=purple&gt;金鱼之王&lt;/color&gt;</v>
      </c>
      <c r="Y49" s="43" t="str">
        <f t="shared" si="12"/>
        <v>Correct</v>
      </c>
      <c r="Z49" s="73" t="str" cm="1">
        <f t="array" ref="Z49">_xlfn.TEXTJOIN("; ",1,_xlfn.MAP(AA49:AL49,_xlfn.LAMBDA(_xlpm._i,_xlfn.XLOOKUP(_xlpm._i,tb_mg[id],tb_mg[备注],"-TBN-"))))</f>
        <v>渊齿巨鱼; 缠绕水藻; 金鱼之王</v>
      </c>
      <c r="AA49" s="71">
        <v>420850</v>
      </c>
      <c r="AB49" s="71">
        <v>420851</v>
      </c>
      <c r="AC49" s="71">
        <v>420852</v>
      </c>
      <c r="AP49" s="5"/>
      <c r="AR49" s="5"/>
    </row>
    <row r="50" spans="1:44">
      <c r="A50" s="5">
        <v>420163</v>
      </c>
      <c r="B50" s="90" t="str" cm="1">
        <f t="array" ref="B50">_F_get_world_name($A50)</f>
        <v>地宫</v>
      </c>
      <c r="C50" s="43">
        <f t="shared" si="35"/>
        <v>13</v>
      </c>
      <c r="D50" s="43" t="str">
        <f>VLOOKUP(MOD(A50,100),tb_scene_id_type[#All],3,1)</f>
        <v>精英</v>
      </c>
      <c r="E50" s="43" t="str">
        <f t="shared" si="34"/>
        <v>1B</v>
      </c>
      <c r="F50" s="43" t="str">
        <f>IFERROR(VLOOKUP(E50,tb_scene_name[],2,0),"")</f>
        <v>石墟遗林</v>
      </c>
      <c r="G50" s="51" t="str">
        <f>"bgm_"&amp;LOWER(E50)</f>
        <v>bgm_1b</v>
      </c>
      <c r="H50" s="51" t="str">
        <f>420&amp;LEFT(E50,1)&amp;_xlfn.UNICODE(RIGHT(E50,1))-64</f>
        <v>42012</v>
      </c>
      <c r="I50" s="51" t="str">
        <f t="shared" si="16"/>
        <v>scene_1B</v>
      </c>
      <c r="J50" s="51" t="str">
        <f t="shared" si="38"/>
        <v>rs_scene_icon[ui_level_icon_thumbnail_1]</v>
      </c>
      <c r="K50" s="51" t="str">
        <f>_xlfn.TEXTJOIN("~",1,L50:O50)</f>
        <v>42012~2.3~0.8~2.8</v>
      </c>
      <c r="L50" s="35" t="str">
        <f>H50</f>
        <v>42012</v>
      </c>
      <c r="M50" s="35">
        <f>N50+(O50-N50)*0.75</f>
        <v>2.2999999999999998</v>
      </c>
      <c r="N50" s="35">
        <v>0.8</v>
      </c>
      <c r="O50" s="35">
        <f t="shared" si="20"/>
        <v>2.8000000000000003</v>
      </c>
      <c r="P50" s="92" t="str" cm="1">
        <f t="array" ref="P50">_F_get_RS_Weather_pool($A50,$C50)</f>
        <v>420105~0~50~&lt;color=red&gt;晴转雷暴雨&lt;/color&gt;;420105~10~50~&lt;color=red&gt;阴转雷暴雨&lt;/color&gt;;420105~11~100~&lt;color=red&gt;小雨转雷暴雨&lt;/color&gt;;420105~12~100~&lt;color=red&gt;大雨转雷暴雨&lt;/color&gt;;420105~13~100~&lt;color=purple&gt;雷暴雨&lt;/color&gt;;420106~10~50~&lt;color=red&gt;阴转雷暴雨&lt;/color&gt;;420106~11~50~&lt;color=red&gt;小雨转雷暴雨&lt;/color&gt;;420106~12~100~&lt;color=red&gt;大雨转雷暴雨&lt;/color&gt;;420106~13~100~&lt;color=purple&gt;雷暴雨&lt;/color&gt;</v>
      </c>
      <c r="Q50" s="59">
        <v>0</v>
      </c>
      <c r="R50" s="51">
        <v>9051</v>
      </c>
      <c r="S50" s="59" t="s">
        <v>687</v>
      </c>
      <c r="T50" s="99" t="str" cm="1">
        <f t="array" ref="T50">_F_get_RS_Shop_pool(D50,C50)</f>
        <v>30111=1728;40113=1080</v>
      </c>
      <c r="U50" s="59" t="s">
        <v>759</v>
      </c>
      <c r="V50" s="51"/>
      <c r="W50" s="51" cm="1">
        <f t="array" ref="W50">_xlfn.SWITCH(D50,0,"","初始",1,"普通",INT(LOG(C50,8.2))+2,"最终",2,1)</f>
        <v>1</v>
      </c>
      <c r="X50" s="91" t="str" cm="1">
        <f t="array" ref="X50">_F_get_RS_MG_pool($D50,$C50,$AA50:$AL50)</f>
        <v>420850~1~50~&lt;color=purple&gt;渊齿巨鱼&lt;/color&gt;;420851~1~50~&lt;color=purple&gt;缠绕水藻&lt;/color&gt;;420852~1~50~&lt;color=purple&gt;金鱼之王&lt;/color&gt;</v>
      </c>
      <c r="Y50" s="43" t="str">
        <f t="shared" si="12"/>
        <v>Correct</v>
      </c>
      <c r="Z50" s="73" t="str" cm="1">
        <f t="array" ref="Z50">_xlfn.TEXTJOIN("; ",1,_xlfn.MAP(AA50:AL50,_xlfn.LAMBDA(_xlpm._i,_xlfn.XLOOKUP(_xlpm._i,tb_mg[id],tb_mg[备注],"-TBN-"))))</f>
        <v>渊齿巨鱼; 缠绕水藻; 金鱼之王</v>
      </c>
      <c r="AA50" s="71">
        <v>420850</v>
      </c>
      <c r="AB50" s="71">
        <v>420851</v>
      </c>
      <c r="AC50" s="71">
        <v>420852</v>
      </c>
    </row>
    <row r="51" spans="1:44">
      <c r="A51" s="5">
        <v>420164</v>
      </c>
      <c r="B51" s="90" t="str" cm="1">
        <f t="array" ref="B51">_F_get_world_name($A51)</f>
        <v>地宫</v>
      </c>
      <c r="C51" s="43">
        <f t="shared" si="35"/>
        <v>14</v>
      </c>
      <c r="D51" s="43" t="str">
        <f>VLOOKUP(MOD(A51,100),tb_scene_id_type[#All],3,1)</f>
        <v>精英</v>
      </c>
      <c r="E51" s="43" t="str">
        <f t="shared" si="34"/>
        <v>1B</v>
      </c>
      <c r="F51" s="43" t="str">
        <f>IFERROR(VLOOKUP(E51,tb_scene_name[],2,0),"")</f>
        <v>石墟遗林</v>
      </c>
      <c r="G51" s="51" t="str">
        <f t="shared" ref="G51:G55" si="42">"bgm_"&amp;LOWER(E51)</f>
        <v>bgm_1b</v>
      </c>
      <c r="H51" s="51" t="str">
        <f t="shared" ref="H51:H55" si="43">420&amp;LEFT(E51,1)&amp;_xlfn.UNICODE(RIGHT(E51,1))-64</f>
        <v>42012</v>
      </c>
      <c r="I51" s="51" t="str">
        <f t="shared" si="16"/>
        <v>scene_1B</v>
      </c>
      <c r="J51" s="51" t="str">
        <f t="shared" si="38"/>
        <v>rs_scene_icon[ui_level_icon_thumbnail_1]</v>
      </c>
      <c r="K51" s="51" t="str">
        <f>_xlfn.TEXTJOIN("~",1,L51:O51)</f>
        <v>42012~2.3375~0.8~2.85</v>
      </c>
      <c r="L51" s="35" t="str">
        <f t="shared" ref="L51:L55" si="44">H51</f>
        <v>42012</v>
      </c>
      <c r="M51" s="35">
        <f t="shared" ref="M51:M55" si="45">N51+(O51-N51)*0.75</f>
        <v>2.3374999999999999</v>
      </c>
      <c r="N51" s="35">
        <v>0.8</v>
      </c>
      <c r="O51" s="35">
        <f t="shared" si="20"/>
        <v>2.85</v>
      </c>
      <c r="P51" s="92" t="str" cm="1">
        <f t="array" ref="P51">_F_get_RS_Weather_pool($A51,$C51)</f>
        <v>420106~10~50~&lt;color=red&gt;阴转雷暴雨&lt;/color&gt;;420106~11~50~&lt;color=red&gt;小雨转雷暴雨&lt;/color&gt;;420106~12~100~&lt;color=red&gt;大雨转雷暴雨&lt;/color&gt;;420106~13~100~&lt;color=purple&gt;雷暴雨&lt;/color&gt;;420106~10~0~&lt;color=red&gt;阴转雷暴雨&lt;/color&gt;;420106~11~50~&lt;color=red&gt;小雨转雷暴雨&lt;/color&gt;;420106~12~100~&lt;color=red&gt;大雨转雷暴雨&lt;/color&gt;;420106~13~100~&lt;color=purple&gt;雷暴雨&lt;/color&gt;</v>
      </c>
      <c r="Q51" s="59">
        <v>0</v>
      </c>
      <c r="R51" s="51">
        <v>10574</v>
      </c>
      <c r="S51" s="59" t="s">
        <v>687</v>
      </c>
      <c r="T51" s="99" t="str" cm="1">
        <f t="array" ref="T51">_F_get_RS_Shop_pool(D51,C51)</f>
        <v>30111=1728;40113=1080</v>
      </c>
      <c r="U51" s="59" t="s">
        <v>760</v>
      </c>
      <c r="V51" s="51"/>
      <c r="W51" s="51" cm="1">
        <f t="array" ref="W51">_xlfn.SWITCH(D51,0,"","初始",1,"普通",INT(LOG(C51,8.2))+2,"最终",2,1)</f>
        <v>1</v>
      </c>
      <c r="X51" s="91" t="str" cm="1">
        <f t="array" ref="X51">_F_get_RS_MG_pool($D51,$C51,$AA51:$AL51)</f>
        <v>420850~1~50~&lt;color=purple&gt;渊齿巨鱼&lt;/color&gt;;420851~1~50~&lt;color=purple&gt;缠绕水藻&lt;/color&gt;;420852~1~50~&lt;color=purple&gt;金鱼之王&lt;/color&gt;</v>
      </c>
      <c r="Y51" s="43" t="str">
        <f t="shared" si="12"/>
        <v>Correct</v>
      </c>
      <c r="Z51" s="73" t="str" cm="1">
        <f t="array" ref="Z51">_xlfn.TEXTJOIN("; ",1,_xlfn.MAP(AA51:AL51,_xlfn.LAMBDA(_xlpm._i,_xlfn.XLOOKUP(_xlpm._i,tb_mg[id],tb_mg[备注],"-TBN-"))))</f>
        <v>渊齿巨鱼; 缠绕水藻; 金鱼之王</v>
      </c>
      <c r="AA51" s="71">
        <v>420850</v>
      </c>
      <c r="AB51" s="71">
        <v>420851</v>
      </c>
      <c r="AC51" s="71">
        <v>420852</v>
      </c>
    </row>
    <row r="52" spans="1:44">
      <c r="A52" s="5">
        <v>420165</v>
      </c>
      <c r="B52" s="90" t="str" cm="1">
        <f t="array" ref="B52">_F_get_world_name($A52)</f>
        <v>地宫</v>
      </c>
      <c r="C52" s="43">
        <f t="shared" si="35"/>
        <v>15</v>
      </c>
      <c r="D52" s="43" t="str">
        <f>VLOOKUP(MOD(A52,100),tb_scene_id_type[#All],3,1)</f>
        <v>精英</v>
      </c>
      <c r="E52" s="43" t="str">
        <f t="shared" si="34"/>
        <v>1C</v>
      </c>
      <c r="F52" s="43" t="str">
        <f>IFERROR(VLOOKUP(E52,tb_scene_name[],2,0),"")</f>
        <v>失落围城</v>
      </c>
      <c r="G52" s="51" t="str">
        <f t="shared" si="42"/>
        <v>bgm_1c</v>
      </c>
      <c r="H52" s="51" t="str">
        <f t="shared" si="43"/>
        <v>42013</v>
      </c>
      <c r="I52" s="51" t="str">
        <f t="shared" si="16"/>
        <v>scene_1C</v>
      </c>
      <c r="J52" s="51" t="str">
        <f t="shared" si="38"/>
        <v>rs_scene_icon[ui_level_icon_thumbnail_2]</v>
      </c>
      <c r="K52" s="51" t="str">
        <f>_xlfn.TEXTJOIN("~",1,L52:O52)</f>
        <v>42013~2.375~0.8~2.9</v>
      </c>
      <c r="L52" s="35" t="str">
        <f t="shared" si="44"/>
        <v>42013</v>
      </c>
      <c r="M52" s="35">
        <f t="shared" si="45"/>
        <v>2.3750000000000004</v>
      </c>
      <c r="N52" s="35">
        <v>0.8</v>
      </c>
      <c r="O52" s="35">
        <f t="shared" si="20"/>
        <v>2.9000000000000004</v>
      </c>
      <c r="P52" s="92" t="str" cm="1">
        <f t="array" ref="P52">_F_get_RS_Weather_pool($A52,$C52)</f>
        <v>420106~10~0~&lt;color=red&gt;阴转雷暴雨&lt;/color&gt;;420106~11~50~&lt;color=red&gt;小雨转雷暴雨&lt;/color&gt;;420106~12~100~&lt;color=red&gt;大雨转雷暴雨&lt;/color&gt;;420106~13~100~&lt;color=purple&gt;雷暴雨&lt;/color&gt;;420107~11~50~&lt;color=red&gt;小雨转雷暴雨&lt;/color&gt;;420107~12~100~&lt;color=red&gt;大雨转雷暴雨&lt;/color&gt;;420107~13~100~&lt;color=purple&gt;雷暴雨&lt;/color&gt;</v>
      </c>
      <c r="Q52" s="59">
        <v>0</v>
      </c>
      <c r="R52" s="51">
        <v>12263</v>
      </c>
      <c r="S52" s="59" t="s">
        <v>687</v>
      </c>
      <c r="T52" s="99" t="str" cm="1">
        <f t="array" ref="T52">_F_get_RS_Shop_pool(D52,C52)</f>
        <v>30111=1728;40113=1080</v>
      </c>
      <c r="U52" s="59" t="s">
        <v>761</v>
      </c>
      <c r="V52" s="51"/>
      <c r="W52" s="51" cm="1">
        <f t="array" ref="W52">_xlfn.SWITCH(D52,0,"","初始",1,"普通",INT(LOG(C52,8.2))+2,"最终",2,1)</f>
        <v>1</v>
      </c>
      <c r="X52" s="91" t="str" cm="1">
        <f t="array" ref="X52">_F_get_RS_MG_pool($D52,$C52,$AA52:$AL52)</f>
        <v>420850~1~50~&lt;color=purple&gt;渊齿巨鱼&lt;/color&gt;;420851~1~50~&lt;color=purple&gt;缠绕水藻&lt;/color&gt;;420852~1~50~&lt;color=purple&gt;金鱼之王&lt;/color&gt;</v>
      </c>
      <c r="Y52" s="43" t="str">
        <f t="shared" si="12"/>
        <v>Correct</v>
      </c>
      <c r="Z52" s="73" t="str" cm="1">
        <f t="array" ref="Z52">_xlfn.TEXTJOIN("; ",1,_xlfn.MAP(AA52:AL52,_xlfn.LAMBDA(_xlpm._i,_xlfn.XLOOKUP(_xlpm._i,tb_mg[id],tb_mg[备注],"-TBN-"))))</f>
        <v>渊齿巨鱼; 缠绕水藻; 金鱼之王</v>
      </c>
      <c r="AA52" s="71">
        <v>420850</v>
      </c>
      <c r="AB52" s="71">
        <v>420851</v>
      </c>
      <c r="AC52" s="71">
        <v>420852</v>
      </c>
    </row>
    <row r="53" spans="1:44">
      <c r="A53" s="5">
        <v>420166</v>
      </c>
      <c r="B53" s="90" t="str" cm="1">
        <f t="array" ref="B53">_F_get_world_name($A53)</f>
        <v>地宫</v>
      </c>
      <c r="C53" s="43">
        <f t="shared" si="35"/>
        <v>16</v>
      </c>
      <c r="D53" s="43" t="str">
        <f>VLOOKUP(MOD(A53,100),tb_scene_id_type[#All],3,1)</f>
        <v>精英</v>
      </c>
      <c r="E53" s="43" t="str">
        <f t="shared" si="34"/>
        <v>1C</v>
      </c>
      <c r="F53" s="43" t="str">
        <f>IFERROR(VLOOKUP(E53,tb_scene_name[],2,0),"")</f>
        <v>失落围城</v>
      </c>
      <c r="G53" s="51" t="str">
        <f t="shared" si="42"/>
        <v>bgm_1c</v>
      </c>
      <c r="H53" s="51" t="str">
        <f t="shared" si="43"/>
        <v>42013</v>
      </c>
      <c r="I53" s="51" t="str">
        <f t="shared" si="16"/>
        <v>scene_1C</v>
      </c>
      <c r="J53" s="51" t="str">
        <f t="shared" si="38"/>
        <v>rs_scene_icon[ui_level_icon_thumbnail_2]</v>
      </c>
      <c r="K53" s="51" t="str">
        <f t="shared" ref="K53:K55" si="46">_xlfn.TEXTJOIN("~",1,L53:O53)</f>
        <v>42013~2.4125~0.8~2.95</v>
      </c>
      <c r="L53" s="35" t="str">
        <f t="shared" si="44"/>
        <v>42013</v>
      </c>
      <c r="M53" s="35">
        <f t="shared" si="45"/>
        <v>2.4125000000000005</v>
      </c>
      <c r="N53" s="35">
        <v>0.8</v>
      </c>
      <c r="O53" s="35">
        <f t="shared" si="20"/>
        <v>2.95</v>
      </c>
      <c r="P53" s="92" t="str" cm="1">
        <f t="array" ref="P53">_F_get_RS_Weather_pool($A53,$C53)</f>
        <v>420107~11~50~&lt;color=red&gt;小雨转雷暴雨&lt;/color&gt;;420107~12~100~&lt;color=red&gt;大雨转雷暴雨&lt;/color&gt;;420107~13~100~&lt;color=purple&gt;雷暴雨&lt;/color&gt;;420107~11~0~&lt;color=red&gt;小雨转雷暴雨&lt;/color&gt;;420107~12~100~&lt;color=red&gt;大雨转雷暴雨&lt;/color&gt;;420107~13~100~&lt;color=purple&gt;雷暴雨&lt;/color&gt;</v>
      </c>
      <c r="Q53" s="59">
        <v>0</v>
      </c>
      <c r="R53" s="51">
        <v>14139</v>
      </c>
      <c r="S53" s="59" t="s">
        <v>687</v>
      </c>
      <c r="T53" s="99" t="str" cm="1">
        <f t="array" ref="T53">_F_get_RS_Shop_pool(D53,C53)</f>
        <v>40113=1080</v>
      </c>
      <c r="U53" s="59" t="s">
        <v>762</v>
      </c>
      <c r="V53" s="51"/>
      <c r="W53" s="51" cm="1">
        <f t="array" ref="W53">_xlfn.SWITCH(D53,0,"","初始",1,"普通",INT(LOG(C53,8.2))+2,"最终",2,1)</f>
        <v>1</v>
      </c>
      <c r="X53" s="91" t="str" cm="1">
        <f t="array" ref="X53">_F_get_RS_MG_pool($D53,$C53,$AA53:$AL53)</f>
        <v>420850~1~50~&lt;color=purple&gt;渊齿巨鱼&lt;/color&gt;;420851~1~50~&lt;color=purple&gt;缠绕水藻&lt;/color&gt;;420852~1~50~&lt;color=purple&gt;金鱼之王&lt;/color&gt;</v>
      </c>
      <c r="Y53" s="43" t="str">
        <f t="shared" si="12"/>
        <v>Correct</v>
      </c>
      <c r="Z53" s="73" t="str" cm="1">
        <f t="array" ref="Z53">_xlfn.TEXTJOIN("; ",1,_xlfn.MAP(AA53:AL53,_xlfn.LAMBDA(_xlpm._i,_xlfn.XLOOKUP(_xlpm._i,tb_mg[id],tb_mg[备注],"-TBN-"))))</f>
        <v>渊齿巨鱼; 缠绕水藻; 金鱼之王</v>
      </c>
      <c r="AA53" s="71">
        <v>420850</v>
      </c>
      <c r="AB53" s="71">
        <v>420851</v>
      </c>
      <c r="AC53" s="71">
        <v>420852</v>
      </c>
    </row>
    <row r="54" spans="1:44">
      <c r="A54" s="5">
        <v>420167</v>
      </c>
      <c r="B54" s="90" t="str" cm="1">
        <f t="array" ref="B54">_F_get_world_name($A54)</f>
        <v>地宫</v>
      </c>
      <c r="C54" s="43">
        <f t="shared" si="35"/>
        <v>17</v>
      </c>
      <c r="D54" s="43" t="str">
        <f>VLOOKUP(MOD(A54,100),tb_scene_id_type[#All],3,1)</f>
        <v>精英</v>
      </c>
      <c r="E54" s="43" t="str">
        <f t="shared" si="34"/>
        <v>1C</v>
      </c>
      <c r="F54" s="43" t="str">
        <f>IFERROR(VLOOKUP(E54,tb_scene_name[],2,0),"")</f>
        <v>失落围城</v>
      </c>
      <c r="G54" s="51" t="str">
        <f t="shared" si="42"/>
        <v>bgm_1c</v>
      </c>
      <c r="H54" s="51" t="str">
        <f t="shared" si="43"/>
        <v>42013</v>
      </c>
      <c r="I54" s="51" t="str">
        <f t="shared" si="16"/>
        <v>scene_1C</v>
      </c>
      <c r="J54" s="51" t="str">
        <f t="shared" si="38"/>
        <v>rs_scene_icon[ui_level_icon_thumbnail_2]</v>
      </c>
      <c r="K54" s="51" t="str">
        <f t="shared" si="46"/>
        <v>42013~2.45~0.8~3</v>
      </c>
      <c r="L54" s="35" t="str">
        <f t="shared" si="44"/>
        <v>42013</v>
      </c>
      <c r="M54" s="35">
        <f t="shared" si="45"/>
        <v>2.4500000000000002</v>
      </c>
      <c r="N54" s="35">
        <v>0.8</v>
      </c>
      <c r="O54" s="35">
        <f t="shared" si="20"/>
        <v>3</v>
      </c>
      <c r="P54" s="92" t="str" cm="1">
        <f t="array" ref="P54">_F_get_RS_Weather_pool($A54,$C54)</f>
        <v>420107~11~0~&lt;color=red&gt;小雨转雷暴雨&lt;/color&gt;;420107~12~100~&lt;color=red&gt;大雨转雷暴雨&lt;/color&gt;;420107~13~100~&lt;color=purple&gt;雷暴雨&lt;/color&gt;;420108~12~100~&lt;color=red&gt;大雨转雷暴雨&lt;/color&gt;;420108~13~100~&lt;color=purple&gt;雷暴雨&lt;/color&gt;</v>
      </c>
      <c r="Q54" s="59">
        <v>0</v>
      </c>
      <c r="R54" s="51">
        <v>16204</v>
      </c>
      <c r="S54" s="59" t="s">
        <v>687</v>
      </c>
      <c r="T54" s="99" t="str" cm="1">
        <f t="array" ref="T54">_F_get_RS_Shop_pool(D54,C54)</f>
        <v>30111=1728;40113=1080</v>
      </c>
      <c r="U54" s="59" t="s">
        <v>763</v>
      </c>
      <c r="V54" s="51"/>
      <c r="W54" s="51" cm="1">
        <f t="array" ref="W54">_xlfn.SWITCH(D54,0,"","初始",1,"普通",INT(LOG(C54,8.2))+2,"最终",2,1)</f>
        <v>1</v>
      </c>
      <c r="X54" s="91" t="str" cm="1">
        <f t="array" ref="X54">_F_get_RS_MG_pool($D54,$C54,$AA54:$AL54)</f>
        <v>420850~1~50~&lt;color=purple&gt;渊齿巨鱼&lt;/color&gt;;420851~1~50~&lt;color=purple&gt;缠绕水藻&lt;/color&gt;;420852~1~50~&lt;color=purple&gt;金鱼之王&lt;/color&gt;</v>
      </c>
      <c r="Y54" s="43" t="str">
        <f t="shared" si="12"/>
        <v>Correct</v>
      </c>
      <c r="Z54" s="73" t="str" cm="1">
        <f t="array" ref="Z54">_xlfn.TEXTJOIN("; ",1,_xlfn.MAP(AA54:AL54,_xlfn.LAMBDA(_xlpm._i,_xlfn.XLOOKUP(_xlpm._i,tb_mg[id],tb_mg[备注],"-TBN-"))))</f>
        <v>渊齿巨鱼; 缠绕水藻; 金鱼之王</v>
      </c>
      <c r="AA54" s="71">
        <v>420850</v>
      </c>
      <c r="AB54" s="71">
        <v>420851</v>
      </c>
      <c r="AC54" s="71">
        <v>420852</v>
      </c>
    </row>
    <row r="55" spans="1:44">
      <c r="A55" s="5">
        <v>420168</v>
      </c>
      <c r="B55" s="90" t="str" cm="1">
        <f t="array" ref="B55">_F_get_world_name($A55)</f>
        <v>地宫</v>
      </c>
      <c r="C55" s="43">
        <f t="shared" si="35"/>
        <v>18</v>
      </c>
      <c r="D55" s="43" t="str">
        <f>VLOOKUP(MOD(A55,100),tb_scene_id_type[#All],3,1)</f>
        <v>精英</v>
      </c>
      <c r="E55" s="43" t="str">
        <f t="shared" si="34"/>
        <v>1C</v>
      </c>
      <c r="F55" s="43" t="str">
        <f>IFERROR(VLOOKUP(E55,tb_scene_name[],2,0),"")</f>
        <v>失落围城</v>
      </c>
      <c r="G55" s="51" t="str">
        <f t="shared" si="42"/>
        <v>bgm_1c</v>
      </c>
      <c r="H55" s="51" t="str">
        <f t="shared" si="43"/>
        <v>42013</v>
      </c>
      <c r="I55" s="51" t="str">
        <f t="shared" si="16"/>
        <v>scene_1C</v>
      </c>
      <c r="J55" s="51" t="str">
        <f t="shared" si="38"/>
        <v>rs_scene_icon[ui_level_icon_thumbnail_2]</v>
      </c>
      <c r="K55" s="51" t="str">
        <f t="shared" si="46"/>
        <v>42013~2.4875~0.8~3.05</v>
      </c>
      <c r="L55" s="35" t="str">
        <f t="shared" si="44"/>
        <v>42013</v>
      </c>
      <c r="M55" s="35">
        <f t="shared" si="45"/>
        <v>2.4874999999999998</v>
      </c>
      <c r="N55" s="35">
        <v>0.8</v>
      </c>
      <c r="O55" s="35">
        <f t="shared" si="20"/>
        <v>3.0500000000000003</v>
      </c>
      <c r="P55" s="92" t="str" cm="1">
        <f t="array" ref="P55">_F_get_RS_Weather_pool($A55,$C55)</f>
        <v>420108~12~100~&lt;color=red&gt;大雨转雷暴雨&lt;/color&gt;;420108~13~100~&lt;color=purple&gt;雷暴雨&lt;/color&gt;;420108~12~50~&lt;color=red&gt;大雨转雷暴雨&lt;/color&gt;;420108~13~100~&lt;color=purple&gt;雷暴雨&lt;/color&gt;</v>
      </c>
      <c r="Q55" s="59">
        <v>0</v>
      </c>
      <c r="R55" s="51">
        <v>18456</v>
      </c>
      <c r="S55" s="59" t="s">
        <v>687</v>
      </c>
      <c r="T55" s="99" t="str" cm="1">
        <f t="array" ref="T55">_F_get_RS_Shop_pool(D55,C55)</f>
        <v>30111=1728;40113=1080</v>
      </c>
      <c r="U55" s="59" t="s">
        <v>764</v>
      </c>
      <c r="V55" s="51"/>
      <c r="W55" s="51" cm="1">
        <f t="array" ref="W55">_xlfn.SWITCH(D55,0,"","初始",1,"普通",INT(LOG(C55,8.2))+2,"最终",2,1)</f>
        <v>1</v>
      </c>
      <c r="X55" s="91" t="str" cm="1">
        <f t="array" ref="X55">_F_get_RS_MG_pool($D55,$C55,$AA55:$AL55)</f>
        <v>420850~1~50~&lt;color=purple&gt;渊齿巨鱼&lt;/color&gt;;420851~1~50~&lt;color=purple&gt;缠绕水藻&lt;/color&gt;;420852~1~50~&lt;color=purple&gt;金鱼之王&lt;/color&gt;</v>
      </c>
      <c r="Y55" s="43" t="str">
        <f t="shared" si="12"/>
        <v>Correct</v>
      </c>
      <c r="Z55" s="73" t="str" cm="1">
        <f t="array" ref="Z55">_xlfn.TEXTJOIN("; ",1,_xlfn.MAP(AA55:AL55,_xlfn.LAMBDA(_xlpm._i,_xlfn.XLOOKUP(_xlpm._i,tb_mg[id],tb_mg[备注],"-TBN-"))))</f>
        <v>渊齿巨鱼; 缠绕水藻; 金鱼之王</v>
      </c>
      <c r="AA55" s="71">
        <v>420850</v>
      </c>
      <c r="AB55" s="71">
        <v>420851</v>
      </c>
      <c r="AC55" s="71">
        <v>420852</v>
      </c>
    </row>
    <row r="56" spans="1:44">
      <c r="A56" s="5">
        <v>420169</v>
      </c>
      <c r="B56" s="90" t="str" cm="1">
        <f t="array" ref="B56">_F_get_world_name($A56)</f>
        <v>地宫</v>
      </c>
      <c r="C56" s="43">
        <f t="shared" ref="C56" si="47">IF(MOD(A56,100)&gt;90,20,MOD(A56,50))</f>
        <v>19</v>
      </c>
      <c r="D56" s="43" t="str">
        <f>VLOOKUP(MOD(A56,100),tb_scene_id_type[#All],3,1)</f>
        <v>精英</v>
      </c>
      <c r="E56" s="43" t="str">
        <f t="shared" ref="E56" si="48">MID(A56,4,1)&amp;CHAR(INT((C56-1)/7+1)+64)</f>
        <v>1C</v>
      </c>
      <c r="F56" s="43" t="str">
        <f>IFERROR(VLOOKUP(E56,tb_scene_name[],2,0),"")</f>
        <v>失落围城</v>
      </c>
      <c r="G56" s="51" t="str">
        <f t="shared" ref="G56" si="49">"bgm_"&amp;LOWER(E56)</f>
        <v>bgm_1c</v>
      </c>
      <c r="H56" s="51" t="str">
        <f t="shared" ref="H56" si="50">420&amp;LEFT(E56,1)&amp;_xlfn.UNICODE(RIGHT(E56,1))-64</f>
        <v>42013</v>
      </c>
      <c r="I56" s="51" t="str">
        <f t="shared" si="16"/>
        <v>scene_1C</v>
      </c>
      <c r="J56" s="51" t="str">
        <f t="shared" si="38"/>
        <v>rs_scene_icon[ui_level_icon_thumbnail_2]</v>
      </c>
      <c r="K56" s="51" t="str">
        <f t="shared" ref="K56" si="51">_xlfn.TEXTJOIN("~",1,L56:O56)</f>
        <v>42013~2.525~0.8~3.1</v>
      </c>
      <c r="L56" s="35" t="str">
        <f t="shared" ref="L56" si="52">H56</f>
        <v>42013</v>
      </c>
      <c r="M56" s="35">
        <f t="shared" ref="M56" si="53">N56+(O56-N56)*0.75</f>
        <v>2.5249999999999999</v>
      </c>
      <c r="N56" s="35">
        <v>0.8</v>
      </c>
      <c r="O56" s="35">
        <f t="shared" si="20"/>
        <v>3.1</v>
      </c>
      <c r="P56" s="92" t="str" cm="1">
        <f t="array" ref="P56">_F_get_RS_Weather_pool($A56,$C56)</f>
        <v>420108~12~50~&lt;color=red&gt;大雨转雷暴雨&lt;/color&gt;;420108~13~100~&lt;color=purple&gt;雷暴雨&lt;/color&gt;;420109~13~100~&lt;color=purple&gt;雷暴雨&lt;/color&gt;</v>
      </c>
      <c r="Q56" s="59">
        <v>0</v>
      </c>
      <c r="R56" s="51">
        <v>20929</v>
      </c>
      <c r="S56" s="59" t="s">
        <v>687</v>
      </c>
      <c r="T56" s="99" t="str" cm="1">
        <f t="array" ref="T56">_F_get_RS_Shop_pool(D56,C56)</f>
        <v>40113=1080</v>
      </c>
      <c r="U56" s="59" t="s">
        <v>765</v>
      </c>
      <c r="V56" s="51"/>
      <c r="W56" s="51" cm="1">
        <f t="array" ref="W56">_xlfn.SWITCH(D56,0,"","初始",1,"普通",INT(LOG(C56,8.2))+2,"最终",2,1)</f>
        <v>1</v>
      </c>
      <c r="X56" s="91" t="str" cm="1">
        <f t="array" ref="X56">_F_get_RS_MG_pool($D56,$C56,$AA56:$AL56)</f>
        <v>420850~1~50~&lt;color=purple&gt;渊齿巨鱼&lt;/color&gt;;420851~1~50~&lt;color=purple&gt;缠绕水藻&lt;/color&gt;;420852~1~50~&lt;color=purple&gt;金鱼之王&lt;/color&gt;</v>
      </c>
      <c r="Y56" s="43" t="str">
        <f t="shared" si="12"/>
        <v>Correct</v>
      </c>
      <c r="Z56" s="73" t="str" cm="1">
        <f t="array" ref="Z56">_xlfn.TEXTJOIN("; ",1,_xlfn.MAP(AA56:AL56,_xlfn.LAMBDA(_xlpm._i,_xlfn.XLOOKUP(_xlpm._i,tb_mg[id],tb_mg[备注],"-TBN-"))))</f>
        <v>渊齿巨鱼; 缠绕水藻; 金鱼之王</v>
      </c>
      <c r="AA56" s="71">
        <v>420850</v>
      </c>
      <c r="AB56" s="71">
        <v>420851</v>
      </c>
      <c r="AC56" s="71">
        <v>420852</v>
      </c>
    </row>
    <row r="57" spans="1:44">
      <c r="B57" s="5"/>
      <c r="I57" s="51"/>
      <c r="J57" s="51"/>
      <c r="Q57" s="59"/>
      <c r="R57" s="59"/>
      <c r="V57" s="51"/>
      <c r="W57" s="51" t="str" cm="1">
        <f t="array" ref="W57">_xlfn.SWITCH(D57,0,"","初始",1,"普通",INT(LOG(C57,8.2))+2,"最终",2,1)</f>
        <v/>
      </c>
      <c r="X57" s="51"/>
      <c r="Y57" s="43" t="str">
        <f t="shared" si="12"/>
        <v/>
      </c>
      <c r="Z57" s="73" t="str" cm="1">
        <f t="array" ref="Z57">_xlfn.TEXTJOIN("; ",1,_xlfn.MAP(AA57:AL57,_xlfn.LAMBDA(_xlpm._i,_xlfn.XLOOKUP(_xlpm._i,tb_mg[id],tb_mg[备注],"-TBN-"))))</f>
        <v/>
      </c>
    </row>
    <row r="58" spans="1:44">
      <c r="A58" s="5">
        <v>420199</v>
      </c>
      <c r="B58" s="90" t="str" cm="1">
        <f t="array" ref="B58">_F_get_world_name($A58)</f>
        <v>地宫</v>
      </c>
      <c r="C58" s="43">
        <f t="shared" ref="C58" si="54">IF(MOD(A58,100)&gt;90,20,MOD(A58,50))</f>
        <v>20</v>
      </c>
      <c r="D58" s="43" t="str">
        <f>VLOOKUP(MOD(A58,100),tb_scene_id_type[#All],3,1)</f>
        <v>最终</v>
      </c>
      <c r="E58" s="43" t="str">
        <f t="shared" ref="E58" si="55">MID(A58,4,1)&amp;CHAR(INT((C58-1)/7+1)+64)</f>
        <v>1C</v>
      </c>
      <c r="F58" s="43" t="str">
        <f>IFERROR(VLOOKUP(E58,tb_scene_name[],2,0),"")</f>
        <v>失落围城</v>
      </c>
      <c r="G58" s="51" t="str">
        <f t="shared" ref="G58" si="56">"bgm_"&amp;LOWER(E58)</f>
        <v>bgm_1c</v>
      </c>
      <c r="H58" s="51" t="str">
        <f t="shared" ref="H58" si="57">420&amp;LEFT(E58,1)&amp;_xlfn.UNICODE(RIGHT(E58,1))-64</f>
        <v>42013</v>
      </c>
      <c r="I58" s="51" t="str">
        <f t="shared" si="16"/>
        <v>scene_1C</v>
      </c>
      <c r="J58" s="51" t="str">
        <f t="shared" si="38"/>
        <v>rs_scene_icon[ui_level_icon_thumbnail_2]</v>
      </c>
      <c r="K58" s="51" t="str">
        <f t="shared" ref="K58" si="58">_xlfn.TEXTJOIN("~",1,L58:O58)</f>
        <v>42013~2.5625~0.8~3.15</v>
      </c>
      <c r="L58" s="35" t="str">
        <f t="shared" ref="L58" si="59">H58</f>
        <v>42013</v>
      </c>
      <c r="M58" s="35">
        <f t="shared" ref="M58" si="60">N58+(O58-N58)*0.75</f>
        <v>2.5625000000000004</v>
      </c>
      <c r="N58" s="35">
        <v>0.8</v>
      </c>
      <c r="O58" s="35">
        <f t="shared" si="20"/>
        <v>3.1500000000000004</v>
      </c>
      <c r="P58" s="92" t="str" cm="1">
        <f t="array" ref="P58">_F_get_RS_Weather_pool($A58,$C58)</f>
        <v>420109~13~100~&lt;color=purple&gt;雷暴雨&lt;/color&gt;;420109~13~50~&lt;color=purple&gt;雷暴雨&lt;/color&gt;</v>
      </c>
      <c r="Q58" s="59">
        <v>0</v>
      </c>
      <c r="R58" s="51">
        <v>23618</v>
      </c>
      <c r="S58" s="59" t="s">
        <v>780</v>
      </c>
      <c r="T58" s="99" t="str" cm="1">
        <f t="array" ref="T58">_F_get_RS_Shop_pool(D58,C58)</f>
        <v/>
      </c>
      <c r="U58" s="59"/>
      <c r="V58" s="51"/>
      <c r="W58" s="51" cm="1">
        <f t="array" ref="W58">_xlfn.SWITCH(D58,0,"","初始",1,"普通",INT(LOG(C58,8.2))+2,"最终",2,1)</f>
        <v>2</v>
      </c>
      <c r="X58" s="91" t="str" cm="1">
        <f t="array" ref="X58">_F_get_RS_MG_pool($D58,$C58,$AA58:$AL58)</f>
        <v>420850~1~75~&lt;color=purple&gt;渊齿巨鱼&lt;/color&gt;;420851~1~75~&lt;color=purple&gt;缠绕水藻&lt;/color&gt;;420852~1~75~&lt;color=purple&gt;金鱼之王&lt;/color&gt;</v>
      </c>
      <c r="Y58" s="43" t="str">
        <f t="shared" si="12"/>
        <v>Correct</v>
      </c>
      <c r="Z58" s="73" t="str" cm="1">
        <f t="array" ref="Z58">_xlfn.TEXTJOIN("; ",1,_xlfn.MAP(AA58:AL58,_xlfn.LAMBDA(_xlpm._i,_xlfn.XLOOKUP(_xlpm._i,tb_mg[id],tb_mg[备注],"-TBN-"))))</f>
        <v>渊齿巨鱼; 缠绕水藻; 金鱼之王</v>
      </c>
      <c r="AA58" s="71">
        <v>420850</v>
      </c>
      <c r="AB58" s="71">
        <v>420851</v>
      </c>
      <c r="AC58" s="71">
        <v>420852</v>
      </c>
    </row>
    <row r="59" spans="1:44">
      <c r="Q59" s="59"/>
      <c r="R59" s="59"/>
      <c r="V59" s="51"/>
      <c r="W59" s="51" t="str" cm="1">
        <f t="array" ref="W59">_xlfn.SWITCH(D59,0,"","初始",1,"普通",INT(LOG(C59,8.2))+2,"最终",2,1)</f>
        <v/>
      </c>
      <c r="X59" s="51" t="str" cm="1">
        <f t="array" ref="X59">_xlfn.LET(_xlpm._mg_len_coef,_xlfn.XLOOKUP($D59,tb_scene_type[类型],tb_scene_type[长度倍率],1)+$C59*_xlfn.XLOOKUP($D59,tb_scene_type[类型],tb_scene_type[场景序数加成],1),
_xlfn.TEXTJOIN(";",1,
    _xlfn.MAP($AA59:$AL59,_xlfn.LAMBDA(_xlpm.x,
        _xlfn.LET(_xlpm._not_null,_xlpm.x&lt;&gt;"",
            _xlpm._mg_len,MROUND(_xlfn.XLOOKUP(_xlpm.x,tb_mg[id],tb_mg[base_len],300)*_xlpm._mg_len_coef,5),
            _xlpm._ui_text,"~"&amp;_xlfn.XLOOKUP(_xlpm.x,tb_mg[id],tb_mg[选路ui文本],""),
            IF(_xlpm._not_null,_xlfn.TEXTJOIN("~",1,_xlpm.x,1,_xlpm._mg_len,)&amp;_xlpm._ui_text,""))))))</f>
        <v/>
      </c>
      <c r="Y59" s="43" t="str">
        <f t="shared" si="12"/>
        <v/>
      </c>
      <c r="Z59" s="73" t="str" cm="1">
        <f t="array" ref="Z59">_xlfn.TEXTJOIN("; ",1,_xlfn.MAP(AA59:AL59,_xlfn.LAMBDA(_xlpm._i,_xlfn.XLOOKUP(_xlpm._i,tb_mg[id],tb_mg[备注],"-TBN-"))))</f>
        <v/>
      </c>
    </row>
    <row r="60" spans="1:44">
      <c r="Q60" s="59"/>
      <c r="R60" s="59"/>
      <c r="V60" s="51"/>
      <c r="W60" s="51" t="str" cm="1">
        <f t="array" ref="W60">_xlfn.SWITCH(D60,0,"","初始",1,"普通",INT(LOG(C60,8.2))+2,"最终",2,1)</f>
        <v/>
      </c>
      <c r="X60" s="51" t="str" cm="1">
        <f t="array" ref="X60">_xlfn.LET(_xlpm._mg_len_coef,_xlfn.XLOOKUP($D60,tb_scene_type[类型],tb_scene_type[长度倍率],1)+$C60*_xlfn.XLOOKUP($D60,tb_scene_type[类型],tb_scene_type[场景序数加成],1),
_xlfn.TEXTJOIN(";",1,
    _xlfn.MAP($AA60:$AL60,_xlfn.LAMBDA(_xlpm.x,
        _xlfn.LET(_xlpm._not_null,_xlpm.x&lt;&gt;"",
            _xlpm._mg_len,MROUND(_xlfn.XLOOKUP(_xlpm.x,tb_mg[id],tb_mg[base_len],300)*_xlpm._mg_len_coef,5),
            _xlpm._ui_text,"~"&amp;_xlfn.XLOOKUP(_xlpm.x,tb_mg[id],tb_mg[选路ui文本],""),
            IF(_xlpm._not_null,_xlfn.TEXTJOIN("~",1,_xlpm.x,1,_xlpm._mg_len,)&amp;_xlpm._ui_text,""))))))</f>
        <v/>
      </c>
      <c r="Y60" s="43" t="str">
        <f t="shared" si="12"/>
        <v/>
      </c>
      <c r="Z60" s="73" t="str" cm="1">
        <f t="array" ref="Z60">_xlfn.TEXTJOIN("; ",1,_xlfn.MAP(AA60:AL60,_xlfn.LAMBDA(_xlpm._i,_xlfn.XLOOKUP(_xlpm._i,tb_mg[id],tb_mg[备注],"-TBN-"))))</f>
        <v/>
      </c>
    </row>
    <row r="61" spans="1:44">
      <c r="Q61" s="59"/>
      <c r="R61" s="59"/>
      <c r="V61" s="51"/>
      <c r="W61" s="51" t="str" cm="1">
        <f t="array" ref="W61">_xlfn.SWITCH(D61,0,"","初始",1,"普通",INT(LOG(C61,8.2))+2,"最终",2,1)</f>
        <v/>
      </c>
      <c r="X61" s="51" t="str" cm="1">
        <f t="array" ref="X61">_xlfn.LET(_xlpm._mg_len_coef,_xlfn.XLOOKUP($D61,tb_scene_type[类型],tb_scene_type[长度倍率],1)+$C61*_xlfn.XLOOKUP($D61,tb_scene_type[类型],tb_scene_type[场景序数加成],1),
_xlfn.TEXTJOIN(";",1,
    _xlfn.MAP($AA61:$AL61,_xlfn.LAMBDA(_xlpm.x,
        _xlfn.LET(_xlpm._not_null,_xlpm.x&lt;&gt;"",
            _xlpm._mg_len,MROUND(_xlfn.XLOOKUP(_xlpm.x,tb_mg[id],tb_mg[base_len],300)*_xlpm._mg_len_coef,5),
            _xlpm._ui_text,"~"&amp;_xlfn.XLOOKUP(_xlpm.x,tb_mg[id],tb_mg[选路ui文本],""),
            IF(_xlpm._not_null,_xlfn.TEXTJOIN("~",1,_xlpm.x,1,_xlpm._mg_len,)&amp;_xlpm._ui_text,""))))))</f>
        <v/>
      </c>
      <c r="Y61" s="43" t="str">
        <f t="shared" si="12"/>
        <v/>
      </c>
      <c r="Z61" s="73" t="str" cm="1">
        <f t="array" ref="Z61">_xlfn.TEXTJOIN("; ",1,_xlfn.MAP(AA61:AL61,_xlfn.LAMBDA(_xlpm._i,_xlfn.XLOOKUP(_xlpm._i,tb_mg[id],tb_mg[备注],"-TBN-"))))</f>
        <v/>
      </c>
    </row>
    <row r="62" spans="1:44">
      <c r="A62" s="5">
        <v>420401</v>
      </c>
      <c r="B62" s="90" t="str" cm="1">
        <f t="array" ref="B62">_F_get_world_name($A62)</f>
        <v>树梢</v>
      </c>
      <c r="C62" s="43">
        <f>IF(MOD(A62,100)&gt;90,20,MOD(A62,50))</f>
        <v>1</v>
      </c>
      <c r="D62" s="43" t="str">
        <f>VLOOKUP(MOD(A62,100),tb_scene_id_type[#All],3,1)</f>
        <v>初始</v>
      </c>
      <c r="E62" s="43" t="str">
        <f t="shared" ref="E62:E81" si="61">MID(A62,4,1)&amp;CHAR(INT((C62-1)/7+1)+64)</f>
        <v>4A</v>
      </c>
      <c r="F62" s="43" t="str">
        <f>IFERROR(VLOOKUP(E62,tb_scene_name[],2,0),"")</f>
        <v>青霄古城</v>
      </c>
      <c r="G62" s="51" t="str">
        <f t="shared" ref="G62:G71" si="62">"bgm_"&amp;LOWER(E62)</f>
        <v>bgm_4a</v>
      </c>
      <c r="H62" s="51" t="str">
        <f t="shared" ref="H62:H71" si="63">420&amp;LEFT(E62,1)&amp;_xlfn.UNICODE(RIGHT(E62,1))-64</f>
        <v>42041</v>
      </c>
      <c r="I62" s="51" t="str">
        <f>"scene_"&amp;$E62</f>
        <v>scene_4A</v>
      </c>
      <c r="J62" s="51" t="str">
        <f>_xlfn.LET(_xlpm._id,(LEFT($E62,1)-1)*3+_xlfn.UNICODE(RIGHT($E62,1))-65,
_xlfn.CONCAT("rs_scene_icon[ui_level_icon_thumbnail_",_xlpm._id,"]"))</f>
        <v>rs_scene_icon[ui_level_icon_thumbnail_9]</v>
      </c>
      <c r="K62" s="51" t="str">
        <f t="shared" ref="K62:K71" si="64">_xlfn.TEXTJOIN("~",1,L62:O62)</f>
        <v>42041~1.85~0.8~2.2</v>
      </c>
      <c r="L62" s="35" t="str">
        <f t="shared" ref="L62:L71" si="65">H62</f>
        <v>42041</v>
      </c>
      <c r="M62" s="35">
        <f>N62+(O62-N62)*0.75</f>
        <v>1.85</v>
      </c>
      <c r="N62" s="35">
        <v>0.8</v>
      </c>
      <c r="O62" s="35">
        <f>MIN(3.2,2.2+(C62-1)*0.05)</f>
        <v>2.2000000000000002</v>
      </c>
      <c r="P62" s="92" t="str" cm="1">
        <f t="array" ref="P62">_F_get_RS_Weather_pool($A62,$C62)</f>
        <v>420401~0~100~&lt;color=grey&gt;晴空万里&lt;/color&gt;</v>
      </c>
      <c r="Q62" s="59">
        <v>0</v>
      </c>
      <c r="R62" s="51">
        <f>_xlfn.XLOOKUP(C62,tb_enemy_mod[scene_index],tb_enemy_mod[hp_mod],1000)</f>
        <v>1000</v>
      </c>
      <c r="S62" s="59" t="s">
        <v>687</v>
      </c>
      <c r="T62" s="99" t="str" cm="1">
        <f t="array" ref="T62">_F_get_RS_Shop_pool(D62,C62)</f>
        <v>30103=8640</v>
      </c>
      <c r="U62" s="59" t="s">
        <v>749</v>
      </c>
      <c r="V62" s="51"/>
      <c r="W62" s="51" cm="1">
        <f t="array" ref="W62">_xlfn.SWITCH(D62,0,"","初始",1,"普通",INT(LOG(C62,8.2))+2,"最终",2,1)</f>
        <v>1</v>
      </c>
      <c r="X62" s="91" t="str" cm="1">
        <f t="array" ref="X62">_F_get_RS_MG_pool($D62,$C62,$AA62:$AL62)</f>
        <v>420401~1~300~</v>
      </c>
      <c r="Y62" s="43" t="str">
        <f t="shared" si="12"/>
        <v>Correct</v>
      </c>
      <c r="Z62" s="73" t="str" cm="1">
        <f t="array" ref="Z62">_xlfn.TEXTJOIN("; ",1,_xlfn.MAP(AA62:AL62,_xlfn.LAMBDA(_xlpm._i,_xlfn.XLOOKUP(_xlpm._i,tb_mg[id],tb_mg[备注],"-TBN-"))))</f>
        <v>鬼狰幽浮</v>
      </c>
      <c r="AA62" s="57">
        <v>420401</v>
      </c>
      <c r="AP62" s="5"/>
      <c r="AR62" s="5"/>
    </row>
    <row r="63" spans="1:44">
      <c r="B63" s="5"/>
      <c r="I63" s="51"/>
      <c r="Q63" s="59"/>
      <c r="R63" s="59"/>
      <c r="V63" s="51"/>
      <c r="W63" s="51" t="str" cm="1">
        <f t="array" ref="W63">_xlfn.SWITCH(D63,0,"","初始",1,"普通",INT(LOG(C63,8.2))+2,"最终",2,1)</f>
        <v/>
      </c>
      <c r="X63" s="51"/>
      <c r="Y63" s="43" t="str">
        <f t="shared" si="12"/>
        <v/>
      </c>
      <c r="Z63" s="73" t="str" cm="1">
        <f t="array" ref="Z63">_xlfn.TEXTJOIN("; ",1,_xlfn.MAP(AA63:AL63,_xlfn.LAMBDA(_xlpm._i,_xlfn.XLOOKUP(_xlpm._i,tb_mg[id],tb_mg[备注],"-TBN-"))))</f>
        <v/>
      </c>
    </row>
    <row r="64" spans="1:44">
      <c r="A64" s="5">
        <v>420402</v>
      </c>
      <c r="B64" s="90" t="str" cm="1">
        <f t="array" ref="B64">_F_get_world_name($A64)</f>
        <v>树梢</v>
      </c>
      <c r="C64" s="43">
        <f t="shared" ref="C64:C100" si="66">IF(MOD(A64,100)&gt;90,20,MOD(A64,50))</f>
        <v>2</v>
      </c>
      <c r="D64" s="43" t="str">
        <f>VLOOKUP(MOD(A64,100),tb_scene_id_type[#All],3,1)</f>
        <v>普通</v>
      </c>
      <c r="E64" s="43" t="str">
        <f t="shared" si="61"/>
        <v>4A</v>
      </c>
      <c r="F64" s="43" t="str">
        <f>IFERROR(VLOOKUP(E64,tb_scene_name[],2,0),"")</f>
        <v>青霄古城</v>
      </c>
      <c r="G64" s="51" t="str">
        <f t="shared" si="62"/>
        <v>bgm_4a</v>
      </c>
      <c r="H64" s="51" t="str">
        <f t="shared" si="63"/>
        <v>42041</v>
      </c>
      <c r="I64" s="51" t="str">
        <f t="shared" ref="I64:I100" si="67">"scene_"&amp;$E64</f>
        <v>scene_4A</v>
      </c>
      <c r="J64" s="51" t="str">
        <f>_xlfn.LET(_xlpm._id,(LEFT($E64,1)-1)*3+_xlfn.UNICODE(RIGHT($E64,1))-65,
_xlfn.CONCAT("rs_scene_icon[ui_level_icon_thumbnail_",_xlpm._id,"]"))</f>
        <v>rs_scene_icon[ui_level_icon_thumbnail_9]</v>
      </c>
      <c r="K64" s="51" t="str">
        <f t="shared" si="64"/>
        <v>42041~1.8875~0.8~2.25</v>
      </c>
      <c r="L64" s="35" t="str">
        <f t="shared" si="65"/>
        <v>42041</v>
      </c>
      <c r="M64" s="35">
        <f t="shared" ref="M64:M71" si="68">N64+(O64-N64)*0.75</f>
        <v>1.8875</v>
      </c>
      <c r="N64" s="35">
        <v>0.8</v>
      </c>
      <c r="O64" s="35">
        <f>MIN(3.2,2.2+(C64-1)*0.05)</f>
        <v>2.25</v>
      </c>
      <c r="P64" s="92" t="str" cm="1">
        <f t="array" ref="P64">_F_get_RS_Weather_pool($A64,$C64)</f>
        <v>420401~0~100~&lt;color=grey&gt;晴空万里&lt;/color&gt;;420402~0~100~&lt;color=grey&gt;晴转阴&lt;/color&gt;;420402~10~0~&lt;color=grey&gt;阴&lt;/color&gt;</v>
      </c>
      <c r="Q64" s="59">
        <v>889</v>
      </c>
      <c r="R64" s="51">
        <v>1000</v>
      </c>
      <c r="S64" s="59" t="s">
        <v>635</v>
      </c>
      <c r="T64" s="99" t="str" cm="1">
        <f t="array" ref="T64">_F_get_RS_Shop_pool(D64,C64)</f>
        <v>20005=32256;30007=20160</v>
      </c>
      <c r="U64" s="59" t="s">
        <v>731</v>
      </c>
      <c r="V64" s="51"/>
      <c r="W64" s="51" cm="1">
        <f t="array" ref="W64">_xlfn.SWITCH(D64,0,"","初始",1,"普通",INT(LOG(C64,8.2))+2,"最终",2,1)</f>
        <v>2</v>
      </c>
      <c r="X64" s="91" t="str" cm="1">
        <f t="array" ref="X64">_F_get_RS_MG_pool($D64,$C64,$AA64:$AL64)</f>
        <v>420403~1~305~;420404~1~305~</v>
      </c>
      <c r="Y64" s="43" t="str">
        <f t="shared" si="12"/>
        <v>Correct</v>
      </c>
      <c r="Z64" s="73" t="str" cm="1">
        <f t="array" ref="Z64">_xlfn.TEXTJOIN("; ",1,_xlfn.MAP(AA64:AL64,_xlfn.LAMBDA(_xlpm._i,_xlfn.XLOOKUP(_xlpm._i,tb_mg[id],tb_mg[备注],"-TBN-"))))</f>
        <v>鱼妖突袭; 刺果鬼瓮</v>
      </c>
      <c r="AA64" s="57">
        <v>420403</v>
      </c>
      <c r="AB64" s="57">
        <v>420404</v>
      </c>
      <c r="AP64" s="5"/>
      <c r="AR64" s="5"/>
    </row>
    <row r="65" spans="1:44">
      <c r="A65" s="5">
        <v>420403</v>
      </c>
      <c r="B65" s="90" t="str" cm="1">
        <f t="array" ref="B65">_F_get_world_name($A65)</f>
        <v>树梢</v>
      </c>
      <c r="C65" s="43">
        <f t="shared" si="66"/>
        <v>3</v>
      </c>
      <c r="D65" s="43" t="str">
        <f>VLOOKUP(MOD(A65,100),tb_scene_id_type[#All],3,1)</f>
        <v>普通</v>
      </c>
      <c r="E65" s="43" t="str">
        <f t="shared" si="61"/>
        <v>4A</v>
      </c>
      <c r="F65" s="43" t="str">
        <f>IFERROR(VLOOKUP(E65,tb_scene_name[],2,0),"")</f>
        <v>青霄古城</v>
      </c>
      <c r="G65" s="51" t="str">
        <f t="shared" si="62"/>
        <v>bgm_4a</v>
      </c>
      <c r="H65" s="51" t="str">
        <f t="shared" si="63"/>
        <v>42041</v>
      </c>
      <c r="I65" s="51" t="str">
        <f t="shared" si="67"/>
        <v>scene_4A</v>
      </c>
      <c r="J65" s="51" t="str">
        <f t="shared" ref="J65:J81" si="69">_xlfn.LET(_xlpm._id,(LEFT($E65,1)-1)*3+_xlfn.UNICODE(RIGHT($E65,1))-65,
_xlfn.CONCAT("rs_scene_icon[ui_level_icon_thumbnail_",_xlpm._id,"]"))</f>
        <v>rs_scene_icon[ui_level_icon_thumbnail_9]</v>
      </c>
      <c r="K65" s="51" t="str">
        <f t="shared" si="64"/>
        <v>42041~1.925~0.8~2.3</v>
      </c>
      <c r="L65" s="35" t="str">
        <f t="shared" si="65"/>
        <v>42041</v>
      </c>
      <c r="M65" s="35">
        <f t="shared" si="68"/>
        <v>1.9250000000000003</v>
      </c>
      <c r="N65" s="35">
        <v>0.8</v>
      </c>
      <c r="O65" s="35">
        <f t="shared" ref="O65:O100" si="70">MIN(3.2,2.2+(C65-1)*0.05)</f>
        <v>2.3000000000000003</v>
      </c>
      <c r="P65" s="92" t="str" cm="1">
        <f t="array" ref="P65">_F_get_RS_Weather_pool($A65,$C65)</f>
        <v>420402~0~100~&lt;color=grey&gt;晴转阴&lt;/color&gt;;420402~10~0~&lt;color=grey&gt;阴&lt;/color&gt;;420402~0~100~&lt;color=grey&gt;晴转阴&lt;/color&gt;;420402~10~50~&lt;color=grey&gt;阴&lt;/color&gt;</v>
      </c>
      <c r="Q65" s="59">
        <v>1097</v>
      </c>
      <c r="R65" s="51">
        <v>1044</v>
      </c>
      <c r="S65" s="59" t="s">
        <v>635</v>
      </c>
      <c r="T65" s="99" t="str" cm="1">
        <f t="array" ref="T65">_F_get_RS_Shop_pool(D65,C65)</f>
        <v>20005=32256;30007=20160</v>
      </c>
      <c r="U65" s="59" t="s">
        <v>732</v>
      </c>
      <c r="V65" s="51"/>
      <c r="W65" s="51" cm="1">
        <f t="array" ref="W65">_xlfn.SWITCH(D65,0,"","初始",1,"普通",INT(LOG(C65,8.2))+2,"最终",2,1)</f>
        <v>2</v>
      </c>
      <c r="X65" s="91" t="str" cm="1">
        <f t="array" ref="X65">_F_get_RS_MG_pool($D65,$C65,$AA65:$AL65)</f>
        <v>420401~1~310~;420402~1~310~;420403~1~310~;420404~1~310~</v>
      </c>
      <c r="Y65" s="43" t="str">
        <f t="shared" si="12"/>
        <v>Correct</v>
      </c>
      <c r="Z65" s="73" t="str" cm="1">
        <f t="array" ref="Z65">_xlfn.TEXTJOIN("; ",1,_xlfn.MAP(AA65:AL65,_xlfn.LAMBDA(_xlpm._i,_xlfn.XLOOKUP(_xlpm._i,tb_mg[id],tb_mg[备注],"-TBN-"))))</f>
        <v>鬼狰幽浮; 画中鱼妖; 鱼妖突袭; 刺果鬼瓮</v>
      </c>
      <c r="AA65" s="57">
        <v>420401</v>
      </c>
      <c r="AB65" s="57">
        <v>420402</v>
      </c>
      <c r="AC65" s="57">
        <v>420403</v>
      </c>
      <c r="AD65" s="57">
        <v>420404</v>
      </c>
      <c r="AP65" s="5"/>
      <c r="AR65" s="5"/>
    </row>
    <row r="66" spans="1:44">
      <c r="A66" s="5">
        <v>420404</v>
      </c>
      <c r="B66" s="90" t="str" cm="1">
        <f t="array" ref="B66">_F_get_world_name($A66)</f>
        <v>树梢</v>
      </c>
      <c r="C66" s="43">
        <f t="shared" si="66"/>
        <v>4</v>
      </c>
      <c r="D66" s="43" t="str">
        <f>VLOOKUP(MOD(A66,100),tb_scene_id_type[#All],3,1)</f>
        <v>普通</v>
      </c>
      <c r="E66" s="43" t="str">
        <f t="shared" si="61"/>
        <v>4A</v>
      </c>
      <c r="F66" s="43" t="str">
        <f>IFERROR(VLOOKUP(E66,tb_scene_name[],2,0),"")</f>
        <v>青霄古城</v>
      </c>
      <c r="G66" s="51" t="str">
        <f t="shared" si="62"/>
        <v>bgm_4a</v>
      </c>
      <c r="H66" s="51" t="str">
        <f t="shared" si="63"/>
        <v>42041</v>
      </c>
      <c r="I66" s="51" t="str">
        <f t="shared" si="67"/>
        <v>scene_4A</v>
      </c>
      <c r="J66" s="51" t="str">
        <f t="shared" si="69"/>
        <v>rs_scene_icon[ui_level_icon_thumbnail_9]</v>
      </c>
      <c r="K66" s="51" t="str">
        <f t="shared" si="64"/>
        <v>42041~1.9625~0.8~2.35</v>
      </c>
      <c r="L66" s="35" t="str">
        <f t="shared" si="65"/>
        <v>42041</v>
      </c>
      <c r="M66" s="35">
        <f t="shared" si="68"/>
        <v>1.9625000000000001</v>
      </c>
      <c r="N66" s="35">
        <v>0.8</v>
      </c>
      <c r="O66" s="35">
        <f t="shared" si="70"/>
        <v>2.35</v>
      </c>
      <c r="P66" s="92" t="str" cm="1">
        <f t="array" ref="P66">_F_get_RS_Weather_pool($A66,$C66)</f>
        <v>420402~0~100~&lt;color=grey&gt;晴转阴&lt;/color&gt;;420402~10~50~&lt;color=grey&gt;阴&lt;/color&gt;;420403~0~100~&lt;color=#999900&gt;晴转小雨&lt;/color&gt;;420403~10~50~&lt;color=#999900&gt;阴转小雨&lt;/color&gt;;420403~11~0~&lt;color=#999900&gt;小雨&lt;/color&gt;</v>
      </c>
      <c r="Q66" s="59">
        <v>1311</v>
      </c>
      <c r="R66" s="51">
        <v>1438</v>
      </c>
      <c r="S66" s="59" t="s">
        <v>687</v>
      </c>
      <c r="T66" s="99" t="str" cm="1">
        <f t="array" ref="T66">_F_get_RS_Shop_pool(D66,C66)</f>
        <v>40113=1080</v>
      </c>
      <c r="U66" s="59" t="s">
        <v>733</v>
      </c>
      <c r="V66" s="51"/>
      <c r="W66" s="51" cm="1">
        <f t="array" ref="W66">_xlfn.SWITCH(D66,0,"","初始",1,"普通",INT(LOG(C66,8.2))+2,"最终",2,1)</f>
        <v>2</v>
      </c>
      <c r="X66" s="91" t="str" cm="1">
        <f t="array" ref="X66">_F_get_RS_MG_pool($D66,$C66,$AA66:$AL66)</f>
        <v>420401~1~310~;420402~1~310~;420403~1~310~;420404~1~310~</v>
      </c>
      <c r="Y66" s="43" t="str">
        <f t="shared" si="12"/>
        <v>Correct</v>
      </c>
      <c r="Z66" s="73" t="str" cm="1">
        <f t="array" ref="Z66">_xlfn.TEXTJOIN("; ",1,_xlfn.MAP(AA66:AL66,_xlfn.LAMBDA(_xlpm._i,_xlfn.XLOOKUP(_xlpm._i,tb_mg[id],tb_mg[备注],"-TBN-"))))</f>
        <v>鬼狰幽浮; 画中鱼妖; 鱼妖突袭; 刺果鬼瓮</v>
      </c>
      <c r="AA66" s="57">
        <v>420401</v>
      </c>
      <c r="AB66" s="57">
        <v>420402</v>
      </c>
      <c r="AC66" s="57">
        <v>420403</v>
      </c>
      <c r="AD66" s="57">
        <v>420404</v>
      </c>
      <c r="AP66" s="5"/>
      <c r="AR66" s="5"/>
    </row>
    <row r="67" spans="1:44">
      <c r="A67" s="5">
        <v>420405</v>
      </c>
      <c r="B67" s="90" t="str" cm="1">
        <f t="array" ref="B67">_F_get_world_name($A67)</f>
        <v>树梢</v>
      </c>
      <c r="C67" s="43">
        <f t="shared" si="66"/>
        <v>5</v>
      </c>
      <c r="D67" s="43" t="str">
        <f>VLOOKUP(MOD(A67,100),tb_scene_id_type[#All],3,1)</f>
        <v>普通</v>
      </c>
      <c r="E67" s="43" t="str">
        <f t="shared" si="61"/>
        <v>4A</v>
      </c>
      <c r="F67" s="43" t="str">
        <f>IFERROR(VLOOKUP(E67,tb_scene_name[],2,0),"")</f>
        <v>青霄古城</v>
      </c>
      <c r="G67" s="51" t="str">
        <f t="shared" si="62"/>
        <v>bgm_4a</v>
      </c>
      <c r="H67" s="51" t="str">
        <f t="shared" si="63"/>
        <v>42041</v>
      </c>
      <c r="I67" s="51" t="str">
        <f t="shared" si="67"/>
        <v>scene_4A</v>
      </c>
      <c r="J67" s="51" t="str">
        <f t="shared" si="69"/>
        <v>rs_scene_icon[ui_level_icon_thumbnail_9]</v>
      </c>
      <c r="K67" s="51" t="str">
        <f t="shared" si="64"/>
        <v>42041~2~0.8~2.4</v>
      </c>
      <c r="L67" s="35" t="str">
        <f t="shared" si="65"/>
        <v>42041</v>
      </c>
      <c r="M67" s="35">
        <f t="shared" si="68"/>
        <v>2</v>
      </c>
      <c r="N67" s="35">
        <v>0.8</v>
      </c>
      <c r="O67" s="35">
        <f t="shared" si="70"/>
        <v>2.4000000000000004</v>
      </c>
      <c r="P67" s="92" t="str" cm="1">
        <f t="array" ref="P67">_F_get_RS_Weather_pool($A67,$C67)</f>
        <v>420403~0~100~&lt;color=#999900&gt;晴转小雨&lt;/color&gt;;420403~10~50~&lt;color=#999900&gt;阴转小雨&lt;/color&gt;;420403~11~0~&lt;color=#999900&gt;小雨&lt;/color&gt;;420403~0~100~&lt;color=#999900&gt;晴转小雨&lt;/color&gt;;420403~10~50~&lt;color=#999900&gt;阴转小雨&lt;/color&gt;;420403~11~50~&lt;color=#999900&gt;小雨&lt;/color&gt;</v>
      </c>
      <c r="Q67" s="59">
        <v>1554</v>
      </c>
      <c r="R67" s="51">
        <v>1887</v>
      </c>
      <c r="S67" s="59" t="s">
        <v>583</v>
      </c>
      <c r="T67" s="99" t="str" cm="1">
        <f t="array" ref="T67">_F_get_RS_Shop_pool(D67,C67)</f>
        <v>10001=36864;20011=4608;20003=23040;30013=2880;20005=32256;30015=4032;30007=20160;40017=2520</v>
      </c>
      <c r="U67" s="59" t="s">
        <v>734</v>
      </c>
      <c r="V67" s="51"/>
      <c r="W67" s="51" cm="1">
        <f t="array" ref="W67">_xlfn.SWITCH(D67,0,"","初始",1,"普通",INT(LOG(C67,8.2))+2,"最终",2,1)</f>
        <v>2</v>
      </c>
      <c r="X67" s="91" t="str" cm="1">
        <f t="array" ref="X67">_F_get_RS_MG_pool($D67,$C67,$AA67:$AL67)</f>
        <v>420401~1~315~;420402~1~315~;420403~1~315~;420404~1~315~</v>
      </c>
      <c r="Y67" s="43" t="str">
        <f t="shared" si="12"/>
        <v>Correct</v>
      </c>
      <c r="Z67" s="73" t="str" cm="1">
        <f t="array" ref="Z67">_xlfn.TEXTJOIN("; ",1,_xlfn.MAP(AA67:AL67,_xlfn.LAMBDA(_xlpm._i,_xlfn.XLOOKUP(_xlpm._i,tb_mg[id],tb_mg[备注],"-TBN-"))))</f>
        <v>鬼狰幽浮; 画中鱼妖; 鱼妖突袭; 刺果鬼瓮</v>
      </c>
      <c r="AA67" s="57">
        <v>420401</v>
      </c>
      <c r="AB67" s="57">
        <v>420402</v>
      </c>
      <c r="AC67" s="57">
        <v>420403</v>
      </c>
      <c r="AD67" s="57">
        <v>420404</v>
      </c>
      <c r="AP67" s="5"/>
      <c r="AR67" s="5"/>
    </row>
    <row r="68" spans="1:44">
      <c r="A68" s="5">
        <v>420406</v>
      </c>
      <c r="B68" s="90" t="str" cm="1">
        <f t="array" ref="B68">_F_get_world_name($A68)</f>
        <v>树梢</v>
      </c>
      <c r="C68" s="43">
        <f t="shared" si="66"/>
        <v>6</v>
      </c>
      <c r="D68" s="43" t="str">
        <f>VLOOKUP(MOD(A68,100),tb_scene_id_type[#All],3,1)</f>
        <v>普通</v>
      </c>
      <c r="E68" s="43" t="str">
        <f t="shared" si="61"/>
        <v>4A</v>
      </c>
      <c r="F68" s="43" t="str">
        <f>IFERROR(VLOOKUP(E68,tb_scene_name[],2,0),"")</f>
        <v>青霄古城</v>
      </c>
      <c r="G68" s="51" t="str">
        <f t="shared" si="62"/>
        <v>bgm_4a</v>
      </c>
      <c r="H68" s="51" t="str">
        <f t="shared" si="63"/>
        <v>42041</v>
      </c>
      <c r="I68" s="51" t="str">
        <f t="shared" si="67"/>
        <v>scene_4A</v>
      </c>
      <c r="J68" s="51" t="str">
        <f t="shared" si="69"/>
        <v>rs_scene_icon[ui_level_icon_thumbnail_9]</v>
      </c>
      <c r="K68" s="51" t="str">
        <f t="shared" si="64"/>
        <v>42041~2.0375~0.8~2.45</v>
      </c>
      <c r="L68" s="35" t="str">
        <f t="shared" si="65"/>
        <v>42041</v>
      </c>
      <c r="M68" s="35">
        <f>N68+(O68-N68)*0.75</f>
        <v>2.0375000000000001</v>
      </c>
      <c r="N68" s="35">
        <v>0.8</v>
      </c>
      <c r="O68" s="35">
        <f t="shared" si="70"/>
        <v>2.4500000000000002</v>
      </c>
      <c r="P68" s="92" t="str" cm="1">
        <f t="array" ref="P68">_F_get_RS_Weather_pool($A68,$C68)</f>
        <v>420403~0~100~&lt;color=#999900&gt;晴转小雨&lt;/color&gt;;420403~10~50~&lt;color=#999900&gt;阴转小雨&lt;/color&gt;;420403~11~50~&lt;color=#999900&gt;小雨&lt;/color&gt;;420404~0~100~&lt;color=orange&gt;晴转大雨&lt;/color&gt;;420404~10~50~&lt;color=orange&gt;阴转大雨&lt;/color&gt;;420404~11~50~&lt;color=orange&gt;小雨渐大&lt;/color&gt;;420404~12~0~&lt;color=orange&gt;大雨倾盆&lt;/color&gt;</v>
      </c>
      <c r="Q68" s="59">
        <v>1801</v>
      </c>
      <c r="R68" s="51">
        <v>2404</v>
      </c>
      <c r="S68" s="59" t="s">
        <v>583</v>
      </c>
      <c r="T68" s="99" t="str" cm="1">
        <f t="array" ref="T68">_F_get_RS_Shop_pool(D68,C68)</f>
        <v>10001=36864;20011=4608;20003=23040;30013=2880;20005=32256;30015=4032;30007=20160;40017=2520</v>
      </c>
      <c r="U68" s="59" t="s">
        <v>735</v>
      </c>
      <c r="V68" s="51"/>
      <c r="W68" s="51" cm="1">
        <f t="array" ref="W68">_xlfn.SWITCH(D68,0,"","初始",1,"普通",INT(LOG(C68,8.2))+2,"最终",2,1)</f>
        <v>2</v>
      </c>
      <c r="X68" s="91" t="str" cm="1">
        <f t="array" ref="X68">_F_get_RS_MG_pool($D68,$C68,$AA68:$AL68)</f>
        <v>420401~1~320~;420402~1~320~;420403~1~320~;420404~1~320~</v>
      </c>
      <c r="Y68" s="43" t="str">
        <f t="shared" si="12"/>
        <v>Correct</v>
      </c>
      <c r="Z68" s="73" t="str" cm="1">
        <f t="array" ref="Z68">_xlfn.TEXTJOIN("; ",1,_xlfn.MAP(AA68:AL68,_xlfn.LAMBDA(_xlpm._i,_xlfn.XLOOKUP(_xlpm._i,tb_mg[id],tb_mg[备注],"-TBN-"))))</f>
        <v>鬼狰幽浮; 画中鱼妖; 鱼妖突袭; 刺果鬼瓮</v>
      </c>
      <c r="AA68" s="57">
        <v>420401</v>
      </c>
      <c r="AB68" s="57">
        <v>420402</v>
      </c>
      <c r="AC68" s="57">
        <v>420403</v>
      </c>
      <c r="AD68" s="57">
        <v>420404</v>
      </c>
      <c r="AP68" s="5"/>
      <c r="AR68" s="5"/>
    </row>
    <row r="69" spans="1:44">
      <c r="A69" s="5">
        <v>420407</v>
      </c>
      <c r="B69" s="90" t="str" cm="1">
        <f t="array" ref="B69">_F_get_world_name($A69)</f>
        <v>树梢</v>
      </c>
      <c r="C69" s="43">
        <f t="shared" si="66"/>
        <v>7</v>
      </c>
      <c r="D69" s="43" t="str">
        <f>VLOOKUP(MOD(A69,100),tb_scene_id_type[#All],3,1)</f>
        <v>普通</v>
      </c>
      <c r="E69" s="43" t="str">
        <f t="shared" si="61"/>
        <v>4A</v>
      </c>
      <c r="F69" s="43" t="str">
        <f>IFERROR(VLOOKUP(E69,tb_scene_name[],2,0),"")</f>
        <v>青霄古城</v>
      </c>
      <c r="G69" s="51" t="str">
        <f t="shared" si="62"/>
        <v>bgm_4a</v>
      </c>
      <c r="H69" s="51" t="str">
        <f t="shared" si="63"/>
        <v>42041</v>
      </c>
      <c r="I69" s="51" t="str">
        <f t="shared" si="67"/>
        <v>scene_4A</v>
      </c>
      <c r="J69" s="51" t="str">
        <f t="shared" si="69"/>
        <v>rs_scene_icon[ui_level_icon_thumbnail_9]</v>
      </c>
      <c r="K69" s="51" t="str">
        <f t="shared" si="64"/>
        <v>42041~2.075~0.8~2.5</v>
      </c>
      <c r="L69" s="35" t="str">
        <f t="shared" si="65"/>
        <v>42041</v>
      </c>
      <c r="M69" s="35">
        <f t="shared" si="68"/>
        <v>2.0750000000000002</v>
      </c>
      <c r="N69" s="35">
        <v>0.8</v>
      </c>
      <c r="O69" s="35">
        <f t="shared" si="70"/>
        <v>2.5</v>
      </c>
      <c r="P69" s="92" t="str" cm="1">
        <f t="array" ref="P69">_F_get_RS_Weather_pool($A69,$C69)</f>
        <v>420404~0~100~&lt;color=orange&gt;晴转大雨&lt;/color&gt;;420404~10~50~&lt;color=orange&gt;阴转大雨&lt;/color&gt;;420404~11~50~&lt;color=orange&gt;小雨渐大&lt;/color&gt;;420404~12~0~&lt;color=orange&gt;大雨倾盆&lt;/color&gt;;420404~0~100~&lt;color=orange&gt;晴转大雨&lt;/color&gt;;420404~10~50~&lt;color=orange&gt;阴转大雨&lt;/color&gt;;420404~11~50~&lt;color=orange&gt;小雨渐大&lt;/color&gt;;420404~12~50~&lt;color=orange&gt;大雨倾盆&lt;/color&gt;</v>
      </c>
      <c r="Q69" s="59">
        <v>2066</v>
      </c>
      <c r="R69" s="51">
        <v>3002</v>
      </c>
      <c r="S69" s="59" t="s">
        <v>580</v>
      </c>
      <c r="T69" s="99" t="str" cm="1">
        <f t="array" ref="T69">_F_get_RS_Shop_pool(D69,C69)</f>
        <v>20011=4608;30013=2880;30015=4032;40017=2520</v>
      </c>
      <c r="U69" s="59" t="s">
        <v>736</v>
      </c>
      <c r="V69" s="51"/>
      <c r="W69" s="51" cm="1">
        <f t="array" ref="W69">_xlfn.SWITCH(D69,0,"","初始",1,"普通",INT(LOG(C69,8.2))+2,"最终",2,1)</f>
        <v>2</v>
      </c>
      <c r="X69" s="91" t="str" cm="1">
        <f t="array" ref="X69">_F_get_RS_MG_pool($D69,$C69,$AA69:$AL69)</f>
        <v>420401~1~320~;420402~1~320~;420403~1~320~;420404~1~320~</v>
      </c>
      <c r="Y69" s="43" t="str">
        <f t="shared" si="12"/>
        <v>Correct</v>
      </c>
      <c r="Z69" s="73" t="str" cm="1">
        <f t="array" ref="Z69">_xlfn.TEXTJOIN("; ",1,_xlfn.MAP(AA69:AL69,_xlfn.LAMBDA(_xlpm._i,_xlfn.XLOOKUP(_xlpm._i,tb_mg[id],tb_mg[备注],"-TBN-"))))</f>
        <v>鬼狰幽浮; 画中鱼妖; 鱼妖突袭; 刺果鬼瓮</v>
      </c>
      <c r="AA69" s="57">
        <v>420401</v>
      </c>
      <c r="AB69" s="57">
        <v>420402</v>
      </c>
      <c r="AC69" s="57">
        <v>420403</v>
      </c>
      <c r="AD69" s="57">
        <v>420404</v>
      </c>
      <c r="AP69" s="5"/>
      <c r="AR69" s="5"/>
    </row>
    <row r="70" spans="1:44">
      <c r="A70" s="5">
        <v>420408</v>
      </c>
      <c r="B70" s="90" t="str" cm="1">
        <f t="array" ref="B70">_F_get_world_name($A70)</f>
        <v>树梢</v>
      </c>
      <c r="C70" s="43">
        <f t="shared" si="66"/>
        <v>8</v>
      </c>
      <c r="D70" s="43" t="str">
        <f>VLOOKUP(MOD(A70,100),tb_scene_id_type[#All],3,1)</f>
        <v>普通</v>
      </c>
      <c r="E70" s="43" t="str">
        <f t="shared" si="61"/>
        <v>4B</v>
      </c>
      <c r="F70" s="43" t="str">
        <f>IFERROR(VLOOKUP(E70,tb_scene_name[],2,0),"")</f>
        <v>百花山谷</v>
      </c>
      <c r="G70" s="51" t="str">
        <f t="shared" si="62"/>
        <v>bgm_4b</v>
      </c>
      <c r="H70" s="51" t="str">
        <f t="shared" si="63"/>
        <v>42042</v>
      </c>
      <c r="I70" s="51" t="str">
        <f t="shared" si="67"/>
        <v>scene_4B</v>
      </c>
      <c r="J70" s="51" t="str">
        <f t="shared" si="69"/>
        <v>rs_scene_icon[ui_level_icon_thumbnail_10]</v>
      </c>
      <c r="K70" s="51" t="str">
        <f t="shared" si="64"/>
        <v>42042~2.1125~0.8~2.55</v>
      </c>
      <c r="L70" s="35" t="str">
        <f t="shared" si="65"/>
        <v>42042</v>
      </c>
      <c r="M70" s="35">
        <f t="shared" si="68"/>
        <v>2.1125000000000003</v>
      </c>
      <c r="N70" s="35">
        <v>0.8</v>
      </c>
      <c r="O70" s="35">
        <f t="shared" si="70"/>
        <v>2.5500000000000003</v>
      </c>
      <c r="P70" s="92" t="str" cm="1">
        <f t="array" ref="P70">_F_get_RS_Weather_pool($A70,$C70)</f>
        <v>420404~0~100~&lt;color=orange&gt;晴转大雨&lt;/color&gt;;420404~10~50~&lt;color=orange&gt;阴转大雨&lt;/color&gt;;420404~11~50~&lt;color=orange&gt;小雨渐大&lt;/color&gt;;420404~12~50~&lt;color=orange&gt;大雨倾盆&lt;/color&gt;;420405~0~100~&lt;color=red&gt;晴转雷暴雨&lt;/color&gt;;420405~10~50~&lt;color=red&gt;阴转雷暴雨&lt;/color&gt;;420405~11~50~&lt;color=red&gt;小雨转雷暴雨&lt;/color&gt;;420405~12~50~&lt;color=red&gt;大雨转雷暴雨&lt;/color&gt;;420405~13~0~&lt;color=purple&gt;雷暴雨&lt;/color&gt;</v>
      </c>
      <c r="Q70" s="59">
        <v>2355</v>
      </c>
      <c r="R70" s="51">
        <v>3702</v>
      </c>
      <c r="S70" s="59" t="s">
        <v>583</v>
      </c>
      <c r="T70" s="99" t="str" cm="1">
        <f t="array" ref="T70">_F_get_RS_Shop_pool(D70,C70)</f>
        <v>20003=23040;30013=2880;30007=20160;40017=2520</v>
      </c>
      <c r="U70" s="59" t="s">
        <v>737</v>
      </c>
      <c r="V70" s="51"/>
      <c r="W70" s="51" cm="1">
        <f t="array" ref="W70">_xlfn.SWITCH(D70,0,"","初始",1,"普通",INT(LOG(C70,8.2))+2,"最终",2,1)</f>
        <v>2</v>
      </c>
      <c r="X70" s="91" t="str" cm="1">
        <f t="array" ref="X70">_F_get_RS_MG_pool($D70,$C70,$AA70:$AL70)</f>
        <v>420401~1~325~;420402~1~325~;420403~1~325~;420404~1~325~</v>
      </c>
      <c r="Y70" s="43" t="str">
        <f t="shared" si="12"/>
        <v>Correct</v>
      </c>
      <c r="Z70" s="73" t="str" cm="1">
        <f t="array" ref="Z70">_xlfn.TEXTJOIN("; ",1,_xlfn.MAP(AA70:AL70,_xlfn.LAMBDA(_xlpm._i,_xlfn.XLOOKUP(_xlpm._i,tb_mg[id],tb_mg[备注],"-TBN-"))))</f>
        <v>鬼狰幽浮; 画中鱼妖; 鱼妖突袭; 刺果鬼瓮</v>
      </c>
      <c r="AA70" s="57">
        <v>420401</v>
      </c>
      <c r="AB70" s="57">
        <v>420402</v>
      </c>
      <c r="AC70" s="57">
        <v>420403</v>
      </c>
      <c r="AD70" s="57">
        <v>420404</v>
      </c>
      <c r="AP70" s="5"/>
      <c r="AR70" s="5"/>
    </row>
    <row r="71" spans="1:44">
      <c r="A71" s="5">
        <v>420409</v>
      </c>
      <c r="B71" s="90" t="str" cm="1">
        <f t="array" ref="B71">_F_get_world_name($A71)</f>
        <v>树梢</v>
      </c>
      <c r="C71" s="43">
        <f t="shared" si="66"/>
        <v>9</v>
      </c>
      <c r="D71" s="43" t="str">
        <f>VLOOKUP(MOD(A71,100),tb_scene_id_type[#All],3,1)</f>
        <v>普通</v>
      </c>
      <c r="E71" s="43" t="str">
        <f t="shared" si="61"/>
        <v>4B</v>
      </c>
      <c r="F71" s="43" t="str">
        <f>IFERROR(VLOOKUP(E71,tb_scene_name[],2,0),"")</f>
        <v>百花山谷</v>
      </c>
      <c r="G71" s="51" t="str">
        <f t="shared" si="62"/>
        <v>bgm_4b</v>
      </c>
      <c r="H71" s="51" t="str">
        <f t="shared" si="63"/>
        <v>42042</v>
      </c>
      <c r="I71" s="51" t="str">
        <f t="shared" si="67"/>
        <v>scene_4B</v>
      </c>
      <c r="J71" s="51" t="str">
        <f t="shared" si="69"/>
        <v>rs_scene_icon[ui_level_icon_thumbnail_10]</v>
      </c>
      <c r="K71" s="51" t="str">
        <f t="shared" si="64"/>
        <v>42042~2.15~0.8~2.6</v>
      </c>
      <c r="L71" s="35" t="str">
        <f t="shared" si="65"/>
        <v>42042</v>
      </c>
      <c r="M71" s="35">
        <f t="shared" si="68"/>
        <v>2.1500000000000004</v>
      </c>
      <c r="N71" s="35">
        <v>0.8</v>
      </c>
      <c r="O71" s="35">
        <f t="shared" si="70"/>
        <v>2.6</v>
      </c>
      <c r="P71" s="92" t="str" cm="1">
        <f t="array" ref="P71">_F_get_RS_Weather_pool($A71,$C71)</f>
        <v>420405~0~100~&lt;color=red&gt;晴转雷暴雨&lt;/color&gt;;420405~10~50~&lt;color=red&gt;阴转雷暴雨&lt;/color&gt;;420405~11~50~&lt;color=red&gt;小雨转雷暴雨&lt;/color&gt;;420405~12~50~&lt;color=red&gt;大雨转雷暴雨&lt;/color&gt;;420405~13~0~&lt;color=purple&gt;雷暴雨&lt;/color&gt;;420405~0~50~&lt;color=red&gt;晴转雷暴雨&lt;/color&gt;;420405~10~50~&lt;color=red&gt;阴转雷暴雨&lt;/color&gt;;420405~11~50~&lt;color=red&gt;小雨转雷暴雨&lt;/color&gt;;420405~12~50~&lt;color=red&gt;大雨转雷暴雨&lt;/color&gt;;420405~13~0~&lt;color=purple&gt;雷暴雨&lt;/color&gt;</v>
      </c>
      <c r="Q71" s="59">
        <v>2642</v>
      </c>
      <c r="R71" s="51">
        <v>4508</v>
      </c>
      <c r="S71" s="59" t="s">
        <v>583</v>
      </c>
      <c r="T71" s="99" t="str" cm="1">
        <f t="array" ref="T71">_F_get_RS_Shop_pool(D71,C71)</f>
        <v>20101=13824;30111=1728;30103=8640;40113=1080</v>
      </c>
      <c r="U71" s="59" t="s">
        <v>738</v>
      </c>
      <c r="V71" s="51"/>
      <c r="W71" s="51" cm="1">
        <f t="array" ref="W71">_xlfn.SWITCH(D71,0,"","初始",1,"普通",INT(LOG(C71,8.2))+2,"最终",2,1)</f>
        <v>3</v>
      </c>
      <c r="X71" s="91" t="str" cm="1">
        <f t="array" ref="X71">_F_get_RS_MG_pool($D71,$C71,$AA71:$AL71)</f>
        <v>420401~1~325~;420402~1~325~;420403~1~325~;420404~1~325~</v>
      </c>
      <c r="Y71" s="43" t="str">
        <f t="shared" si="12"/>
        <v>Correct</v>
      </c>
      <c r="Z71" s="73" t="str" cm="1">
        <f t="array" ref="Z71">_xlfn.TEXTJOIN("; ",1,_xlfn.MAP(AA71:AL71,_xlfn.LAMBDA(_xlpm._i,_xlfn.XLOOKUP(_xlpm._i,tb_mg[id],tb_mg[备注],"-TBN-"))))</f>
        <v>鬼狰幽浮; 画中鱼妖; 鱼妖突袭; 刺果鬼瓮</v>
      </c>
      <c r="AA71" s="57">
        <v>420401</v>
      </c>
      <c r="AB71" s="57">
        <v>420402</v>
      </c>
      <c r="AC71" s="57">
        <v>420403</v>
      </c>
      <c r="AD71" s="57">
        <v>420404</v>
      </c>
      <c r="AP71" s="5"/>
      <c r="AR71" s="5"/>
    </row>
    <row r="72" spans="1:44">
      <c r="A72" s="5">
        <v>420410</v>
      </c>
      <c r="B72" s="90" t="str" cm="1">
        <f t="array" ref="B72">_F_get_world_name($A72)</f>
        <v>树梢</v>
      </c>
      <c r="C72" s="43">
        <f t="shared" si="66"/>
        <v>10</v>
      </c>
      <c r="D72" s="43" t="str">
        <f>VLOOKUP(MOD(A72,100),tb_scene_id_type[#All],3,1)</f>
        <v>普通</v>
      </c>
      <c r="E72" s="43" t="str">
        <f t="shared" si="61"/>
        <v>4B</v>
      </c>
      <c r="F72" s="43" t="str">
        <f>IFERROR(VLOOKUP(E72,tb_scene_name[],2,0),"")</f>
        <v>百花山谷</v>
      </c>
      <c r="G72" s="51" t="str">
        <f t="shared" ref="G72:G80" si="71">"bgm_"&amp;LOWER(E72)</f>
        <v>bgm_4b</v>
      </c>
      <c r="H72" s="51" t="str">
        <f t="shared" ref="H72:H80" si="72">420&amp;LEFT(E72,1)&amp;_xlfn.UNICODE(RIGHT(E72,1))-64</f>
        <v>42042</v>
      </c>
      <c r="I72" s="51" t="str">
        <f t="shared" si="67"/>
        <v>scene_4B</v>
      </c>
      <c r="J72" s="51" t="str">
        <f t="shared" si="69"/>
        <v>rs_scene_icon[ui_level_icon_thumbnail_10]</v>
      </c>
      <c r="K72" s="51" t="str">
        <f t="shared" ref="K72:K80" si="73">_xlfn.TEXTJOIN("~",1,L72:O72)</f>
        <v>42042~2.1875~0.8~2.65</v>
      </c>
      <c r="L72" s="35" t="str">
        <f t="shared" ref="L72:L80" si="74">H72</f>
        <v>42042</v>
      </c>
      <c r="M72" s="35">
        <f>N72+(O72-N72)*0.75</f>
        <v>2.1875</v>
      </c>
      <c r="N72" s="35">
        <v>0.8</v>
      </c>
      <c r="O72" s="35">
        <f t="shared" si="70"/>
        <v>2.6500000000000004</v>
      </c>
      <c r="P72" s="92" t="str" cm="1">
        <f t="array" ref="P72">_F_get_RS_Weather_pool($A72,$C72)</f>
        <v>420405~0~50~&lt;color=red&gt;晴转雷暴雨&lt;/color&gt;;420405~10~50~&lt;color=red&gt;阴转雷暴雨&lt;/color&gt;;420405~11~50~&lt;color=red&gt;小雨转雷暴雨&lt;/color&gt;;420405~12~50~&lt;color=red&gt;大雨转雷暴雨&lt;/color&gt;;420405~13~0~&lt;color=purple&gt;雷暴雨&lt;/color&gt;;420405~0~50~&lt;color=red&gt;晴转雷暴雨&lt;/color&gt;;420405~10~50~&lt;color=red&gt;阴转雷暴雨&lt;/color&gt;;420405~11~50~&lt;color=red&gt;小雨转雷暴雨&lt;/color&gt;;420405~12~50~&lt;color=red&gt;大雨转雷暴雨&lt;/color&gt;;420405~13~50~&lt;color=purple&gt;雷暴雨&lt;/color&gt;</v>
      </c>
      <c r="Q72" s="59">
        <v>2942</v>
      </c>
      <c r="R72" s="51">
        <v>5435</v>
      </c>
      <c r="S72" s="59" t="s">
        <v>583</v>
      </c>
      <c r="T72" s="99" t="str" cm="1">
        <f t="array" ref="T72">_F_get_RS_Shop_pool(D72,C72)</f>
        <v>10001=36864;20011=4608;20003=23040;30013=2880;20005=32256;30015=4032;30007=20160;40017=2520</v>
      </c>
      <c r="U72" s="59" t="s">
        <v>739</v>
      </c>
      <c r="V72" s="51"/>
      <c r="W72" s="51" cm="1">
        <f t="array" ref="W72">_xlfn.SWITCH(D72,0,"","初始",1,"普通",INT(LOG(C72,8.2))+2,"最终",2,1)</f>
        <v>3</v>
      </c>
      <c r="X72" s="91" t="str" cm="1">
        <f t="array" ref="X72">_F_get_RS_MG_pool($D72,$C72,$AA72:$AL72)</f>
        <v>420401~1~330~;420402~1~330~;420403~1~330~;420404~1~330~</v>
      </c>
      <c r="Y72" s="43" t="str">
        <f t="shared" si="12"/>
        <v>Correct</v>
      </c>
      <c r="Z72" s="73" t="str" cm="1">
        <f t="array" ref="Z72">_xlfn.TEXTJOIN("; ",1,_xlfn.MAP(AA72:AL72,_xlfn.LAMBDA(_xlpm._i,_xlfn.XLOOKUP(_xlpm._i,tb_mg[id],tb_mg[备注],"-TBN-"))))</f>
        <v>鬼狰幽浮; 画中鱼妖; 鱼妖突袭; 刺果鬼瓮</v>
      </c>
      <c r="AA72" s="57">
        <v>420401</v>
      </c>
      <c r="AB72" s="57">
        <v>420402</v>
      </c>
      <c r="AC72" s="57">
        <v>420403</v>
      </c>
      <c r="AD72" s="57">
        <v>420404</v>
      </c>
      <c r="AP72" s="5"/>
      <c r="AR72" s="5"/>
    </row>
    <row r="73" spans="1:44">
      <c r="A73" s="5">
        <v>420411</v>
      </c>
      <c r="B73" s="90" t="str" cm="1">
        <f t="array" ref="B73">_F_get_world_name($A73)</f>
        <v>树梢</v>
      </c>
      <c r="C73" s="43">
        <f t="shared" si="66"/>
        <v>11</v>
      </c>
      <c r="D73" s="43" t="str">
        <f>VLOOKUP(MOD(A73,100),tb_scene_id_type[#All],3,1)</f>
        <v>普通</v>
      </c>
      <c r="E73" s="43" t="str">
        <f t="shared" si="61"/>
        <v>4B</v>
      </c>
      <c r="F73" s="43" t="str">
        <f>IFERROR(VLOOKUP(E73,tb_scene_name[],2,0),"")</f>
        <v>百花山谷</v>
      </c>
      <c r="G73" s="51" t="str">
        <f t="shared" si="71"/>
        <v>bgm_4b</v>
      </c>
      <c r="H73" s="51" t="str">
        <f t="shared" si="72"/>
        <v>42042</v>
      </c>
      <c r="I73" s="51" t="str">
        <f t="shared" si="67"/>
        <v>scene_4B</v>
      </c>
      <c r="J73" s="51" t="str">
        <f t="shared" si="69"/>
        <v>rs_scene_icon[ui_level_icon_thumbnail_10]</v>
      </c>
      <c r="K73" s="51" t="str">
        <f t="shared" si="73"/>
        <v>42042~2.225~0.8~2.7</v>
      </c>
      <c r="L73" s="35" t="str">
        <f t="shared" si="74"/>
        <v>42042</v>
      </c>
      <c r="M73" s="35">
        <f t="shared" ref="M73:M76" si="75">N73+(O73-N73)*0.75</f>
        <v>2.2250000000000001</v>
      </c>
      <c r="N73" s="35">
        <v>0.8</v>
      </c>
      <c r="O73" s="35">
        <f t="shared" si="70"/>
        <v>2.7</v>
      </c>
      <c r="P73" s="92" t="str" cm="1">
        <f t="array" ref="P73">_F_get_RS_Weather_pool($A73,$C73)</f>
        <v>420405~0~50~&lt;color=red&gt;晴转雷暴雨&lt;/color&gt;;420405~10~50~&lt;color=red&gt;阴转雷暴雨&lt;/color&gt;;420405~11~50~&lt;color=red&gt;小雨转雷暴雨&lt;/color&gt;;420405~12~50~&lt;color=red&gt;大雨转雷暴雨&lt;/color&gt;;420405~13~50~&lt;color=purple&gt;雷暴雨&lt;/color&gt;;420405~0~50~&lt;color=red&gt;晴转雷暴雨&lt;/color&gt;;420405~10~100~&lt;color=red&gt;阴转雷暴雨&lt;/color&gt;;420405~11~100~&lt;color=red&gt;小雨转雷暴雨&lt;/color&gt;;420405~12~100~&lt;color=red&gt;大雨转雷暴雨&lt;/color&gt;;420405~13~100~&lt;color=purple&gt;雷暴雨&lt;/color&gt;</v>
      </c>
      <c r="Q73" s="59">
        <v>3256</v>
      </c>
      <c r="R73" s="51">
        <v>6499</v>
      </c>
      <c r="S73" s="59" t="s">
        <v>583</v>
      </c>
      <c r="T73" s="99" t="str" cm="1">
        <f t="array" ref="T73">_F_get_RS_Shop_pool(D73,C73)</f>
        <v>20011=4608;30013=2880;30015=4032;40017=2520</v>
      </c>
      <c r="U73" s="59" t="s">
        <v>740</v>
      </c>
      <c r="V73" s="51"/>
      <c r="W73" s="51" cm="1">
        <f t="array" ref="W73">_xlfn.SWITCH(D73,0,"","初始",1,"普通",INT(LOG(C73,8.2))+2,"最终",2,1)</f>
        <v>3</v>
      </c>
      <c r="X73" s="91" t="str" cm="1">
        <f t="array" ref="X73">_F_get_RS_MG_pool($D73,$C73,$AA73:$AL73)</f>
        <v>420401~1~335~;420402~1~335~;420403~1~335~;420404~1~335~</v>
      </c>
      <c r="Y73" s="43" t="str">
        <f t="shared" si="12"/>
        <v>Correct</v>
      </c>
      <c r="Z73" s="73" t="str" cm="1">
        <f t="array" ref="Z73">_xlfn.TEXTJOIN("; ",1,_xlfn.MAP(AA73:AL73,_xlfn.LAMBDA(_xlpm._i,_xlfn.XLOOKUP(_xlpm._i,tb_mg[id],tb_mg[备注],"-TBN-"))))</f>
        <v>鬼狰幽浮; 画中鱼妖; 鱼妖突袭; 刺果鬼瓮</v>
      </c>
      <c r="AA73" s="57">
        <v>420401</v>
      </c>
      <c r="AB73" s="57">
        <v>420402</v>
      </c>
      <c r="AC73" s="57">
        <v>420403</v>
      </c>
      <c r="AD73" s="57">
        <v>420404</v>
      </c>
      <c r="AP73" s="5"/>
      <c r="AR73" s="5"/>
    </row>
    <row r="74" spans="1:44">
      <c r="A74" s="5">
        <v>420412</v>
      </c>
      <c r="B74" s="90" t="str" cm="1">
        <f t="array" ref="B74">_F_get_world_name($A74)</f>
        <v>树梢</v>
      </c>
      <c r="C74" s="43">
        <f t="shared" si="66"/>
        <v>12</v>
      </c>
      <c r="D74" s="43" t="str">
        <f>VLOOKUP(MOD(A74,100),tb_scene_id_type[#All],3,1)</f>
        <v>普通</v>
      </c>
      <c r="E74" s="43" t="str">
        <f t="shared" si="61"/>
        <v>4B</v>
      </c>
      <c r="F74" s="43" t="str">
        <f>IFERROR(VLOOKUP(E74,tb_scene_name[],2,0),"")</f>
        <v>百花山谷</v>
      </c>
      <c r="G74" s="51" t="str">
        <f t="shared" si="71"/>
        <v>bgm_4b</v>
      </c>
      <c r="H74" s="51" t="str">
        <f t="shared" si="72"/>
        <v>42042</v>
      </c>
      <c r="I74" s="51" t="str">
        <f t="shared" si="67"/>
        <v>scene_4B</v>
      </c>
      <c r="J74" s="51" t="str">
        <f t="shared" si="69"/>
        <v>rs_scene_icon[ui_level_icon_thumbnail_10]</v>
      </c>
      <c r="K74" s="51" t="str">
        <f t="shared" si="73"/>
        <v>42042~2.2625~0.8~2.75</v>
      </c>
      <c r="L74" s="35" t="str">
        <f t="shared" si="74"/>
        <v>42042</v>
      </c>
      <c r="M74" s="35">
        <f t="shared" si="75"/>
        <v>2.2625000000000002</v>
      </c>
      <c r="N74" s="35">
        <v>0.8</v>
      </c>
      <c r="O74" s="35">
        <f t="shared" si="70"/>
        <v>2.75</v>
      </c>
      <c r="P74" s="92" t="str" cm="1">
        <f t="array" ref="P74">_F_get_RS_Weather_pool($A74,$C74)</f>
        <v>420405~0~50~&lt;color=red&gt;晴转雷暴雨&lt;/color&gt;;420405~10~100~&lt;color=red&gt;阴转雷暴雨&lt;/color&gt;;420405~11~100~&lt;color=red&gt;小雨转雷暴雨&lt;/color&gt;;420405~12~100~&lt;color=red&gt;大雨转雷暴雨&lt;/color&gt;;420405~13~100~&lt;color=purple&gt;雷暴雨&lt;/color&gt;;420405~0~50~&lt;color=red&gt;晴转雷暴雨&lt;/color&gt;;420405~10~50~&lt;color=red&gt;阴转雷暴雨&lt;/color&gt;;420405~11~100~&lt;color=red&gt;小雨转雷暴雨&lt;/color&gt;;420405~12~100~&lt;color=red&gt;大雨转雷暴雨&lt;/color&gt;;420405~13~100~&lt;color=purple&gt;雷暴雨&lt;/color&gt;</v>
      </c>
      <c r="Q74" s="59">
        <v>3571</v>
      </c>
      <c r="R74" s="51">
        <v>7698</v>
      </c>
      <c r="S74" s="59" t="s">
        <v>583</v>
      </c>
      <c r="T74" s="99" t="str" cm="1">
        <f t="array" ref="T74">_F_get_RS_Shop_pool(D74,C74)</f>
        <v>20003=23040;30013=2880;30007=20160;40017=2520</v>
      </c>
      <c r="U74" s="59" t="s">
        <v>741</v>
      </c>
      <c r="V74" s="51"/>
      <c r="W74" s="51" cm="1">
        <f t="array" ref="W74">_xlfn.SWITCH(D74,0,"","初始",1,"普通",INT(LOG(C74,8.2))+2,"最终",2,1)</f>
        <v>3</v>
      </c>
      <c r="X74" s="91" t="str" cm="1">
        <f t="array" ref="X74">_F_get_RS_MG_pool($D74,$C74,$AA74:$AL74)</f>
        <v>420401~1~335~;420402~1~335~;420403~1~335~;420404~1~335~</v>
      </c>
      <c r="Y74" s="43" t="str">
        <f t="shared" si="12"/>
        <v>Correct</v>
      </c>
      <c r="Z74" s="73" t="str" cm="1">
        <f t="array" ref="Z74">_xlfn.TEXTJOIN("; ",1,_xlfn.MAP(AA74:AL74,_xlfn.LAMBDA(_xlpm._i,_xlfn.XLOOKUP(_xlpm._i,tb_mg[id],tb_mg[备注],"-TBN-"))))</f>
        <v>鬼狰幽浮; 画中鱼妖; 鱼妖突袭; 刺果鬼瓮</v>
      </c>
      <c r="AA74" s="57">
        <v>420401</v>
      </c>
      <c r="AB74" s="57">
        <v>420402</v>
      </c>
      <c r="AC74" s="57">
        <v>420403</v>
      </c>
      <c r="AD74" s="57">
        <v>420404</v>
      </c>
      <c r="AP74" s="5"/>
      <c r="AR74" s="5"/>
    </row>
    <row r="75" spans="1:44">
      <c r="A75" s="5">
        <v>420413</v>
      </c>
      <c r="B75" s="90" t="str" cm="1">
        <f t="array" ref="B75">_F_get_world_name($A75)</f>
        <v>树梢</v>
      </c>
      <c r="C75" s="43">
        <f t="shared" si="66"/>
        <v>13</v>
      </c>
      <c r="D75" s="43" t="str">
        <f>VLOOKUP(MOD(A75,100),tb_scene_id_type[#All],3,1)</f>
        <v>普通</v>
      </c>
      <c r="E75" s="43" t="str">
        <f t="shared" si="61"/>
        <v>4B</v>
      </c>
      <c r="F75" s="43" t="str">
        <f>IFERROR(VLOOKUP(E75,tb_scene_name[],2,0),"")</f>
        <v>百花山谷</v>
      </c>
      <c r="G75" s="51" t="str">
        <f t="shared" si="71"/>
        <v>bgm_4b</v>
      </c>
      <c r="H75" s="51" t="str">
        <f t="shared" si="72"/>
        <v>42042</v>
      </c>
      <c r="I75" s="51" t="str">
        <f t="shared" si="67"/>
        <v>scene_4B</v>
      </c>
      <c r="J75" s="51" t="str">
        <f t="shared" si="69"/>
        <v>rs_scene_icon[ui_level_icon_thumbnail_10]</v>
      </c>
      <c r="K75" s="51" t="str">
        <f t="shared" si="73"/>
        <v>42042~2.3~0.8~2.8</v>
      </c>
      <c r="L75" s="35" t="str">
        <f t="shared" si="74"/>
        <v>42042</v>
      </c>
      <c r="M75" s="35">
        <f t="shared" si="75"/>
        <v>2.2999999999999998</v>
      </c>
      <c r="N75" s="35">
        <v>0.8</v>
      </c>
      <c r="O75" s="35">
        <f t="shared" si="70"/>
        <v>2.8000000000000003</v>
      </c>
      <c r="P75" s="92" t="str" cm="1">
        <f t="array" ref="P75">_F_get_RS_Weather_pool($A75,$C75)</f>
        <v>420405~0~50~&lt;color=red&gt;晴转雷暴雨&lt;/color&gt;;420405~10~50~&lt;color=red&gt;阴转雷暴雨&lt;/color&gt;;420405~11~100~&lt;color=red&gt;小雨转雷暴雨&lt;/color&gt;;420405~12~100~&lt;color=red&gt;大雨转雷暴雨&lt;/color&gt;;420405~13~100~&lt;color=purple&gt;雷暴雨&lt;/color&gt;;420406~10~50~&lt;color=red&gt;阴转雷暴雨&lt;/color&gt;;420406~11~50~&lt;color=red&gt;小雨转雷暴雨&lt;/color&gt;;420406~12~100~&lt;color=red&gt;大雨转雷暴雨&lt;/color&gt;;420406~13~100~&lt;color=purple&gt;雷暴雨&lt;/color&gt;</v>
      </c>
      <c r="Q75" s="59">
        <v>3889</v>
      </c>
      <c r="R75" s="51">
        <v>9051</v>
      </c>
      <c r="S75" s="59" t="s">
        <v>580</v>
      </c>
      <c r="T75" s="99" t="str" cm="1">
        <f t="array" ref="T75">_F_get_RS_Shop_pool(D75,C75)</f>
        <v>10001=36864;20011=4608;20003=23040;30013=2880;20005=32256;30015=4032;30007=20160;40017=2520</v>
      </c>
      <c r="U75" s="59" t="s">
        <v>742</v>
      </c>
      <c r="V75" s="51"/>
      <c r="W75" s="51" cm="1">
        <f t="array" ref="W75">_xlfn.SWITCH(D75,0,"","初始",1,"普通",INT(LOG(C75,8.2))+2,"最终",2,1)</f>
        <v>3</v>
      </c>
      <c r="X75" s="91" t="str" cm="1">
        <f t="array" ref="X75">_F_get_RS_MG_pool($D75,$C75,$AA75:$AL75)</f>
        <v>420401~1~340~;420402~1~340~;420403~1~340~;420404~1~340~</v>
      </c>
      <c r="Y75" s="43" t="str">
        <f t="shared" si="12"/>
        <v>Correct</v>
      </c>
      <c r="Z75" s="73" t="str" cm="1">
        <f t="array" ref="Z75">_xlfn.TEXTJOIN("; ",1,_xlfn.MAP(AA75:AL75,_xlfn.LAMBDA(_xlpm._i,_xlfn.XLOOKUP(_xlpm._i,tb_mg[id],tb_mg[备注],"-TBN-"))))</f>
        <v>鬼狰幽浮; 画中鱼妖; 鱼妖突袭; 刺果鬼瓮</v>
      </c>
      <c r="AA75" s="57">
        <v>420401</v>
      </c>
      <c r="AB75" s="57">
        <v>420402</v>
      </c>
      <c r="AC75" s="57">
        <v>420403</v>
      </c>
      <c r="AD75" s="57">
        <v>420404</v>
      </c>
      <c r="AP75" s="5"/>
      <c r="AR75" s="5"/>
    </row>
    <row r="76" spans="1:44">
      <c r="A76" s="5">
        <v>420414</v>
      </c>
      <c r="B76" s="90" t="str" cm="1">
        <f t="array" ref="B76">_F_get_world_name($A76)</f>
        <v>树梢</v>
      </c>
      <c r="C76" s="43">
        <f t="shared" si="66"/>
        <v>14</v>
      </c>
      <c r="D76" s="43" t="str">
        <f>VLOOKUP(MOD(A76,100),tb_scene_id_type[#All],3,1)</f>
        <v>普通</v>
      </c>
      <c r="E76" s="43" t="str">
        <f t="shared" si="61"/>
        <v>4B</v>
      </c>
      <c r="F76" s="43" t="str">
        <f>IFERROR(VLOOKUP(E76,tb_scene_name[],2,0),"")</f>
        <v>百花山谷</v>
      </c>
      <c r="G76" s="51" t="str">
        <f t="shared" si="71"/>
        <v>bgm_4b</v>
      </c>
      <c r="H76" s="51" t="str">
        <f t="shared" si="72"/>
        <v>42042</v>
      </c>
      <c r="I76" s="51" t="str">
        <f t="shared" si="67"/>
        <v>scene_4B</v>
      </c>
      <c r="J76" s="51" t="str">
        <f t="shared" si="69"/>
        <v>rs_scene_icon[ui_level_icon_thumbnail_10]</v>
      </c>
      <c r="K76" s="51" t="str">
        <f t="shared" si="73"/>
        <v>42042~2.3375~0.8~2.85</v>
      </c>
      <c r="L76" s="35" t="str">
        <f t="shared" si="74"/>
        <v>42042</v>
      </c>
      <c r="M76" s="35">
        <f t="shared" si="75"/>
        <v>2.3374999999999999</v>
      </c>
      <c r="N76" s="35">
        <v>0.8</v>
      </c>
      <c r="O76" s="35">
        <f t="shared" si="70"/>
        <v>2.85</v>
      </c>
      <c r="P76" s="92" t="str" cm="1">
        <f t="array" ref="P76">_F_get_RS_Weather_pool($A76,$C76)</f>
        <v>420406~10~50~&lt;color=red&gt;阴转雷暴雨&lt;/color&gt;;420406~11~50~&lt;color=red&gt;小雨转雷暴雨&lt;/color&gt;;420406~12~100~&lt;color=red&gt;大雨转雷暴雨&lt;/color&gt;;420406~13~100~&lt;color=purple&gt;雷暴雨&lt;/color&gt;;420406~10~0~&lt;color=red&gt;阴转雷暴雨&lt;/color&gt;;420406~11~50~&lt;color=red&gt;小雨转雷暴雨&lt;/color&gt;;420406~12~100~&lt;color=red&gt;大雨转雷暴雨&lt;/color&gt;;420406~13~100~&lt;color=purple&gt;雷暴雨&lt;/color&gt;</v>
      </c>
      <c r="Q76" s="59">
        <v>4211</v>
      </c>
      <c r="R76" s="51">
        <v>10574</v>
      </c>
      <c r="S76" s="59" t="s">
        <v>583</v>
      </c>
      <c r="T76" s="99" t="str" cm="1">
        <f t="array" ref="T76">_F_get_RS_Shop_pool(D76,C76)</f>
        <v>20101=13824;30111=1728;30103=8640;40113=1080</v>
      </c>
      <c r="U76" s="59" t="s">
        <v>743</v>
      </c>
      <c r="V76" s="51"/>
      <c r="W76" s="51" cm="1">
        <f t="array" ref="W76">_xlfn.SWITCH(D76,0,"","初始",1,"普通",INT(LOG(C76,8.2))+2,"最终",2,1)</f>
        <v>3</v>
      </c>
      <c r="X76" s="91" t="str" cm="1">
        <f t="array" ref="X76">_F_get_RS_MG_pool($D76,$C76,$AA76:$AL76)</f>
        <v>420401~1~340~;420402~1~340~;420403~1~340~;420404~1~340~</v>
      </c>
      <c r="Y76" s="43" t="str">
        <f t="shared" si="12"/>
        <v>Correct</v>
      </c>
      <c r="Z76" s="73" t="str" cm="1">
        <f t="array" ref="Z76">_xlfn.TEXTJOIN("; ",1,_xlfn.MAP(AA76:AL76,_xlfn.LAMBDA(_xlpm._i,_xlfn.XLOOKUP(_xlpm._i,tb_mg[id],tb_mg[备注],"-TBN-"))))</f>
        <v>鬼狰幽浮; 画中鱼妖; 鱼妖突袭; 刺果鬼瓮</v>
      </c>
      <c r="AA76" s="57">
        <v>420401</v>
      </c>
      <c r="AB76" s="57">
        <v>420402</v>
      </c>
      <c r="AC76" s="57">
        <v>420403</v>
      </c>
      <c r="AD76" s="57">
        <v>420404</v>
      </c>
      <c r="AP76" s="5"/>
      <c r="AR76" s="5"/>
    </row>
    <row r="77" spans="1:44">
      <c r="A77" s="5">
        <v>420415</v>
      </c>
      <c r="B77" s="90" t="str" cm="1">
        <f t="array" ref="B77">_F_get_world_name($A77)</f>
        <v>树梢</v>
      </c>
      <c r="C77" s="43">
        <f t="shared" si="66"/>
        <v>15</v>
      </c>
      <c r="D77" s="43" t="str">
        <f>VLOOKUP(MOD(A77,100),tb_scene_id_type[#All],3,1)</f>
        <v>普通</v>
      </c>
      <c r="E77" s="43" t="str">
        <f t="shared" si="61"/>
        <v>4C</v>
      </c>
      <c r="F77" s="43" t="str">
        <f>IFERROR(VLOOKUP(E77,tb_scene_name[],2,0),"")</f>
        <v>树海天阶</v>
      </c>
      <c r="G77" s="51" t="str">
        <f t="shared" si="71"/>
        <v>bgm_4c</v>
      </c>
      <c r="H77" s="51" t="str">
        <f t="shared" si="72"/>
        <v>42043</v>
      </c>
      <c r="I77" s="51" t="str">
        <f t="shared" si="67"/>
        <v>scene_4C</v>
      </c>
      <c r="J77" s="51" t="str">
        <f t="shared" si="69"/>
        <v>rs_scene_icon[ui_level_icon_thumbnail_11]</v>
      </c>
      <c r="K77" s="51" t="str">
        <f t="shared" si="73"/>
        <v>42043~2.375~0.8~2.9</v>
      </c>
      <c r="L77" s="35" t="str">
        <f t="shared" si="74"/>
        <v>42043</v>
      </c>
      <c r="M77" s="35">
        <f>N77+(O77-N77)*0.75</f>
        <v>2.3750000000000004</v>
      </c>
      <c r="N77" s="35">
        <v>0.8</v>
      </c>
      <c r="O77" s="35">
        <f t="shared" si="70"/>
        <v>2.9000000000000004</v>
      </c>
      <c r="P77" s="92" t="str" cm="1">
        <f t="array" ref="P77">_F_get_RS_Weather_pool($A77,$C77)</f>
        <v>420406~10~0~&lt;color=red&gt;阴转雷暴雨&lt;/color&gt;;420406~11~50~&lt;color=red&gt;小雨转雷暴雨&lt;/color&gt;;420406~12~100~&lt;color=red&gt;大雨转雷暴雨&lt;/color&gt;;420406~13~100~&lt;color=purple&gt;雷暴雨&lt;/color&gt;;420407~11~50~&lt;color=red&gt;小雨转雷暴雨&lt;/color&gt;;420407~12~100~&lt;color=red&gt;大雨转雷暴雨&lt;/color&gt;;420407~13~100~&lt;color=purple&gt;雷暴雨&lt;/color&gt;</v>
      </c>
      <c r="Q77" s="59">
        <v>4545</v>
      </c>
      <c r="R77" s="51">
        <v>12263</v>
      </c>
      <c r="S77" s="59" t="s">
        <v>583</v>
      </c>
      <c r="T77" s="99" t="str" cm="1">
        <f t="array" ref="T77">_F_get_RS_Shop_pool(D77,C77)</f>
        <v>20011=4608;30013=2880;30015=4032;40017=2520</v>
      </c>
      <c r="U77" s="59" t="s">
        <v>744</v>
      </c>
      <c r="V77" s="51"/>
      <c r="W77" s="51" cm="1">
        <f t="array" ref="W77">_xlfn.SWITCH(D77,0,"","初始",1,"普通",INT(LOG(C77,8.2))+2,"最终",2,1)</f>
        <v>3</v>
      </c>
      <c r="X77" s="91" t="str" cm="1">
        <f t="array" ref="X77">_F_get_RS_MG_pool($D77,$C77,$AA77:$AL77)</f>
        <v>420401~1~345~;420402~1~345~;420403~1~345~;420404~1~345~</v>
      </c>
      <c r="Y77" s="43" t="str">
        <f t="shared" si="12"/>
        <v>Correct</v>
      </c>
      <c r="Z77" s="73" t="str" cm="1">
        <f t="array" ref="Z77">_xlfn.TEXTJOIN("; ",1,_xlfn.MAP(AA77:AL77,_xlfn.LAMBDA(_xlpm._i,_xlfn.XLOOKUP(_xlpm._i,tb_mg[id],tb_mg[备注],"-TBN-"))))</f>
        <v>鬼狰幽浮; 画中鱼妖; 鱼妖突袭; 刺果鬼瓮</v>
      </c>
      <c r="AA77" s="57">
        <v>420401</v>
      </c>
      <c r="AB77" s="57">
        <v>420402</v>
      </c>
      <c r="AC77" s="57">
        <v>420403</v>
      </c>
      <c r="AD77" s="57">
        <v>420404</v>
      </c>
      <c r="AP77" s="5"/>
      <c r="AR77" s="5"/>
    </row>
    <row r="78" spans="1:44">
      <c r="A78" s="5">
        <v>420416</v>
      </c>
      <c r="B78" s="90" t="str" cm="1">
        <f t="array" ref="B78">_F_get_world_name($A78)</f>
        <v>树梢</v>
      </c>
      <c r="C78" s="43">
        <f t="shared" si="66"/>
        <v>16</v>
      </c>
      <c r="D78" s="43" t="str">
        <f>VLOOKUP(MOD(A78,100),tb_scene_id_type[#All],3,1)</f>
        <v>普通</v>
      </c>
      <c r="E78" s="43" t="str">
        <f t="shared" si="61"/>
        <v>4C</v>
      </c>
      <c r="F78" s="43" t="str">
        <f>IFERROR(VLOOKUP(E78,tb_scene_name[],2,0),"")</f>
        <v>树海天阶</v>
      </c>
      <c r="G78" s="51" t="str">
        <f t="shared" si="71"/>
        <v>bgm_4c</v>
      </c>
      <c r="H78" s="51" t="str">
        <f t="shared" si="72"/>
        <v>42043</v>
      </c>
      <c r="I78" s="51" t="str">
        <f t="shared" si="67"/>
        <v>scene_4C</v>
      </c>
      <c r="J78" s="51" t="str">
        <f t="shared" si="69"/>
        <v>rs_scene_icon[ui_level_icon_thumbnail_11]</v>
      </c>
      <c r="K78" s="51" t="str">
        <f t="shared" si="73"/>
        <v>42043~2.4125~0.8~2.95</v>
      </c>
      <c r="L78" s="35" t="str">
        <f t="shared" si="74"/>
        <v>42043</v>
      </c>
      <c r="M78" s="35">
        <f t="shared" ref="M78:M80" si="76">N78+(O78-N78)*0.75</f>
        <v>2.4125000000000005</v>
      </c>
      <c r="N78" s="35">
        <v>0.8</v>
      </c>
      <c r="O78" s="35">
        <f t="shared" si="70"/>
        <v>2.95</v>
      </c>
      <c r="P78" s="92" t="str" cm="1">
        <f t="array" ref="P78">_F_get_RS_Weather_pool($A78,$C78)</f>
        <v>420407~11~50~&lt;color=red&gt;小雨转雷暴雨&lt;/color&gt;;420407~12~100~&lt;color=red&gt;大雨转雷暴雨&lt;/color&gt;;420407~13~100~&lt;color=purple&gt;雷暴雨&lt;/color&gt;;420407~11~0~&lt;color=red&gt;小雨转雷暴雨&lt;/color&gt;;420407~12~100~&lt;color=red&gt;大雨转雷暴雨&lt;/color&gt;;420407~13~100~&lt;color=purple&gt;雷暴雨&lt;/color&gt;</v>
      </c>
      <c r="Q78" s="59">
        <v>4871</v>
      </c>
      <c r="R78" s="51">
        <v>14139</v>
      </c>
      <c r="S78" s="59" t="s">
        <v>583</v>
      </c>
      <c r="T78" s="99" t="str" cm="1">
        <f t="array" ref="T78">_F_get_RS_Shop_pool(D78,C78)</f>
        <v>20003=23040;30013=2880;30007=20160;40017=2520</v>
      </c>
      <c r="U78" s="59" t="s">
        <v>745</v>
      </c>
      <c r="V78" s="51"/>
      <c r="W78" s="51" cm="1">
        <f t="array" ref="W78">_xlfn.SWITCH(D78,0,"","初始",1,"普通",INT(LOG(C78,8.2))+2,"最终",2,1)</f>
        <v>3</v>
      </c>
      <c r="X78" s="91" t="str" cm="1">
        <f t="array" ref="X78">_F_get_RS_MG_pool($D78,$C78,$AA78:$AL78)</f>
        <v>420401~1~350~;420402~1~350~;420403~1~350~;420404~1~350~</v>
      </c>
      <c r="Y78" s="43" t="str">
        <f t="shared" si="12"/>
        <v>Correct</v>
      </c>
      <c r="Z78" s="73" t="str" cm="1">
        <f t="array" ref="Z78">_xlfn.TEXTJOIN("; ",1,_xlfn.MAP(AA78:AL78,_xlfn.LAMBDA(_xlpm._i,_xlfn.XLOOKUP(_xlpm._i,tb_mg[id],tb_mg[备注],"-TBN-"))))</f>
        <v>鬼狰幽浮; 画中鱼妖; 鱼妖突袭; 刺果鬼瓮</v>
      </c>
      <c r="AA78" s="57">
        <v>420401</v>
      </c>
      <c r="AB78" s="57">
        <v>420402</v>
      </c>
      <c r="AC78" s="57">
        <v>420403</v>
      </c>
      <c r="AD78" s="57">
        <v>420404</v>
      </c>
      <c r="AP78" s="5"/>
      <c r="AR78" s="5"/>
    </row>
    <row r="79" spans="1:44">
      <c r="A79" s="5">
        <v>420417</v>
      </c>
      <c r="B79" s="90" t="str" cm="1">
        <f t="array" ref="B79">_F_get_world_name($A79)</f>
        <v>树梢</v>
      </c>
      <c r="C79" s="43">
        <f t="shared" si="66"/>
        <v>17</v>
      </c>
      <c r="D79" s="43" t="str">
        <f>VLOOKUP(MOD(A79,100),tb_scene_id_type[#All],3,1)</f>
        <v>普通</v>
      </c>
      <c r="E79" s="43" t="str">
        <f t="shared" si="61"/>
        <v>4C</v>
      </c>
      <c r="F79" s="43" t="str">
        <f>IFERROR(VLOOKUP(E79,tb_scene_name[],2,0),"")</f>
        <v>树海天阶</v>
      </c>
      <c r="G79" s="51" t="str">
        <f t="shared" si="71"/>
        <v>bgm_4c</v>
      </c>
      <c r="H79" s="51" t="str">
        <f t="shared" si="72"/>
        <v>42043</v>
      </c>
      <c r="I79" s="51" t="str">
        <f t="shared" si="67"/>
        <v>scene_4C</v>
      </c>
      <c r="J79" s="51" t="str">
        <f t="shared" si="69"/>
        <v>rs_scene_icon[ui_level_icon_thumbnail_11]</v>
      </c>
      <c r="K79" s="51" t="str">
        <f t="shared" si="73"/>
        <v>42043~2.45~0.8~3</v>
      </c>
      <c r="L79" s="35" t="str">
        <f t="shared" si="74"/>
        <v>42043</v>
      </c>
      <c r="M79" s="35">
        <f t="shared" si="76"/>
        <v>2.4500000000000002</v>
      </c>
      <c r="N79" s="35">
        <v>0.8</v>
      </c>
      <c r="O79" s="35">
        <f t="shared" si="70"/>
        <v>3</v>
      </c>
      <c r="P79" s="92" t="str" cm="1">
        <f t="array" ref="P79">_F_get_RS_Weather_pool($A79,$C79)</f>
        <v>420407~11~0~&lt;color=red&gt;小雨转雷暴雨&lt;/color&gt;;420407~12~100~&lt;color=red&gt;大雨转雷暴雨&lt;/color&gt;;420407~13~100~&lt;color=purple&gt;雷暴雨&lt;/color&gt;;420408~12~100~&lt;color=red&gt;大雨转雷暴雨&lt;/color&gt;;420408~13~100~&lt;color=purple&gt;雷暴雨&lt;/color&gt;</v>
      </c>
      <c r="Q79" s="59">
        <v>5200</v>
      </c>
      <c r="R79" s="51">
        <v>16204</v>
      </c>
      <c r="S79" s="59" t="s">
        <v>583</v>
      </c>
      <c r="T79" s="99" t="str" cm="1">
        <f t="array" ref="T79">_F_get_RS_Shop_pool(D79,C79)</f>
        <v>10001=36864;20011=4608;20003=23040;30013=2880;20005=32256;30015=4032;30007=20160;40017=2520</v>
      </c>
      <c r="U79" s="59" t="s">
        <v>746</v>
      </c>
      <c r="V79" s="51"/>
      <c r="W79" s="51" cm="1">
        <f t="array" ref="W79">_xlfn.SWITCH(D79,0,"","初始",1,"普通",INT(LOG(C79,8.2))+2,"最终",2,1)</f>
        <v>3</v>
      </c>
      <c r="X79" s="91" t="str" cm="1">
        <f t="array" ref="X79">_F_get_RS_MG_pool($D79,$C79,$AA79:$AL79)</f>
        <v>420401~1~350~;420402~1~350~;420403~1~350~;420404~1~350~</v>
      </c>
      <c r="Y79" s="43" t="str">
        <f t="shared" si="12"/>
        <v>Correct</v>
      </c>
      <c r="Z79" s="73" t="str" cm="1">
        <f t="array" ref="Z79">_xlfn.TEXTJOIN("; ",1,_xlfn.MAP(AA79:AL79,_xlfn.LAMBDA(_xlpm._i,_xlfn.XLOOKUP(_xlpm._i,tb_mg[id],tb_mg[备注],"-TBN-"))))</f>
        <v>鬼狰幽浮; 画中鱼妖; 鱼妖突袭; 刺果鬼瓮</v>
      </c>
      <c r="AA79" s="57">
        <v>420401</v>
      </c>
      <c r="AB79" s="57">
        <v>420402</v>
      </c>
      <c r="AC79" s="57">
        <v>420403</v>
      </c>
      <c r="AD79" s="57">
        <v>420404</v>
      </c>
      <c r="AP79" s="5"/>
      <c r="AR79" s="5"/>
    </row>
    <row r="80" spans="1:44">
      <c r="A80" s="5">
        <v>420418</v>
      </c>
      <c r="B80" s="90" t="str" cm="1">
        <f t="array" ref="B80">_F_get_world_name($A80)</f>
        <v>树梢</v>
      </c>
      <c r="C80" s="43">
        <f t="shared" si="66"/>
        <v>18</v>
      </c>
      <c r="D80" s="43" t="str">
        <f>VLOOKUP(MOD(A80,100),tb_scene_id_type[#All],3,1)</f>
        <v>普通</v>
      </c>
      <c r="E80" s="43" t="str">
        <f t="shared" si="61"/>
        <v>4C</v>
      </c>
      <c r="F80" s="43" t="str">
        <f>IFERROR(VLOOKUP(E80,tb_scene_name[],2,0),"")</f>
        <v>树海天阶</v>
      </c>
      <c r="G80" s="51" t="str">
        <f t="shared" si="71"/>
        <v>bgm_4c</v>
      </c>
      <c r="H80" s="51" t="str">
        <f t="shared" si="72"/>
        <v>42043</v>
      </c>
      <c r="I80" s="51" t="str">
        <f t="shared" si="67"/>
        <v>scene_4C</v>
      </c>
      <c r="J80" s="51" t="str">
        <f t="shared" si="69"/>
        <v>rs_scene_icon[ui_level_icon_thumbnail_11]</v>
      </c>
      <c r="K80" s="51" t="str">
        <f t="shared" si="73"/>
        <v>42043~2.4875~0.8~3.05</v>
      </c>
      <c r="L80" s="35" t="str">
        <f t="shared" si="74"/>
        <v>42043</v>
      </c>
      <c r="M80" s="35">
        <f t="shared" si="76"/>
        <v>2.4874999999999998</v>
      </c>
      <c r="N80" s="35">
        <v>0.8</v>
      </c>
      <c r="O80" s="35">
        <f t="shared" si="70"/>
        <v>3.0500000000000003</v>
      </c>
      <c r="P80" s="92" t="str" cm="1">
        <f t="array" ref="P80">_F_get_RS_Weather_pool($A80,$C80)</f>
        <v>420408~12~100~&lt;color=red&gt;大雨转雷暴雨&lt;/color&gt;;420408~13~100~&lt;color=purple&gt;雷暴雨&lt;/color&gt;;420408~12~50~&lt;color=red&gt;大雨转雷暴雨&lt;/color&gt;;420408~13~100~&lt;color=purple&gt;雷暴雨&lt;/color&gt;</v>
      </c>
      <c r="Q80" s="59">
        <v>5539</v>
      </c>
      <c r="R80" s="51">
        <v>18456</v>
      </c>
      <c r="S80" s="59" t="s">
        <v>583</v>
      </c>
      <c r="T80" s="99" t="str" cm="1">
        <f t="array" ref="T80">_F_get_RS_Shop_pool(D80,C80)</f>
        <v>10001=36864;20011=4608;20003=23040;30013=2880;20005=32256;30015=4032;30007=20160;40017=2520</v>
      </c>
      <c r="U80" s="59" t="s">
        <v>747</v>
      </c>
      <c r="V80" s="51"/>
      <c r="W80" s="51" cm="1">
        <f t="array" ref="W80">_xlfn.SWITCH(D80,0,"","初始",1,"普通",INT(LOG(C80,8.2))+2,"最终",2,1)</f>
        <v>3</v>
      </c>
      <c r="X80" s="91" t="str" cm="1">
        <f t="array" ref="X80">_F_get_RS_MG_pool($D80,$C80,$AA80:$AL80)</f>
        <v>420401~1~355~;420402~1~355~;420403~1~355~;420404~1~355~</v>
      </c>
      <c r="Y80" s="43" t="str">
        <f t="shared" si="12"/>
        <v>Correct</v>
      </c>
      <c r="Z80" s="73" t="str" cm="1">
        <f t="array" ref="Z80">_xlfn.TEXTJOIN("; ",1,_xlfn.MAP(AA80:AL80,_xlfn.LAMBDA(_xlpm._i,_xlfn.XLOOKUP(_xlpm._i,tb_mg[id],tb_mg[备注],"-TBN-"))))</f>
        <v>鬼狰幽浮; 画中鱼妖; 鱼妖突袭; 刺果鬼瓮</v>
      </c>
      <c r="AA80" s="57">
        <v>420401</v>
      </c>
      <c r="AB80" s="57">
        <v>420402</v>
      </c>
      <c r="AC80" s="57">
        <v>420403</v>
      </c>
      <c r="AD80" s="57">
        <v>420404</v>
      </c>
      <c r="AP80" s="5"/>
      <c r="AR80" s="5"/>
    </row>
    <row r="81" spans="1:44">
      <c r="A81" s="5">
        <v>420419</v>
      </c>
      <c r="B81" s="90" t="str" cm="1">
        <f t="array" ref="B81">_F_get_world_name($A81)</f>
        <v>树梢</v>
      </c>
      <c r="C81" s="43">
        <f t="shared" si="66"/>
        <v>19</v>
      </c>
      <c r="D81" s="43" t="str">
        <f>VLOOKUP(MOD(A81,100),tb_scene_id_type[#All],3,1)</f>
        <v>普通</v>
      </c>
      <c r="E81" s="43" t="str">
        <f t="shared" si="61"/>
        <v>4C</v>
      </c>
      <c r="F81" s="43" t="str">
        <f>IFERROR(VLOOKUP(E81,tb_scene_name[],2,0),"")</f>
        <v>树海天阶</v>
      </c>
      <c r="G81" s="51" t="str">
        <f t="shared" ref="G81" si="77">"bgm_"&amp;LOWER(E81)</f>
        <v>bgm_4c</v>
      </c>
      <c r="H81" s="51" t="str">
        <f t="shared" ref="H81" si="78">420&amp;LEFT(E81,1)&amp;_xlfn.UNICODE(RIGHT(E81,1))-64</f>
        <v>42043</v>
      </c>
      <c r="I81" s="51" t="str">
        <f t="shared" si="67"/>
        <v>scene_4C</v>
      </c>
      <c r="J81" s="51" t="str">
        <f t="shared" si="69"/>
        <v>rs_scene_icon[ui_level_icon_thumbnail_11]</v>
      </c>
      <c r="K81" s="51" t="str">
        <f t="shared" ref="K81" si="79">_xlfn.TEXTJOIN("~",1,L81:O81)</f>
        <v>42043~2.525~0.8~3.1</v>
      </c>
      <c r="L81" s="35" t="str">
        <f t="shared" ref="L81" si="80">H81</f>
        <v>42043</v>
      </c>
      <c r="M81" s="35">
        <f t="shared" ref="M81" si="81">N81+(O81-N81)*0.75</f>
        <v>2.5249999999999999</v>
      </c>
      <c r="N81" s="35">
        <v>0.8</v>
      </c>
      <c r="O81" s="35">
        <f t="shared" si="70"/>
        <v>3.1</v>
      </c>
      <c r="P81" s="92" t="str" cm="1">
        <f t="array" ref="P81">_F_get_RS_Weather_pool($A81,$C81)</f>
        <v>420408~12~50~&lt;color=red&gt;大雨转雷暴雨&lt;/color&gt;;420408~13~100~&lt;color=purple&gt;雷暴雨&lt;/color&gt;;420409~13~100~&lt;color=purple&gt;雷暴雨&lt;/color&gt;</v>
      </c>
      <c r="Q81" s="59">
        <v>5872</v>
      </c>
      <c r="R81" s="51">
        <v>20929</v>
      </c>
      <c r="S81" s="59" t="s">
        <v>687</v>
      </c>
      <c r="T81" s="99" t="str" cm="1">
        <f t="array" ref="T81">_F_get_RS_Shop_pool(D81,C81)</f>
        <v>40113=1080</v>
      </c>
      <c r="U81" s="59" t="s">
        <v>748</v>
      </c>
      <c r="V81" s="51"/>
      <c r="W81" s="51" cm="1">
        <f t="array" ref="W81">_xlfn.SWITCH(D81,0,"","初始",1,"普通",INT(LOG(C81,8.2))+2,"最终",2,1)</f>
        <v>3</v>
      </c>
      <c r="X81" s="91" t="str" cm="1">
        <f t="array" ref="X81">_F_get_RS_MG_pool($D81,$C81,$AA81:$AL81)</f>
        <v>420401~1~355~;420402~1~355~;420403~1~355~;420404~1~355~</v>
      </c>
      <c r="Y81" s="43" t="str">
        <f t="shared" si="12"/>
        <v>Correct</v>
      </c>
      <c r="Z81" s="73" t="str" cm="1">
        <f t="array" ref="Z81">_xlfn.TEXTJOIN("; ",1,_xlfn.MAP(AA81:AL81,_xlfn.LAMBDA(_xlpm._i,_xlfn.XLOOKUP(_xlpm._i,tb_mg[id],tb_mg[备注],"-TBN-"))))</f>
        <v>鬼狰幽浮; 画中鱼妖; 鱼妖突袭; 刺果鬼瓮</v>
      </c>
      <c r="AA81" s="57">
        <v>420401</v>
      </c>
      <c r="AB81" s="57">
        <v>420402</v>
      </c>
      <c r="AC81" s="57">
        <v>420403</v>
      </c>
      <c r="AD81" s="57">
        <v>420404</v>
      </c>
      <c r="AP81" s="5"/>
      <c r="AR81" s="5"/>
    </row>
    <row r="82" spans="1:44">
      <c r="B82" s="5"/>
      <c r="I82" s="51"/>
      <c r="Q82" s="59"/>
      <c r="R82" s="59"/>
      <c r="V82" s="51"/>
      <c r="W82" s="51" t="str" cm="1">
        <f t="array" ref="W82">_xlfn.SWITCH(D82,0,"","初始",1,"普通",INT(LOG(C82,8.2))+2,"最终",2,1)</f>
        <v/>
      </c>
      <c r="X82" s="51"/>
      <c r="Y82" s="43" t="str">
        <f t="shared" si="12"/>
        <v/>
      </c>
      <c r="Z82" s="73" t="str" cm="1">
        <f t="array" ref="Z82">_xlfn.TEXTJOIN("; ",1,_xlfn.MAP(AA82:AL82,_xlfn.LAMBDA(_xlpm._i,_xlfn.XLOOKUP(_xlpm._i,tb_mg[id],tb_mg[备注],"-TBN-"))))</f>
        <v/>
      </c>
    </row>
    <row r="83" spans="1:44">
      <c r="A83" s="5">
        <v>420454</v>
      </c>
      <c r="B83" s="90" t="str" cm="1">
        <f t="array" ref="B83">_F_get_world_name($A83)</f>
        <v>树梢</v>
      </c>
      <c r="C83" s="43">
        <f t="shared" si="66"/>
        <v>4</v>
      </c>
      <c r="D83" s="43" t="str">
        <f>VLOOKUP(MOD(A83,100),tb_scene_id_type[#All],3,1)</f>
        <v>精英</v>
      </c>
      <c r="E83" s="43" t="str">
        <f>MID(A83,4,1)&amp;CHAR(INT((C83-1)/7+1)+64)</f>
        <v>4A</v>
      </c>
      <c r="F83" s="43" t="str">
        <f>IFERROR(VLOOKUP(E83,tb_scene_name[],2,0),"")</f>
        <v>青霄古城</v>
      </c>
      <c r="G83" s="51" t="str">
        <f t="shared" ref="G83:G98" si="82">"bgm_"&amp;LOWER(E83)</f>
        <v>bgm_4a</v>
      </c>
      <c r="H83" s="51" t="str">
        <f t="shared" ref="H83:H98" si="83">420&amp;LEFT(E83,1)&amp;_xlfn.UNICODE(RIGHT(E83,1))-64</f>
        <v>42041</v>
      </c>
      <c r="I83" s="51" t="str">
        <f t="shared" si="67"/>
        <v>scene_4A</v>
      </c>
      <c r="J83" s="51" t="str">
        <f>_xlfn.LET(_xlpm._id,(LEFT($E83,1)-1)*3+_xlfn.UNICODE(RIGHT($E83,1))-65,
_xlfn.CONCAT("rs_scene_icon[ui_level_icon_thumbnail_",_xlpm._id,"]"))</f>
        <v>rs_scene_icon[ui_level_icon_thumbnail_9]</v>
      </c>
      <c r="K83" s="51" t="str">
        <f t="shared" ref="K83:K98" si="84">_xlfn.TEXTJOIN("~",1,L83:O83)</f>
        <v>42041~1.9625~0.8~2.35</v>
      </c>
      <c r="L83" s="35" t="str">
        <f t="shared" ref="L83:L98" si="85">H83</f>
        <v>42041</v>
      </c>
      <c r="M83" s="35">
        <f>N83+(O83-N83)*0.75</f>
        <v>1.9625000000000001</v>
      </c>
      <c r="N83" s="35">
        <v>0.8</v>
      </c>
      <c r="O83" s="35">
        <f t="shared" si="70"/>
        <v>2.35</v>
      </c>
      <c r="P83" s="92" t="str" cm="1">
        <f t="array" ref="P83">_F_get_RS_Weather_pool($A83,$C83)</f>
        <v>420402~0~100~&lt;color=grey&gt;晴转阴&lt;/color&gt;;420402~10~50~&lt;color=grey&gt;阴&lt;/color&gt;;420403~0~100~&lt;color=#999900&gt;晴转小雨&lt;/color&gt;;420403~10~50~&lt;color=#999900&gt;阴转小雨&lt;/color&gt;;420403~11~0~&lt;color=#999900&gt;小雨&lt;/color&gt;</v>
      </c>
      <c r="Q83" s="59">
        <v>0</v>
      </c>
      <c r="R83" s="51">
        <v>1438</v>
      </c>
      <c r="S83" s="59" t="s">
        <v>687</v>
      </c>
      <c r="T83" s="99" t="str" cm="1">
        <f t="array" ref="T83">_F_get_RS_Shop_pool(D83,C83)</f>
        <v/>
      </c>
      <c r="U83" s="59" t="s">
        <v>750</v>
      </c>
      <c r="V83" s="51"/>
      <c r="W83" s="51" cm="1">
        <f t="array" ref="W83">_xlfn.SWITCH(D83,0,"","初始",1,"普通",INT(LOG(C83,8.2))+2,"最终",2,1)</f>
        <v>1</v>
      </c>
      <c r="X83" s="91" t="str" cm="1">
        <f t="array" ref="X83">_F_get_RS_MG_pool($D83,$C83,$AA83:$AL83)</f>
        <v>420850~1~50~&lt;color=purple&gt;渊齿巨鱼&lt;/color&gt;;420851~1~50~&lt;color=purple&gt;缠绕水藻&lt;/color&gt;;420852~1~50~&lt;color=purple&gt;金鱼之王&lt;/color&gt;</v>
      </c>
      <c r="Y83" s="43" t="str">
        <f t="shared" si="12"/>
        <v>Correct</v>
      </c>
      <c r="Z83" s="73" t="str" cm="1">
        <f t="array" ref="Z83">_xlfn.TEXTJOIN("; ",1,_xlfn.MAP(AA83:AL83,_xlfn.LAMBDA(_xlpm._i,_xlfn.XLOOKUP(_xlpm._i,tb_mg[id],tb_mg[备注],"-TBN-"))))</f>
        <v>渊齿巨鱼; 缠绕水藻; 金鱼之王</v>
      </c>
      <c r="AA83" s="71">
        <v>420850</v>
      </c>
      <c r="AB83" s="71">
        <v>420851</v>
      </c>
      <c r="AC83" s="71">
        <v>420852</v>
      </c>
      <c r="AP83" s="5"/>
      <c r="AR83" s="5"/>
    </row>
    <row r="84" spans="1:44">
      <c r="A84" s="5">
        <v>420455</v>
      </c>
      <c r="B84" s="90" t="str" cm="1">
        <f t="array" ref="B84">_F_get_world_name($A84)</f>
        <v>树梢</v>
      </c>
      <c r="C84" s="43">
        <f t="shared" si="66"/>
        <v>5</v>
      </c>
      <c r="D84" s="43" t="str">
        <f>VLOOKUP(MOD(A84,100),tb_scene_id_type[#All],3,1)</f>
        <v>精英</v>
      </c>
      <c r="E84" s="43" t="str">
        <f t="shared" ref="E84:E100" si="86">MID(A84,4,1)&amp;CHAR(INT((C84-1)/7+1)+64)</f>
        <v>4A</v>
      </c>
      <c r="F84" s="43" t="str">
        <f>IFERROR(VLOOKUP(E84,tb_scene_name[],2,0),"")</f>
        <v>青霄古城</v>
      </c>
      <c r="G84" s="51" t="str">
        <f t="shared" si="82"/>
        <v>bgm_4a</v>
      </c>
      <c r="H84" s="51" t="str">
        <f t="shared" si="83"/>
        <v>42041</v>
      </c>
      <c r="I84" s="51" t="str">
        <f t="shared" si="67"/>
        <v>scene_4A</v>
      </c>
      <c r="J84" s="51" t="str">
        <f t="shared" ref="J84:J100" si="87">_xlfn.LET(_xlpm._id,(LEFT($E84,1)-1)*3+_xlfn.UNICODE(RIGHT($E84,1))-65,
_xlfn.CONCAT("rs_scene_icon[ui_level_icon_thumbnail_",_xlpm._id,"]"))</f>
        <v>rs_scene_icon[ui_level_icon_thumbnail_9]</v>
      </c>
      <c r="K84" s="51" t="str">
        <f t="shared" si="84"/>
        <v>42041~2~0.8~2.4</v>
      </c>
      <c r="L84" s="35" t="str">
        <f t="shared" si="85"/>
        <v>42041</v>
      </c>
      <c r="M84" s="35">
        <f t="shared" ref="M84:M87" si="88">N84+(O84-N84)*0.75</f>
        <v>2</v>
      </c>
      <c r="N84" s="35">
        <v>0.8</v>
      </c>
      <c r="O84" s="35">
        <f t="shared" si="70"/>
        <v>2.4000000000000004</v>
      </c>
      <c r="P84" s="92" t="str" cm="1">
        <f t="array" ref="P84">_F_get_RS_Weather_pool($A84,$C84)</f>
        <v>420403~0~100~&lt;color=#999900&gt;晴转小雨&lt;/color&gt;;420403~10~50~&lt;color=#999900&gt;阴转小雨&lt;/color&gt;;420403~11~0~&lt;color=#999900&gt;小雨&lt;/color&gt;;420403~0~100~&lt;color=#999900&gt;晴转小雨&lt;/color&gt;;420403~10~50~&lt;color=#999900&gt;阴转小雨&lt;/color&gt;;420403~11~50~&lt;color=#999900&gt;小雨&lt;/color&gt;</v>
      </c>
      <c r="Q84" s="59">
        <v>0</v>
      </c>
      <c r="R84" s="51">
        <v>1887</v>
      </c>
      <c r="S84" s="59" t="s">
        <v>687</v>
      </c>
      <c r="T84" s="99" t="str" cm="1">
        <f t="array" ref="T84">_F_get_RS_Shop_pool(D84,C84)</f>
        <v>30111=1728;40113=1080</v>
      </c>
      <c r="U84" s="59" t="s">
        <v>751</v>
      </c>
      <c r="V84" s="51"/>
      <c r="W84" s="51" cm="1">
        <f t="array" ref="W84">_xlfn.SWITCH(D84,0,"","初始",1,"普通",INT(LOG(C84,8.2))+2,"最终",2,1)</f>
        <v>1</v>
      </c>
      <c r="X84" s="91" t="str" cm="1">
        <f t="array" ref="X84">_F_get_RS_MG_pool($D84,$C84,$AA84:$AL84)</f>
        <v>420850~1~50~&lt;color=purple&gt;渊齿巨鱼&lt;/color&gt;;420851~1~50~&lt;color=purple&gt;缠绕水藻&lt;/color&gt;;420852~1~50~&lt;color=purple&gt;金鱼之王&lt;/color&gt;</v>
      </c>
      <c r="Y84" s="43" t="str">
        <f t="shared" si="12"/>
        <v>Correct</v>
      </c>
      <c r="Z84" s="73" t="str" cm="1">
        <f t="array" ref="Z84">_xlfn.TEXTJOIN("; ",1,_xlfn.MAP(AA84:AL84,_xlfn.LAMBDA(_xlpm._i,_xlfn.XLOOKUP(_xlpm._i,tb_mg[id],tb_mg[备注],"-TBN-"))))</f>
        <v>渊齿巨鱼; 缠绕水藻; 金鱼之王</v>
      </c>
      <c r="AA84" s="71">
        <v>420850</v>
      </c>
      <c r="AB84" s="71">
        <v>420851</v>
      </c>
      <c r="AC84" s="71">
        <v>420852</v>
      </c>
      <c r="AP84" s="5"/>
      <c r="AR84" s="5"/>
    </row>
    <row r="85" spans="1:44">
      <c r="A85" s="5">
        <v>420456</v>
      </c>
      <c r="B85" s="90" t="str" cm="1">
        <f t="array" ref="B85">_F_get_world_name($A85)</f>
        <v>树梢</v>
      </c>
      <c r="C85" s="43">
        <f t="shared" si="66"/>
        <v>6</v>
      </c>
      <c r="D85" s="43" t="str">
        <f>VLOOKUP(MOD(A85,100),tb_scene_id_type[#All],3,1)</f>
        <v>精英</v>
      </c>
      <c r="E85" s="43" t="str">
        <f t="shared" si="86"/>
        <v>4A</v>
      </c>
      <c r="F85" s="43" t="str">
        <f>IFERROR(VLOOKUP(E85,tb_scene_name[],2,0),"")</f>
        <v>青霄古城</v>
      </c>
      <c r="G85" s="51" t="str">
        <f t="shared" si="82"/>
        <v>bgm_4a</v>
      </c>
      <c r="H85" s="51" t="str">
        <f t="shared" si="83"/>
        <v>42041</v>
      </c>
      <c r="I85" s="51" t="str">
        <f t="shared" si="67"/>
        <v>scene_4A</v>
      </c>
      <c r="J85" s="51" t="str">
        <f t="shared" si="87"/>
        <v>rs_scene_icon[ui_level_icon_thumbnail_9]</v>
      </c>
      <c r="K85" s="51" t="str">
        <f t="shared" si="84"/>
        <v>42041~2.0375~0.8~2.45</v>
      </c>
      <c r="L85" s="35" t="str">
        <f t="shared" si="85"/>
        <v>42041</v>
      </c>
      <c r="M85" s="35">
        <f t="shared" si="88"/>
        <v>2.0375000000000001</v>
      </c>
      <c r="N85" s="35">
        <v>0.8</v>
      </c>
      <c r="O85" s="35">
        <f t="shared" si="70"/>
        <v>2.4500000000000002</v>
      </c>
      <c r="P85" s="92" t="str" cm="1">
        <f t="array" ref="P85">_F_get_RS_Weather_pool($A85,$C85)</f>
        <v>420403~0~100~&lt;color=#999900&gt;晴转小雨&lt;/color&gt;;420403~10~50~&lt;color=#999900&gt;阴转小雨&lt;/color&gt;;420403~11~50~&lt;color=#999900&gt;小雨&lt;/color&gt;;420404~0~100~&lt;color=orange&gt;晴转大雨&lt;/color&gt;;420404~10~50~&lt;color=orange&gt;阴转大雨&lt;/color&gt;;420404~11~50~&lt;color=orange&gt;小雨渐大&lt;/color&gt;;420404~12~0~&lt;color=orange&gt;大雨倾盆&lt;/color&gt;</v>
      </c>
      <c r="Q85" s="59">
        <v>0</v>
      </c>
      <c r="R85" s="51">
        <v>2404</v>
      </c>
      <c r="S85" s="59" t="s">
        <v>687</v>
      </c>
      <c r="T85" s="99" t="str" cm="1">
        <f t="array" ref="T85">_F_get_RS_Shop_pool(D85,C85)</f>
        <v>30111=1728;40113=1080</v>
      </c>
      <c r="U85" s="59" t="s">
        <v>752</v>
      </c>
      <c r="V85" s="51"/>
      <c r="W85" s="51" cm="1">
        <f t="array" ref="W85">_xlfn.SWITCH(D85,0,"","初始",1,"普通",INT(LOG(C85,8.2))+2,"最终",2,1)</f>
        <v>1</v>
      </c>
      <c r="X85" s="91" t="str" cm="1">
        <f t="array" ref="X85">_F_get_RS_MG_pool($D85,$C85,$AA85:$AL85)</f>
        <v>420850~1~50~&lt;color=purple&gt;渊齿巨鱼&lt;/color&gt;;420851~1~50~&lt;color=purple&gt;缠绕水藻&lt;/color&gt;;420852~1~50~&lt;color=purple&gt;金鱼之王&lt;/color&gt;</v>
      </c>
      <c r="Y85" s="43" t="str">
        <f t="shared" ref="Y85:Y148" si="89">IF(A85="","",IF(COUNTA(AA85:AL85)&gt;=W85,"Correct","Error"))</f>
        <v>Correct</v>
      </c>
      <c r="Z85" s="73" t="str" cm="1">
        <f t="array" ref="Z85">_xlfn.TEXTJOIN("; ",1,_xlfn.MAP(AA85:AL85,_xlfn.LAMBDA(_xlpm._i,_xlfn.XLOOKUP(_xlpm._i,tb_mg[id],tb_mg[备注],"-TBN-"))))</f>
        <v>渊齿巨鱼; 缠绕水藻; 金鱼之王</v>
      </c>
      <c r="AA85" s="71">
        <v>420850</v>
      </c>
      <c r="AB85" s="71">
        <v>420851</v>
      </c>
      <c r="AC85" s="71">
        <v>420852</v>
      </c>
      <c r="AP85" s="5"/>
      <c r="AR85" s="5"/>
    </row>
    <row r="86" spans="1:44">
      <c r="A86" s="5">
        <v>420457</v>
      </c>
      <c r="B86" s="90" t="str" cm="1">
        <f t="array" ref="B86">_F_get_world_name($A86)</f>
        <v>树梢</v>
      </c>
      <c r="C86" s="43">
        <f t="shared" si="66"/>
        <v>7</v>
      </c>
      <c r="D86" s="43" t="str">
        <f>VLOOKUP(MOD(A86,100),tb_scene_id_type[#All],3,1)</f>
        <v>精英</v>
      </c>
      <c r="E86" s="43" t="str">
        <f t="shared" si="86"/>
        <v>4A</v>
      </c>
      <c r="F86" s="43" t="str">
        <f>IFERROR(VLOOKUP(E86,tb_scene_name[],2,0),"")</f>
        <v>青霄古城</v>
      </c>
      <c r="G86" s="51" t="str">
        <f t="shared" si="82"/>
        <v>bgm_4a</v>
      </c>
      <c r="H86" s="51" t="str">
        <f t="shared" si="83"/>
        <v>42041</v>
      </c>
      <c r="I86" s="51" t="str">
        <f t="shared" si="67"/>
        <v>scene_4A</v>
      </c>
      <c r="J86" s="51" t="str">
        <f t="shared" si="87"/>
        <v>rs_scene_icon[ui_level_icon_thumbnail_9]</v>
      </c>
      <c r="K86" s="51" t="str">
        <f t="shared" si="84"/>
        <v>42041~2.075~0.8~2.5</v>
      </c>
      <c r="L86" s="35" t="str">
        <f t="shared" si="85"/>
        <v>42041</v>
      </c>
      <c r="M86" s="35">
        <f t="shared" si="88"/>
        <v>2.0750000000000002</v>
      </c>
      <c r="N86" s="35">
        <v>0.8</v>
      </c>
      <c r="O86" s="35">
        <f t="shared" si="70"/>
        <v>2.5</v>
      </c>
      <c r="P86" s="92" t="str" cm="1">
        <f t="array" ref="P86">_F_get_RS_Weather_pool($A86,$C86)</f>
        <v>420404~0~100~&lt;color=orange&gt;晴转大雨&lt;/color&gt;;420404~10~50~&lt;color=orange&gt;阴转大雨&lt;/color&gt;;420404~11~50~&lt;color=orange&gt;小雨渐大&lt;/color&gt;;420404~12~0~&lt;color=orange&gt;大雨倾盆&lt;/color&gt;;420404~0~100~&lt;color=orange&gt;晴转大雨&lt;/color&gt;;420404~10~50~&lt;color=orange&gt;阴转大雨&lt;/color&gt;;420404~11~50~&lt;color=orange&gt;小雨渐大&lt;/color&gt;;420404~12~50~&lt;color=orange&gt;大雨倾盆&lt;/color&gt;</v>
      </c>
      <c r="Q86" s="59">
        <v>0</v>
      </c>
      <c r="R86" s="51">
        <v>3002</v>
      </c>
      <c r="S86" s="59" t="s">
        <v>687</v>
      </c>
      <c r="T86" s="99" t="str" cm="1">
        <f t="array" ref="T86">_F_get_RS_Shop_pool(D86,C86)</f>
        <v>30111=1728;40113=1080</v>
      </c>
      <c r="U86" s="59" t="s">
        <v>753</v>
      </c>
      <c r="V86" s="51"/>
      <c r="W86" s="51" cm="1">
        <f t="array" ref="W86">_xlfn.SWITCH(D86,0,"","初始",1,"普通",INT(LOG(C86,8.2))+2,"最终",2,1)</f>
        <v>1</v>
      </c>
      <c r="X86" s="91" t="str" cm="1">
        <f t="array" ref="X86">_F_get_RS_MG_pool($D86,$C86,$AA86:$AL86)</f>
        <v>420850~1~50~&lt;color=purple&gt;渊齿巨鱼&lt;/color&gt;;420851~1~50~&lt;color=purple&gt;缠绕水藻&lt;/color&gt;;420852~1~50~&lt;color=purple&gt;金鱼之王&lt;/color&gt;</v>
      </c>
      <c r="Y86" s="43" t="str">
        <f t="shared" si="89"/>
        <v>Correct</v>
      </c>
      <c r="Z86" s="73" t="str" cm="1">
        <f t="array" ref="Z86">_xlfn.TEXTJOIN("; ",1,_xlfn.MAP(AA86:AL86,_xlfn.LAMBDA(_xlpm._i,_xlfn.XLOOKUP(_xlpm._i,tb_mg[id],tb_mg[备注],"-TBN-"))))</f>
        <v>渊齿巨鱼; 缠绕水藻; 金鱼之王</v>
      </c>
      <c r="AA86" s="71">
        <v>420850</v>
      </c>
      <c r="AB86" s="71">
        <v>420851</v>
      </c>
      <c r="AC86" s="71">
        <v>420852</v>
      </c>
      <c r="AP86" s="5"/>
      <c r="AR86" s="5"/>
    </row>
    <row r="87" spans="1:44">
      <c r="A87" s="5">
        <v>420458</v>
      </c>
      <c r="B87" s="90" t="str" cm="1">
        <f t="array" ref="B87">_F_get_world_name($A87)</f>
        <v>树梢</v>
      </c>
      <c r="C87" s="43">
        <f t="shared" si="66"/>
        <v>8</v>
      </c>
      <c r="D87" s="43" t="str">
        <f>VLOOKUP(MOD(A87,100),tb_scene_id_type[#All],3,1)</f>
        <v>精英</v>
      </c>
      <c r="E87" s="43" t="str">
        <f t="shared" si="86"/>
        <v>4B</v>
      </c>
      <c r="F87" s="43" t="str">
        <f>IFERROR(VLOOKUP(E87,tb_scene_name[],2,0),"")</f>
        <v>百花山谷</v>
      </c>
      <c r="G87" s="51" t="str">
        <f t="shared" si="82"/>
        <v>bgm_4b</v>
      </c>
      <c r="H87" s="51" t="str">
        <f t="shared" si="83"/>
        <v>42042</v>
      </c>
      <c r="I87" s="51" t="str">
        <f t="shared" si="67"/>
        <v>scene_4B</v>
      </c>
      <c r="J87" s="51" t="str">
        <f t="shared" si="87"/>
        <v>rs_scene_icon[ui_level_icon_thumbnail_10]</v>
      </c>
      <c r="K87" s="51" t="str">
        <f t="shared" si="84"/>
        <v>42042~2.1125~0.8~2.55</v>
      </c>
      <c r="L87" s="35" t="str">
        <f t="shared" si="85"/>
        <v>42042</v>
      </c>
      <c r="M87" s="35">
        <f t="shared" si="88"/>
        <v>2.1125000000000003</v>
      </c>
      <c r="N87" s="35">
        <v>0.8</v>
      </c>
      <c r="O87" s="35">
        <f t="shared" si="70"/>
        <v>2.5500000000000003</v>
      </c>
      <c r="P87" s="92" t="str" cm="1">
        <f t="array" ref="P87">_F_get_RS_Weather_pool($A87,$C87)</f>
        <v>420404~0~100~&lt;color=orange&gt;晴转大雨&lt;/color&gt;;420404~10~50~&lt;color=orange&gt;阴转大雨&lt;/color&gt;;420404~11~50~&lt;color=orange&gt;小雨渐大&lt;/color&gt;;420404~12~50~&lt;color=orange&gt;大雨倾盆&lt;/color&gt;;420405~0~100~&lt;color=red&gt;晴转雷暴雨&lt;/color&gt;;420405~10~50~&lt;color=red&gt;阴转雷暴雨&lt;/color&gt;;420405~11~50~&lt;color=red&gt;小雨转雷暴雨&lt;/color&gt;;420405~12~50~&lt;color=red&gt;大雨转雷暴雨&lt;/color&gt;;420405~13~0~&lt;color=purple&gt;雷暴雨&lt;/color&gt;</v>
      </c>
      <c r="Q87" s="59">
        <v>0</v>
      </c>
      <c r="R87" s="51">
        <v>3702</v>
      </c>
      <c r="S87" s="59" t="s">
        <v>687</v>
      </c>
      <c r="T87" s="99" t="str" cm="1">
        <f t="array" ref="T87">_F_get_RS_Shop_pool(D87,C87)</f>
        <v>40113=1080</v>
      </c>
      <c r="U87" s="59" t="s">
        <v>754</v>
      </c>
      <c r="V87" s="51"/>
      <c r="W87" s="51" cm="1">
        <f t="array" ref="W87">_xlfn.SWITCH(D87,0,"","初始",1,"普通",INT(LOG(C87,8.2))+2,"最终",2,1)</f>
        <v>1</v>
      </c>
      <c r="X87" s="91" t="str" cm="1">
        <f t="array" ref="X87">_F_get_RS_MG_pool($D87,$C87,$AA87:$AL87)</f>
        <v>420850~1~50~&lt;color=purple&gt;渊齿巨鱼&lt;/color&gt;;420851~1~50~&lt;color=purple&gt;缠绕水藻&lt;/color&gt;;420852~1~50~&lt;color=purple&gt;金鱼之王&lt;/color&gt;</v>
      </c>
      <c r="Y87" s="43" t="str">
        <f t="shared" si="89"/>
        <v>Correct</v>
      </c>
      <c r="Z87" s="73" t="str" cm="1">
        <f t="array" ref="Z87">_xlfn.TEXTJOIN("; ",1,_xlfn.MAP(AA87:AL87,_xlfn.LAMBDA(_xlpm._i,_xlfn.XLOOKUP(_xlpm._i,tb_mg[id],tb_mg[备注],"-TBN-"))))</f>
        <v>渊齿巨鱼; 缠绕水藻; 金鱼之王</v>
      </c>
      <c r="AA87" s="71">
        <v>420850</v>
      </c>
      <c r="AB87" s="71">
        <v>420851</v>
      </c>
      <c r="AC87" s="71">
        <v>420852</v>
      </c>
      <c r="AP87" s="5"/>
      <c r="AR87" s="5"/>
    </row>
    <row r="88" spans="1:44">
      <c r="A88" s="5">
        <v>420459</v>
      </c>
      <c r="B88" s="90" t="str" cm="1">
        <f t="array" ref="B88">_F_get_world_name($A88)</f>
        <v>树梢</v>
      </c>
      <c r="C88" s="43">
        <f t="shared" si="66"/>
        <v>9</v>
      </c>
      <c r="D88" s="43" t="str">
        <f>VLOOKUP(MOD(A88,100),tb_scene_id_type[#All],3,1)</f>
        <v>精英</v>
      </c>
      <c r="E88" s="43" t="str">
        <f t="shared" si="86"/>
        <v>4B</v>
      </c>
      <c r="F88" s="43" t="str">
        <f>IFERROR(VLOOKUP(E88,tb_scene_name[],2,0),"")</f>
        <v>百花山谷</v>
      </c>
      <c r="G88" s="51" t="str">
        <f t="shared" si="82"/>
        <v>bgm_4b</v>
      </c>
      <c r="H88" s="51" t="str">
        <f t="shared" si="83"/>
        <v>42042</v>
      </c>
      <c r="I88" s="51" t="str">
        <f t="shared" si="67"/>
        <v>scene_4B</v>
      </c>
      <c r="J88" s="51" t="str">
        <f t="shared" si="87"/>
        <v>rs_scene_icon[ui_level_icon_thumbnail_10]</v>
      </c>
      <c r="K88" s="51" t="str">
        <f t="shared" si="84"/>
        <v>42042~2.15~0.8~2.6</v>
      </c>
      <c r="L88" s="35" t="str">
        <f t="shared" si="85"/>
        <v>42042</v>
      </c>
      <c r="M88" s="35">
        <f>N88+(O88-N88)*0.75</f>
        <v>2.1500000000000004</v>
      </c>
      <c r="N88" s="35">
        <v>0.8</v>
      </c>
      <c r="O88" s="35">
        <f t="shared" si="70"/>
        <v>2.6</v>
      </c>
      <c r="P88" s="92" t="str" cm="1">
        <f t="array" ref="P88">_F_get_RS_Weather_pool($A88,$C88)</f>
        <v>420405~0~100~&lt;color=red&gt;晴转雷暴雨&lt;/color&gt;;420405~10~50~&lt;color=red&gt;阴转雷暴雨&lt;/color&gt;;420405~11~50~&lt;color=red&gt;小雨转雷暴雨&lt;/color&gt;;420405~12~50~&lt;color=red&gt;大雨转雷暴雨&lt;/color&gt;;420405~13~0~&lt;color=purple&gt;雷暴雨&lt;/color&gt;;420405~0~50~&lt;color=red&gt;晴转雷暴雨&lt;/color&gt;;420405~10~50~&lt;color=red&gt;阴转雷暴雨&lt;/color&gt;;420405~11~50~&lt;color=red&gt;小雨转雷暴雨&lt;/color&gt;;420405~12~50~&lt;color=red&gt;大雨转雷暴雨&lt;/color&gt;;420405~13~0~&lt;color=purple&gt;雷暴雨&lt;/color&gt;</v>
      </c>
      <c r="Q88" s="59">
        <v>0</v>
      </c>
      <c r="R88" s="51">
        <v>4508</v>
      </c>
      <c r="S88" s="59" t="s">
        <v>687</v>
      </c>
      <c r="T88" s="99" t="str" cm="1">
        <f t="array" ref="T88">_F_get_RS_Shop_pool(D88,C88)</f>
        <v>30111=1728;40113=1080</v>
      </c>
      <c r="U88" s="59" t="s">
        <v>755</v>
      </c>
      <c r="V88" s="51"/>
      <c r="W88" s="51" cm="1">
        <f t="array" ref="W88">_xlfn.SWITCH(D88,0,"","初始",1,"普通",INT(LOG(C88,8.2))+2,"最终",2,1)</f>
        <v>1</v>
      </c>
      <c r="X88" s="91" t="str" cm="1">
        <f t="array" ref="X88">_F_get_RS_MG_pool($D88,$C88,$AA88:$AL88)</f>
        <v>420850~1~50~&lt;color=purple&gt;渊齿巨鱼&lt;/color&gt;;420851~1~50~&lt;color=purple&gt;缠绕水藻&lt;/color&gt;;420852~1~50~&lt;color=purple&gt;金鱼之王&lt;/color&gt;</v>
      </c>
      <c r="Y88" s="43" t="str">
        <f t="shared" si="89"/>
        <v>Correct</v>
      </c>
      <c r="Z88" s="73" t="str" cm="1">
        <f t="array" ref="Z88">_xlfn.TEXTJOIN("; ",1,_xlfn.MAP(AA88:AL88,_xlfn.LAMBDA(_xlpm._i,_xlfn.XLOOKUP(_xlpm._i,tb_mg[id],tb_mg[备注],"-TBN-"))))</f>
        <v>渊齿巨鱼; 缠绕水藻; 金鱼之王</v>
      </c>
      <c r="AA88" s="71">
        <v>420850</v>
      </c>
      <c r="AB88" s="71">
        <v>420851</v>
      </c>
      <c r="AC88" s="71">
        <v>420852</v>
      </c>
      <c r="AP88" s="5"/>
      <c r="AR88" s="5"/>
    </row>
    <row r="89" spans="1:44">
      <c r="A89" s="5">
        <v>420460</v>
      </c>
      <c r="B89" s="90" t="str" cm="1">
        <f t="array" ref="B89">_F_get_world_name($A89)</f>
        <v>树梢</v>
      </c>
      <c r="C89" s="43">
        <f t="shared" si="66"/>
        <v>10</v>
      </c>
      <c r="D89" s="43" t="str">
        <f>VLOOKUP(MOD(A89,100),tb_scene_id_type[#All],3,1)</f>
        <v>精英</v>
      </c>
      <c r="E89" s="43" t="str">
        <f t="shared" si="86"/>
        <v>4B</v>
      </c>
      <c r="F89" s="43" t="str">
        <f>IFERROR(VLOOKUP(E89,tb_scene_name[],2,0),"")</f>
        <v>百花山谷</v>
      </c>
      <c r="G89" s="51" t="str">
        <f t="shared" si="82"/>
        <v>bgm_4b</v>
      </c>
      <c r="H89" s="51" t="str">
        <f t="shared" si="83"/>
        <v>42042</v>
      </c>
      <c r="I89" s="51" t="str">
        <f t="shared" si="67"/>
        <v>scene_4B</v>
      </c>
      <c r="J89" s="51" t="str">
        <f t="shared" si="87"/>
        <v>rs_scene_icon[ui_level_icon_thumbnail_10]</v>
      </c>
      <c r="K89" s="51" t="str">
        <f t="shared" si="84"/>
        <v>42042~2.1875~0.8~2.65</v>
      </c>
      <c r="L89" s="35" t="str">
        <f t="shared" si="85"/>
        <v>42042</v>
      </c>
      <c r="M89" s="35">
        <f t="shared" ref="M89:M91" si="90">N89+(O89-N89)*0.75</f>
        <v>2.1875</v>
      </c>
      <c r="N89" s="35">
        <v>0.8</v>
      </c>
      <c r="O89" s="35">
        <f t="shared" si="70"/>
        <v>2.6500000000000004</v>
      </c>
      <c r="P89" s="92" t="str" cm="1">
        <f t="array" ref="P89">_F_get_RS_Weather_pool($A89,$C89)</f>
        <v>420405~0~50~&lt;color=red&gt;晴转雷暴雨&lt;/color&gt;;420405~10~50~&lt;color=red&gt;阴转雷暴雨&lt;/color&gt;;420405~11~50~&lt;color=red&gt;小雨转雷暴雨&lt;/color&gt;;420405~12~50~&lt;color=red&gt;大雨转雷暴雨&lt;/color&gt;;420405~13~0~&lt;color=purple&gt;雷暴雨&lt;/color&gt;;420405~0~50~&lt;color=red&gt;晴转雷暴雨&lt;/color&gt;;420405~10~50~&lt;color=red&gt;阴转雷暴雨&lt;/color&gt;;420405~11~50~&lt;color=red&gt;小雨转雷暴雨&lt;/color&gt;;420405~12~50~&lt;color=red&gt;大雨转雷暴雨&lt;/color&gt;;420405~13~50~&lt;color=purple&gt;雷暴雨&lt;/color&gt;</v>
      </c>
      <c r="Q89" s="59">
        <v>0</v>
      </c>
      <c r="R89" s="51">
        <v>5435</v>
      </c>
      <c r="S89" s="59" t="s">
        <v>687</v>
      </c>
      <c r="T89" s="99" t="str" cm="1">
        <f t="array" ref="T89">_F_get_RS_Shop_pool(D89,C89)</f>
        <v>30111=1728;40113=1080</v>
      </c>
      <c r="U89" s="59" t="s">
        <v>756</v>
      </c>
      <c r="V89" s="51"/>
      <c r="W89" s="51" cm="1">
        <f t="array" ref="W89">_xlfn.SWITCH(D89,0,"","初始",1,"普通",INT(LOG(C89,8.2))+2,"最终",2,1)</f>
        <v>1</v>
      </c>
      <c r="X89" s="91" t="str" cm="1">
        <f t="array" ref="X89">_F_get_RS_MG_pool($D89,$C89,$AA89:$AL89)</f>
        <v>420850~1~50~&lt;color=purple&gt;渊齿巨鱼&lt;/color&gt;;420851~1~50~&lt;color=purple&gt;缠绕水藻&lt;/color&gt;;420852~1~50~&lt;color=purple&gt;金鱼之王&lt;/color&gt;</v>
      </c>
      <c r="Y89" s="43" t="str">
        <f t="shared" si="89"/>
        <v>Correct</v>
      </c>
      <c r="Z89" s="73" t="str" cm="1">
        <f t="array" ref="Z89">_xlfn.TEXTJOIN("; ",1,_xlfn.MAP(AA89:AL89,_xlfn.LAMBDA(_xlpm._i,_xlfn.XLOOKUP(_xlpm._i,tb_mg[id],tb_mg[备注],"-TBN-"))))</f>
        <v>渊齿巨鱼; 缠绕水藻; 金鱼之王</v>
      </c>
      <c r="AA89" s="71">
        <v>420850</v>
      </c>
      <c r="AB89" s="71">
        <v>420851</v>
      </c>
      <c r="AC89" s="71">
        <v>420852</v>
      </c>
      <c r="AP89" s="5"/>
      <c r="AR89" s="5"/>
    </row>
    <row r="90" spans="1:44">
      <c r="A90" s="5">
        <v>420461</v>
      </c>
      <c r="B90" s="90" t="str" cm="1">
        <f t="array" ref="B90">_F_get_world_name($A90)</f>
        <v>树梢</v>
      </c>
      <c r="C90" s="43">
        <f t="shared" si="66"/>
        <v>11</v>
      </c>
      <c r="D90" s="43" t="str">
        <f>VLOOKUP(MOD(A90,100),tb_scene_id_type[#All],3,1)</f>
        <v>精英</v>
      </c>
      <c r="E90" s="43" t="str">
        <f t="shared" si="86"/>
        <v>4B</v>
      </c>
      <c r="F90" s="43" t="str">
        <f>IFERROR(VLOOKUP(E90,tb_scene_name[],2,0),"")</f>
        <v>百花山谷</v>
      </c>
      <c r="G90" s="51" t="str">
        <f t="shared" si="82"/>
        <v>bgm_4b</v>
      </c>
      <c r="H90" s="51" t="str">
        <f t="shared" si="83"/>
        <v>42042</v>
      </c>
      <c r="I90" s="51" t="str">
        <f t="shared" si="67"/>
        <v>scene_4B</v>
      </c>
      <c r="J90" s="51" t="str">
        <f t="shared" si="87"/>
        <v>rs_scene_icon[ui_level_icon_thumbnail_10]</v>
      </c>
      <c r="K90" s="51" t="str">
        <f t="shared" si="84"/>
        <v>42042~2.225~0.8~2.7</v>
      </c>
      <c r="L90" s="35" t="str">
        <f t="shared" si="85"/>
        <v>42042</v>
      </c>
      <c r="M90" s="35">
        <f t="shared" si="90"/>
        <v>2.2250000000000001</v>
      </c>
      <c r="N90" s="35">
        <v>0.8</v>
      </c>
      <c r="O90" s="35">
        <f t="shared" si="70"/>
        <v>2.7</v>
      </c>
      <c r="P90" s="92" t="str" cm="1">
        <f t="array" ref="P90">_F_get_RS_Weather_pool($A90,$C90)</f>
        <v>420405~0~50~&lt;color=red&gt;晴转雷暴雨&lt;/color&gt;;420405~10~50~&lt;color=red&gt;阴转雷暴雨&lt;/color&gt;;420405~11~50~&lt;color=red&gt;小雨转雷暴雨&lt;/color&gt;;420405~12~50~&lt;color=red&gt;大雨转雷暴雨&lt;/color&gt;;420405~13~50~&lt;color=purple&gt;雷暴雨&lt;/color&gt;;420405~0~50~&lt;color=red&gt;晴转雷暴雨&lt;/color&gt;;420405~10~100~&lt;color=red&gt;阴转雷暴雨&lt;/color&gt;;420405~11~100~&lt;color=red&gt;小雨转雷暴雨&lt;/color&gt;;420405~12~100~&lt;color=red&gt;大雨转雷暴雨&lt;/color&gt;;420405~13~100~&lt;color=purple&gt;雷暴雨&lt;/color&gt;</v>
      </c>
      <c r="Q90" s="59">
        <v>0</v>
      </c>
      <c r="R90" s="51">
        <v>6499</v>
      </c>
      <c r="S90" s="59" t="s">
        <v>687</v>
      </c>
      <c r="T90" s="99" t="str" cm="1">
        <f t="array" ref="T90">_F_get_RS_Shop_pool(D90,C90)</f>
        <v>30111=1728;40113=1080</v>
      </c>
      <c r="U90" s="59" t="s">
        <v>757</v>
      </c>
      <c r="V90" s="51"/>
      <c r="W90" s="51" cm="1">
        <f t="array" ref="W90">_xlfn.SWITCH(D90,0,"","初始",1,"普通",INT(LOG(C90,8.2))+2,"最终",2,1)</f>
        <v>1</v>
      </c>
      <c r="X90" s="91" t="str" cm="1">
        <f t="array" ref="X90">_F_get_RS_MG_pool($D90,$C90,$AA90:$AL90)</f>
        <v>420850~1~50~&lt;color=purple&gt;渊齿巨鱼&lt;/color&gt;;420851~1~50~&lt;color=purple&gt;缠绕水藻&lt;/color&gt;;420852~1~50~&lt;color=purple&gt;金鱼之王&lt;/color&gt;</v>
      </c>
      <c r="Y90" s="43" t="str">
        <f t="shared" si="89"/>
        <v>Correct</v>
      </c>
      <c r="Z90" s="73" t="str" cm="1">
        <f t="array" ref="Z90">_xlfn.TEXTJOIN("; ",1,_xlfn.MAP(AA90:AL90,_xlfn.LAMBDA(_xlpm._i,_xlfn.XLOOKUP(_xlpm._i,tb_mg[id],tb_mg[备注],"-TBN-"))))</f>
        <v>渊齿巨鱼; 缠绕水藻; 金鱼之王</v>
      </c>
      <c r="AA90" s="71">
        <v>420850</v>
      </c>
      <c r="AB90" s="71">
        <v>420851</v>
      </c>
      <c r="AC90" s="71">
        <v>420852</v>
      </c>
      <c r="AP90" s="5"/>
      <c r="AR90" s="5"/>
    </row>
    <row r="91" spans="1:44">
      <c r="A91" s="5">
        <v>420462</v>
      </c>
      <c r="B91" s="90" t="str" cm="1">
        <f t="array" ref="B91">_F_get_world_name($A91)</f>
        <v>树梢</v>
      </c>
      <c r="C91" s="43">
        <f t="shared" si="66"/>
        <v>12</v>
      </c>
      <c r="D91" s="43" t="str">
        <f>VLOOKUP(MOD(A91,100),tb_scene_id_type[#All],3,1)</f>
        <v>精英</v>
      </c>
      <c r="E91" s="43" t="str">
        <f t="shared" si="86"/>
        <v>4B</v>
      </c>
      <c r="F91" s="43" t="str">
        <f>IFERROR(VLOOKUP(E91,tb_scene_name[],2,0),"")</f>
        <v>百花山谷</v>
      </c>
      <c r="G91" s="51" t="str">
        <f t="shared" si="82"/>
        <v>bgm_4b</v>
      </c>
      <c r="H91" s="51" t="str">
        <f t="shared" si="83"/>
        <v>42042</v>
      </c>
      <c r="I91" s="51" t="str">
        <f t="shared" si="67"/>
        <v>scene_4B</v>
      </c>
      <c r="J91" s="51" t="str">
        <f t="shared" si="87"/>
        <v>rs_scene_icon[ui_level_icon_thumbnail_10]</v>
      </c>
      <c r="K91" s="51" t="str">
        <f t="shared" si="84"/>
        <v>42042~2.2625~0.8~2.75</v>
      </c>
      <c r="L91" s="35" t="str">
        <f t="shared" si="85"/>
        <v>42042</v>
      </c>
      <c r="M91" s="35">
        <f t="shared" si="90"/>
        <v>2.2625000000000002</v>
      </c>
      <c r="N91" s="35">
        <v>0.8</v>
      </c>
      <c r="O91" s="35">
        <f t="shared" si="70"/>
        <v>2.75</v>
      </c>
      <c r="P91" s="92" t="str" cm="1">
        <f t="array" ref="P91">_F_get_RS_Weather_pool($A91,$C91)</f>
        <v>420405~0~50~&lt;color=red&gt;晴转雷暴雨&lt;/color&gt;;420405~10~100~&lt;color=red&gt;阴转雷暴雨&lt;/color&gt;;420405~11~100~&lt;color=red&gt;小雨转雷暴雨&lt;/color&gt;;420405~12~100~&lt;color=red&gt;大雨转雷暴雨&lt;/color&gt;;420405~13~100~&lt;color=purple&gt;雷暴雨&lt;/color&gt;;420405~0~50~&lt;color=red&gt;晴转雷暴雨&lt;/color&gt;;420405~10~50~&lt;color=red&gt;阴转雷暴雨&lt;/color&gt;;420405~11~100~&lt;color=red&gt;小雨转雷暴雨&lt;/color&gt;;420405~12~100~&lt;color=red&gt;大雨转雷暴雨&lt;/color&gt;;420405~13~100~&lt;color=purple&gt;雷暴雨&lt;/color&gt;</v>
      </c>
      <c r="Q91" s="59">
        <v>0</v>
      </c>
      <c r="R91" s="51">
        <v>7698</v>
      </c>
      <c r="S91" s="59" t="s">
        <v>687</v>
      </c>
      <c r="T91" s="99" t="str" cm="1">
        <f t="array" ref="T91">_F_get_RS_Shop_pool(D91,C91)</f>
        <v>40113=1080</v>
      </c>
      <c r="U91" s="59" t="s">
        <v>758</v>
      </c>
      <c r="V91" s="51"/>
      <c r="W91" s="51" cm="1">
        <f t="array" ref="W91">_xlfn.SWITCH(D91,0,"","初始",1,"普通",INT(LOG(C91,8.2))+2,"最终",2,1)</f>
        <v>1</v>
      </c>
      <c r="X91" s="91" t="str" cm="1">
        <f t="array" ref="X91">_F_get_RS_MG_pool($D91,$C91,$AA91:$AL91)</f>
        <v>420850~1~50~&lt;color=purple&gt;渊齿巨鱼&lt;/color&gt;;420851~1~50~&lt;color=purple&gt;缠绕水藻&lt;/color&gt;;420852~1~50~&lt;color=purple&gt;金鱼之王&lt;/color&gt;</v>
      </c>
      <c r="Y91" s="43" t="str">
        <f t="shared" si="89"/>
        <v>Correct</v>
      </c>
      <c r="Z91" s="73" t="str" cm="1">
        <f t="array" ref="Z91">_xlfn.TEXTJOIN("; ",1,_xlfn.MAP(AA91:AL91,_xlfn.LAMBDA(_xlpm._i,_xlfn.XLOOKUP(_xlpm._i,tb_mg[id],tb_mg[备注],"-TBN-"))))</f>
        <v>渊齿巨鱼; 缠绕水藻; 金鱼之王</v>
      </c>
      <c r="AA91" s="71">
        <v>420850</v>
      </c>
      <c r="AB91" s="71">
        <v>420851</v>
      </c>
      <c r="AC91" s="71">
        <v>420852</v>
      </c>
      <c r="AP91" s="5"/>
      <c r="AR91" s="5"/>
    </row>
    <row r="92" spans="1:44">
      <c r="A92" s="5">
        <v>420463</v>
      </c>
      <c r="B92" s="90" t="str" cm="1">
        <f t="array" ref="B92">_F_get_world_name($A92)</f>
        <v>树梢</v>
      </c>
      <c r="C92" s="43">
        <f t="shared" si="66"/>
        <v>13</v>
      </c>
      <c r="D92" s="43" t="str">
        <f>VLOOKUP(MOD(A92,100),tb_scene_id_type[#All],3,1)</f>
        <v>精英</v>
      </c>
      <c r="E92" s="43" t="str">
        <f t="shared" si="86"/>
        <v>4B</v>
      </c>
      <c r="F92" s="43" t="str">
        <f>IFERROR(VLOOKUP(E92,tb_scene_name[],2,0),"")</f>
        <v>百花山谷</v>
      </c>
      <c r="G92" s="51" t="str">
        <f t="shared" si="82"/>
        <v>bgm_4b</v>
      </c>
      <c r="H92" s="51" t="str">
        <f t="shared" si="83"/>
        <v>42042</v>
      </c>
      <c r="I92" s="51" t="str">
        <f t="shared" si="67"/>
        <v>scene_4B</v>
      </c>
      <c r="J92" s="51" t="str">
        <f t="shared" si="87"/>
        <v>rs_scene_icon[ui_level_icon_thumbnail_10]</v>
      </c>
      <c r="K92" s="51" t="str">
        <f t="shared" si="84"/>
        <v>42042~2.3~0.8~2.8</v>
      </c>
      <c r="L92" s="35" t="str">
        <f t="shared" si="85"/>
        <v>42042</v>
      </c>
      <c r="M92" s="35">
        <f>N92+(O92-N92)*0.75</f>
        <v>2.2999999999999998</v>
      </c>
      <c r="N92" s="35">
        <v>0.8</v>
      </c>
      <c r="O92" s="35">
        <f t="shared" si="70"/>
        <v>2.8000000000000003</v>
      </c>
      <c r="P92" s="92" t="str" cm="1">
        <f t="array" ref="P92">_F_get_RS_Weather_pool($A92,$C92)</f>
        <v>420405~0~50~&lt;color=red&gt;晴转雷暴雨&lt;/color&gt;;420405~10~50~&lt;color=red&gt;阴转雷暴雨&lt;/color&gt;;420405~11~100~&lt;color=red&gt;小雨转雷暴雨&lt;/color&gt;;420405~12~100~&lt;color=red&gt;大雨转雷暴雨&lt;/color&gt;;420405~13~100~&lt;color=purple&gt;雷暴雨&lt;/color&gt;;420406~10~50~&lt;color=red&gt;阴转雷暴雨&lt;/color&gt;;420406~11~50~&lt;color=red&gt;小雨转雷暴雨&lt;/color&gt;;420406~12~100~&lt;color=red&gt;大雨转雷暴雨&lt;/color&gt;;420406~13~100~&lt;color=purple&gt;雷暴雨&lt;/color&gt;</v>
      </c>
      <c r="Q92" s="59">
        <v>0</v>
      </c>
      <c r="R92" s="51">
        <v>9051</v>
      </c>
      <c r="S92" s="59" t="s">
        <v>687</v>
      </c>
      <c r="T92" s="99" t="str" cm="1">
        <f t="array" ref="T92">_F_get_RS_Shop_pool(D92,C92)</f>
        <v>30111=1728;40113=1080</v>
      </c>
      <c r="U92" s="59" t="s">
        <v>759</v>
      </c>
      <c r="V92" s="51"/>
      <c r="W92" s="51" cm="1">
        <f t="array" ref="W92">_xlfn.SWITCH(D92,0,"","初始",1,"普通",INT(LOG(C92,8.2))+2,"最终",2,1)</f>
        <v>1</v>
      </c>
      <c r="X92" s="91" t="str" cm="1">
        <f t="array" ref="X92">_F_get_RS_MG_pool($D92,$C92,$AA92:$AL92)</f>
        <v>420850~1~50~&lt;color=purple&gt;渊齿巨鱼&lt;/color&gt;;420851~1~50~&lt;color=purple&gt;缠绕水藻&lt;/color&gt;;420852~1~50~&lt;color=purple&gt;金鱼之王&lt;/color&gt;</v>
      </c>
      <c r="Y92" s="43" t="str">
        <f t="shared" si="89"/>
        <v>Correct</v>
      </c>
      <c r="Z92" s="73" t="str" cm="1">
        <f t="array" ref="Z92">_xlfn.TEXTJOIN("; ",1,_xlfn.MAP(AA92:AL92,_xlfn.LAMBDA(_xlpm._i,_xlfn.XLOOKUP(_xlpm._i,tb_mg[id],tb_mg[备注],"-TBN-"))))</f>
        <v>渊齿巨鱼; 缠绕水藻; 金鱼之王</v>
      </c>
      <c r="AA92" s="71">
        <v>420850</v>
      </c>
      <c r="AB92" s="71">
        <v>420851</v>
      </c>
      <c r="AC92" s="71">
        <v>420852</v>
      </c>
      <c r="AP92" s="5"/>
      <c r="AR92" s="5"/>
    </row>
    <row r="93" spans="1:44">
      <c r="A93" s="5">
        <v>420464</v>
      </c>
      <c r="B93" s="90" t="str" cm="1">
        <f t="array" ref="B93">_F_get_world_name($A93)</f>
        <v>树梢</v>
      </c>
      <c r="C93" s="43">
        <f t="shared" si="66"/>
        <v>14</v>
      </c>
      <c r="D93" s="43" t="str">
        <f>VLOOKUP(MOD(A93,100),tb_scene_id_type[#All],3,1)</f>
        <v>精英</v>
      </c>
      <c r="E93" s="43" t="str">
        <f t="shared" si="86"/>
        <v>4B</v>
      </c>
      <c r="F93" s="43" t="str">
        <f>IFERROR(VLOOKUP(E93,tb_scene_name[],2,0),"")</f>
        <v>百花山谷</v>
      </c>
      <c r="G93" s="51" t="str">
        <f t="shared" si="82"/>
        <v>bgm_4b</v>
      </c>
      <c r="H93" s="51" t="str">
        <f t="shared" si="83"/>
        <v>42042</v>
      </c>
      <c r="I93" s="51" t="str">
        <f t="shared" si="67"/>
        <v>scene_4B</v>
      </c>
      <c r="J93" s="51" t="str">
        <f t="shared" si="87"/>
        <v>rs_scene_icon[ui_level_icon_thumbnail_10]</v>
      </c>
      <c r="K93" s="51" t="str">
        <f t="shared" si="84"/>
        <v>42042~2.3375~0.8~2.85</v>
      </c>
      <c r="L93" s="35" t="str">
        <f t="shared" si="85"/>
        <v>42042</v>
      </c>
      <c r="M93" s="35">
        <f t="shared" ref="M93:M96" si="91">N93+(O93-N93)*0.75</f>
        <v>2.3374999999999999</v>
      </c>
      <c r="N93" s="35">
        <v>0.8</v>
      </c>
      <c r="O93" s="35">
        <f t="shared" si="70"/>
        <v>2.85</v>
      </c>
      <c r="P93" s="92" t="str" cm="1">
        <f t="array" ref="P93">_F_get_RS_Weather_pool($A93,$C93)</f>
        <v>420406~10~50~&lt;color=red&gt;阴转雷暴雨&lt;/color&gt;;420406~11~50~&lt;color=red&gt;小雨转雷暴雨&lt;/color&gt;;420406~12~100~&lt;color=red&gt;大雨转雷暴雨&lt;/color&gt;;420406~13~100~&lt;color=purple&gt;雷暴雨&lt;/color&gt;;420406~10~0~&lt;color=red&gt;阴转雷暴雨&lt;/color&gt;;420406~11~50~&lt;color=red&gt;小雨转雷暴雨&lt;/color&gt;;420406~12~100~&lt;color=red&gt;大雨转雷暴雨&lt;/color&gt;;420406~13~100~&lt;color=purple&gt;雷暴雨&lt;/color&gt;</v>
      </c>
      <c r="Q93" s="59">
        <v>0</v>
      </c>
      <c r="R93" s="51">
        <v>10574</v>
      </c>
      <c r="S93" s="59" t="s">
        <v>687</v>
      </c>
      <c r="T93" s="99" t="str" cm="1">
        <f t="array" ref="T93">_F_get_RS_Shop_pool(D93,C93)</f>
        <v>30111=1728;40113=1080</v>
      </c>
      <c r="U93" s="59" t="s">
        <v>760</v>
      </c>
      <c r="V93" s="51"/>
      <c r="W93" s="51" cm="1">
        <f t="array" ref="W93">_xlfn.SWITCH(D93,0,"","初始",1,"普通",INT(LOG(C93,8.2))+2,"最终",2,1)</f>
        <v>1</v>
      </c>
      <c r="X93" s="91" t="str" cm="1">
        <f t="array" ref="X93">_F_get_RS_MG_pool($D93,$C93,$AA93:$AL93)</f>
        <v>420850~1~50~&lt;color=purple&gt;渊齿巨鱼&lt;/color&gt;;420851~1~50~&lt;color=purple&gt;缠绕水藻&lt;/color&gt;;420852~1~50~&lt;color=purple&gt;金鱼之王&lt;/color&gt;</v>
      </c>
      <c r="Y93" s="43" t="str">
        <f t="shared" si="89"/>
        <v>Correct</v>
      </c>
      <c r="Z93" s="73" t="str" cm="1">
        <f t="array" ref="Z93">_xlfn.TEXTJOIN("; ",1,_xlfn.MAP(AA93:AL93,_xlfn.LAMBDA(_xlpm._i,_xlfn.XLOOKUP(_xlpm._i,tb_mg[id],tb_mg[备注],"-TBN-"))))</f>
        <v>渊齿巨鱼; 缠绕水藻; 金鱼之王</v>
      </c>
      <c r="AA93" s="71">
        <v>420850</v>
      </c>
      <c r="AB93" s="71">
        <v>420851</v>
      </c>
      <c r="AC93" s="71">
        <v>420852</v>
      </c>
      <c r="AP93" s="5"/>
      <c r="AR93" s="5"/>
    </row>
    <row r="94" spans="1:44">
      <c r="A94" s="5">
        <v>420465</v>
      </c>
      <c r="B94" s="90" t="str" cm="1">
        <f t="array" ref="B94">_F_get_world_name($A94)</f>
        <v>树梢</v>
      </c>
      <c r="C94" s="43">
        <f t="shared" si="66"/>
        <v>15</v>
      </c>
      <c r="D94" s="43" t="str">
        <f>VLOOKUP(MOD(A94,100),tb_scene_id_type[#All],3,1)</f>
        <v>精英</v>
      </c>
      <c r="E94" s="43" t="str">
        <f t="shared" si="86"/>
        <v>4C</v>
      </c>
      <c r="F94" s="43" t="str">
        <f>IFERROR(VLOOKUP(E94,tb_scene_name[],2,0),"")</f>
        <v>树海天阶</v>
      </c>
      <c r="G94" s="51" t="str">
        <f t="shared" si="82"/>
        <v>bgm_4c</v>
      </c>
      <c r="H94" s="51" t="str">
        <f t="shared" si="83"/>
        <v>42043</v>
      </c>
      <c r="I94" s="51" t="str">
        <f t="shared" si="67"/>
        <v>scene_4C</v>
      </c>
      <c r="J94" s="51" t="str">
        <f t="shared" si="87"/>
        <v>rs_scene_icon[ui_level_icon_thumbnail_11]</v>
      </c>
      <c r="K94" s="51" t="str">
        <f t="shared" si="84"/>
        <v>42043~2.375~0.8~2.9</v>
      </c>
      <c r="L94" s="35" t="str">
        <f t="shared" si="85"/>
        <v>42043</v>
      </c>
      <c r="M94" s="35">
        <f t="shared" si="91"/>
        <v>2.3750000000000004</v>
      </c>
      <c r="N94" s="35">
        <v>0.8</v>
      </c>
      <c r="O94" s="35">
        <f t="shared" si="70"/>
        <v>2.9000000000000004</v>
      </c>
      <c r="P94" s="92" t="str" cm="1">
        <f t="array" ref="P94">_F_get_RS_Weather_pool($A94,$C94)</f>
        <v>420406~10~0~&lt;color=red&gt;阴转雷暴雨&lt;/color&gt;;420406~11~50~&lt;color=red&gt;小雨转雷暴雨&lt;/color&gt;;420406~12~100~&lt;color=red&gt;大雨转雷暴雨&lt;/color&gt;;420406~13~100~&lt;color=purple&gt;雷暴雨&lt;/color&gt;;420407~11~50~&lt;color=red&gt;小雨转雷暴雨&lt;/color&gt;;420407~12~100~&lt;color=red&gt;大雨转雷暴雨&lt;/color&gt;;420407~13~100~&lt;color=purple&gt;雷暴雨&lt;/color&gt;</v>
      </c>
      <c r="Q94" s="59">
        <v>0</v>
      </c>
      <c r="R94" s="51">
        <v>12263</v>
      </c>
      <c r="S94" s="59" t="s">
        <v>687</v>
      </c>
      <c r="T94" s="99" t="str" cm="1">
        <f t="array" ref="T94">_F_get_RS_Shop_pool(D94,C94)</f>
        <v>30111=1728;40113=1080</v>
      </c>
      <c r="U94" s="59" t="s">
        <v>761</v>
      </c>
      <c r="V94" s="51"/>
      <c r="W94" s="51" cm="1">
        <f t="array" ref="W94">_xlfn.SWITCH(D94,0,"","初始",1,"普通",INT(LOG(C94,8.2))+2,"最终",2,1)</f>
        <v>1</v>
      </c>
      <c r="X94" s="91" t="str" cm="1">
        <f t="array" ref="X94">_F_get_RS_MG_pool($D94,$C94,$AA94:$AL94)</f>
        <v>420850~1~50~&lt;color=purple&gt;渊齿巨鱼&lt;/color&gt;;420851~1~50~&lt;color=purple&gt;缠绕水藻&lt;/color&gt;;420852~1~50~&lt;color=purple&gt;金鱼之王&lt;/color&gt;</v>
      </c>
      <c r="Y94" s="43" t="str">
        <f t="shared" si="89"/>
        <v>Correct</v>
      </c>
      <c r="Z94" s="73" t="str" cm="1">
        <f t="array" ref="Z94">_xlfn.TEXTJOIN("; ",1,_xlfn.MAP(AA94:AL94,_xlfn.LAMBDA(_xlpm._i,_xlfn.XLOOKUP(_xlpm._i,tb_mg[id],tb_mg[备注],"-TBN-"))))</f>
        <v>渊齿巨鱼; 缠绕水藻; 金鱼之王</v>
      </c>
      <c r="AA94" s="71">
        <v>420850</v>
      </c>
      <c r="AB94" s="71">
        <v>420851</v>
      </c>
      <c r="AC94" s="71">
        <v>420852</v>
      </c>
      <c r="AP94" s="5"/>
      <c r="AR94" s="5"/>
    </row>
    <row r="95" spans="1:44">
      <c r="A95" s="5">
        <v>420466</v>
      </c>
      <c r="B95" s="90" t="str" cm="1">
        <f t="array" ref="B95">_F_get_world_name($A95)</f>
        <v>树梢</v>
      </c>
      <c r="C95" s="43">
        <f t="shared" si="66"/>
        <v>16</v>
      </c>
      <c r="D95" s="43" t="str">
        <f>VLOOKUP(MOD(A95,100),tb_scene_id_type[#All],3,1)</f>
        <v>精英</v>
      </c>
      <c r="E95" s="43" t="str">
        <f t="shared" si="86"/>
        <v>4C</v>
      </c>
      <c r="F95" s="43" t="str">
        <f>IFERROR(VLOOKUP(E95,tb_scene_name[],2,0),"")</f>
        <v>树海天阶</v>
      </c>
      <c r="G95" s="51" t="str">
        <f t="shared" si="82"/>
        <v>bgm_4c</v>
      </c>
      <c r="H95" s="51" t="str">
        <f t="shared" si="83"/>
        <v>42043</v>
      </c>
      <c r="I95" s="51" t="str">
        <f t="shared" si="67"/>
        <v>scene_4C</v>
      </c>
      <c r="J95" s="51" t="str">
        <f t="shared" si="87"/>
        <v>rs_scene_icon[ui_level_icon_thumbnail_11]</v>
      </c>
      <c r="K95" s="51" t="str">
        <f t="shared" si="84"/>
        <v>42043~2.4125~0.8~2.95</v>
      </c>
      <c r="L95" s="35" t="str">
        <f t="shared" si="85"/>
        <v>42043</v>
      </c>
      <c r="M95" s="35">
        <f t="shared" si="91"/>
        <v>2.4125000000000005</v>
      </c>
      <c r="N95" s="35">
        <v>0.8</v>
      </c>
      <c r="O95" s="35">
        <f t="shared" si="70"/>
        <v>2.95</v>
      </c>
      <c r="P95" s="92" t="str" cm="1">
        <f t="array" ref="P95">_F_get_RS_Weather_pool($A95,$C95)</f>
        <v>420407~11~50~&lt;color=red&gt;小雨转雷暴雨&lt;/color&gt;;420407~12~100~&lt;color=red&gt;大雨转雷暴雨&lt;/color&gt;;420407~13~100~&lt;color=purple&gt;雷暴雨&lt;/color&gt;;420407~11~0~&lt;color=red&gt;小雨转雷暴雨&lt;/color&gt;;420407~12~100~&lt;color=red&gt;大雨转雷暴雨&lt;/color&gt;;420407~13~100~&lt;color=purple&gt;雷暴雨&lt;/color&gt;</v>
      </c>
      <c r="Q95" s="59">
        <v>0</v>
      </c>
      <c r="R95" s="51">
        <v>14139</v>
      </c>
      <c r="S95" s="59" t="s">
        <v>687</v>
      </c>
      <c r="T95" s="99" t="str" cm="1">
        <f t="array" ref="T95">_F_get_RS_Shop_pool(D95,C95)</f>
        <v>40113=1080</v>
      </c>
      <c r="U95" s="59" t="s">
        <v>762</v>
      </c>
      <c r="V95" s="51"/>
      <c r="W95" s="51" cm="1">
        <f t="array" ref="W95">_xlfn.SWITCH(D95,0,"","初始",1,"普通",INT(LOG(C95,8.2))+2,"最终",2,1)</f>
        <v>1</v>
      </c>
      <c r="X95" s="91" t="str" cm="1">
        <f t="array" ref="X95">_F_get_RS_MG_pool($D95,$C95,$AA95:$AL95)</f>
        <v>420850~1~50~&lt;color=purple&gt;渊齿巨鱼&lt;/color&gt;;420851~1~50~&lt;color=purple&gt;缠绕水藻&lt;/color&gt;;420852~1~50~&lt;color=purple&gt;金鱼之王&lt;/color&gt;</v>
      </c>
      <c r="Y95" s="43" t="str">
        <f t="shared" si="89"/>
        <v>Correct</v>
      </c>
      <c r="Z95" s="73" t="str" cm="1">
        <f t="array" ref="Z95">_xlfn.TEXTJOIN("; ",1,_xlfn.MAP(AA95:AL95,_xlfn.LAMBDA(_xlpm._i,_xlfn.XLOOKUP(_xlpm._i,tb_mg[id],tb_mg[备注],"-TBN-"))))</f>
        <v>渊齿巨鱼; 缠绕水藻; 金鱼之王</v>
      </c>
      <c r="AA95" s="71">
        <v>420850</v>
      </c>
      <c r="AB95" s="71">
        <v>420851</v>
      </c>
      <c r="AC95" s="71">
        <v>420852</v>
      </c>
      <c r="AP95" s="5"/>
      <c r="AR95" s="5"/>
    </row>
    <row r="96" spans="1:44">
      <c r="A96" s="5">
        <v>420467</v>
      </c>
      <c r="B96" s="90" t="str" cm="1">
        <f t="array" ref="B96">_F_get_world_name($A96)</f>
        <v>树梢</v>
      </c>
      <c r="C96" s="43">
        <f t="shared" si="66"/>
        <v>17</v>
      </c>
      <c r="D96" s="43" t="str">
        <f>VLOOKUP(MOD(A96,100),tb_scene_id_type[#All],3,1)</f>
        <v>精英</v>
      </c>
      <c r="E96" s="43" t="str">
        <f t="shared" si="86"/>
        <v>4C</v>
      </c>
      <c r="F96" s="43" t="str">
        <f>IFERROR(VLOOKUP(E96,tb_scene_name[],2,0),"")</f>
        <v>树海天阶</v>
      </c>
      <c r="G96" s="51" t="str">
        <f t="shared" si="82"/>
        <v>bgm_4c</v>
      </c>
      <c r="H96" s="51" t="str">
        <f t="shared" si="83"/>
        <v>42043</v>
      </c>
      <c r="I96" s="51" t="str">
        <f t="shared" si="67"/>
        <v>scene_4C</v>
      </c>
      <c r="J96" s="51" t="str">
        <f t="shared" si="87"/>
        <v>rs_scene_icon[ui_level_icon_thumbnail_11]</v>
      </c>
      <c r="K96" s="51" t="str">
        <f t="shared" si="84"/>
        <v>42043~2.45~0.8~3</v>
      </c>
      <c r="L96" s="35" t="str">
        <f t="shared" si="85"/>
        <v>42043</v>
      </c>
      <c r="M96" s="35">
        <f t="shared" si="91"/>
        <v>2.4500000000000002</v>
      </c>
      <c r="N96" s="35">
        <v>0.8</v>
      </c>
      <c r="O96" s="35">
        <f t="shared" si="70"/>
        <v>3</v>
      </c>
      <c r="P96" s="92" t="str" cm="1">
        <f t="array" ref="P96">_F_get_RS_Weather_pool($A96,$C96)</f>
        <v>420407~11~0~&lt;color=red&gt;小雨转雷暴雨&lt;/color&gt;;420407~12~100~&lt;color=red&gt;大雨转雷暴雨&lt;/color&gt;;420407~13~100~&lt;color=purple&gt;雷暴雨&lt;/color&gt;;420408~12~100~&lt;color=red&gt;大雨转雷暴雨&lt;/color&gt;;420408~13~100~&lt;color=purple&gt;雷暴雨&lt;/color&gt;</v>
      </c>
      <c r="Q96" s="59">
        <v>0</v>
      </c>
      <c r="R96" s="51">
        <v>16204</v>
      </c>
      <c r="S96" s="59" t="s">
        <v>687</v>
      </c>
      <c r="T96" s="99" t="str" cm="1">
        <f t="array" ref="T96">_F_get_RS_Shop_pool(D96,C96)</f>
        <v>30111=1728;40113=1080</v>
      </c>
      <c r="U96" s="59" t="s">
        <v>763</v>
      </c>
      <c r="V96" s="51"/>
      <c r="W96" s="51" cm="1">
        <f t="array" ref="W96">_xlfn.SWITCH(D96,0,"","初始",1,"普通",INT(LOG(C96,8.2))+2,"最终",2,1)</f>
        <v>1</v>
      </c>
      <c r="X96" s="91" t="str" cm="1">
        <f t="array" ref="X96">_F_get_RS_MG_pool($D96,$C96,$AA96:$AL96)</f>
        <v>420850~1~50~&lt;color=purple&gt;渊齿巨鱼&lt;/color&gt;;420851~1~50~&lt;color=purple&gt;缠绕水藻&lt;/color&gt;;420852~1~50~&lt;color=purple&gt;金鱼之王&lt;/color&gt;</v>
      </c>
      <c r="Y96" s="43" t="str">
        <f t="shared" si="89"/>
        <v>Correct</v>
      </c>
      <c r="Z96" s="73" t="str" cm="1">
        <f t="array" ref="Z96">_xlfn.TEXTJOIN("; ",1,_xlfn.MAP(AA96:AL96,_xlfn.LAMBDA(_xlpm._i,_xlfn.XLOOKUP(_xlpm._i,tb_mg[id],tb_mg[备注],"-TBN-"))))</f>
        <v>渊齿巨鱼; 缠绕水藻; 金鱼之王</v>
      </c>
      <c r="AA96" s="71">
        <v>420850</v>
      </c>
      <c r="AB96" s="71">
        <v>420851</v>
      </c>
      <c r="AC96" s="71">
        <v>420852</v>
      </c>
      <c r="AP96" s="5"/>
      <c r="AR96" s="5"/>
    </row>
    <row r="97" spans="1:44">
      <c r="A97" s="5">
        <v>420468</v>
      </c>
      <c r="B97" s="90" t="str" cm="1">
        <f t="array" ref="B97">_F_get_world_name($A97)</f>
        <v>树梢</v>
      </c>
      <c r="C97" s="43">
        <f t="shared" si="66"/>
        <v>18</v>
      </c>
      <c r="D97" s="43" t="str">
        <f>VLOOKUP(MOD(A97,100),tb_scene_id_type[#All],3,1)</f>
        <v>精英</v>
      </c>
      <c r="E97" s="43" t="str">
        <f t="shared" si="86"/>
        <v>4C</v>
      </c>
      <c r="F97" s="43" t="str">
        <f>IFERROR(VLOOKUP(E97,tb_scene_name[],2,0),"")</f>
        <v>树海天阶</v>
      </c>
      <c r="G97" s="51" t="str">
        <f t="shared" si="82"/>
        <v>bgm_4c</v>
      </c>
      <c r="H97" s="51" t="str">
        <f t="shared" si="83"/>
        <v>42043</v>
      </c>
      <c r="I97" s="51" t="str">
        <f t="shared" si="67"/>
        <v>scene_4C</v>
      </c>
      <c r="J97" s="51" t="str">
        <f t="shared" si="87"/>
        <v>rs_scene_icon[ui_level_icon_thumbnail_11]</v>
      </c>
      <c r="K97" s="51" t="str">
        <f t="shared" si="84"/>
        <v>42043~2.4875~0.8~3.05</v>
      </c>
      <c r="L97" s="35" t="str">
        <f t="shared" si="85"/>
        <v>42043</v>
      </c>
      <c r="M97" s="35">
        <f>N97+(O97-N97)*0.75</f>
        <v>2.4874999999999998</v>
      </c>
      <c r="N97" s="35">
        <v>0.8</v>
      </c>
      <c r="O97" s="35">
        <f t="shared" si="70"/>
        <v>3.0500000000000003</v>
      </c>
      <c r="P97" s="92" t="str" cm="1">
        <f t="array" ref="P97">_F_get_RS_Weather_pool($A97,$C97)</f>
        <v>420408~12~100~&lt;color=red&gt;大雨转雷暴雨&lt;/color&gt;;420408~13~100~&lt;color=purple&gt;雷暴雨&lt;/color&gt;;420408~12~50~&lt;color=red&gt;大雨转雷暴雨&lt;/color&gt;;420408~13~100~&lt;color=purple&gt;雷暴雨&lt;/color&gt;</v>
      </c>
      <c r="Q97" s="59">
        <v>0</v>
      </c>
      <c r="R97" s="51">
        <v>18456</v>
      </c>
      <c r="S97" s="59" t="s">
        <v>687</v>
      </c>
      <c r="T97" s="99" t="str" cm="1">
        <f t="array" ref="T97">_F_get_RS_Shop_pool(D97,C97)</f>
        <v>30111=1728;40113=1080</v>
      </c>
      <c r="U97" s="59" t="s">
        <v>764</v>
      </c>
      <c r="V97" s="51"/>
      <c r="W97" s="51" cm="1">
        <f t="array" ref="W97">_xlfn.SWITCH(D97,0,"","初始",1,"普通",INT(LOG(C97,8.2))+2,"最终",2,1)</f>
        <v>1</v>
      </c>
      <c r="X97" s="91" t="str" cm="1">
        <f t="array" ref="X97">_F_get_RS_MG_pool($D97,$C97,$AA97:$AL97)</f>
        <v>420850~1~50~&lt;color=purple&gt;渊齿巨鱼&lt;/color&gt;;420851~1~50~&lt;color=purple&gt;缠绕水藻&lt;/color&gt;;420852~1~50~&lt;color=purple&gt;金鱼之王&lt;/color&gt;</v>
      </c>
      <c r="Y97" s="43" t="str">
        <f t="shared" si="89"/>
        <v>Correct</v>
      </c>
      <c r="Z97" s="73" t="str" cm="1">
        <f t="array" ref="Z97">_xlfn.TEXTJOIN("; ",1,_xlfn.MAP(AA97:AL97,_xlfn.LAMBDA(_xlpm._i,_xlfn.XLOOKUP(_xlpm._i,tb_mg[id],tb_mg[备注],"-TBN-"))))</f>
        <v>渊齿巨鱼; 缠绕水藻; 金鱼之王</v>
      </c>
      <c r="AA97" s="71">
        <v>420850</v>
      </c>
      <c r="AB97" s="71">
        <v>420851</v>
      </c>
      <c r="AC97" s="71">
        <v>420852</v>
      </c>
      <c r="AP97" s="5"/>
      <c r="AR97" s="5"/>
    </row>
    <row r="98" spans="1:44">
      <c r="A98" s="5">
        <v>420469</v>
      </c>
      <c r="B98" s="90" t="str" cm="1">
        <f t="array" ref="B98">_F_get_world_name($A98)</f>
        <v>树梢</v>
      </c>
      <c r="C98" s="43">
        <f t="shared" si="66"/>
        <v>19</v>
      </c>
      <c r="D98" s="43" t="str">
        <f>VLOOKUP(MOD(A98,100),tb_scene_id_type[#All],3,1)</f>
        <v>精英</v>
      </c>
      <c r="E98" s="43" t="str">
        <f t="shared" si="86"/>
        <v>4C</v>
      </c>
      <c r="F98" s="43" t="str">
        <f>IFERROR(VLOOKUP(E98,tb_scene_name[],2,0),"")</f>
        <v>树海天阶</v>
      </c>
      <c r="G98" s="51" t="str">
        <f t="shared" si="82"/>
        <v>bgm_4c</v>
      </c>
      <c r="H98" s="51" t="str">
        <f t="shared" si="83"/>
        <v>42043</v>
      </c>
      <c r="I98" s="51" t="str">
        <f t="shared" si="67"/>
        <v>scene_4C</v>
      </c>
      <c r="J98" s="51" t="str">
        <f t="shared" si="87"/>
        <v>rs_scene_icon[ui_level_icon_thumbnail_11]</v>
      </c>
      <c r="K98" s="51" t="str">
        <f t="shared" si="84"/>
        <v>42043~2.525~0.8~3.1</v>
      </c>
      <c r="L98" s="35" t="str">
        <f t="shared" si="85"/>
        <v>42043</v>
      </c>
      <c r="M98" s="35">
        <f t="shared" ref="M98" si="92">N98+(O98-N98)*0.75</f>
        <v>2.5249999999999999</v>
      </c>
      <c r="N98" s="35">
        <v>0.8</v>
      </c>
      <c r="O98" s="35">
        <f t="shared" si="70"/>
        <v>3.1</v>
      </c>
      <c r="P98" s="92" t="str" cm="1">
        <f t="array" ref="P98">_F_get_RS_Weather_pool($A98,$C98)</f>
        <v>420408~12~50~&lt;color=red&gt;大雨转雷暴雨&lt;/color&gt;;420408~13~100~&lt;color=purple&gt;雷暴雨&lt;/color&gt;;420409~13~100~&lt;color=purple&gt;雷暴雨&lt;/color&gt;</v>
      </c>
      <c r="Q98" s="59">
        <v>0</v>
      </c>
      <c r="R98" s="51">
        <v>20929</v>
      </c>
      <c r="S98" s="59" t="s">
        <v>687</v>
      </c>
      <c r="T98" s="99" t="str" cm="1">
        <f t="array" ref="T98">_F_get_RS_Shop_pool(D98,C98)</f>
        <v>40113=1080</v>
      </c>
      <c r="U98" s="59" t="s">
        <v>765</v>
      </c>
      <c r="V98" s="51"/>
      <c r="W98" s="51" cm="1">
        <f t="array" ref="W98">_xlfn.SWITCH(D98,0,"","初始",1,"普通",INT(LOG(C98,8.2))+2,"最终",2,1)</f>
        <v>1</v>
      </c>
      <c r="X98" s="91" t="str" cm="1">
        <f t="array" ref="X98">_F_get_RS_MG_pool($D98,$C98,$AA98:$AL98)</f>
        <v>420850~1~50~&lt;color=purple&gt;渊齿巨鱼&lt;/color&gt;;420851~1~50~&lt;color=purple&gt;缠绕水藻&lt;/color&gt;;420852~1~50~&lt;color=purple&gt;金鱼之王&lt;/color&gt;</v>
      </c>
      <c r="Y98" s="43" t="str">
        <f t="shared" si="89"/>
        <v>Correct</v>
      </c>
      <c r="Z98" s="73" t="str" cm="1">
        <f t="array" ref="Z98">_xlfn.TEXTJOIN("; ",1,_xlfn.MAP(AA98:AL98,_xlfn.LAMBDA(_xlpm._i,_xlfn.XLOOKUP(_xlpm._i,tb_mg[id],tb_mg[备注],"-TBN-"))))</f>
        <v>渊齿巨鱼; 缠绕水藻; 金鱼之王</v>
      </c>
      <c r="AA98" s="71">
        <v>420850</v>
      </c>
      <c r="AB98" s="71">
        <v>420851</v>
      </c>
      <c r="AC98" s="71">
        <v>420852</v>
      </c>
      <c r="AP98" s="5"/>
      <c r="AR98" s="5"/>
    </row>
    <row r="99" spans="1:44">
      <c r="B99" s="5"/>
      <c r="I99" s="51"/>
      <c r="J99" s="51"/>
      <c r="Q99" s="59"/>
      <c r="R99" s="59"/>
      <c r="V99" s="51"/>
      <c r="W99" s="51" t="str" cm="1">
        <f t="array" ref="W99">_xlfn.SWITCH(D99,0,"","初始",1,"普通",INT(LOG(C99,8.2))+2,"最终",2,1)</f>
        <v/>
      </c>
      <c r="X99" s="51"/>
      <c r="Y99" s="43" t="str">
        <f t="shared" si="89"/>
        <v/>
      </c>
      <c r="Z99" s="73" t="str" cm="1">
        <f t="array" ref="Z99">_xlfn.TEXTJOIN("; ",1,_xlfn.MAP(AA99:AL99,_xlfn.LAMBDA(_xlpm._i,_xlfn.XLOOKUP(_xlpm._i,tb_mg[id],tb_mg[备注],"-TBN-"))))</f>
        <v/>
      </c>
    </row>
    <row r="100" spans="1:44">
      <c r="A100" s="5">
        <v>420499</v>
      </c>
      <c r="B100" s="90" t="str" cm="1">
        <f t="array" ref="B100">_F_get_world_name($A100)</f>
        <v>树梢</v>
      </c>
      <c r="C100" s="43">
        <f t="shared" si="66"/>
        <v>20</v>
      </c>
      <c r="D100" s="43" t="str">
        <f>VLOOKUP(MOD(A100,100),tb_scene_id_type[#All],3,1)</f>
        <v>最终</v>
      </c>
      <c r="E100" s="43" t="str">
        <f t="shared" si="86"/>
        <v>4C</v>
      </c>
      <c r="F100" s="43" t="str">
        <f>IFERROR(VLOOKUP(E100,tb_scene_name[],2,0),"")</f>
        <v>树海天阶</v>
      </c>
      <c r="G100" s="51" t="str">
        <f t="shared" ref="G100" si="93">"bgm_"&amp;LOWER(E100)</f>
        <v>bgm_4c</v>
      </c>
      <c r="H100" s="51" t="str">
        <f t="shared" ref="H100" si="94">420&amp;LEFT(E100,1)&amp;_xlfn.UNICODE(RIGHT(E100,1))-64</f>
        <v>42043</v>
      </c>
      <c r="I100" s="51" t="str">
        <f t="shared" si="67"/>
        <v>scene_4C</v>
      </c>
      <c r="J100" s="51" t="str">
        <f t="shared" si="87"/>
        <v>rs_scene_icon[ui_level_icon_thumbnail_11]</v>
      </c>
      <c r="K100" s="51" t="str">
        <f t="shared" ref="K100" si="95">_xlfn.TEXTJOIN("~",1,L100:O100)</f>
        <v>42043~2.5625~0.8~3.15</v>
      </c>
      <c r="L100" s="35" t="str">
        <f t="shared" ref="L100" si="96">H100</f>
        <v>42043</v>
      </c>
      <c r="M100" s="35">
        <f t="shared" ref="M100" si="97">N100+(O100-N100)*0.75</f>
        <v>2.5625000000000004</v>
      </c>
      <c r="N100" s="35">
        <v>0.8</v>
      </c>
      <c r="O100" s="35">
        <f t="shared" si="70"/>
        <v>3.1500000000000004</v>
      </c>
      <c r="P100" s="92" t="str" cm="1">
        <f t="array" ref="P100">_F_get_RS_Weather_pool($A100,$C100)</f>
        <v>420409~13~100~&lt;color=purple&gt;雷暴雨&lt;/color&gt;;420409~13~50~&lt;color=purple&gt;雷暴雨&lt;/color&gt;</v>
      </c>
      <c r="Q100" s="59">
        <v>0</v>
      </c>
      <c r="R100" s="51">
        <v>23618</v>
      </c>
      <c r="S100" s="59" t="s">
        <v>780</v>
      </c>
      <c r="T100" s="99" t="str" cm="1">
        <f t="array" ref="T100">_F_get_RS_Shop_pool(D100,C100)</f>
        <v/>
      </c>
      <c r="U100" s="59"/>
      <c r="V100" s="51"/>
      <c r="W100" s="51" cm="1">
        <f t="array" ref="W100">_xlfn.SWITCH(D100,0,"","初始",1,"普通",INT(LOG(C100,8.2))+2,"最终",2,1)</f>
        <v>2</v>
      </c>
      <c r="X100" s="91" t="str" cm="1">
        <f t="array" ref="X100">_F_get_RS_MG_pool($D100,$C100,$AA100:$AL100)</f>
        <v>420850~1~75~&lt;color=purple&gt;渊齿巨鱼&lt;/color&gt;;420851~1~75~&lt;color=purple&gt;缠绕水藻&lt;/color&gt;;420852~1~75~&lt;color=purple&gt;金鱼之王&lt;/color&gt;</v>
      </c>
      <c r="Y100" s="43" t="str">
        <f t="shared" si="89"/>
        <v>Correct</v>
      </c>
      <c r="Z100" s="73" t="str" cm="1">
        <f t="array" ref="Z100">_xlfn.TEXTJOIN("; ",1,_xlfn.MAP(AA100:AL100,_xlfn.LAMBDA(_xlpm._i,_xlfn.XLOOKUP(_xlpm._i,tb_mg[id],tb_mg[备注],"-TBN-"))))</f>
        <v>渊齿巨鱼; 缠绕水藻; 金鱼之王</v>
      </c>
      <c r="AA100" s="71">
        <v>420850</v>
      </c>
      <c r="AB100" s="71">
        <v>420851</v>
      </c>
      <c r="AC100" s="71">
        <v>420852</v>
      </c>
      <c r="AP100" s="5"/>
      <c r="AR100" s="5"/>
    </row>
    <row r="101" spans="1:44">
      <c r="Q101" s="59"/>
      <c r="R101" s="59"/>
      <c r="V101" s="51"/>
      <c r="W101" s="51" t="str" cm="1">
        <f t="array" ref="W101">_xlfn.SWITCH(D101,0,"","初始",1,"普通",INT(LOG(C101,8.2))+2,"最终",2,1)</f>
        <v/>
      </c>
      <c r="X101" s="51" t="str" cm="1">
        <f t="array" ref="X101">_xlfn.LET(_xlpm._mg_len_coef,_xlfn.XLOOKUP($D101,tb_scene_type[类型],tb_scene_type[长度倍率],1)+$C101*_xlfn.XLOOKUP($D101,tb_scene_type[类型],tb_scene_type[场景序数加成],1),
_xlfn.TEXTJOIN(";",1,
    _xlfn.MAP($AA101:$AL101,_xlfn.LAMBDA(_xlpm.x,
        _xlfn.LET(_xlpm._not_null,_xlpm.x&lt;&gt;"",
            _xlpm._mg_len,MROUND(_xlfn.XLOOKUP(_xlpm.x,tb_mg[id],tb_mg[base_len],300)*_xlpm._mg_len_coef,5),
            _xlpm._ui_text,"~"&amp;_xlfn.XLOOKUP(_xlpm.x,tb_mg[id],tb_mg[选路ui文本],""),
            IF(_xlpm._not_null,_xlfn.TEXTJOIN("~",1,_xlpm.x,1,_xlpm._mg_len,)&amp;_xlpm._ui_text,""))))))</f>
        <v/>
      </c>
      <c r="Y101" s="43" t="str">
        <f t="shared" si="89"/>
        <v/>
      </c>
      <c r="Z101" s="73" t="str" cm="1">
        <f t="array" ref="Z101">_xlfn.TEXTJOIN("; ",1,_xlfn.MAP(AA101:AL101,_xlfn.LAMBDA(_xlpm._i,_xlfn.XLOOKUP(_xlpm._i,tb_mg[id],tb_mg[备注],"-TBN-"))))</f>
        <v/>
      </c>
    </row>
    <row r="102" spans="1:44">
      <c r="Q102" s="59"/>
      <c r="R102" s="59"/>
      <c r="V102" s="51"/>
      <c r="W102" s="51" t="str" cm="1">
        <f t="array" ref="W102">_xlfn.SWITCH(D102,0,"","初始",1,"普通",INT(LOG(C102,8.2))+2,"最终",2,1)</f>
        <v/>
      </c>
      <c r="X102" s="51" t="str" cm="1">
        <f t="array" ref="X102">_xlfn.LET(_xlpm._mg_len_coef,_xlfn.XLOOKUP($D102,tb_scene_type[类型],tb_scene_type[长度倍率],1)+$C102*_xlfn.XLOOKUP($D102,tb_scene_type[类型],tb_scene_type[场景序数加成],1),
_xlfn.TEXTJOIN(";",1,
    _xlfn.MAP($AA102:$AL102,_xlfn.LAMBDA(_xlpm.x,
        _xlfn.LET(_xlpm._not_null,_xlpm.x&lt;&gt;"",
            _xlpm._mg_len,MROUND(_xlfn.XLOOKUP(_xlpm.x,tb_mg[id],tb_mg[base_len],300)*_xlpm._mg_len_coef,5),
            _xlpm._ui_text,"~"&amp;_xlfn.XLOOKUP(_xlpm.x,tb_mg[id],tb_mg[选路ui文本],""),
            IF(_xlpm._not_null,_xlfn.TEXTJOIN("~",1,_xlpm.x,1,_xlpm._mg_len,)&amp;_xlpm._ui_text,""))))))</f>
        <v/>
      </c>
      <c r="Y102" s="43" t="str">
        <f t="shared" si="89"/>
        <v/>
      </c>
      <c r="Z102" s="73" t="str" cm="1">
        <f t="array" ref="Z102">_xlfn.TEXTJOIN("; ",1,_xlfn.MAP(AA102:AL102,_xlfn.LAMBDA(_xlpm._i,_xlfn.XLOOKUP(_xlpm._i,tb_mg[id],tb_mg[备注],"-TBN-"))))</f>
        <v/>
      </c>
    </row>
    <row r="103" spans="1:44">
      <c r="Q103" s="59"/>
      <c r="R103" s="59"/>
      <c r="V103" s="51"/>
      <c r="W103" s="51" t="str" cm="1">
        <f t="array" ref="W103">_xlfn.SWITCH(D103,0,"","初始",1,"普通",INT(LOG(C103,8.2))+2,"最终",2,1)</f>
        <v/>
      </c>
      <c r="X103" s="51" t="str" cm="1">
        <f t="array" ref="X103">_xlfn.LET(_xlpm._mg_len_coef,_xlfn.XLOOKUP($D103,tb_scene_type[类型],tb_scene_type[长度倍率],1)+$C103*_xlfn.XLOOKUP($D103,tb_scene_type[类型],tb_scene_type[场景序数加成],1),
_xlfn.TEXTJOIN(";",1,
    _xlfn.MAP($AA103:$AL103,_xlfn.LAMBDA(_xlpm.x,
        _xlfn.LET(_xlpm._not_null,_xlpm.x&lt;&gt;"",
            _xlpm._mg_len,MROUND(_xlfn.XLOOKUP(_xlpm.x,tb_mg[id],tb_mg[base_len],300)*_xlpm._mg_len_coef,5),
            _xlpm._ui_text,"~"&amp;_xlfn.XLOOKUP(_xlpm.x,tb_mg[id],tb_mg[选路ui文本],""),
            IF(_xlpm._not_null,_xlfn.TEXTJOIN("~",1,_xlpm.x,1,_xlpm._mg_len,)&amp;_xlpm._ui_text,""))))))</f>
        <v/>
      </c>
      <c r="Y103" s="43" t="str">
        <f t="shared" si="89"/>
        <v/>
      </c>
      <c r="Z103" s="73" t="str" cm="1">
        <f t="array" ref="Z103">_xlfn.TEXTJOIN("; ",1,_xlfn.MAP(AA103:AL103,_xlfn.LAMBDA(_xlpm._i,_xlfn.XLOOKUP(_xlpm._i,tb_mg[id],tb_mg[备注],"-TBN-"))))</f>
        <v/>
      </c>
    </row>
    <row r="104" spans="1:44">
      <c r="A104" s="5">
        <v>420701</v>
      </c>
      <c r="B104" s="90" t="str" cm="1">
        <f t="array" ref="B104">_F_get_world_name($A104)</f>
        <v>荒漠</v>
      </c>
      <c r="C104" s="43">
        <f t="shared" ref="C104:C123" si="98">IF(MOD(A104,100)&gt;90,20,MOD(A104,50))</f>
        <v>1</v>
      </c>
      <c r="D104" s="43" t="str">
        <f>VLOOKUP(MOD(A104,100),tb_scene_id_type[#All],3,1)</f>
        <v>初始</v>
      </c>
      <c r="E104" s="43" t="str">
        <f t="shared" ref="E104:E140" si="99">MID(A104,4,1)&amp;CHAR(INT((C104-1)/7+1)+64)</f>
        <v>7A</v>
      </c>
      <c r="F104" s="43" t="str">
        <f>IFERROR(VLOOKUP(E104,tb_scene_name[],2,0),"")</f>
        <v>烈阳沙林</v>
      </c>
      <c r="G104" s="51" t="str">
        <f t="shared" ref="G104:G142" si="100">"bgm_"&amp;LOWER(E104)</f>
        <v>bgm_7a</v>
      </c>
      <c r="H104" s="51" t="str">
        <f t="shared" ref="H104:H113" si="101">420&amp;LEFT(E104,1)&amp;_xlfn.UNICODE(RIGHT(E104,1))-64</f>
        <v>42071</v>
      </c>
      <c r="I104" s="51" t="str">
        <f>"scene_"&amp;$E104</f>
        <v>scene_7A</v>
      </c>
      <c r="J104" s="51" t="str">
        <f>_xlfn.LET(_xlpm._id,(LEFT($E104,1)-1)*3+_xlfn.UNICODE(RIGHT($E104,1))-65,
_xlfn.CONCAT("rs_scene_icon[ui_level_icon_thumbnail_",_xlpm._id,"]"))</f>
        <v>rs_scene_icon[ui_level_icon_thumbnail_18]</v>
      </c>
      <c r="K104" s="51" t="str">
        <f t="shared" ref="K104:K123" si="102">_xlfn.TEXTJOIN("~",1,L104:O104)</f>
        <v>42071~1.85~0.8~2.2</v>
      </c>
      <c r="L104" s="35" t="str">
        <f t="shared" ref="L104:L123" si="103">H104</f>
        <v>42071</v>
      </c>
      <c r="M104" s="35">
        <f>N104+(O104-N104)*0.75</f>
        <v>1.85</v>
      </c>
      <c r="N104" s="35">
        <v>0.8</v>
      </c>
      <c r="O104" s="35">
        <f>MIN(3.2,2.2+(C104-1)*0.05)</f>
        <v>2.2000000000000002</v>
      </c>
      <c r="P104" s="92" t="str" cm="1">
        <f t="array" ref="P104">_F_get_RS_Weather_pool($A104,$C104)</f>
        <v>420701~0~100~&lt;color=grey&gt;晴空万里&lt;/color&gt;</v>
      </c>
      <c r="Q104" s="59">
        <v>0</v>
      </c>
      <c r="R104" s="51">
        <f>_xlfn.XLOOKUP(C104,tb_enemy_mod[scene_index],tb_enemy_mod[hp_mod],1000)</f>
        <v>1000</v>
      </c>
      <c r="S104" s="59" t="s">
        <v>687</v>
      </c>
      <c r="T104" s="99" t="str" cm="1">
        <f t="array" ref="T104">_F_get_RS_Shop_pool(D104,C104)</f>
        <v>30103=8640</v>
      </c>
      <c r="U104" s="59" t="s">
        <v>749</v>
      </c>
      <c r="V104" s="51"/>
      <c r="W104" s="51" cm="1">
        <f t="array" ref="W104">_xlfn.SWITCH(D104,0,"","初始",1,"普通",INT(LOG(C104,8.2))+2,"最终",2,1)</f>
        <v>1</v>
      </c>
      <c r="X104" s="91" t="str" cm="1">
        <f t="array" ref="X104">_F_get_RS_MG_pool($D104,$C104,$AA104:$AL104)</f>
        <v>420701~1~300~</v>
      </c>
      <c r="Y104" s="43" t="str">
        <f t="shared" si="89"/>
        <v>Correct</v>
      </c>
      <c r="Z104" s="73" t="str" cm="1">
        <f t="array" ref="Z104">_xlfn.TEXTJOIN("; ",1,_xlfn.MAP(AA104:AL104,_xlfn.LAMBDA(_xlpm._i,_xlfn.XLOOKUP(_xlpm._i,tb_mg[id],tb_mg[备注],"-TBN-"))))</f>
        <v>基础守卫</v>
      </c>
      <c r="AA104" s="57">
        <v>420701</v>
      </c>
      <c r="AP104" s="5"/>
      <c r="AR104" s="5"/>
    </row>
    <row r="105" spans="1:44">
      <c r="B105" s="5"/>
      <c r="I105" s="51"/>
      <c r="Q105" s="59"/>
      <c r="R105" s="59"/>
      <c r="V105" s="51"/>
      <c r="W105" s="51" t="str" cm="1">
        <f t="array" ref="W105">_xlfn.SWITCH(D105,0,"","初始",1,"普通",INT(LOG(C105,8.2))+2,"最终",2,1)</f>
        <v/>
      </c>
      <c r="X105" s="51"/>
      <c r="Y105" s="43" t="str">
        <f t="shared" si="89"/>
        <v/>
      </c>
      <c r="Z105" s="73" t="str" cm="1">
        <f t="array" ref="Z105">_xlfn.TEXTJOIN("; ",1,_xlfn.MAP(AA105:AL105,_xlfn.LAMBDA(_xlpm._i,_xlfn.XLOOKUP(_xlpm._i,tb_mg[id],tb_mg[备注],"-TBN-"))))</f>
        <v/>
      </c>
    </row>
    <row r="106" spans="1:44">
      <c r="A106" s="5">
        <v>420702</v>
      </c>
      <c r="B106" s="90" t="str" cm="1">
        <f t="array" ref="B106">_F_get_world_name($A106)</f>
        <v>荒漠</v>
      </c>
      <c r="C106" s="43">
        <f t="shared" si="98"/>
        <v>2</v>
      </c>
      <c r="D106" s="43" t="str">
        <f>VLOOKUP(MOD(A106,100),tb_scene_id_type[#All],3,1)</f>
        <v>普通</v>
      </c>
      <c r="E106" s="43" t="str">
        <f t="shared" si="99"/>
        <v>7A</v>
      </c>
      <c r="F106" s="43" t="str">
        <f>IFERROR(VLOOKUP(E106,tb_scene_name[],2,0),"")</f>
        <v>烈阳沙林</v>
      </c>
      <c r="G106" s="51" t="str">
        <f t="shared" si="100"/>
        <v>bgm_7a</v>
      </c>
      <c r="H106" s="51" t="str">
        <f t="shared" si="101"/>
        <v>42071</v>
      </c>
      <c r="I106" s="51" t="str">
        <f t="shared" ref="I106:I142" si="104">"scene_"&amp;$E106</f>
        <v>scene_7A</v>
      </c>
      <c r="J106" s="51" t="str">
        <f>_xlfn.LET(_xlpm._id,(LEFT($E106,1)-1)*3+_xlfn.UNICODE(RIGHT($E106,1))-65,
_xlfn.CONCAT("rs_scene_icon[ui_level_icon_thumbnail_",_xlpm._id,"]"))</f>
        <v>rs_scene_icon[ui_level_icon_thumbnail_18]</v>
      </c>
      <c r="K106" s="51" t="str">
        <f t="shared" si="102"/>
        <v>42071~1.8875~0.8~2.25</v>
      </c>
      <c r="L106" s="35" t="str">
        <f t="shared" si="103"/>
        <v>42071</v>
      </c>
      <c r="M106" s="35">
        <f t="shared" ref="M106:M123" si="105">N106+(O106-N106)*0.75</f>
        <v>1.8875</v>
      </c>
      <c r="N106" s="35">
        <v>0.8</v>
      </c>
      <c r="O106" s="35">
        <f>MIN(3.2,2.2+(C106-1)*0.05)</f>
        <v>2.25</v>
      </c>
      <c r="P106" s="92" t="str" cm="1">
        <f t="array" ref="P106">_F_get_RS_Weather_pool($A106,$C106)</f>
        <v>420701~0~100~&lt;color=grey&gt;晴空万里&lt;/color&gt;;420702~0~100~&lt;color=grey&gt;晴转阴&lt;/color&gt;;420702~10~0~&lt;color=grey&gt;阴&lt;/color&gt;</v>
      </c>
      <c r="Q106" s="59">
        <v>889</v>
      </c>
      <c r="R106" s="51">
        <v>1000</v>
      </c>
      <c r="S106" s="59" t="s">
        <v>635</v>
      </c>
      <c r="T106" s="99" t="str" cm="1">
        <f t="array" ref="T106">_F_get_RS_Shop_pool(D106,C106)</f>
        <v>20005=32256;30007=20160</v>
      </c>
      <c r="U106" s="59" t="s">
        <v>731</v>
      </c>
      <c r="V106" s="51"/>
      <c r="W106" s="51" cm="1">
        <f t="array" ref="W106">_xlfn.SWITCH(D106,0,"","初始",1,"普通",INT(LOG(C106,8.2))+2,"最终",2,1)</f>
        <v>2</v>
      </c>
      <c r="X106" s="91" t="str" cm="1">
        <f t="array" ref="X106">_F_get_RS_MG_pool($D106,$C106,$AA106:$AL106)</f>
        <v>420702~1~305~;420703~1~305~</v>
      </c>
      <c r="Y106" s="43" t="str">
        <f t="shared" si="89"/>
        <v>Correct</v>
      </c>
      <c r="Z106" s="73" t="str" cm="1">
        <f t="array" ref="Z106">_xlfn.TEXTJOIN("; ",1,_xlfn.MAP(AA106:AL106,_xlfn.LAMBDA(_xlpm._i,_xlfn.XLOOKUP(_xlpm._i,tb_mg[id],tb_mg[备注],"-TBN-"))))</f>
        <v>仙人掌群; 风滚草群</v>
      </c>
      <c r="AA106" s="57">
        <v>420702</v>
      </c>
      <c r="AB106" s="57">
        <v>420703</v>
      </c>
      <c r="AP106" s="5"/>
      <c r="AR106" s="5"/>
    </row>
    <row r="107" spans="1:44">
      <c r="A107" s="5">
        <v>420703</v>
      </c>
      <c r="B107" s="90" t="str" cm="1">
        <f t="array" ref="B107">_F_get_world_name($A107)</f>
        <v>荒漠</v>
      </c>
      <c r="C107" s="43">
        <f t="shared" si="98"/>
        <v>3</v>
      </c>
      <c r="D107" s="43" t="str">
        <f>VLOOKUP(MOD(A107,100),tb_scene_id_type[#All],3,1)</f>
        <v>普通</v>
      </c>
      <c r="E107" s="43" t="str">
        <f t="shared" si="99"/>
        <v>7A</v>
      </c>
      <c r="F107" s="43" t="str">
        <f>IFERROR(VLOOKUP(E107,tb_scene_name[],2,0),"")</f>
        <v>烈阳沙林</v>
      </c>
      <c r="G107" s="51" t="str">
        <f t="shared" si="100"/>
        <v>bgm_7a</v>
      </c>
      <c r="H107" s="51" t="str">
        <f t="shared" si="101"/>
        <v>42071</v>
      </c>
      <c r="I107" s="51" t="str">
        <f t="shared" si="104"/>
        <v>scene_7A</v>
      </c>
      <c r="J107" s="51" t="str">
        <f t="shared" ref="J107:J123" si="106">_xlfn.LET(_xlpm._id,(LEFT($E107,1)-1)*3+_xlfn.UNICODE(RIGHT($E107,1))-65,
_xlfn.CONCAT("rs_scene_icon[ui_level_icon_thumbnail_",_xlpm._id,"]"))</f>
        <v>rs_scene_icon[ui_level_icon_thumbnail_18]</v>
      </c>
      <c r="K107" s="51" t="str">
        <f t="shared" si="102"/>
        <v>42071~1.925~0.8~2.3</v>
      </c>
      <c r="L107" s="35" t="str">
        <f t="shared" si="103"/>
        <v>42071</v>
      </c>
      <c r="M107" s="35">
        <f t="shared" si="105"/>
        <v>1.9250000000000003</v>
      </c>
      <c r="N107" s="35">
        <v>0.8</v>
      </c>
      <c r="O107" s="35">
        <f t="shared" ref="O107:O142" si="107">MIN(3.2,2.2+(C107-1)*0.05)</f>
        <v>2.3000000000000003</v>
      </c>
      <c r="P107" s="92" t="str" cm="1">
        <f t="array" ref="P107">_F_get_RS_Weather_pool($A107,$C107)</f>
        <v>420702~0~100~&lt;color=grey&gt;晴转阴&lt;/color&gt;;420702~10~0~&lt;color=grey&gt;阴&lt;/color&gt;;420702~0~100~&lt;color=grey&gt;晴转阴&lt;/color&gt;;420702~10~50~&lt;color=grey&gt;阴&lt;/color&gt;</v>
      </c>
      <c r="Q107" s="59">
        <v>1097</v>
      </c>
      <c r="R107" s="51">
        <v>1044</v>
      </c>
      <c r="S107" s="59" t="s">
        <v>635</v>
      </c>
      <c r="T107" s="99" t="str" cm="1">
        <f t="array" ref="T107">_F_get_RS_Shop_pool(D107,C107)</f>
        <v>20005=32256;30007=20160</v>
      </c>
      <c r="U107" s="59" t="s">
        <v>732</v>
      </c>
      <c r="V107" s="51"/>
      <c r="W107" s="51" cm="1">
        <f t="array" ref="W107">_xlfn.SWITCH(D107,0,"","初始",1,"普通",INT(LOG(C107,8.2))+2,"最终",2,1)</f>
        <v>2</v>
      </c>
      <c r="X107" s="91" t="str" cm="1">
        <f t="array" ref="X107">_F_get_RS_MG_pool($D107,$C107,$AA107:$AL107)</f>
        <v>420701~1~310~;420702~1~310~;420703~1~310~</v>
      </c>
      <c r="Y107" s="43" t="str">
        <f t="shared" si="89"/>
        <v>Correct</v>
      </c>
      <c r="Z107" s="73" t="str" cm="1">
        <f t="array" ref="Z107">_xlfn.TEXTJOIN("; ",1,_xlfn.MAP(AA107:AL107,_xlfn.LAMBDA(_xlpm._i,_xlfn.XLOOKUP(_xlpm._i,tb_mg[id],tb_mg[备注],"-TBN-"))))</f>
        <v>基础守卫; 仙人掌群; 风滚草群</v>
      </c>
      <c r="AA107" s="57">
        <v>420701</v>
      </c>
      <c r="AB107" s="57">
        <v>420702</v>
      </c>
      <c r="AC107" s="57">
        <v>420703</v>
      </c>
      <c r="AP107" s="5"/>
      <c r="AR107" s="5"/>
    </row>
    <row r="108" spans="1:44">
      <c r="A108" s="5">
        <v>420704</v>
      </c>
      <c r="B108" s="90" t="str" cm="1">
        <f t="array" ref="B108">_F_get_world_name($A108)</f>
        <v>荒漠</v>
      </c>
      <c r="C108" s="43">
        <f t="shared" si="98"/>
        <v>4</v>
      </c>
      <c r="D108" s="43" t="str">
        <f>VLOOKUP(MOD(A108,100),tb_scene_id_type[#All],3,1)</f>
        <v>普通</v>
      </c>
      <c r="E108" s="43" t="str">
        <f t="shared" si="99"/>
        <v>7A</v>
      </c>
      <c r="F108" s="43" t="str">
        <f>IFERROR(VLOOKUP(E108,tb_scene_name[],2,0),"")</f>
        <v>烈阳沙林</v>
      </c>
      <c r="G108" s="51" t="str">
        <f t="shared" si="100"/>
        <v>bgm_7a</v>
      </c>
      <c r="H108" s="51" t="str">
        <f t="shared" si="101"/>
        <v>42071</v>
      </c>
      <c r="I108" s="51" t="str">
        <f t="shared" si="104"/>
        <v>scene_7A</v>
      </c>
      <c r="J108" s="51" t="str">
        <f t="shared" si="106"/>
        <v>rs_scene_icon[ui_level_icon_thumbnail_18]</v>
      </c>
      <c r="K108" s="51" t="str">
        <f t="shared" si="102"/>
        <v>42071~1.9625~0.8~2.35</v>
      </c>
      <c r="L108" s="35" t="str">
        <f t="shared" si="103"/>
        <v>42071</v>
      </c>
      <c r="M108" s="35">
        <f t="shared" si="105"/>
        <v>1.9625000000000001</v>
      </c>
      <c r="N108" s="35">
        <v>0.8</v>
      </c>
      <c r="O108" s="35">
        <f t="shared" si="107"/>
        <v>2.35</v>
      </c>
      <c r="P108" s="92" t="str" cm="1">
        <f t="array" ref="P108">_F_get_RS_Weather_pool($A108,$C108)</f>
        <v>420702~0~100~&lt;color=grey&gt;晴转阴&lt;/color&gt;;420702~10~50~&lt;color=grey&gt;阴&lt;/color&gt;;420703~0~100~&lt;color=#999900&gt;晴转小雨&lt;/color&gt;;420703~10~50~&lt;color=#999900&gt;阴转小雨&lt;/color&gt;;420703~11~0~&lt;color=#999900&gt;小雨&lt;/color&gt;</v>
      </c>
      <c r="Q108" s="59">
        <v>1311</v>
      </c>
      <c r="R108" s="51">
        <v>1438</v>
      </c>
      <c r="S108" s="59" t="s">
        <v>687</v>
      </c>
      <c r="T108" s="99" t="str" cm="1">
        <f t="array" ref="T108">_F_get_RS_Shop_pool(D108,C108)</f>
        <v>40113=1080</v>
      </c>
      <c r="U108" s="59" t="s">
        <v>733</v>
      </c>
      <c r="V108" s="51"/>
      <c r="W108" s="51" cm="1">
        <f t="array" ref="W108">_xlfn.SWITCH(D108,0,"","初始",1,"普通",INT(LOG(C108,8.2))+2,"最终",2,1)</f>
        <v>2</v>
      </c>
      <c r="X108" s="91" t="str" cm="1">
        <f t="array" ref="X108">_F_get_RS_MG_pool($D108,$C108,$AA108:$AL108)</f>
        <v>420701~1~310~;420702~1~310~;420703~1~310~</v>
      </c>
      <c r="Y108" s="43" t="str">
        <f t="shared" si="89"/>
        <v>Correct</v>
      </c>
      <c r="Z108" s="73" t="str" cm="1">
        <f t="array" ref="Z108">_xlfn.TEXTJOIN("; ",1,_xlfn.MAP(AA108:AL108,_xlfn.LAMBDA(_xlpm._i,_xlfn.XLOOKUP(_xlpm._i,tb_mg[id],tb_mg[备注],"-TBN-"))))</f>
        <v>基础守卫; 仙人掌群; 风滚草群</v>
      </c>
      <c r="AA108" s="57">
        <v>420701</v>
      </c>
      <c r="AB108" s="57">
        <v>420702</v>
      </c>
      <c r="AC108" s="57">
        <v>420703</v>
      </c>
      <c r="AP108" s="5"/>
      <c r="AR108" s="5"/>
    </row>
    <row r="109" spans="1:44">
      <c r="A109" s="5">
        <v>420705</v>
      </c>
      <c r="B109" s="90" t="str" cm="1">
        <f t="array" ref="B109">_F_get_world_name($A109)</f>
        <v>荒漠</v>
      </c>
      <c r="C109" s="43">
        <f t="shared" si="98"/>
        <v>5</v>
      </c>
      <c r="D109" s="43" t="str">
        <f>VLOOKUP(MOD(A109,100),tb_scene_id_type[#All],3,1)</f>
        <v>普通</v>
      </c>
      <c r="E109" s="43" t="str">
        <f t="shared" si="99"/>
        <v>7A</v>
      </c>
      <c r="F109" s="43" t="str">
        <f>IFERROR(VLOOKUP(E109,tb_scene_name[],2,0),"")</f>
        <v>烈阳沙林</v>
      </c>
      <c r="G109" s="51" t="str">
        <f t="shared" si="100"/>
        <v>bgm_7a</v>
      </c>
      <c r="H109" s="51" t="str">
        <f t="shared" si="101"/>
        <v>42071</v>
      </c>
      <c r="I109" s="51" t="str">
        <f t="shared" si="104"/>
        <v>scene_7A</v>
      </c>
      <c r="J109" s="51" t="str">
        <f t="shared" si="106"/>
        <v>rs_scene_icon[ui_level_icon_thumbnail_18]</v>
      </c>
      <c r="K109" s="51" t="str">
        <f t="shared" si="102"/>
        <v>42071~2~0.8~2.4</v>
      </c>
      <c r="L109" s="35" t="str">
        <f t="shared" si="103"/>
        <v>42071</v>
      </c>
      <c r="M109" s="35">
        <f t="shared" si="105"/>
        <v>2</v>
      </c>
      <c r="N109" s="35">
        <v>0.8</v>
      </c>
      <c r="O109" s="35">
        <f t="shared" si="107"/>
        <v>2.4000000000000004</v>
      </c>
      <c r="P109" s="92" t="str" cm="1">
        <f t="array" ref="P109">_F_get_RS_Weather_pool($A109,$C109)</f>
        <v>420703~0~100~&lt;color=#999900&gt;晴转小雨&lt;/color&gt;;420703~10~50~&lt;color=#999900&gt;阴转小雨&lt;/color&gt;;420703~11~0~&lt;color=#999900&gt;小雨&lt;/color&gt;;420703~0~100~&lt;color=#999900&gt;晴转小雨&lt;/color&gt;;420703~10~50~&lt;color=#999900&gt;阴转小雨&lt;/color&gt;;420703~11~50~&lt;color=#999900&gt;小雨&lt;/color&gt;</v>
      </c>
      <c r="Q109" s="59">
        <v>1554</v>
      </c>
      <c r="R109" s="51">
        <v>1887</v>
      </c>
      <c r="S109" s="59" t="s">
        <v>583</v>
      </c>
      <c r="T109" s="99" t="str" cm="1">
        <f t="array" ref="T109">_F_get_RS_Shop_pool(D109,C109)</f>
        <v>10001=36864;20011=4608;20003=23040;30013=2880;20005=32256;30015=4032;30007=20160;40017=2520</v>
      </c>
      <c r="U109" s="59" t="s">
        <v>734</v>
      </c>
      <c r="V109" s="51"/>
      <c r="W109" s="51" cm="1">
        <f t="array" ref="W109">_xlfn.SWITCH(D109,0,"","初始",1,"普通",INT(LOG(C109,8.2))+2,"最终",2,1)</f>
        <v>2</v>
      </c>
      <c r="X109" s="91" t="str" cm="1">
        <f t="array" ref="X109">_F_get_RS_MG_pool($D109,$C109,$AA109:$AL109)</f>
        <v>420701~1~315~;420702~1~315~;420703~1~315~;420712~1~315~;420714~1~315~</v>
      </c>
      <c r="Y109" s="43" t="str">
        <f t="shared" si="89"/>
        <v>Correct</v>
      </c>
      <c r="Z109" s="73" t="str" cm="1">
        <f t="array" ref="Z109">_xlfn.TEXTJOIN("; ",1,_xlfn.MAP(AA109:AL109,_xlfn.LAMBDA(_xlpm._i,_xlfn.XLOOKUP(_xlpm._i,tb_mg[id],tb_mg[备注],"-TBN-"))))</f>
        <v>基础守卫; 仙人掌群; 风滚草群; 沙漠毒蝎; 涂涂鸟群</v>
      </c>
      <c r="AA109" s="57">
        <v>420701</v>
      </c>
      <c r="AB109" s="57">
        <v>420702</v>
      </c>
      <c r="AC109" s="57">
        <v>420703</v>
      </c>
      <c r="AD109" s="57">
        <v>420712</v>
      </c>
      <c r="AE109" s="57">
        <v>420714</v>
      </c>
      <c r="AP109" s="5"/>
      <c r="AR109" s="5"/>
    </row>
    <row r="110" spans="1:44">
      <c r="A110" s="5">
        <v>420706</v>
      </c>
      <c r="B110" s="90" t="str" cm="1">
        <f t="array" ref="B110">_F_get_world_name($A110)</f>
        <v>荒漠</v>
      </c>
      <c r="C110" s="43">
        <f t="shared" si="98"/>
        <v>6</v>
      </c>
      <c r="D110" s="43" t="str">
        <f>VLOOKUP(MOD(A110,100),tb_scene_id_type[#All],3,1)</f>
        <v>普通</v>
      </c>
      <c r="E110" s="43" t="str">
        <f t="shared" si="99"/>
        <v>7A</v>
      </c>
      <c r="F110" s="43" t="str">
        <f>IFERROR(VLOOKUP(E110,tb_scene_name[],2,0),"")</f>
        <v>烈阳沙林</v>
      </c>
      <c r="G110" s="51" t="str">
        <f t="shared" si="100"/>
        <v>bgm_7a</v>
      </c>
      <c r="H110" s="51" t="str">
        <f t="shared" si="101"/>
        <v>42071</v>
      </c>
      <c r="I110" s="51" t="str">
        <f t="shared" si="104"/>
        <v>scene_7A</v>
      </c>
      <c r="J110" s="51" t="str">
        <f t="shared" si="106"/>
        <v>rs_scene_icon[ui_level_icon_thumbnail_18]</v>
      </c>
      <c r="K110" s="51" t="str">
        <f t="shared" si="102"/>
        <v>42071~2.0375~0.8~2.45</v>
      </c>
      <c r="L110" s="35" t="str">
        <f t="shared" si="103"/>
        <v>42071</v>
      </c>
      <c r="M110" s="35">
        <f t="shared" si="105"/>
        <v>2.0375000000000001</v>
      </c>
      <c r="N110" s="35">
        <v>0.8</v>
      </c>
      <c r="O110" s="35">
        <f t="shared" si="107"/>
        <v>2.4500000000000002</v>
      </c>
      <c r="P110" s="92" t="str" cm="1">
        <f t="array" ref="P110">_F_get_RS_Weather_pool($A110,$C110)</f>
        <v>420703~0~100~&lt;color=#999900&gt;晴转小雨&lt;/color&gt;;420703~10~50~&lt;color=#999900&gt;阴转小雨&lt;/color&gt;;420703~11~50~&lt;color=#999900&gt;小雨&lt;/color&gt;;420704~0~100~&lt;color=orange&gt;晴转大雨&lt;/color&gt;;420704~10~50~&lt;color=orange&gt;阴转大雨&lt;/color&gt;;420704~11~50~&lt;color=orange&gt;小雨渐大&lt;/color&gt;;420704~12~0~&lt;color=orange&gt;大雨倾盆&lt;/color&gt;</v>
      </c>
      <c r="Q110" s="59">
        <v>1801</v>
      </c>
      <c r="R110" s="51">
        <v>2404</v>
      </c>
      <c r="S110" s="59" t="s">
        <v>583</v>
      </c>
      <c r="T110" s="99" t="str" cm="1">
        <f t="array" ref="T110">_F_get_RS_Shop_pool(D110,C110)</f>
        <v>10001=36864;20011=4608;20003=23040;30013=2880;20005=32256;30015=4032;30007=20160;40017=2520</v>
      </c>
      <c r="U110" s="59" t="s">
        <v>735</v>
      </c>
      <c r="V110" s="51"/>
      <c r="W110" s="51" cm="1">
        <f t="array" ref="W110">_xlfn.SWITCH(D110,0,"","初始",1,"普通",INT(LOG(C110,8.2))+2,"最终",2,1)</f>
        <v>2</v>
      </c>
      <c r="X110" s="91" t="str" cm="1">
        <f t="array" ref="X110">_F_get_RS_MG_pool($D110,$C110,$AA110:$AL110)</f>
        <v>420701~1~320~;420702~1~320~;420703~1~320~;420712~1~320~;420714~1~320~</v>
      </c>
      <c r="Y110" s="43" t="str">
        <f t="shared" si="89"/>
        <v>Correct</v>
      </c>
      <c r="Z110" s="73" t="str" cm="1">
        <f t="array" ref="Z110">_xlfn.TEXTJOIN("; ",1,_xlfn.MAP(AA110:AL110,_xlfn.LAMBDA(_xlpm._i,_xlfn.XLOOKUP(_xlpm._i,tb_mg[id],tb_mg[备注],"-TBN-"))))</f>
        <v>基础守卫; 仙人掌群; 风滚草群; 沙漠毒蝎; 涂涂鸟群</v>
      </c>
      <c r="AA110" s="57">
        <v>420701</v>
      </c>
      <c r="AB110" s="57">
        <v>420702</v>
      </c>
      <c r="AC110" s="57">
        <v>420703</v>
      </c>
      <c r="AD110" s="57">
        <v>420712</v>
      </c>
      <c r="AE110" s="57">
        <v>420714</v>
      </c>
      <c r="AP110" s="5"/>
      <c r="AR110" s="5"/>
    </row>
    <row r="111" spans="1:44">
      <c r="A111" s="5">
        <v>420707</v>
      </c>
      <c r="B111" s="90" t="str" cm="1">
        <f t="array" ref="B111">_F_get_world_name($A111)</f>
        <v>荒漠</v>
      </c>
      <c r="C111" s="43">
        <f t="shared" si="98"/>
        <v>7</v>
      </c>
      <c r="D111" s="43" t="str">
        <f>VLOOKUP(MOD(A111,100),tb_scene_id_type[#All],3,1)</f>
        <v>普通</v>
      </c>
      <c r="E111" s="43" t="str">
        <f t="shared" si="99"/>
        <v>7A</v>
      </c>
      <c r="F111" s="43" t="str">
        <f>IFERROR(VLOOKUP(E111,tb_scene_name[],2,0),"")</f>
        <v>烈阳沙林</v>
      </c>
      <c r="G111" s="51" t="str">
        <f t="shared" si="100"/>
        <v>bgm_7a</v>
      </c>
      <c r="H111" s="51" t="str">
        <f t="shared" si="101"/>
        <v>42071</v>
      </c>
      <c r="I111" s="51" t="str">
        <f t="shared" si="104"/>
        <v>scene_7A</v>
      </c>
      <c r="J111" s="51" t="str">
        <f t="shared" si="106"/>
        <v>rs_scene_icon[ui_level_icon_thumbnail_18]</v>
      </c>
      <c r="K111" s="51" t="str">
        <f t="shared" si="102"/>
        <v>42071~2.075~0.8~2.5</v>
      </c>
      <c r="L111" s="35" t="str">
        <f t="shared" si="103"/>
        <v>42071</v>
      </c>
      <c r="M111" s="35">
        <f t="shared" si="105"/>
        <v>2.0750000000000002</v>
      </c>
      <c r="N111" s="35">
        <v>0.8</v>
      </c>
      <c r="O111" s="35">
        <f t="shared" si="107"/>
        <v>2.5</v>
      </c>
      <c r="P111" s="92" t="str" cm="1">
        <f t="array" ref="P111">_F_get_RS_Weather_pool($A111,$C111)</f>
        <v>420704~0~100~&lt;color=orange&gt;晴转大雨&lt;/color&gt;;420704~10~50~&lt;color=orange&gt;阴转大雨&lt;/color&gt;;420704~11~50~&lt;color=orange&gt;小雨渐大&lt;/color&gt;;420704~12~0~&lt;color=orange&gt;大雨倾盆&lt;/color&gt;;420704~0~100~&lt;color=orange&gt;晴转大雨&lt;/color&gt;;420704~10~50~&lt;color=orange&gt;阴转大雨&lt;/color&gt;;420704~11~50~&lt;color=orange&gt;小雨渐大&lt;/color&gt;;420704~12~50~&lt;color=orange&gt;大雨倾盆&lt;/color&gt;</v>
      </c>
      <c r="Q111" s="59">
        <v>2066</v>
      </c>
      <c r="R111" s="51">
        <v>3002</v>
      </c>
      <c r="S111" s="59" t="s">
        <v>580</v>
      </c>
      <c r="T111" s="99" t="str" cm="1">
        <f t="array" ref="T111">_F_get_RS_Shop_pool(D111,C111)</f>
        <v>20011=4608;30013=2880;30015=4032;40017=2520</v>
      </c>
      <c r="U111" s="59" t="s">
        <v>736</v>
      </c>
      <c r="V111" s="51"/>
      <c r="W111" s="51" cm="1">
        <f t="array" ref="W111">_xlfn.SWITCH(D111,0,"","初始",1,"普通",INT(LOG(C111,8.2))+2,"最终",2,1)</f>
        <v>2</v>
      </c>
      <c r="X111" s="91" t="str" cm="1">
        <f t="array" ref="X111">_F_get_RS_MG_pool($D111,$C111,$AA111:$AL111)</f>
        <v>420701~1~320~;420702~1~320~;420703~1~320~;420712~1~320~;420714~1~320~</v>
      </c>
      <c r="Y111" s="43" t="str">
        <f t="shared" si="89"/>
        <v>Correct</v>
      </c>
      <c r="Z111" s="73" t="str" cm="1">
        <f t="array" ref="Z111">_xlfn.TEXTJOIN("; ",1,_xlfn.MAP(AA111:AL111,_xlfn.LAMBDA(_xlpm._i,_xlfn.XLOOKUP(_xlpm._i,tb_mg[id],tb_mg[备注],"-TBN-"))))</f>
        <v>基础守卫; 仙人掌群; 风滚草群; 沙漠毒蝎; 涂涂鸟群</v>
      </c>
      <c r="AA111" s="57">
        <v>420701</v>
      </c>
      <c r="AB111" s="57">
        <v>420702</v>
      </c>
      <c r="AC111" s="57">
        <v>420703</v>
      </c>
      <c r="AD111" s="57">
        <v>420712</v>
      </c>
      <c r="AE111" s="57">
        <v>420714</v>
      </c>
      <c r="AP111" s="5"/>
      <c r="AR111" s="5"/>
    </row>
    <row r="112" spans="1:44">
      <c r="A112" s="5">
        <v>420708</v>
      </c>
      <c r="B112" s="90" t="str" cm="1">
        <f t="array" ref="B112">_F_get_world_name($A112)</f>
        <v>荒漠</v>
      </c>
      <c r="C112" s="43">
        <f t="shared" si="98"/>
        <v>8</v>
      </c>
      <c r="D112" s="43" t="str">
        <f>VLOOKUP(MOD(A112,100),tb_scene_id_type[#All],3,1)</f>
        <v>普通</v>
      </c>
      <c r="E112" s="43" t="str">
        <f t="shared" si="99"/>
        <v>7B</v>
      </c>
      <c r="F112" s="43" t="str">
        <f>IFERROR(VLOOKUP(E112,tb_scene_name[],2,0),"")</f>
        <v>地火荒原</v>
      </c>
      <c r="G112" s="51" t="str">
        <f t="shared" si="100"/>
        <v>bgm_7b</v>
      </c>
      <c r="H112" s="51" t="str">
        <f t="shared" si="101"/>
        <v>42072</v>
      </c>
      <c r="I112" s="51" t="str">
        <f t="shared" si="104"/>
        <v>scene_7B</v>
      </c>
      <c r="J112" s="51" t="str">
        <f t="shared" si="106"/>
        <v>rs_scene_icon[ui_level_icon_thumbnail_19]</v>
      </c>
      <c r="K112" s="51" t="str">
        <f t="shared" si="102"/>
        <v>42072~2.1125~0.8~2.55</v>
      </c>
      <c r="L112" s="35" t="str">
        <f t="shared" si="103"/>
        <v>42072</v>
      </c>
      <c r="M112" s="35">
        <f t="shared" si="105"/>
        <v>2.1125000000000003</v>
      </c>
      <c r="N112" s="35">
        <v>0.8</v>
      </c>
      <c r="O112" s="35">
        <f t="shared" si="107"/>
        <v>2.5500000000000003</v>
      </c>
      <c r="P112" s="92" t="str" cm="1">
        <f t="array" ref="P112">_F_get_RS_Weather_pool($A112,$C112)</f>
        <v>420704~0~100~&lt;color=orange&gt;晴转大雨&lt;/color&gt;;420704~10~50~&lt;color=orange&gt;阴转大雨&lt;/color&gt;;420704~11~50~&lt;color=orange&gt;小雨渐大&lt;/color&gt;;420704~12~50~&lt;color=orange&gt;大雨倾盆&lt;/color&gt;;420705~0~100~&lt;color=red&gt;晴转雷暴雨&lt;/color&gt;;420705~10~50~&lt;color=red&gt;阴转雷暴雨&lt;/color&gt;;420705~11~50~&lt;color=red&gt;小雨转雷暴雨&lt;/color&gt;;420705~12~50~&lt;color=red&gt;大雨转雷暴雨&lt;/color&gt;;420705~13~0~&lt;color=purple&gt;雷暴雨&lt;/color&gt;</v>
      </c>
      <c r="Q112" s="59">
        <v>2355</v>
      </c>
      <c r="R112" s="51">
        <v>3702</v>
      </c>
      <c r="S112" s="59" t="s">
        <v>583</v>
      </c>
      <c r="T112" s="99" t="str" cm="1">
        <f t="array" ref="T112">_F_get_RS_Shop_pool(D112,C112)</f>
        <v>20003=23040;30013=2880;30007=20160;40017=2520</v>
      </c>
      <c r="U112" s="59" t="s">
        <v>737</v>
      </c>
      <c r="V112" s="51"/>
      <c r="W112" s="51" cm="1">
        <f t="array" ref="W112">_xlfn.SWITCH(D112,0,"","初始",1,"普通",INT(LOG(C112,8.2))+2,"最终",2,1)</f>
        <v>2</v>
      </c>
      <c r="X112" s="91" t="str" cm="1">
        <f t="array" ref="X112">_F_get_RS_MG_pool($D112,$C112,$AA112:$AL112)</f>
        <v>420701~1~325~;420702~1~325~;420703~1~325~;420712~1~325~;420713~1~325~;420714~1~325~</v>
      </c>
      <c r="Y112" s="43" t="str">
        <f t="shared" si="89"/>
        <v>Correct</v>
      </c>
      <c r="Z112" s="73" t="str" cm="1">
        <f t="array" ref="Z112">_xlfn.TEXTJOIN("; ",1,_xlfn.MAP(AA112:AL112,_xlfn.LAMBDA(_xlpm._i,_xlfn.XLOOKUP(_xlpm._i,tb_mg[id],tb_mg[备注],"-TBN-"))))</f>
        <v>基础守卫; 仙人掌群; 风滚草群; 沙漠毒蝎; -TBN-; 涂涂鸟群</v>
      </c>
      <c r="AA112" s="57">
        <v>420701</v>
      </c>
      <c r="AB112" s="57">
        <v>420702</v>
      </c>
      <c r="AC112" s="57">
        <v>420703</v>
      </c>
      <c r="AD112" s="57">
        <v>420712</v>
      </c>
      <c r="AE112" s="57">
        <v>420713</v>
      </c>
      <c r="AF112" s="57">
        <v>420714</v>
      </c>
      <c r="AP112" s="5"/>
      <c r="AR112" s="5"/>
    </row>
    <row r="113" spans="1:44">
      <c r="A113" s="5">
        <v>420709</v>
      </c>
      <c r="B113" s="90" t="str" cm="1">
        <f t="array" ref="B113">_F_get_world_name($A113)</f>
        <v>荒漠</v>
      </c>
      <c r="C113" s="43">
        <f t="shared" si="98"/>
        <v>9</v>
      </c>
      <c r="D113" s="43" t="str">
        <f>VLOOKUP(MOD(A113,100),tb_scene_id_type[#All],3,1)</f>
        <v>普通</v>
      </c>
      <c r="E113" s="43" t="str">
        <f t="shared" si="99"/>
        <v>7B</v>
      </c>
      <c r="F113" s="43" t="str">
        <f>IFERROR(VLOOKUP(E113,tb_scene_name[],2,0),"")</f>
        <v>地火荒原</v>
      </c>
      <c r="G113" s="51" t="str">
        <f t="shared" si="100"/>
        <v>bgm_7b</v>
      </c>
      <c r="H113" s="51" t="str">
        <f t="shared" si="101"/>
        <v>42072</v>
      </c>
      <c r="I113" s="51" t="str">
        <f t="shared" si="104"/>
        <v>scene_7B</v>
      </c>
      <c r="J113" s="51" t="str">
        <f t="shared" si="106"/>
        <v>rs_scene_icon[ui_level_icon_thumbnail_19]</v>
      </c>
      <c r="K113" s="51" t="str">
        <f t="shared" si="102"/>
        <v>42072~2.15~0.8~2.6</v>
      </c>
      <c r="L113" s="35" t="str">
        <f t="shared" si="103"/>
        <v>42072</v>
      </c>
      <c r="M113" s="35">
        <f t="shared" si="105"/>
        <v>2.1500000000000004</v>
      </c>
      <c r="N113" s="35">
        <v>0.8</v>
      </c>
      <c r="O113" s="35">
        <f t="shared" si="107"/>
        <v>2.6</v>
      </c>
      <c r="P113" s="92" t="str" cm="1">
        <f t="array" ref="P113">_F_get_RS_Weather_pool($A113,$C113)</f>
        <v>420705~0~100~&lt;color=red&gt;晴转雷暴雨&lt;/color&gt;;420705~10~50~&lt;color=red&gt;阴转雷暴雨&lt;/color&gt;;420705~11~50~&lt;color=red&gt;小雨转雷暴雨&lt;/color&gt;;420705~12~50~&lt;color=red&gt;大雨转雷暴雨&lt;/color&gt;;420705~13~0~&lt;color=purple&gt;雷暴雨&lt;/color&gt;;420705~0~50~&lt;color=red&gt;晴转雷暴雨&lt;/color&gt;;420705~10~50~&lt;color=red&gt;阴转雷暴雨&lt;/color&gt;;420705~11~50~&lt;color=red&gt;小雨转雷暴雨&lt;/color&gt;;420705~12~50~&lt;color=red&gt;大雨转雷暴雨&lt;/color&gt;;420705~13~0~&lt;color=purple&gt;雷暴雨&lt;/color&gt;</v>
      </c>
      <c r="Q113" s="59">
        <v>2642</v>
      </c>
      <c r="R113" s="51">
        <v>4508</v>
      </c>
      <c r="S113" s="59" t="s">
        <v>583</v>
      </c>
      <c r="T113" s="99" t="str" cm="1">
        <f t="array" ref="T113">_F_get_RS_Shop_pool(D113,C113)</f>
        <v>20101=13824;30111=1728;30103=8640;40113=1080</v>
      </c>
      <c r="U113" s="59" t="s">
        <v>738</v>
      </c>
      <c r="V113" s="51"/>
      <c r="W113" s="51" cm="1">
        <f t="array" ref="W113">_xlfn.SWITCH(D113,0,"","初始",1,"普通",INT(LOG(C113,8.2))+2,"最终",2,1)</f>
        <v>3</v>
      </c>
      <c r="X113" s="91" t="str" cm="1">
        <f t="array" ref="X113">_F_get_RS_MG_pool($D113,$C113,$AA113:$AL113)</f>
        <v>420701~1~325~;420702~1~325~;420703~1~325~;420712~1~325~;420713~1~325~;420714~1~325~</v>
      </c>
      <c r="Y113" s="43" t="str">
        <f t="shared" si="89"/>
        <v>Correct</v>
      </c>
      <c r="Z113" s="73" t="str" cm="1">
        <f t="array" ref="Z113">_xlfn.TEXTJOIN("; ",1,_xlfn.MAP(AA113:AL113,_xlfn.LAMBDA(_xlpm._i,_xlfn.XLOOKUP(_xlpm._i,tb_mg[id],tb_mg[备注],"-TBN-"))))</f>
        <v>基础守卫; 仙人掌群; 风滚草群; 沙漠毒蝎; -TBN-; 涂涂鸟群</v>
      </c>
      <c r="AA113" s="57">
        <v>420701</v>
      </c>
      <c r="AB113" s="57">
        <v>420702</v>
      </c>
      <c r="AC113" s="57">
        <v>420703</v>
      </c>
      <c r="AD113" s="57">
        <v>420712</v>
      </c>
      <c r="AE113" s="57">
        <v>420713</v>
      </c>
      <c r="AF113" s="57">
        <v>420714</v>
      </c>
      <c r="AP113" s="5"/>
      <c r="AR113" s="5"/>
    </row>
    <row r="114" spans="1:44">
      <c r="A114" s="5">
        <v>420710</v>
      </c>
      <c r="B114" s="90" t="str" cm="1">
        <f t="array" ref="B114">_F_get_world_name($A114)</f>
        <v>荒漠</v>
      </c>
      <c r="C114" s="43">
        <f t="shared" si="98"/>
        <v>10</v>
      </c>
      <c r="D114" s="43" t="str">
        <f>VLOOKUP(MOD(A114,100),tb_scene_id_type[#All],3,1)</f>
        <v>普通</v>
      </c>
      <c r="E114" s="43" t="str">
        <f t="shared" si="99"/>
        <v>7B</v>
      </c>
      <c r="F114" s="43" t="str">
        <f>IFERROR(VLOOKUP(E114,tb_scene_name[],2,0),"")</f>
        <v>地火荒原</v>
      </c>
      <c r="G114" s="51" t="str">
        <f t="shared" si="100"/>
        <v>bgm_7b</v>
      </c>
      <c r="H114" s="51" t="str">
        <f t="shared" ref="H114:H122" si="108">420&amp;LEFT(E114,1)&amp;_xlfn.UNICODE(RIGHT(E114,1))-64</f>
        <v>42072</v>
      </c>
      <c r="I114" s="51" t="str">
        <f t="shared" si="104"/>
        <v>scene_7B</v>
      </c>
      <c r="J114" s="51" t="str">
        <f t="shared" si="106"/>
        <v>rs_scene_icon[ui_level_icon_thumbnail_19]</v>
      </c>
      <c r="K114" s="51" t="str">
        <f t="shared" si="102"/>
        <v>42072~2.1875~0.8~2.65</v>
      </c>
      <c r="L114" s="35" t="str">
        <f t="shared" si="103"/>
        <v>42072</v>
      </c>
      <c r="M114" s="35">
        <f t="shared" si="105"/>
        <v>2.1875</v>
      </c>
      <c r="N114" s="35">
        <v>0.8</v>
      </c>
      <c r="O114" s="35">
        <f t="shared" si="107"/>
        <v>2.6500000000000004</v>
      </c>
      <c r="P114" s="92" t="str" cm="1">
        <f t="array" ref="P114">_F_get_RS_Weather_pool($A114,$C114)</f>
        <v>420705~0~50~&lt;color=red&gt;晴转雷暴雨&lt;/color&gt;;420705~10~50~&lt;color=red&gt;阴转雷暴雨&lt;/color&gt;;420705~11~50~&lt;color=red&gt;小雨转雷暴雨&lt;/color&gt;;420705~12~50~&lt;color=red&gt;大雨转雷暴雨&lt;/color&gt;;420705~13~0~&lt;color=purple&gt;雷暴雨&lt;/color&gt;;420705~0~50~&lt;color=red&gt;晴转雷暴雨&lt;/color&gt;;420705~10~50~&lt;color=red&gt;阴转雷暴雨&lt;/color&gt;;420705~11~50~&lt;color=red&gt;小雨转雷暴雨&lt;/color&gt;;420705~12~50~&lt;color=red&gt;大雨转雷暴雨&lt;/color&gt;;420705~13~50~&lt;color=purple&gt;雷暴雨&lt;/color&gt;</v>
      </c>
      <c r="Q114" s="59">
        <v>2942</v>
      </c>
      <c r="R114" s="51">
        <v>5435</v>
      </c>
      <c r="S114" s="59" t="s">
        <v>583</v>
      </c>
      <c r="T114" s="99" t="str" cm="1">
        <f t="array" ref="T114">_F_get_RS_Shop_pool(D114,C114)</f>
        <v>10001=36864;20011=4608;20003=23040;30013=2880;20005=32256;30015=4032;30007=20160;40017=2520</v>
      </c>
      <c r="U114" s="59" t="s">
        <v>739</v>
      </c>
      <c r="V114" s="51"/>
      <c r="W114" s="51" cm="1">
        <f t="array" ref="W114">_xlfn.SWITCH(D114,0,"","初始",1,"普通",INT(LOG(C114,8.2))+2,"最终",2,1)</f>
        <v>3</v>
      </c>
      <c r="X114" s="91" t="str" cm="1">
        <f t="array" ref="X114">_F_get_RS_MG_pool($D114,$C114,$AA114:$AL114)</f>
        <v>420701~1~330~;420702~1~330~;420703~1~330~;420712~1~330~;420713~1~330~;420714~1~330~</v>
      </c>
      <c r="Y114" s="43" t="str">
        <f t="shared" si="89"/>
        <v>Correct</v>
      </c>
      <c r="Z114" s="73" t="str" cm="1">
        <f t="array" ref="Z114">_xlfn.TEXTJOIN("; ",1,_xlfn.MAP(AA114:AL114,_xlfn.LAMBDA(_xlpm._i,_xlfn.XLOOKUP(_xlpm._i,tb_mg[id],tb_mg[备注],"-TBN-"))))</f>
        <v>基础守卫; 仙人掌群; 风滚草群; 沙漠毒蝎; -TBN-; 涂涂鸟群</v>
      </c>
      <c r="AA114" s="57">
        <v>420701</v>
      </c>
      <c r="AB114" s="57">
        <v>420702</v>
      </c>
      <c r="AC114" s="57">
        <v>420703</v>
      </c>
      <c r="AD114" s="57">
        <v>420712</v>
      </c>
      <c r="AE114" s="57">
        <v>420713</v>
      </c>
      <c r="AF114" s="57">
        <v>420714</v>
      </c>
      <c r="AP114" s="5"/>
      <c r="AR114" s="5"/>
    </row>
    <row r="115" spans="1:44">
      <c r="A115" s="5">
        <v>420711</v>
      </c>
      <c r="B115" s="90" t="str" cm="1">
        <f t="array" ref="B115">_F_get_world_name($A115)</f>
        <v>荒漠</v>
      </c>
      <c r="C115" s="43">
        <f t="shared" si="98"/>
        <v>11</v>
      </c>
      <c r="D115" s="43" t="str">
        <f>VLOOKUP(MOD(A115,100),tb_scene_id_type[#All],3,1)</f>
        <v>普通</v>
      </c>
      <c r="E115" s="43" t="str">
        <f t="shared" si="99"/>
        <v>7B</v>
      </c>
      <c r="F115" s="43" t="str">
        <f>IFERROR(VLOOKUP(E115,tb_scene_name[],2,0),"")</f>
        <v>地火荒原</v>
      </c>
      <c r="G115" s="51" t="str">
        <f t="shared" si="100"/>
        <v>bgm_7b</v>
      </c>
      <c r="H115" s="51" t="str">
        <f t="shared" si="108"/>
        <v>42072</v>
      </c>
      <c r="I115" s="51" t="str">
        <f t="shared" si="104"/>
        <v>scene_7B</v>
      </c>
      <c r="J115" s="51" t="str">
        <f t="shared" si="106"/>
        <v>rs_scene_icon[ui_level_icon_thumbnail_19]</v>
      </c>
      <c r="K115" s="51" t="str">
        <f t="shared" si="102"/>
        <v>42072~2.225~0.8~2.7</v>
      </c>
      <c r="L115" s="35" t="str">
        <f t="shared" si="103"/>
        <v>42072</v>
      </c>
      <c r="M115" s="35">
        <f t="shared" si="105"/>
        <v>2.2250000000000001</v>
      </c>
      <c r="N115" s="35">
        <v>0.8</v>
      </c>
      <c r="O115" s="35">
        <f t="shared" si="107"/>
        <v>2.7</v>
      </c>
      <c r="P115" s="92" t="str" cm="1">
        <f t="array" ref="P115">_F_get_RS_Weather_pool($A115,$C115)</f>
        <v>420705~0~50~&lt;color=red&gt;晴转雷暴雨&lt;/color&gt;;420705~10~50~&lt;color=red&gt;阴转雷暴雨&lt;/color&gt;;420705~11~50~&lt;color=red&gt;小雨转雷暴雨&lt;/color&gt;;420705~12~50~&lt;color=red&gt;大雨转雷暴雨&lt;/color&gt;;420705~13~50~&lt;color=purple&gt;雷暴雨&lt;/color&gt;;420705~0~50~&lt;color=red&gt;晴转雷暴雨&lt;/color&gt;;420705~10~100~&lt;color=red&gt;阴转雷暴雨&lt;/color&gt;;420705~11~100~&lt;color=red&gt;小雨转雷暴雨&lt;/color&gt;;420705~12~100~&lt;color=red&gt;大雨转雷暴雨&lt;/color&gt;;420705~13~100~&lt;color=purple&gt;雷暴雨&lt;/color&gt;</v>
      </c>
      <c r="Q115" s="59">
        <v>3256</v>
      </c>
      <c r="R115" s="51">
        <v>6499</v>
      </c>
      <c r="S115" s="59" t="s">
        <v>583</v>
      </c>
      <c r="T115" s="99" t="str" cm="1">
        <f t="array" ref="T115">_F_get_RS_Shop_pool(D115,C115)</f>
        <v>20011=4608;30013=2880;30015=4032;40017=2520</v>
      </c>
      <c r="U115" s="59" t="s">
        <v>740</v>
      </c>
      <c r="V115" s="51"/>
      <c r="W115" s="51" cm="1">
        <f t="array" ref="W115">_xlfn.SWITCH(D115,0,"","初始",1,"普通",INT(LOG(C115,8.2))+2,"最终",2,1)</f>
        <v>3</v>
      </c>
      <c r="X115" s="91" t="str" cm="1">
        <f t="array" ref="X115">_F_get_RS_MG_pool($D115,$C115,$AA115:$AL115)</f>
        <v>420701~1~335~;420702~1~335~;420703~1~335~;420712~1~335~;420713~1~335~;420714~1~335~</v>
      </c>
      <c r="Y115" s="43" t="str">
        <f t="shared" si="89"/>
        <v>Correct</v>
      </c>
      <c r="Z115" s="73" t="str" cm="1">
        <f t="array" ref="Z115">_xlfn.TEXTJOIN("; ",1,_xlfn.MAP(AA115:AL115,_xlfn.LAMBDA(_xlpm._i,_xlfn.XLOOKUP(_xlpm._i,tb_mg[id],tb_mg[备注],"-TBN-"))))</f>
        <v>基础守卫; 仙人掌群; 风滚草群; 沙漠毒蝎; -TBN-; 涂涂鸟群</v>
      </c>
      <c r="AA115" s="57">
        <v>420701</v>
      </c>
      <c r="AB115" s="57">
        <v>420702</v>
      </c>
      <c r="AC115" s="57">
        <v>420703</v>
      </c>
      <c r="AD115" s="57">
        <v>420712</v>
      </c>
      <c r="AE115" s="57">
        <v>420713</v>
      </c>
      <c r="AF115" s="57">
        <v>420714</v>
      </c>
      <c r="AP115" s="5"/>
      <c r="AR115" s="5"/>
    </row>
    <row r="116" spans="1:44">
      <c r="A116" s="5">
        <v>420712</v>
      </c>
      <c r="B116" s="90" t="str" cm="1">
        <f t="array" ref="B116">_F_get_world_name($A116)</f>
        <v>荒漠</v>
      </c>
      <c r="C116" s="43">
        <f t="shared" si="98"/>
        <v>12</v>
      </c>
      <c r="D116" s="43" t="str">
        <f>VLOOKUP(MOD(A116,100),tb_scene_id_type[#All],3,1)</f>
        <v>普通</v>
      </c>
      <c r="E116" s="43" t="str">
        <f t="shared" si="99"/>
        <v>7B</v>
      </c>
      <c r="F116" s="43" t="str">
        <f>IFERROR(VLOOKUP(E116,tb_scene_name[],2,0),"")</f>
        <v>地火荒原</v>
      </c>
      <c r="G116" s="51" t="str">
        <f t="shared" si="100"/>
        <v>bgm_7b</v>
      </c>
      <c r="H116" s="51" t="str">
        <f t="shared" si="108"/>
        <v>42072</v>
      </c>
      <c r="I116" s="51" t="str">
        <f t="shared" si="104"/>
        <v>scene_7B</v>
      </c>
      <c r="J116" s="51" t="str">
        <f t="shared" si="106"/>
        <v>rs_scene_icon[ui_level_icon_thumbnail_19]</v>
      </c>
      <c r="K116" s="51" t="str">
        <f t="shared" si="102"/>
        <v>42072~2.2625~0.8~2.75</v>
      </c>
      <c r="L116" s="35" t="str">
        <f t="shared" si="103"/>
        <v>42072</v>
      </c>
      <c r="M116" s="35">
        <f t="shared" si="105"/>
        <v>2.2625000000000002</v>
      </c>
      <c r="N116" s="35">
        <v>0.8</v>
      </c>
      <c r="O116" s="35">
        <f t="shared" si="107"/>
        <v>2.75</v>
      </c>
      <c r="P116" s="92" t="str" cm="1">
        <f t="array" ref="P116">_F_get_RS_Weather_pool($A116,$C116)</f>
        <v>420705~0~50~&lt;color=red&gt;晴转雷暴雨&lt;/color&gt;;420705~10~100~&lt;color=red&gt;阴转雷暴雨&lt;/color&gt;;420705~11~100~&lt;color=red&gt;小雨转雷暴雨&lt;/color&gt;;420705~12~100~&lt;color=red&gt;大雨转雷暴雨&lt;/color&gt;;420705~13~100~&lt;color=purple&gt;雷暴雨&lt;/color&gt;;420705~0~50~&lt;color=red&gt;晴转雷暴雨&lt;/color&gt;;420705~10~50~&lt;color=red&gt;阴转雷暴雨&lt;/color&gt;;420705~11~100~&lt;color=red&gt;小雨转雷暴雨&lt;/color&gt;;420705~12~100~&lt;color=red&gt;大雨转雷暴雨&lt;/color&gt;;420705~13~100~&lt;color=purple&gt;雷暴雨&lt;/color&gt;</v>
      </c>
      <c r="Q116" s="59">
        <v>3571</v>
      </c>
      <c r="R116" s="51">
        <v>7698</v>
      </c>
      <c r="S116" s="59" t="s">
        <v>583</v>
      </c>
      <c r="T116" s="99" t="str" cm="1">
        <f t="array" ref="T116">_F_get_RS_Shop_pool(D116,C116)</f>
        <v>20003=23040;30013=2880;30007=20160;40017=2520</v>
      </c>
      <c r="U116" s="59" t="s">
        <v>741</v>
      </c>
      <c r="V116" s="51"/>
      <c r="W116" s="51" cm="1">
        <f t="array" ref="W116">_xlfn.SWITCH(D116,0,"","初始",1,"普通",INT(LOG(C116,8.2))+2,"最终",2,1)</f>
        <v>3</v>
      </c>
      <c r="X116" s="91" t="str" cm="1">
        <f t="array" ref="X116">_F_get_RS_MG_pool($D116,$C116,$AA116:$AL116)</f>
        <v>420701~1~335~;420702~1~335~;420703~1~335~;420712~1~335~;420713~1~335~;420714~1~335~;420724~1~335~</v>
      </c>
      <c r="Y116" s="43" t="str">
        <f t="shared" si="89"/>
        <v>Correct</v>
      </c>
      <c r="Z116" s="73" t="str" cm="1">
        <f t="array" ref="Z116">_xlfn.TEXTJOIN("; ",1,_xlfn.MAP(AA116:AL116,_xlfn.LAMBDA(_xlpm._i,_xlfn.XLOOKUP(_xlpm._i,tb_mg[id],tb_mg[备注],"-TBN-"))))</f>
        <v>基础守卫; 仙人掌群; 风滚草群; 沙漠毒蝎; -TBN-; 涂涂鸟群; -TBN-</v>
      </c>
      <c r="AA116" s="57">
        <v>420701</v>
      </c>
      <c r="AB116" s="57">
        <v>420702</v>
      </c>
      <c r="AC116" s="57">
        <v>420703</v>
      </c>
      <c r="AD116" s="57">
        <v>420712</v>
      </c>
      <c r="AE116" s="57">
        <v>420713</v>
      </c>
      <c r="AF116" s="57">
        <v>420714</v>
      </c>
      <c r="AG116" s="57">
        <v>420724</v>
      </c>
      <c r="AP116" s="5"/>
      <c r="AR116" s="5"/>
    </row>
    <row r="117" spans="1:44">
      <c r="A117" s="5">
        <v>420713</v>
      </c>
      <c r="B117" s="90" t="str" cm="1">
        <f t="array" ref="B117">_F_get_world_name($A117)</f>
        <v>荒漠</v>
      </c>
      <c r="C117" s="43">
        <f t="shared" si="98"/>
        <v>13</v>
      </c>
      <c r="D117" s="43" t="str">
        <f>VLOOKUP(MOD(A117,100),tb_scene_id_type[#All],3,1)</f>
        <v>普通</v>
      </c>
      <c r="E117" s="43" t="str">
        <f t="shared" si="99"/>
        <v>7B</v>
      </c>
      <c r="F117" s="43" t="str">
        <f>IFERROR(VLOOKUP(E117,tb_scene_name[],2,0),"")</f>
        <v>地火荒原</v>
      </c>
      <c r="G117" s="51" t="str">
        <f t="shared" si="100"/>
        <v>bgm_7b</v>
      </c>
      <c r="H117" s="51" t="str">
        <f t="shared" si="108"/>
        <v>42072</v>
      </c>
      <c r="I117" s="51" t="str">
        <f t="shared" si="104"/>
        <v>scene_7B</v>
      </c>
      <c r="J117" s="51" t="str">
        <f t="shared" si="106"/>
        <v>rs_scene_icon[ui_level_icon_thumbnail_19]</v>
      </c>
      <c r="K117" s="51" t="str">
        <f t="shared" si="102"/>
        <v>42072~2.3~0.8~2.8</v>
      </c>
      <c r="L117" s="35" t="str">
        <f t="shared" si="103"/>
        <v>42072</v>
      </c>
      <c r="M117" s="35">
        <f t="shared" si="105"/>
        <v>2.2999999999999998</v>
      </c>
      <c r="N117" s="35">
        <v>0.8</v>
      </c>
      <c r="O117" s="35">
        <f t="shared" si="107"/>
        <v>2.8000000000000003</v>
      </c>
      <c r="P117" s="92" t="str" cm="1">
        <f t="array" ref="P117">_F_get_RS_Weather_pool($A117,$C117)</f>
        <v>420705~0~50~&lt;color=red&gt;晴转雷暴雨&lt;/color&gt;;420705~10~50~&lt;color=red&gt;阴转雷暴雨&lt;/color&gt;;420705~11~100~&lt;color=red&gt;小雨转雷暴雨&lt;/color&gt;;420705~12~100~&lt;color=red&gt;大雨转雷暴雨&lt;/color&gt;;420705~13~100~&lt;color=purple&gt;雷暴雨&lt;/color&gt;;420706~10~50~&lt;color=red&gt;阴转雷暴雨&lt;/color&gt;;420706~11~50~&lt;color=red&gt;小雨转雷暴雨&lt;/color&gt;;420706~12~100~&lt;color=red&gt;大雨转雷暴雨&lt;/color&gt;;420706~13~100~&lt;color=purple&gt;雷暴雨&lt;/color&gt;</v>
      </c>
      <c r="Q117" s="59">
        <v>3889</v>
      </c>
      <c r="R117" s="51">
        <v>9051</v>
      </c>
      <c r="S117" s="59" t="s">
        <v>580</v>
      </c>
      <c r="T117" s="99" t="str" cm="1">
        <f t="array" ref="T117">_F_get_RS_Shop_pool(D117,C117)</f>
        <v>10001=36864;20011=4608;20003=23040;30013=2880;20005=32256;30015=4032;30007=20160;40017=2520</v>
      </c>
      <c r="U117" s="59" t="s">
        <v>742</v>
      </c>
      <c r="V117" s="51"/>
      <c r="W117" s="51" cm="1">
        <f t="array" ref="W117">_xlfn.SWITCH(D117,0,"","初始",1,"普通",INT(LOG(C117,8.2))+2,"最终",2,1)</f>
        <v>3</v>
      </c>
      <c r="X117" s="91" t="str" cm="1">
        <f t="array" ref="X117">_F_get_RS_MG_pool($D117,$C117,$AA117:$AL117)</f>
        <v>420701~1~340~;420702~1~340~;420703~1~340~;420712~1~340~;420713~1~340~;420714~1~340~;420724~1~340~</v>
      </c>
      <c r="Y117" s="43" t="str">
        <f t="shared" si="89"/>
        <v>Correct</v>
      </c>
      <c r="Z117" s="73" t="str" cm="1">
        <f t="array" ref="Z117">_xlfn.TEXTJOIN("; ",1,_xlfn.MAP(AA117:AL117,_xlfn.LAMBDA(_xlpm._i,_xlfn.XLOOKUP(_xlpm._i,tb_mg[id],tb_mg[备注],"-TBN-"))))</f>
        <v>基础守卫; 仙人掌群; 风滚草群; 沙漠毒蝎; -TBN-; 涂涂鸟群; -TBN-</v>
      </c>
      <c r="AA117" s="57">
        <v>420701</v>
      </c>
      <c r="AB117" s="57">
        <v>420702</v>
      </c>
      <c r="AC117" s="57">
        <v>420703</v>
      </c>
      <c r="AD117" s="57">
        <v>420712</v>
      </c>
      <c r="AE117" s="57">
        <v>420713</v>
      </c>
      <c r="AF117" s="57">
        <v>420714</v>
      </c>
      <c r="AG117" s="57">
        <v>420724</v>
      </c>
      <c r="AP117" s="5"/>
      <c r="AR117" s="5"/>
    </row>
    <row r="118" spans="1:44">
      <c r="A118" s="5">
        <v>420714</v>
      </c>
      <c r="B118" s="90" t="str" cm="1">
        <f t="array" ref="B118">_F_get_world_name($A118)</f>
        <v>荒漠</v>
      </c>
      <c r="C118" s="43">
        <f t="shared" si="98"/>
        <v>14</v>
      </c>
      <c r="D118" s="43" t="str">
        <f>VLOOKUP(MOD(A118,100),tb_scene_id_type[#All],3,1)</f>
        <v>普通</v>
      </c>
      <c r="E118" s="43" t="str">
        <f t="shared" si="99"/>
        <v>7B</v>
      </c>
      <c r="F118" s="43" t="str">
        <f>IFERROR(VLOOKUP(E118,tb_scene_name[],2,0),"")</f>
        <v>地火荒原</v>
      </c>
      <c r="G118" s="51" t="str">
        <f t="shared" si="100"/>
        <v>bgm_7b</v>
      </c>
      <c r="H118" s="51" t="str">
        <f t="shared" si="108"/>
        <v>42072</v>
      </c>
      <c r="I118" s="51" t="str">
        <f t="shared" si="104"/>
        <v>scene_7B</v>
      </c>
      <c r="J118" s="51" t="str">
        <f t="shared" si="106"/>
        <v>rs_scene_icon[ui_level_icon_thumbnail_19]</v>
      </c>
      <c r="K118" s="51" t="str">
        <f t="shared" si="102"/>
        <v>42072~2.3375~0.8~2.85</v>
      </c>
      <c r="L118" s="35" t="str">
        <f t="shared" si="103"/>
        <v>42072</v>
      </c>
      <c r="M118" s="35">
        <f t="shared" si="105"/>
        <v>2.3374999999999999</v>
      </c>
      <c r="N118" s="35">
        <v>0.8</v>
      </c>
      <c r="O118" s="35">
        <f t="shared" si="107"/>
        <v>2.85</v>
      </c>
      <c r="P118" s="92" t="str" cm="1">
        <f t="array" ref="P118">_F_get_RS_Weather_pool($A118,$C118)</f>
        <v>420706~10~50~&lt;color=red&gt;阴转雷暴雨&lt;/color&gt;;420706~11~50~&lt;color=red&gt;小雨转雷暴雨&lt;/color&gt;;420706~12~100~&lt;color=red&gt;大雨转雷暴雨&lt;/color&gt;;420706~13~100~&lt;color=purple&gt;雷暴雨&lt;/color&gt;;420706~10~0~&lt;color=red&gt;阴转雷暴雨&lt;/color&gt;;420706~11~50~&lt;color=red&gt;小雨转雷暴雨&lt;/color&gt;;420706~12~100~&lt;color=red&gt;大雨转雷暴雨&lt;/color&gt;;420706~13~100~&lt;color=purple&gt;雷暴雨&lt;/color&gt;</v>
      </c>
      <c r="Q118" s="59">
        <v>4211</v>
      </c>
      <c r="R118" s="51">
        <v>10574</v>
      </c>
      <c r="S118" s="59" t="s">
        <v>583</v>
      </c>
      <c r="T118" s="99" t="str" cm="1">
        <f t="array" ref="T118">_F_get_RS_Shop_pool(D118,C118)</f>
        <v>20101=13824;30111=1728;30103=8640;40113=1080</v>
      </c>
      <c r="U118" s="59" t="s">
        <v>743</v>
      </c>
      <c r="V118" s="51"/>
      <c r="W118" s="51" cm="1">
        <f t="array" ref="W118">_xlfn.SWITCH(D118,0,"","初始",1,"普通",INT(LOG(C118,8.2))+2,"最终",2,1)</f>
        <v>3</v>
      </c>
      <c r="X118" s="91" t="str" cm="1">
        <f t="array" ref="X118">_F_get_RS_MG_pool($D118,$C118,$AA118:$AL118)</f>
        <v>420701~1~340~;420702~1~340~;420703~1~340~;420712~1~340~;420713~1~340~;420714~1~340~;420724~1~340~</v>
      </c>
      <c r="Y118" s="43" t="str">
        <f t="shared" si="89"/>
        <v>Correct</v>
      </c>
      <c r="Z118" s="73" t="str" cm="1">
        <f t="array" ref="Z118">_xlfn.TEXTJOIN("; ",1,_xlfn.MAP(AA118:AL118,_xlfn.LAMBDA(_xlpm._i,_xlfn.XLOOKUP(_xlpm._i,tb_mg[id],tb_mg[备注],"-TBN-"))))</f>
        <v>基础守卫; 仙人掌群; 风滚草群; 沙漠毒蝎; -TBN-; 涂涂鸟群; -TBN-</v>
      </c>
      <c r="AA118" s="57">
        <v>420701</v>
      </c>
      <c r="AB118" s="57">
        <v>420702</v>
      </c>
      <c r="AC118" s="57">
        <v>420703</v>
      </c>
      <c r="AD118" s="57">
        <v>420712</v>
      </c>
      <c r="AE118" s="57">
        <v>420713</v>
      </c>
      <c r="AF118" s="57">
        <v>420714</v>
      </c>
      <c r="AG118" s="57">
        <v>420724</v>
      </c>
      <c r="AP118" s="5"/>
      <c r="AR118" s="5"/>
    </row>
    <row r="119" spans="1:44">
      <c r="A119" s="5">
        <v>420715</v>
      </c>
      <c r="B119" s="90" t="str" cm="1">
        <f t="array" ref="B119">_F_get_world_name($A119)</f>
        <v>荒漠</v>
      </c>
      <c r="C119" s="43">
        <f t="shared" si="98"/>
        <v>15</v>
      </c>
      <c r="D119" s="43" t="str">
        <f>VLOOKUP(MOD(A119,100),tb_scene_id_type[#All],3,1)</f>
        <v>普通</v>
      </c>
      <c r="E119" s="43" t="str">
        <f t="shared" si="99"/>
        <v>7C</v>
      </c>
      <c r="F119" s="43" t="str">
        <f>IFERROR(VLOOKUP(E119,tb_scene_name[],2,0),"")</f>
        <v>风吞大漠</v>
      </c>
      <c r="G119" s="51" t="str">
        <f t="shared" si="100"/>
        <v>bgm_7c</v>
      </c>
      <c r="H119" s="51" t="str">
        <f t="shared" si="108"/>
        <v>42073</v>
      </c>
      <c r="I119" s="51" t="str">
        <f t="shared" si="104"/>
        <v>scene_7C</v>
      </c>
      <c r="J119" s="51" t="str">
        <f t="shared" si="106"/>
        <v>rs_scene_icon[ui_level_icon_thumbnail_20]</v>
      </c>
      <c r="K119" s="51" t="str">
        <f t="shared" si="102"/>
        <v>42073~2.375~0.8~2.9</v>
      </c>
      <c r="L119" s="35" t="str">
        <f t="shared" si="103"/>
        <v>42073</v>
      </c>
      <c r="M119" s="35">
        <f t="shared" si="105"/>
        <v>2.3750000000000004</v>
      </c>
      <c r="N119" s="35">
        <v>0.8</v>
      </c>
      <c r="O119" s="35">
        <f t="shared" si="107"/>
        <v>2.9000000000000004</v>
      </c>
      <c r="P119" s="92" t="str" cm="1">
        <f t="array" ref="P119">_F_get_RS_Weather_pool($A119,$C119)</f>
        <v>420706~10~0~&lt;color=red&gt;阴转雷暴雨&lt;/color&gt;;420706~11~50~&lt;color=red&gt;小雨转雷暴雨&lt;/color&gt;;420706~12~100~&lt;color=red&gt;大雨转雷暴雨&lt;/color&gt;;420706~13~100~&lt;color=purple&gt;雷暴雨&lt;/color&gt;;420707~11~50~&lt;color=red&gt;小雨转雷暴雨&lt;/color&gt;;420707~12~100~&lt;color=red&gt;大雨转雷暴雨&lt;/color&gt;;420707~13~100~&lt;color=purple&gt;雷暴雨&lt;/color&gt;</v>
      </c>
      <c r="Q119" s="59">
        <v>4545</v>
      </c>
      <c r="R119" s="51">
        <v>12263</v>
      </c>
      <c r="S119" s="59" t="s">
        <v>583</v>
      </c>
      <c r="T119" s="99" t="str" cm="1">
        <f t="array" ref="T119">_F_get_RS_Shop_pool(D119,C119)</f>
        <v>20011=4608;30013=2880;30015=4032;40017=2520</v>
      </c>
      <c r="U119" s="59" t="s">
        <v>744</v>
      </c>
      <c r="V119" s="51"/>
      <c r="W119" s="51" cm="1">
        <f t="array" ref="W119">_xlfn.SWITCH(D119,0,"","初始",1,"普通",INT(LOG(C119,8.2))+2,"最终",2,1)</f>
        <v>3</v>
      </c>
      <c r="X119" s="91" t="str" cm="1">
        <f t="array" ref="X119">_F_get_RS_MG_pool($D119,$C119,$AA119:$AL119)</f>
        <v>420701~1~345~;420702~1~345~;420703~1~345~;420712~1~345~;420713~1~345~;420714~1~345~;420724~1~345~</v>
      </c>
      <c r="Y119" s="43" t="str">
        <f t="shared" si="89"/>
        <v>Correct</v>
      </c>
      <c r="Z119" s="73" t="str" cm="1">
        <f t="array" ref="Z119">_xlfn.TEXTJOIN("; ",1,_xlfn.MAP(AA119:AL119,_xlfn.LAMBDA(_xlpm._i,_xlfn.XLOOKUP(_xlpm._i,tb_mg[id],tb_mg[备注],"-TBN-"))))</f>
        <v>基础守卫; 仙人掌群; 风滚草群; 沙漠毒蝎; -TBN-; 涂涂鸟群; -TBN-</v>
      </c>
      <c r="AA119" s="57">
        <v>420701</v>
      </c>
      <c r="AB119" s="57">
        <v>420702</v>
      </c>
      <c r="AC119" s="57">
        <v>420703</v>
      </c>
      <c r="AD119" s="57">
        <v>420712</v>
      </c>
      <c r="AE119" s="57">
        <v>420713</v>
      </c>
      <c r="AF119" s="57">
        <v>420714</v>
      </c>
      <c r="AG119" s="57">
        <v>420724</v>
      </c>
      <c r="AP119" s="5"/>
      <c r="AR119" s="5"/>
    </row>
    <row r="120" spans="1:44">
      <c r="A120" s="5">
        <v>420716</v>
      </c>
      <c r="B120" s="90" t="str" cm="1">
        <f t="array" ref="B120">_F_get_world_name($A120)</f>
        <v>荒漠</v>
      </c>
      <c r="C120" s="43">
        <f t="shared" si="98"/>
        <v>16</v>
      </c>
      <c r="D120" s="43" t="str">
        <f>VLOOKUP(MOD(A120,100),tb_scene_id_type[#All],3,1)</f>
        <v>普通</v>
      </c>
      <c r="E120" s="43" t="str">
        <f t="shared" si="99"/>
        <v>7C</v>
      </c>
      <c r="F120" s="43" t="str">
        <f>IFERROR(VLOOKUP(E120,tb_scene_name[],2,0),"")</f>
        <v>风吞大漠</v>
      </c>
      <c r="G120" s="51" t="str">
        <f t="shared" si="100"/>
        <v>bgm_7c</v>
      </c>
      <c r="H120" s="51" t="str">
        <f t="shared" si="108"/>
        <v>42073</v>
      </c>
      <c r="I120" s="51" t="str">
        <f t="shared" si="104"/>
        <v>scene_7C</v>
      </c>
      <c r="J120" s="51" t="str">
        <f t="shared" si="106"/>
        <v>rs_scene_icon[ui_level_icon_thumbnail_20]</v>
      </c>
      <c r="K120" s="51" t="str">
        <f t="shared" si="102"/>
        <v>42073~2.4125~0.8~2.95</v>
      </c>
      <c r="L120" s="35" t="str">
        <f t="shared" si="103"/>
        <v>42073</v>
      </c>
      <c r="M120" s="35">
        <f t="shared" si="105"/>
        <v>2.4125000000000005</v>
      </c>
      <c r="N120" s="35">
        <v>0.8</v>
      </c>
      <c r="O120" s="35">
        <f t="shared" si="107"/>
        <v>2.95</v>
      </c>
      <c r="P120" s="92" t="str" cm="1">
        <f t="array" ref="P120">_F_get_RS_Weather_pool($A120,$C120)</f>
        <v>420707~11~50~&lt;color=red&gt;小雨转雷暴雨&lt;/color&gt;;420707~12~100~&lt;color=red&gt;大雨转雷暴雨&lt;/color&gt;;420707~13~100~&lt;color=purple&gt;雷暴雨&lt;/color&gt;;420707~11~0~&lt;color=red&gt;小雨转雷暴雨&lt;/color&gt;;420707~12~100~&lt;color=red&gt;大雨转雷暴雨&lt;/color&gt;;420707~13~100~&lt;color=purple&gt;雷暴雨&lt;/color&gt;</v>
      </c>
      <c r="Q120" s="59">
        <v>4871</v>
      </c>
      <c r="R120" s="51">
        <v>14139</v>
      </c>
      <c r="S120" s="59" t="s">
        <v>583</v>
      </c>
      <c r="T120" s="99" t="str" cm="1">
        <f t="array" ref="T120">_F_get_RS_Shop_pool(D120,C120)</f>
        <v>20003=23040;30013=2880;30007=20160;40017=2520</v>
      </c>
      <c r="U120" s="59" t="s">
        <v>745</v>
      </c>
      <c r="V120" s="51"/>
      <c r="W120" s="51" cm="1">
        <f t="array" ref="W120">_xlfn.SWITCH(D120,0,"","初始",1,"普通",INT(LOG(C120,8.2))+2,"最终",2,1)</f>
        <v>3</v>
      </c>
      <c r="X120" s="91" t="str" cm="1">
        <f t="array" ref="X120">_F_get_RS_MG_pool($D120,$C120,$AA120:$AL120)</f>
        <v>420701~1~350~;420702~1~350~;420703~1~350~;420712~1~350~;420713~1~350~;420714~1~350~;420724~1~350~</v>
      </c>
      <c r="Y120" s="43" t="str">
        <f t="shared" si="89"/>
        <v>Correct</v>
      </c>
      <c r="Z120" s="73" t="str" cm="1">
        <f t="array" ref="Z120">_xlfn.TEXTJOIN("; ",1,_xlfn.MAP(AA120:AL120,_xlfn.LAMBDA(_xlpm._i,_xlfn.XLOOKUP(_xlpm._i,tb_mg[id],tb_mg[备注],"-TBN-"))))</f>
        <v>基础守卫; 仙人掌群; 风滚草群; 沙漠毒蝎; -TBN-; 涂涂鸟群; -TBN-</v>
      </c>
      <c r="AA120" s="57">
        <v>420701</v>
      </c>
      <c r="AB120" s="57">
        <v>420702</v>
      </c>
      <c r="AC120" s="57">
        <v>420703</v>
      </c>
      <c r="AD120" s="57">
        <v>420712</v>
      </c>
      <c r="AE120" s="57">
        <v>420713</v>
      </c>
      <c r="AF120" s="57">
        <v>420714</v>
      </c>
      <c r="AG120" s="57">
        <v>420724</v>
      </c>
      <c r="AP120" s="5"/>
      <c r="AR120" s="5"/>
    </row>
    <row r="121" spans="1:44">
      <c r="A121" s="5">
        <v>420717</v>
      </c>
      <c r="B121" s="90" t="str" cm="1">
        <f t="array" ref="B121">_F_get_world_name($A121)</f>
        <v>荒漠</v>
      </c>
      <c r="C121" s="43">
        <f t="shared" si="98"/>
        <v>17</v>
      </c>
      <c r="D121" s="43" t="str">
        <f>VLOOKUP(MOD(A121,100),tb_scene_id_type[#All],3,1)</f>
        <v>普通</v>
      </c>
      <c r="E121" s="43" t="str">
        <f t="shared" si="99"/>
        <v>7C</v>
      </c>
      <c r="F121" s="43" t="str">
        <f>IFERROR(VLOOKUP(E121,tb_scene_name[],2,0),"")</f>
        <v>风吞大漠</v>
      </c>
      <c r="G121" s="51" t="str">
        <f t="shared" si="100"/>
        <v>bgm_7c</v>
      </c>
      <c r="H121" s="51" t="str">
        <f t="shared" si="108"/>
        <v>42073</v>
      </c>
      <c r="I121" s="51" t="str">
        <f t="shared" si="104"/>
        <v>scene_7C</v>
      </c>
      <c r="J121" s="51" t="str">
        <f t="shared" si="106"/>
        <v>rs_scene_icon[ui_level_icon_thumbnail_20]</v>
      </c>
      <c r="K121" s="51" t="str">
        <f t="shared" si="102"/>
        <v>42073~2.45~0.8~3</v>
      </c>
      <c r="L121" s="35" t="str">
        <f t="shared" si="103"/>
        <v>42073</v>
      </c>
      <c r="M121" s="35">
        <f t="shared" si="105"/>
        <v>2.4500000000000002</v>
      </c>
      <c r="N121" s="35">
        <v>0.8</v>
      </c>
      <c r="O121" s="35">
        <f t="shared" si="107"/>
        <v>3</v>
      </c>
      <c r="P121" s="92" t="str" cm="1">
        <f t="array" ref="P121">_F_get_RS_Weather_pool($A121,$C121)</f>
        <v>420707~11~0~&lt;color=red&gt;小雨转雷暴雨&lt;/color&gt;;420707~12~100~&lt;color=red&gt;大雨转雷暴雨&lt;/color&gt;;420707~13~100~&lt;color=purple&gt;雷暴雨&lt;/color&gt;;420708~12~100~&lt;color=red&gt;大雨转雷暴雨&lt;/color&gt;;420708~13~100~&lt;color=purple&gt;雷暴雨&lt;/color&gt;</v>
      </c>
      <c r="Q121" s="59">
        <v>5200</v>
      </c>
      <c r="R121" s="51">
        <v>16204</v>
      </c>
      <c r="S121" s="59" t="s">
        <v>583</v>
      </c>
      <c r="T121" s="99" t="str" cm="1">
        <f t="array" ref="T121">_F_get_RS_Shop_pool(D121,C121)</f>
        <v>10001=36864;20011=4608;20003=23040;30013=2880;20005=32256;30015=4032;30007=20160;40017=2520</v>
      </c>
      <c r="U121" s="59" t="s">
        <v>746</v>
      </c>
      <c r="V121" s="51"/>
      <c r="W121" s="51" cm="1">
        <f t="array" ref="W121">_xlfn.SWITCH(D121,0,"","初始",1,"普通",INT(LOG(C121,8.2))+2,"最终",2,1)</f>
        <v>3</v>
      </c>
      <c r="X121" s="91" t="str" cm="1">
        <f t="array" ref="X121">_F_get_RS_MG_pool($D121,$C121,$AA121:$AL121)</f>
        <v>420701~1~350~;420702~1~350~;420703~1~350~;420712~1~350~;420713~1~350~;420714~1~350~;420724~1~350~</v>
      </c>
      <c r="Y121" s="43" t="str">
        <f t="shared" si="89"/>
        <v>Correct</v>
      </c>
      <c r="Z121" s="73" t="str" cm="1">
        <f t="array" ref="Z121">_xlfn.TEXTJOIN("; ",1,_xlfn.MAP(AA121:AL121,_xlfn.LAMBDA(_xlpm._i,_xlfn.XLOOKUP(_xlpm._i,tb_mg[id],tb_mg[备注],"-TBN-"))))</f>
        <v>基础守卫; 仙人掌群; 风滚草群; 沙漠毒蝎; -TBN-; 涂涂鸟群; -TBN-</v>
      </c>
      <c r="AA121" s="57">
        <v>420701</v>
      </c>
      <c r="AB121" s="57">
        <v>420702</v>
      </c>
      <c r="AC121" s="57">
        <v>420703</v>
      </c>
      <c r="AD121" s="57">
        <v>420712</v>
      </c>
      <c r="AE121" s="57">
        <v>420713</v>
      </c>
      <c r="AF121" s="57">
        <v>420714</v>
      </c>
      <c r="AG121" s="57">
        <v>420724</v>
      </c>
      <c r="AP121" s="5"/>
      <c r="AR121" s="5"/>
    </row>
    <row r="122" spans="1:44">
      <c r="A122" s="5">
        <v>420718</v>
      </c>
      <c r="B122" s="90" t="str" cm="1">
        <f t="array" ref="B122">_F_get_world_name($A122)</f>
        <v>荒漠</v>
      </c>
      <c r="C122" s="43">
        <f t="shared" si="98"/>
        <v>18</v>
      </c>
      <c r="D122" s="43" t="str">
        <f>VLOOKUP(MOD(A122,100),tb_scene_id_type[#All],3,1)</f>
        <v>普通</v>
      </c>
      <c r="E122" s="43" t="str">
        <f t="shared" si="99"/>
        <v>7C</v>
      </c>
      <c r="F122" s="43" t="str">
        <f>IFERROR(VLOOKUP(E122,tb_scene_name[],2,0),"")</f>
        <v>风吞大漠</v>
      </c>
      <c r="G122" s="51" t="str">
        <f t="shared" si="100"/>
        <v>bgm_7c</v>
      </c>
      <c r="H122" s="51" t="str">
        <f t="shared" si="108"/>
        <v>42073</v>
      </c>
      <c r="I122" s="51" t="str">
        <f t="shared" si="104"/>
        <v>scene_7C</v>
      </c>
      <c r="J122" s="51" t="str">
        <f t="shared" si="106"/>
        <v>rs_scene_icon[ui_level_icon_thumbnail_20]</v>
      </c>
      <c r="K122" s="51" t="str">
        <f t="shared" si="102"/>
        <v>42073~2.4875~0.8~3.05</v>
      </c>
      <c r="L122" s="35" t="str">
        <f t="shared" si="103"/>
        <v>42073</v>
      </c>
      <c r="M122" s="35">
        <f t="shared" si="105"/>
        <v>2.4874999999999998</v>
      </c>
      <c r="N122" s="35">
        <v>0.8</v>
      </c>
      <c r="O122" s="35">
        <f t="shared" si="107"/>
        <v>3.0500000000000003</v>
      </c>
      <c r="P122" s="92" t="str" cm="1">
        <f t="array" ref="P122">_F_get_RS_Weather_pool($A122,$C122)</f>
        <v>420708~12~100~&lt;color=red&gt;大雨转雷暴雨&lt;/color&gt;;420708~13~100~&lt;color=purple&gt;雷暴雨&lt;/color&gt;;420708~12~50~&lt;color=red&gt;大雨转雷暴雨&lt;/color&gt;;420708~13~100~&lt;color=purple&gt;雷暴雨&lt;/color&gt;</v>
      </c>
      <c r="Q122" s="59">
        <v>5539</v>
      </c>
      <c r="R122" s="51">
        <v>18456</v>
      </c>
      <c r="S122" s="59" t="s">
        <v>583</v>
      </c>
      <c r="T122" s="99" t="str" cm="1">
        <f t="array" ref="T122">_F_get_RS_Shop_pool(D122,C122)</f>
        <v>10001=36864;20011=4608;20003=23040;30013=2880;20005=32256;30015=4032;30007=20160;40017=2520</v>
      </c>
      <c r="U122" s="59" t="s">
        <v>747</v>
      </c>
      <c r="V122" s="51"/>
      <c r="W122" s="51" cm="1">
        <f t="array" ref="W122">_xlfn.SWITCH(D122,0,"","初始",1,"普通",INT(LOG(C122,8.2))+2,"最终",2,1)</f>
        <v>3</v>
      </c>
      <c r="X122" s="91" t="str" cm="1">
        <f t="array" ref="X122">_F_get_RS_MG_pool($D122,$C122,$AA122:$AL122)</f>
        <v>420701~1~355~;420702~1~355~;420703~1~355~;420712~1~355~;420713~1~355~;420714~1~355~;420724~1~355~</v>
      </c>
      <c r="Y122" s="43" t="str">
        <f t="shared" si="89"/>
        <v>Correct</v>
      </c>
      <c r="Z122" s="73" t="str" cm="1">
        <f t="array" ref="Z122">_xlfn.TEXTJOIN("; ",1,_xlfn.MAP(AA122:AL122,_xlfn.LAMBDA(_xlpm._i,_xlfn.XLOOKUP(_xlpm._i,tb_mg[id],tb_mg[备注],"-TBN-"))))</f>
        <v>基础守卫; 仙人掌群; 风滚草群; 沙漠毒蝎; -TBN-; 涂涂鸟群; -TBN-</v>
      </c>
      <c r="AA122" s="57">
        <v>420701</v>
      </c>
      <c r="AB122" s="57">
        <v>420702</v>
      </c>
      <c r="AC122" s="57">
        <v>420703</v>
      </c>
      <c r="AD122" s="57">
        <v>420712</v>
      </c>
      <c r="AE122" s="57">
        <v>420713</v>
      </c>
      <c r="AF122" s="57">
        <v>420714</v>
      </c>
      <c r="AG122" s="57">
        <v>420724</v>
      </c>
      <c r="AP122" s="5"/>
      <c r="AR122" s="5"/>
    </row>
    <row r="123" spans="1:44">
      <c r="A123" s="5">
        <v>420719</v>
      </c>
      <c r="B123" s="90" t="str" cm="1">
        <f t="array" ref="B123">_F_get_world_name($A123)</f>
        <v>荒漠</v>
      </c>
      <c r="C123" s="43">
        <f t="shared" si="98"/>
        <v>19</v>
      </c>
      <c r="D123" s="43" t="str">
        <f>VLOOKUP(MOD(A123,100),tb_scene_id_type[#All],3,1)</f>
        <v>普通</v>
      </c>
      <c r="E123" s="43" t="str">
        <f t="shared" si="99"/>
        <v>7C</v>
      </c>
      <c r="F123" s="43" t="str">
        <f>IFERROR(VLOOKUP(E123,tb_scene_name[],2,0),"")</f>
        <v>风吞大漠</v>
      </c>
      <c r="G123" s="51" t="str">
        <f t="shared" si="100"/>
        <v>bgm_7c</v>
      </c>
      <c r="H123" s="51" t="str">
        <f t="shared" ref="H123" si="109">420&amp;LEFT(E123,1)&amp;_xlfn.UNICODE(RIGHT(E123,1))-64</f>
        <v>42073</v>
      </c>
      <c r="I123" s="51" t="str">
        <f t="shared" si="104"/>
        <v>scene_7C</v>
      </c>
      <c r="J123" s="51" t="str">
        <f t="shared" si="106"/>
        <v>rs_scene_icon[ui_level_icon_thumbnail_20]</v>
      </c>
      <c r="K123" s="51" t="str">
        <f t="shared" si="102"/>
        <v>42073~2.525~0.8~3.1</v>
      </c>
      <c r="L123" s="35" t="str">
        <f t="shared" si="103"/>
        <v>42073</v>
      </c>
      <c r="M123" s="35">
        <f t="shared" si="105"/>
        <v>2.5249999999999999</v>
      </c>
      <c r="N123" s="35">
        <v>0.8</v>
      </c>
      <c r="O123" s="35">
        <f t="shared" si="107"/>
        <v>3.1</v>
      </c>
      <c r="P123" s="92" t="str" cm="1">
        <f t="array" ref="P123">_F_get_RS_Weather_pool($A123,$C123)</f>
        <v>420708~12~50~&lt;color=red&gt;大雨转雷暴雨&lt;/color&gt;;420708~13~100~&lt;color=purple&gt;雷暴雨&lt;/color&gt;;420709~13~100~&lt;color=purple&gt;雷暴雨&lt;/color&gt;</v>
      </c>
      <c r="Q123" s="59">
        <v>5872</v>
      </c>
      <c r="R123" s="51">
        <v>20929</v>
      </c>
      <c r="S123" s="59" t="s">
        <v>687</v>
      </c>
      <c r="T123" s="99" t="str" cm="1">
        <f t="array" ref="T123">_F_get_RS_Shop_pool(D123,C123)</f>
        <v>40113=1080</v>
      </c>
      <c r="U123" s="59" t="s">
        <v>748</v>
      </c>
      <c r="V123" s="51"/>
      <c r="W123" s="51" cm="1">
        <f t="array" ref="W123">_xlfn.SWITCH(D123,0,"","初始",1,"普通",INT(LOG(C123,8.2))+2,"最终",2,1)</f>
        <v>3</v>
      </c>
      <c r="X123" s="91" t="str" cm="1">
        <f t="array" ref="X123">_F_get_RS_MG_pool($D123,$C123,$AA123:$AL123)</f>
        <v>420701~1~355~;420702~1~355~;420703~1~355~;420712~1~355~;420713~1~355~;420714~1~355~;420724~1~355~</v>
      </c>
      <c r="Y123" s="43" t="str">
        <f t="shared" si="89"/>
        <v>Correct</v>
      </c>
      <c r="Z123" s="73" t="str" cm="1">
        <f t="array" ref="Z123">_xlfn.TEXTJOIN("; ",1,_xlfn.MAP(AA123:AL123,_xlfn.LAMBDA(_xlpm._i,_xlfn.XLOOKUP(_xlpm._i,tb_mg[id],tb_mg[备注],"-TBN-"))))</f>
        <v>基础守卫; 仙人掌群; 风滚草群; 沙漠毒蝎; -TBN-; 涂涂鸟群; -TBN-</v>
      </c>
      <c r="AA123" s="57">
        <v>420701</v>
      </c>
      <c r="AB123" s="57">
        <v>420702</v>
      </c>
      <c r="AC123" s="57">
        <v>420703</v>
      </c>
      <c r="AD123" s="57">
        <v>420712</v>
      </c>
      <c r="AE123" s="57">
        <v>420713</v>
      </c>
      <c r="AF123" s="57">
        <v>420714</v>
      </c>
      <c r="AG123" s="57">
        <v>420724</v>
      </c>
      <c r="AP123" s="5"/>
      <c r="AR123" s="5"/>
    </row>
    <row r="124" spans="1:44">
      <c r="B124" s="5"/>
      <c r="I124" s="51"/>
      <c r="Q124" s="59"/>
      <c r="R124" s="59"/>
      <c r="V124" s="51"/>
      <c r="W124" s="51" t="str" cm="1">
        <f t="array" ref="W124">_xlfn.SWITCH(D124,0,"","初始",1,"普通",INT(LOG(C124,8.2))+2,"最终",2,1)</f>
        <v/>
      </c>
      <c r="X124" s="51"/>
      <c r="Y124" s="43" t="str">
        <f t="shared" si="89"/>
        <v/>
      </c>
      <c r="Z124" s="73" t="str" cm="1">
        <f t="array" ref="Z124">_xlfn.TEXTJOIN("; ",1,_xlfn.MAP(AA124:AL124,_xlfn.LAMBDA(_xlpm._i,_xlfn.XLOOKUP(_xlpm._i,tb_mg[id],tb_mg[备注],"-TBN-"))))</f>
        <v/>
      </c>
    </row>
    <row r="125" spans="1:44">
      <c r="A125" s="5">
        <v>420754</v>
      </c>
      <c r="B125" s="90" t="str" cm="1">
        <f t="array" ref="B125">_F_get_world_name($A125)</f>
        <v>荒漠</v>
      </c>
      <c r="C125" s="43">
        <f t="shared" ref="C125:C140" si="110">IF(MOD(A125,100)&gt;90,20,MOD(A125,50))</f>
        <v>4</v>
      </c>
      <c r="D125" s="43" t="str">
        <f>VLOOKUP(MOD(A125,100),tb_scene_id_type[#All],3,1)</f>
        <v>精英</v>
      </c>
      <c r="E125" s="43" t="str">
        <f t="shared" si="99"/>
        <v>7A</v>
      </c>
      <c r="F125" s="43" t="str">
        <f>IFERROR(VLOOKUP(E125,tb_scene_name[],2,0),"")</f>
        <v>烈阳沙林</v>
      </c>
      <c r="G125" s="51" t="str">
        <f t="shared" si="100"/>
        <v>bgm_7a</v>
      </c>
      <c r="H125" s="51" t="str">
        <f t="shared" ref="H125:H140" si="111">420&amp;LEFT(E125,1)&amp;_xlfn.UNICODE(RIGHT(E125,1))-64</f>
        <v>42071</v>
      </c>
      <c r="I125" s="51" t="str">
        <f t="shared" si="104"/>
        <v>scene_7A</v>
      </c>
      <c r="J125" s="51" t="str">
        <f>_xlfn.LET(_xlpm._id,(LEFT($E125,1)-1)*3+_xlfn.UNICODE(RIGHT($E125,1))-65,
_xlfn.CONCAT("rs_scene_icon[ui_level_icon_thumbnail_",_xlpm._id,"]"))</f>
        <v>rs_scene_icon[ui_level_icon_thumbnail_18]</v>
      </c>
      <c r="K125" s="51" t="str">
        <f t="shared" ref="K125:K140" si="112">_xlfn.TEXTJOIN("~",1,L125:O125)</f>
        <v>42071~1.9625~0.8~2.35</v>
      </c>
      <c r="L125" s="35" t="str">
        <f t="shared" ref="L125:L140" si="113">H125</f>
        <v>42071</v>
      </c>
      <c r="M125" s="35">
        <f>N125+(O125-N125)*0.75</f>
        <v>1.9625000000000001</v>
      </c>
      <c r="N125" s="35">
        <v>0.8</v>
      </c>
      <c r="O125" s="35">
        <f t="shared" si="107"/>
        <v>2.35</v>
      </c>
      <c r="P125" s="92" t="str" cm="1">
        <f t="array" ref="P125">_F_get_RS_Weather_pool($A125,$C125)</f>
        <v>420702~0~100~&lt;color=grey&gt;晴转阴&lt;/color&gt;;420702~10~50~&lt;color=grey&gt;阴&lt;/color&gt;;420703~0~100~&lt;color=#999900&gt;晴转小雨&lt;/color&gt;;420703~10~50~&lt;color=#999900&gt;阴转小雨&lt;/color&gt;;420703~11~0~&lt;color=#999900&gt;小雨&lt;/color&gt;</v>
      </c>
      <c r="Q125" s="59">
        <v>0</v>
      </c>
      <c r="R125" s="51">
        <v>1438</v>
      </c>
      <c r="S125" s="59" t="s">
        <v>687</v>
      </c>
      <c r="T125" s="99" t="str" cm="1">
        <f t="array" ref="T125">_F_get_RS_Shop_pool(D125,C125)</f>
        <v/>
      </c>
      <c r="U125" s="59" t="s">
        <v>750</v>
      </c>
      <c r="V125" s="51"/>
      <c r="W125" s="51" cm="1">
        <f t="array" ref="W125">_xlfn.SWITCH(D125,0,"","初始",1,"普通",INT(LOG(C125,8.2))+2,"最终",2,1)</f>
        <v>1</v>
      </c>
      <c r="X125" s="91" t="str" cm="1">
        <f t="array" ref="X125">_F_get_RS_MG_pool($D125,$C125,$AA125:$AL125)</f>
        <v>420850~1~50~&lt;color=purple&gt;渊齿巨鱼&lt;/color&gt;;420851~1~50~&lt;color=purple&gt;缠绕水藻&lt;/color&gt;;420852~1~50~&lt;color=purple&gt;金鱼之王&lt;/color&gt;</v>
      </c>
      <c r="Y125" s="43" t="str">
        <f t="shared" si="89"/>
        <v>Correct</v>
      </c>
      <c r="Z125" s="73" t="str" cm="1">
        <f t="array" ref="Z125">_xlfn.TEXTJOIN("; ",1,_xlfn.MAP(AA125:AL125,_xlfn.LAMBDA(_xlpm._i,_xlfn.XLOOKUP(_xlpm._i,tb_mg[id],tb_mg[备注],"-TBN-"))))</f>
        <v>渊齿巨鱼; 缠绕水藻; 金鱼之王</v>
      </c>
      <c r="AA125" s="71">
        <v>420850</v>
      </c>
      <c r="AB125" s="71">
        <v>420851</v>
      </c>
      <c r="AC125" s="71">
        <v>420852</v>
      </c>
      <c r="AP125" s="5"/>
      <c r="AR125" s="5"/>
    </row>
    <row r="126" spans="1:44">
      <c r="A126" s="5">
        <v>420755</v>
      </c>
      <c r="B126" s="90" t="str" cm="1">
        <f t="array" ref="B126">_F_get_world_name($A126)</f>
        <v>荒漠</v>
      </c>
      <c r="C126" s="43">
        <f t="shared" si="110"/>
        <v>5</v>
      </c>
      <c r="D126" s="43" t="str">
        <f>VLOOKUP(MOD(A126,100),tb_scene_id_type[#All],3,1)</f>
        <v>精英</v>
      </c>
      <c r="E126" s="43" t="str">
        <f t="shared" si="99"/>
        <v>7A</v>
      </c>
      <c r="F126" s="43" t="str">
        <f>IFERROR(VLOOKUP(E126,tb_scene_name[],2,0),"")</f>
        <v>烈阳沙林</v>
      </c>
      <c r="G126" s="51" t="str">
        <f t="shared" si="100"/>
        <v>bgm_7a</v>
      </c>
      <c r="H126" s="51" t="str">
        <f t="shared" si="111"/>
        <v>42071</v>
      </c>
      <c r="I126" s="51" t="str">
        <f t="shared" si="104"/>
        <v>scene_7A</v>
      </c>
      <c r="J126" s="51" t="str">
        <f t="shared" ref="J126:J142" si="114">_xlfn.LET(_xlpm._id,(LEFT($E126,1)-1)*3+_xlfn.UNICODE(RIGHT($E126,1))-65,
_xlfn.CONCAT("rs_scene_icon[ui_level_icon_thumbnail_",_xlpm._id,"]"))</f>
        <v>rs_scene_icon[ui_level_icon_thumbnail_18]</v>
      </c>
      <c r="K126" s="51" t="str">
        <f t="shared" si="112"/>
        <v>42071~2~0.8~2.4</v>
      </c>
      <c r="L126" s="35" t="str">
        <f t="shared" si="113"/>
        <v>42071</v>
      </c>
      <c r="M126" s="35">
        <f t="shared" ref="M126:M140" si="115">N126+(O126-N126)*0.75</f>
        <v>2</v>
      </c>
      <c r="N126" s="35">
        <v>0.8</v>
      </c>
      <c r="O126" s="35">
        <f t="shared" si="107"/>
        <v>2.4000000000000004</v>
      </c>
      <c r="P126" s="92" t="str" cm="1">
        <f t="array" ref="P126">_F_get_RS_Weather_pool($A126,$C126)</f>
        <v>420703~0~100~&lt;color=#999900&gt;晴转小雨&lt;/color&gt;;420703~10~50~&lt;color=#999900&gt;阴转小雨&lt;/color&gt;;420703~11~0~&lt;color=#999900&gt;小雨&lt;/color&gt;;420703~0~100~&lt;color=#999900&gt;晴转小雨&lt;/color&gt;;420703~10~50~&lt;color=#999900&gt;阴转小雨&lt;/color&gt;;420703~11~50~&lt;color=#999900&gt;小雨&lt;/color&gt;</v>
      </c>
      <c r="Q126" s="59">
        <v>0</v>
      </c>
      <c r="R126" s="51">
        <v>1887</v>
      </c>
      <c r="S126" s="59" t="s">
        <v>687</v>
      </c>
      <c r="T126" s="99" t="str" cm="1">
        <f t="array" ref="T126">_F_get_RS_Shop_pool(D126,C126)</f>
        <v>30111=1728;40113=1080</v>
      </c>
      <c r="U126" s="59" t="s">
        <v>751</v>
      </c>
      <c r="V126" s="51"/>
      <c r="W126" s="51" cm="1">
        <f t="array" ref="W126">_xlfn.SWITCH(D126,0,"","初始",1,"普通",INT(LOG(C126,8.2))+2,"最终",2,1)</f>
        <v>1</v>
      </c>
      <c r="X126" s="91" t="str" cm="1">
        <f t="array" ref="X126">_F_get_RS_MG_pool($D126,$C126,$AA126:$AL126)</f>
        <v>420850~1~50~&lt;color=purple&gt;渊齿巨鱼&lt;/color&gt;;420851~1~50~&lt;color=purple&gt;缠绕水藻&lt;/color&gt;;420852~1~50~&lt;color=purple&gt;金鱼之王&lt;/color&gt;</v>
      </c>
      <c r="Y126" s="43" t="str">
        <f t="shared" si="89"/>
        <v>Correct</v>
      </c>
      <c r="Z126" s="73" t="str" cm="1">
        <f t="array" ref="Z126">_xlfn.TEXTJOIN("; ",1,_xlfn.MAP(AA126:AL126,_xlfn.LAMBDA(_xlpm._i,_xlfn.XLOOKUP(_xlpm._i,tb_mg[id],tb_mg[备注],"-TBN-"))))</f>
        <v>渊齿巨鱼; 缠绕水藻; 金鱼之王</v>
      </c>
      <c r="AA126" s="71">
        <v>420850</v>
      </c>
      <c r="AB126" s="71">
        <v>420851</v>
      </c>
      <c r="AC126" s="71">
        <v>420852</v>
      </c>
      <c r="AP126" s="5"/>
      <c r="AR126" s="5"/>
    </row>
    <row r="127" spans="1:44">
      <c r="A127" s="5">
        <v>420756</v>
      </c>
      <c r="B127" s="90" t="str" cm="1">
        <f t="array" ref="B127">_F_get_world_name($A127)</f>
        <v>荒漠</v>
      </c>
      <c r="C127" s="43">
        <f t="shared" si="110"/>
        <v>6</v>
      </c>
      <c r="D127" s="43" t="str">
        <f>VLOOKUP(MOD(A127,100),tb_scene_id_type[#All],3,1)</f>
        <v>精英</v>
      </c>
      <c r="E127" s="43" t="str">
        <f t="shared" si="99"/>
        <v>7A</v>
      </c>
      <c r="F127" s="43" t="str">
        <f>IFERROR(VLOOKUP(E127,tb_scene_name[],2,0),"")</f>
        <v>烈阳沙林</v>
      </c>
      <c r="G127" s="51" t="str">
        <f t="shared" si="100"/>
        <v>bgm_7a</v>
      </c>
      <c r="H127" s="51" t="str">
        <f t="shared" si="111"/>
        <v>42071</v>
      </c>
      <c r="I127" s="51" t="str">
        <f t="shared" si="104"/>
        <v>scene_7A</v>
      </c>
      <c r="J127" s="51" t="str">
        <f t="shared" si="114"/>
        <v>rs_scene_icon[ui_level_icon_thumbnail_18]</v>
      </c>
      <c r="K127" s="51" t="str">
        <f t="shared" si="112"/>
        <v>42071~2.0375~0.8~2.45</v>
      </c>
      <c r="L127" s="35" t="str">
        <f t="shared" si="113"/>
        <v>42071</v>
      </c>
      <c r="M127" s="35">
        <f t="shared" si="115"/>
        <v>2.0375000000000001</v>
      </c>
      <c r="N127" s="35">
        <v>0.8</v>
      </c>
      <c r="O127" s="35">
        <f t="shared" si="107"/>
        <v>2.4500000000000002</v>
      </c>
      <c r="P127" s="92" t="str" cm="1">
        <f t="array" ref="P127">_F_get_RS_Weather_pool($A127,$C127)</f>
        <v>420703~0~100~&lt;color=#999900&gt;晴转小雨&lt;/color&gt;;420703~10~50~&lt;color=#999900&gt;阴转小雨&lt;/color&gt;;420703~11~50~&lt;color=#999900&gt;小雨&lt;/color&gt;;420704~0~100~&lt;color=orange&gt;晴转大雨&lt;/color&gt;;420704~10~50~&lt;color=orange&gt;阴转大雨&lt;/color&gt;;420704~11~50~&lt;color=orange&gt;小雨渐大&lt;/color&gt;;420704~12~0~&lt;color=orange&gt;大雨倾盆&lt;/color&gt;</v>
      </c>
      <c r="Q127" s="59">
        <v>0</v>
      </c>
      <c r="R127" s="51">
        <v>2404</v>
      </c>
      <c r="S127" s="59" t="s">
        <v>687</v>
      </c>
      <c r="T127" s="99" t="str" cm="1">
        <f t="array" ref="T127">_F_get_RS_Shop_pool(D127,C127)</f>
        <v>30111=1728;40113=1080</v>
      </c>
      <c r="U127" s="59" t="s">
        <v>752</v>
      </c>
      <c r="V127" s="51"/>
      <c r="W127" s="51" cm="1">
        <f t="array" ref="W127">_xlfn.SWITCH(D127,0,"","初始",1,"普通",INT(LOG(C127,8.2))+2,"最终",2,1)</f>
        <v>1</v>
      </c>
      <c r="X127" s="91" t="str" cm="1">
        <f t="array" ref="X127">_F_get_RS_MG_pool($D127,$C127,$AA127:$AL127)</f>
        <v>420850~1~50~&lt;color=purple&gt;渊齿巨鱼&lt;/color&gt;;420851~1~50~&lt;color=purple&gt;缠绕水藻&lt;/color&gt;;420852~1~50~&lt;color=purple&gt;金鱼之王&lt;/color&gt;</v>
      </c>
      <c r="Y127" s="43" t="str">
        <f t="shared" si="89"/>
        <v>Correct</v>
      </c>
      <c r="Z127" s="73" t="str" cm="1">
        <f t="array" ref="Z127">_xlfn.TEXTJOIN("; ",1,_xlfn.MAP(AA127:AL127,_xlfn.LAMBDA(_xlpm._i,_xlfn.XLOOKUP(_xlpm._i,tb_mg[id],tb_mg[备注],"-TBN-"))))</f>
        <v>渊齿巨鱼; 缠绕水藻; 金鱼之王</v>
      </c>
      <c r="AA127" s="71">
        <v>420850</v>
      </c>
      <c r="AB127" s="71">
        <v>420851</v>
      </c>
      <c r="AC127" s="71">
        <v>420852</v>
      </c>
      <c r="AP127" s="5"/>
      <c r="AR127" s="5"/>
    </row>
    <row r="128" spans="1:44">
      <c r="A128" s="5">
        <v>420757</v>
      </c>
      <c r="B128" s="90" t="str" cm="1">
        <f t="array" ref="B128">_F_get_world_name($A128)</f>
        <v>荒漠</v>
      </c>
      <c r="C128" s="43">
        <f t="shared" si="110"/>
        <v>7</v>
      </c>
      <c r="D128" s="43" t="str">
        <f>VLOOKUP(MOD(A128,100),tb_scene_id_type[#All],3,1)</f>
        <v>精英</v>
      </c>
      <c r="E128" s="43" t="str">
        <f t="shared" si="99"/>
        <v>7A</v>
      </c>
      <c r="F128" s="43" t="str">
        <f>IFERROR(VLOOKUP(E128,tb_scene_name[],2,0),"")</f>
        <v>烈阳沙林</v>
      </c>
      <c r="G128" s="51" t="str">
        <f t="shared" si="100"/>
        <v>bgm_7a</v>
      </c>
      <c r="H128" s="51" t="str">
        <f t="shared" si="111"/>
        <v>42071</v>
      </c>
      <c r="I128" s="51" t="str">
        <f t="shared" si="104"/>
        <v>scene_7A</v>
      </c>
      <c r="J128" s="51" t="str">
        <f t="shared" si="114"/>
        <v>rs_scene_icon[ui_level_icon_thumbnail_18]</v>
      </c>
      <c r="K128" s="51" t="str">
        <f t="shared" si="112"/>
        <v>42071~2.075~0.8~2.5</v>
      </c>
      <c r="L128" s="35" t="str">
        <f t="shared" si="113"/>
        <v>42071</v>
      </c>
      <c r="M128" s="35">
        <f t="shared" si="115"/>
        <v>2.0750000000000002</v>
      </c>
      <c r="N128" s="35">
        <v>0.8</v>
      </c>
      <c r="O128" s="35">
        <f t="shared" si="107"/>
        <v>2.5</v>
      </c>
      <c r="P128" s="92" t="str" cm="1">
        <f t="array" ref="P128">_F_get_RS_Weather_pool($A128,$C128)</f>
        <v>420704~0~100~&lt;color=orange&gt;晴转大雨&lt;/color&gt;;420704~10~50~&lt;color=orange&gt;阴转大雨&lt;/color&gt;;420704~11~50~&lt;color=orange&gt;小雨渐大&lt;/color&gt;;420704~12~0~&lt;color=orange&gt;大雨倾盆&lt;/color&gt;;420704~0~100~&lt;color=orange&gt;晴转大雨&lt;/color&gt;;420704~10~50~&lt;color=orange&gt;阴转大雨&lt;/color&gt;;420704~11~50~&lt;color=orange&gt;小雨渐大&lt;/color&gt;;420704~12~50~&lt;color=orange&gt;大雨倾盆&lt;/color&gt;</v>
      </c>
      <c r="Q128" s="59">
        <v>0</v>
      </c>
      <c r="R128" s="51">
        <v>3002</v>
      </c>
      <c r="S128" s="59" t="s">
        <v>687</v>
      </c>
      <c r="T128" s="99" t="str" cm="1">
        <f t="array" ref="T128">_F_get_RS_Shop_pool(D128,C128)</f>
        <v>30111=1728;40113=1080</v>
      </c>
      <c r="U128" s="59" t="s">
        <v>753</v>
      </c>
      <c r="V128" s="51"/>
      <c r="W128" s="51" cm="1">
        <f t="array" ref="W128">_xlfn.SWITCH(D128,0,"","初始",1,"普通",INT(LOG(C128,8.2))+2,"最终",2,1)</f>
        <v>1</v>
      </c>
      <c r="X128" s="91" t="str" cm="1">
        <f t="array" ref="X128">_F_get_RS_MG_pool($D128,$C128,$AA128:$AL128)</f>
        <v>420850~1~50~&lt;color=purple&gt;渊齿巨鱼&lt;/color&gt;;420851~1~50~&lt;color=purple&gt;缠绕水藻&lt;/color&gt;;420852~1~50~&lt;color=purple&gt;金鱼之王&lt;/color&gt;</v>
      </c>
      <c r="Y128" s="43" t="str">
        <f t="shared" si="89"/>
        <v>Correct</v>
      </c>
      <c r="Z128" s="73" t="str" cm="1">
        <f t="array" ref="Z128">_xlfn.TEXTJOIN("; ",1,_xlfn.MAP(AA128:AL128,_xlfn.LAMBDA(_xlpm._i,_xlfn.XLOOKUP(_xlpm._i,tb_mg[id],tb_mg[备注],"-TBN-"))))</f>
        <v>渊齿巨鱼; 缠绕水藻; 金鱼之王</v>
      </c>
      <c r="AA128" s="71">
        <v>420850</v>
      </c>
      <c r="AB128" s="71">
        <v>420851</v>
      </c>
      <c r="AC128" s="71">
        <v>420852</v>
      </c>
      <c r="AP128" s="5"/>
      <c r="AR128" s="5"/>
    </row>
    <row r="129" spans="1:44">
      <c r="A129" s="5">
        <v>420758</v>
      </c>
      <c r="B129" s="90" t="str" cm="1">
        <f t="array" ref="B129">_F_get_world_name($A129)</f>
        <v>荒漠</v>
      </c>
      <c r="C129" s="43">
        <f t="shared" si="110"/>
        <v>8</v>
      </c>
      <c r="D129" s="43" t="str">
        <f>VLOOKUP(MOD(A129,100),tb_scene_id_type[#All],3,1)</f>
        <v>精英</v>
      </c>
      <c r="E129" s="43" t="str">
        <f t="shared" si="99"/>
        <v>7B</v>
      </c>
      <c r="F129" s="43" t="str">
        <f>IFERROR(VLOOKUP(E129,tb_scene_name[],2,0),"")</f>
        <v>地火荒原</v>
      </c>
      <c r="G129" s="51" t="str">
        <f t="shared" si="100"/>
        <v>bgm_7b</v>
      </c>
      <c r="H129" s="51" t="str">
        <f t="shared" si="111"/>
        <v>42072</v>
      </c>
      <c r="I129" s="51" t="str">
        <f t="shared" si="104"/>
        <v>scene_7B</v>
      </c>
      <c r="J129" s="51" t="str">
        <f t="shared" si="114"/>
        <v>rs_scene_icon[ui_level_icon_thumbnail_19]</v>
      </c>
      <c r="K129" s="51" t="str">
        <f t="shared" si="112"/>
        <v>42072~2.1125~0.8~2.55</v>
      </c>
      <c r="L129" s="35" t="str">
        <f t="shared" si="113"/>
        <v>42072</v>
      </c>
      <c r="M129" s="35">
        <f t="shared" si="115"/>
        <v>2.1125000000000003</v>
      </c>
      <c r="N129" s="35">
        <v>0.8</v>
      </c>
      <c r="O129" s="35">
        <f t="shared" si="107"/>
        <v>2.5500000000000003</v>
      </c>
      <c r="P129" s="92" t="str" cm="1">
        <f t="array" ref="P129">_F_get_RS_Weather_pool($A129,$C129)</f>
        <v>420704~0~100~&lt;color=orange&gt;晴转大雨&lt;/color&gt;;420704~10~50~&lt;color=orange&gt;阴转大雨&lt;/color&gt;;420704~11~50~&lt;color=orange&gt;小雨渐大&lt;/color&gt;;420704~12~50~&lt;color=orange&gt;大雨倾盆&lt;/color&gt;;420705~0~100~&lt;color=red&gt;晴转雷暴雨&lt;/color&gt;;420705~10~50~&lt;color=red&gt;阴转雷暴雨&lt;/color&gt;;420705~11~50~&lt;color=red&gt;小雨转雷暴雨&lt;/color&gt;;420705~12~50~&lt;color=red&gt;大雨转雷暴雨&lt;/color&gt;;420705~13~0~&lt;color=purple&gt;雷暴雨&lt;/color&gt;</v>
      </c>
      <c r="Q129" s="59">
        <v>0</v>
      </c>
      <c r="R129" s="51">
        <v>3702</v>
      </c>
      <c r="S129" s="59" t="s">
        <v>687</v>
      </c>
      <c r="T129" s="99" t="str" cm="1">
        <f t="array" ref="T129">_F_get_RS_Shop_pool(D129,C129)</f>
        <v>40113=1080</v>
      </c>
      <c r="U129" s="59" t="s">
        <v>754</v>
      </c>
      <c r="V129" s="51"/>
      <c r="W129" s="51" cm="1">
        <f t="array" ref="W129">_xlfn.SWITCH(D129,0,"","初始",1,"普通",INT(LOG(C129,8.2))+2,"最终",2,1)</f>
        <v>1</v>
      </c>
      <c r="X129" s="91" t="str" cm="1">
        <f t="array" ref="X129">_F_get_RS_MG_pool($D129,$C129,$AA129:$AL129)</f>
        <v>420850~1~50~&lt;color=purple&gt;渊齿巨鱼&lt;/color&gt;;420851~1~50~&lt;color=purple&gt;缠绕水藻&lt;/color&gt;;420852~1~50~&lt;color=purple&gt;金鱼之王&lt;/color&gt;</v>
      </c>
      <c r="Y129" s="43" t="str">
        <f t="shared" si="89"/>
        <v>Correct</v>
      </c>
      <c r="Z129" s="73" t="str" cm="1">
        <f t="array" ref="Z129">_xlfn.TEXTJOIN("; ",1,_xlfn.MAP(AA129:AL129,_xlfn.LAMBDA(_xlpm._i,_xlfn.XLOOKUP(_xlpm._i,tb_mg[id],tb_mg[备注],"-TBN-"))))</f>
        <v>渊齿巨鱼; 缠绕水藻; 金鱼之王</v>
      </c>
      <c r="AA129" s="71">
        <v>420850</v>
      </c>
      <c r="AB129" s="71">
        <v>420851</v>
      </c>
      <c r="AC129" s="71">
        <v>420852</v>
      </c>
      <c r="AP129" s="5"/>
      <c r="AR129" s="5"/>
    </row>
    <row r="130" spans="1:44">
      <c r="A130" s="5">
        <v>420759</v>
      </c>
      <c r="B130" s="90" t="str" cm="1">
        <f t="array" ref="B130">_F_get_world_name($A130)</f>
        <v>荒漠</v>
      </c>
      <c r="C130" s="43">
        <f t="shared" si="110"/>
        <v>9</v>
      </c>
      <c r="D130" s="43" t="str">
        <f>VLOOKUP(MOD(A130,100),tb_scene_id_type[#All],3,1)</f>
        <v>精英</v>
      </c>
      <c r="E130" s="43" t="str">
        <f t="shared" si="99"/>
        <v>7B</v>
      </c>
      <c r="F130" s="43" t="str">
        <f>IFERROR(VLOOKUP(E130,tb_scene_name[],2,0),"")</f>
        <v>地火荒原</v>
      </c>
      <c r="G130" s="51" t="str">
        <f t="shared" si="100"/>
        <v>bgm_7b</v>
      </c>
      <c r="H130" s="51" t="str">
        <f t="shared" si="111"/>
        <v>42072</v>
      </c>
      <c r="I130" s="51" t="str">
        <f t="shared" si="104"/>
        <v>scene_7B</v>
      </c>
      <c r="J130" s="51" t="str">
        <f t="shared" si="114"/>
        <v>rs_scene_icon[ui_level_icon_thumbnail_19]</v>
      </c>
      <c r="K130" s="51" t="str">
        <f t="shared" si="112"/>
        <v>42072~2.15~0.8~2.6</v>
      </c>
      <c r="L130" s="35" t="str">
        <f t="shared" si="113"/>
        <v>42072</v>
      </c>
      <c r="M130" s="35">
        <f t="shared" si="115"/>
        <v>2.1500000000000004</v>
      </c>
      <c r="N130" s="35">
        <v>0.8</v>
      </c>
      <c r="O130" s="35">
        <f t="shared" si="107"/>
        <v>2.6</v>
      </c>
      <c r="P130" s="92" t="str" cm="1">
        <f t="array" ref="P130">_F_get_RS_Weather_pool($A130,$C130)</f>
        <v>420705~0~100~&lt;color=red&gt;晴转雷暴雨&lt;/color&gt;;420705~10~50~&lt;color=red&gt;阴转雷暴雨&lt;/color&gt;;420705~11~50~&lt;color=red&gt;小雨转雷暴雨&lt;/color&gt;;420705~12~50~&lt;color=red&gt;大雨转雷暴雨&lt;/color&gt;;420705~13~0~&lt;color=purple&gt;雷暴雨&lt;/color&gt;;420705~0~50~&lt;color=red&gt;晴转雷暴雨&lt;/color&gt;;420705~10~50~&lt;color=red&gt;阴转雷暴雨&lt;/color&gt;;420705~11~50~&lt;color=red&gt;小雨转雷暴雨&lt;/color&gt;;420705~12~50~&lt;color=red&gt;大雨转雷暴雨&lt;/color&gt;;420705~13~0~&lt;color=purple&gt;雷暴雨&lt;/color&gt;</v>
      </c>
      <c r="Q130" s="59">
        <v>0</v>
      </c>
      <c r="R130" s="51">
        <v>4508</v>
      </c>
      <c r="S130" s="59" t="s">
        <v>687</v>
      </c>
      <c r="T130" s="99" t="str" cm="1">
        <f t="array" ref="T130">_F_get_RS_Shop_pool(D130,C130)</f>
        <v>30111=1728;40113=1080</v>
      </c>
      <c r="U130" s="59" t="s">
        <v>755</v>
      </c>
      <c r="V130" s="51"/>
      <c r="W130" s="51" cm="1">
        <f t="array" ref="W130">_xlfn.SWITCH(D130,0,"","初始",1,"普通",INT(LOG(C130,8.2))+2,"最终",2,1)</f>
        <v>1</v>
      </c>
      <c r="X130" s="91" t="str" cm="1">
        <f t="array" ref="X130">_F_get_RS_MG_pool($D130,$C130,$AA130:$AL130)</f>
        <v>420850~1~50~&lt;color=purple&gt;渊齿巨鱼&lt;/color&gt;;420851~1~50~&lt;color=purple&gt;缠绕水藻&lt;/color&gt;;420852~1~50~&lt;color=purple&gt;金鱼之王&lt;/color&gt;</v>
      </c>
      <c r="Y130" s="43" t="str">
        <f t="shared" si="89"/>
        <v>Correct</v>
      </c>
      <c r="Z130" s="73" t="str" cm="1">
        <f t="array" ref="Z130">_xlfn.TEXTJOIN("; ",1,_xlfn.MAP(AA130:AL130,_xlfn.LAMBDA(_xlpm._i,_xlfn.XLOOKUP(_xlpm._i,tb_mg[id],tb_mg[备注],"-TBN-"))))</f>
        <v>渊齿巨鱼; 缠绕水藻; 金鱼之王</v>
      </c>
      <c r="AA130" s="71">
        <v>420850</v>
      </c>
      <c r="AB130" s="71">
        <v>420851</v>
      </c>
      <c r="AC130" s="71">
        <v>420852</v>
      </c>
      <c r="AP130" s="5"/>
      <c r="AR130" s="5"/>
    </row>
    <row r="131" spans="1:44">
      <c r="A131" s="5">
        <v>420760</v>
      </c>
      <c r="B131" s="90" t="str" cm="1">
        <f t="array" ref="B131">_F_get_world_name($A131)</f>
        <v>荒漠</v>
      </c>
      <c r="C131" s="43">
        <f t="shared" si="110"/>
        <v>10</v>
      </c>
      <c r="D131" s="43" t="str">
        <f>VLOOKUP(MOD(A131,100),tb_scene_id_type[#All],3,1)</f>
        <v>精英</v>
      </c>
      <c r="E131" s="43" t="str">
        <f t="shared" si="99"/>
        <v>7B</v>
      </c>
      <c r="F131" s="43" t="str">
        <f>IFERROR(VLOOKUP(E131,tb_scene_name[],2,0),"")</f>
        <v>地火荒原</v>
      </c>
      <c r="G131" s="51" t="str">
        <f t="shared" si="100"/>
        <v>bgm_7b</v>
      </c>
      <c r="H131" s="51" t="str">
        <f t="shared" si="111"/>
        <v>42072</v>
      </c>
      <c r="I131" s="51" t="str">
        <f t="shared" si="104"/>
        <v>scene_7B</v>
      </c>
      <c r="J131" s="51" t="str">
        <f t="shared" si="114"/>
        <v>rs_scene_icon[ui_level_icon_thumbnail_19]</v>
      </c>
      <c r="K131" s="51" t="str">
        <f t="shared" si="112"/>
        <v>42072~2.1875~0.8~2.65</v>
      </c>
      <c r="L131" s="35" t="str">
        <f t="shared" si="113"/>
        <v>42072</v>
      </c>
      <c r="M131" s="35">
        <f t="shared" si="115"/>
        <v>2.1875</v>
      </c>
      <c r="N131" s="35">
        <v>0.8</v>
      </c>
      <c r="O131" s="35">
        <f t="shared" si="107"/>
        <v>2.6500000000000004</v>
      </c>
      <c r="P131" s="92" t="str" cm="1">
        <f t="array" ref="P131">_F_get_RS_Weather_pool($A131,$C131)</f>
        <v>420705~0~50~&lt;color=red&gt;晴转雷暴雨&lt;/color&gt;;420705~10~50~&lt;color=red&gt;阴转雷暴雨&lt;/color&gt;;420705~11~50~&lt;color=red&gt;小雨转雷暴雨&lt;/color&gt;;420705~12~50~&lt;color=red&gt;大雨转雷暴雨&lt;/color&gt;;420705~13~0~&lt;color=purple&gt;雷暴雨&lt;/color&gt;;420705~0~50~&lt;color=red&gt;晴转雷暴雨&lt;/color&gt;;420705~10~50~&lt;color=red&gt;阴转雷暴雨&lt;/color&gt;;420705~11~50~&lt;color=red&gt;小雨转雷暴雨&lt;/color&gt;;420705~12~50~&lt;color=red&gt;大雨转雷暴雨&lt;/color&gt;;420705~13~50~&lt;color=purple&gt;雷暴雨&lt;/color&gt;</v>
      </c>
      <c r="Q131" s="59">
        <v>0</v>
      </c>
      <c r="R131" s="51">
        <v>5435</v>
      </c>
      <c r="S131" s="59" t="s">
        <v>687</v>
      </c>
      <c r="T131" s="99" t="str" cm="1">
        <f t="array" ref="T131">_F_get_RS_Shop_pool(D131,C131)</f>
        <v>30111=1728;40113=1080</v>
      </c>
      <c r="U131" s="59" t="s">
        <v>756</v>
      </c>
      <c r="V131" s="51"/>
      <c r="W131" s="51" cm="1">
        <f t="array" ref="W131">_xlfn.SWITCH(D131,0,"","初始",1,"普通",INT(LOG(C131,8.2))+2,"最终",2,1)</f>
        <v>1</v>
      </c>
      <c r="X131" s="91" t="str" cm="1">
        <f t="array" ref="X131">_F_get_RS_MG_pool($D131,$C131,$AA131:$AL131)</f>
        <v>420850~1~50~&lt;color=purple&gt;渊齿巨鱼&lt;/color&gt;;420851~1~50~&lt;color=purple&gt;缠绕水藻&lt;/color&gt;;420852~1~50~&lt;color=purple&gt;金鱼之王&lt;/color&gt;</v>
      </c>
      <c r="Y131" s="43" t="str">
        <f t="shared" si="89"/>
        <v>Correct</v>
      </c>
      <c r="Z131" s="73" t="str" cm="1">
        <f t="array" ref="Z131">_xlfn.TEXTJOIN("; ",1,_xlfn.MAP(AA131:AL131,_xlfn.LAMBDA(_xlpm._i,_xlfn.XLOOKUP(_xlpm._i,tb_mg[id],tb_mg[备注],"-TBN-"))))</f>
        <v>渊齿巨鱼; 缠绕水藻; 金鱼之王</v>
      </c>
      <c r="AA131" s="71">
        <v>420850</v>
      </c>
      <c r="AB131" s="71">
        <v>420851</v>
      </c>
      <c r="AC131" s="71">
        <v>420852</v>
      </c>
      <c r="AP131" s="5"/>
      <c r="AR131" s="5"/>
    </row>
    <row r="132" spans="1:44">
      <c r="A132" s="5">
        <v>420761</v>
      </c>
      <c r="B132" s="90" t="str" cm="1">
        <f t="array" ref="B132">_F_get_world_name($A132)</f>
        <v>荒漠</v>
      </c>
      <c r="C132" s="43">
        <f t="shared" si="110"/>
        <v>11</v>
      </c>
      <c r="D132" s="43" t="str">
        <f>VLOOKUP(MOD(A132,100),tb_scene_id_type[#All],3,1)</f>
        <v>精英</v>
      </c>
      <c r="E132" s="43" t="str">
        <f t="shared" si="99"/>
        <v>7B</v>
      </c>
      <c r="F132" s="43" t="str">
        <f>IFERROR(VLOOKUP(E132,tb_scene_name[],2,0),"")</f>
        <v>地火荒原</v>
      </c>
      <c r="G132" s="51" t="str">
        <f t="shared" si="100"/>
        <v>bgm_7b</v>
      </c>
      <c r="H132" s="51" t="str">
        <f t="shared" si="111"/>
        <v>42072</v>
      </c>
      <c r="I132" s="51" t="str">
        <f t="shared" si="104"/>
        <v>scene_7B</v>
      </c>
      <c r="J132" s="51" t="str">
        <f t="shared" si="114"/>
        <v>rs_scene_icon[ui_level_icon_thumbnail_19]</v>
      </c>
      <c r="K132" s="51" t="str">
        <f t="shared" si="112"/>
        <v>42072~2.225~0.8~2.7</v>
      </c>
      <c r="L132" s="35" t="str">
        <f t="shared" si="113"/>
        <v>42072</v>
      </c>
      <c r="M132" s="35">
        <f t="shared" si="115"/>
        <v>2.2250000000000001</v>
      </c>
      <c r="N132" s="35">
        <v>0.8</v>
      </c>
      <c r="O132" s="35">
        <f t="shared" si="107"/>
        <v>2.7</v>
      </c>
      <c r="P132" s="92" t="str" cm="1">
        <f t="array" ref="P132">_F_get_RS_Weather_pool($A132,$C132)</f>
        <v>420705~0~50~&lt;color=red&gt;晴转雷暴雨&lt;/color&gt;;420705~10~50~&lt;color=red&gt;阴转雷暴雨&lt;/color&gt;;420705~11~50~&lt;color=red&gt;小雨转雷暴雨&lt;/color&gt;;420705~12~50~&lt;color=red&gt;大雨转雷暴雨&lt;/color&gt;;420705~13~50~&lt;color=purple&gt;雷暴雨&lt;/color&gt;;420705~0~50~&lt;color=red&gt;晴转雷暴雨&lt;/color&gt;;420705~10~100~&lt;color=red&gt;阴转雷暴雨&lt;/color&gt;;420705~11~100~&lt;color=red&gt;小雨转雷暴雨&lt;/color&gt;;420705~12~100~&lt;color=red&gt;大雨转雷暴雨&lt;/color&gt;;420705~13~100~&lt;color=purple&gt;雷暴雨&lt;/color&gt;</v>
      </c>
      <c r="Q132" s="59">
        <v>0</v>
      </c>
      <c r="R132" s="51">
        <v>6499</v>
      </c>
      <c r="S132" s="59" t="s">
        <v>687</v>
      </c>
      <c r="T132" s="99" t="str" cm="1">
        <f t="array" ref="T132">_F_get_RS_Shop_pool(D132,C132)</f>
        <v>30111=1728;40113=1080</v>
      </c>
      <c r="U132" s="59" t="s">
        <v>757</v>
      </c>
      <c r="V132" s="51"/>
      <c r="W132" s="51" cm="1">
        <f t="array" ref="W132">_xlfn.SWITCH(D132,0,"","初始",1,"普通",INT(LOG(C132,8.2))+2,"最终",2,1)</f>
        <v>1</v>
      </c>
      <c r="X132" s="91" t="str" cm="1">
        <f t="array" ref="X132">_F_get_RS_MG_pool($D132,$C132,$AA132:$AL132)</f>
        <v>420850~1~50~&lt;color=purple&gt;渊齿巨鱼&lt;/color&gt;;420851~1~50~&lt;color=purple&gt;缠绕水藻&lt;/color&gt;;420852~1~50~&lt;color=purple&gt;金鱼之王&lt;/color&gt;</v>
      </c>
      <c r="Y132" s="43" t="str">
        <f t="shared" si="89"/>
        <v>Correct</v>
      </c>
      <c r="Z132" s="73" t="str" cm="1">
        <f t="array" ref="Z132">_xlfn.TEXTJOIN("; ",1,_xlfn.MAP(AA132:AL132,_xlfn.LAMBDA(_xlpm._i,_xlfn.XLOOKUP(_xlpm._i,tb_mg[id],tb_mg[备注],"-TBN-"))))</f>
        <v>渊齿巨鱼; 缠绕水藻; 金鱼之王</v>
      </c>
      <c r="AA132" s="71">
        <v>420850</v>
      </c>
      <c r="AB132" s="71">
        <v>420851</v>
      </c>
      <c r="AC132" s="71">
        <v>420852</v>
      </c>
      <c r="AP132" s="5"/>
      <c r="AR132" s="5"/>
    </row>
    <row r="133" spans="1:44">
      <c r="A133" s="5">
        <v>420762</v>
      </c>
      <c r="B133" s="90" t="str" cm="1">
        <f t="array" ref="B133">_F_get_world_name($A133)</f>
        <v>荒漠</v>
      </c>
      <c r="C133" s="43">
        <f t="shared" si="110"/>
        <v>12</v>
      </c>
      <c r="D133" s="43" t="str">
        <f>VLOOKUP(MOD(A133,100),tb_scene_id_type[#All],3,1)</f>
        <v>精英</v>
      </c>
      <c r="E133" s="43" t="str">
        <f t="shared" si="99"/>
        <v>7B</v>
      </c>
      <c r="F133" s="43" t="str">
        <f>IFERROR(VLOOKUP(E133,tb_scene_name[],2,0),"")</f>
        <v>地火荒原</v>
      </c>
      <c r="G133" s="51" t="str">
        <f t="shared" si="100"/>
        <v>bgm_7b</v>
      </c>
      <c r="H133" s="51" t="str">
        <f t="shared" si="111"/>
        <v>42072</v>
      </c>
      <c r="I133" s="51" t="str">
        <f t="shared" si="104"/>
        <v>scene_7B</v>
      </c>
      <c r="J133" s="51" t="str">
        <f t="shared" si="114"/>
        <v>rs_scene_icon[ui_level_icon_thumbnail_19]</v>
      </c>
      <c r="K133" s="51" t="str">
        <f t="shared" si="112"/>
        <v>42072~2.2625~0.8~2.75</v>
      </c>
      <c r="L133" s="35" t="str">
        <f t="shared" si="113"/>
        <v>42072</v>
      </c>
      <c r="M133" s="35">
        <f t="shared" si="115"/>
        <v>2.2625000000000002</v>
      </c>
      <c r="N133" s="35">
        <v>0.8</v>
      </c>
      <c r="O133" s="35">
        <f t="shared" si="107"/>
        <v>2.75</v>
      </c>
      <c r="P133" s="92" t="str" cm="1">
        <f t="array" ref="P133">_F_get_RS_Weather_pool($A133,$C133)</f>
        <v>420705~0~50~&lt;color=red&gt;晴转雷暴雨&lt;/color&gt;;420705~10~100~&lt;color=red&gt;阴转雷暴雨&lt;/color&gt;;420705~11~100~&lt;color=red&gt;小雨转雷暴雨&lt;/color&gt;;420705~12~100~&lt;color=red&gt;大雨转雷暴雨&lt;/color&gt;;420705~13~100~&lt;color=purple&gt;雷暴雨&lt;/color&gt;;420705~0~50~&lt;color=red&gt;晴转雷暴雨&lt;/color&gt;;420705~10~50~&lt;color=red&gt;阴转雷暴雨&lt;/color&gt;;420705~11~100~&lt;color=red&gt;小雨转雷暴雨&lt;/color&gt;;420705~12~100~&lt;color=red&gt;大雨转雷暴雨&lt;/color&gt;;420705~13~100~&lt;color=purple&gt;雷暴雨&lt;/color&gt;</v>
      </c>
      <c r="Q133" s="59">
        <v>0</v>
      </c>
      <c r="R133" s="51">
        <v>7698</v>
      </c>
      <c r="S133" s="59" t="s">
        <v>687</v>
      </c>
      <c r="T133" s="99" t="str" cm="1">
        <f t="array" ref="T133">_F_get_RS_Shop_pool(D133,C133)</f>
        <v>40113=1080</v>
      </c>
      <c r="U133" s="59" t="s">
        <v>758</v>
      </c>
      <c r="V133" s="51"/>
      <c r="W133" s="51" cm="1">
        <f t="array" ref="W133">_xlfn.SWITCH(D133,0,"","初始",1,"普通",INT(LOG(C133,8.2))+2,"最终",2,1)</f>
        <v>1</v>
      </c>
      <c r="X133" s="91" t="str" cm="1">
        <f t="array" ref="X133">_F_get_RS_MG_pool($D133,$C133,$AA133:$AL133)</f>
        <v>420850~1~50~&lt;color=purple&gt;渊齿巨鱼&lt;/color&gt;;420851~1~50~&lt;color=purple&gt;缠绕水藻&lt;/color&gt;;420852~1~50~&lt;color=purple&gt;金鱼之王&lt;/color&gt;</v>
      </c>
      <c r="Y133" s="43" t="str">
        <f t="shared" si="89"/>
        <v>Correct</v>
      </c>
      <c r="Z133" s="73" t="str" cm="1">
        <f t="array" ref="Z133">_xlfn.TEXTJOIN("; ",1,_xlfn.MAP(AA133:AL133,_xlfn.LAMBDA(_xlpm._i,_xlfn.XLOOKUP(_xlpm._i,tb_mg[id],tb_mg[备注],"-TBN-"))))</f>
        <v>渊齿巨鱼; 缠绕水藻; 金鱼之王</v>
      </c>
      <c r="AA133" s="71">
        <v>420850</v>
      </c>
      <c r="AB133" s="71">
        <v>420851</v>
      </c>
      <c r="AC133" s="71">
        <v>420852</v>
      </c>
      <c r="AP133" s="5"/>
      <c r="AR133" s="5"/>
    </row>
    <row r="134" spans="1:44">
      <c r="A134" s="5">
        <v>420763</v>
      </c>
      <c r="B134" s="90" t="str" cm="1">
        <f t="array" ref="B134">_F_get_world_name($A134)</f>
        <v>荒漠</v>
      </c>
      <c r="C134" s="43">
        <f t="shared" si="110"/>
        <v>13</v>
      </c>
      <c r="D134" s="43" t="str">
        <f>VLOOKUP(MOD(A134,100),tb_scene_id_type[#All],3,1)</f>
        <v>精英</v>
      </c>
      <c r="E134" s="43" t="str">
        <f t="shared" si="99"/>
        <v>7B</v>
      </c>
      <c r="F134" s="43" t="str">
        <f>IFERROR(VLOOKUP(E134,tb_scene_name[],2,0),"")</f>
        <v>地火荒原</v>
      </c>
      <c r="G134" s="51" t="str">
        <f t="shared" si="100"/>
        <v>bgm_7b</v>
      </c>
      <c r="H134" s="51" t="str">
        <f t="shared" si="111"/>
        <v>42072</v>
      </c>
      <c r="I134" s="51" t="str">
        <f t="shared" si="104"/>
        <v>scene_7B</v>
      </c>
      <c r="J134" s="51" t="str">
        <f t="shared" si="114"/>
        <v>rs_scene_icon[ui_level_icon_thumbnail_19]</v>
      </c>
      <c r="K134" s="51" t="str">
        <f t="shared" si="112"/>
        <v>42072~2.3~0.8~2.8</v>
      </c>
      <c r="L134" s="35" t="str">
        <f t="shared" si="113"/>
        <v>42072</v>
      </c>
      <c r="M134" s="35">
        <f t="shared" si="115"/>
        <v>2.2999999999999998</v>
      </c>
      <c r="N134" s="35">
        <v>0.8</v>
      </c>
      <c r="O134" s="35">
        <f t="shared" si="107"/>
        <v>2.8000000000000003</v>
      </c>
      <c r="P134" s="92" t="str" cm="1">
        <f t="array" ref="P134">_F_get_RS_Weather_pool($A134,$C134)</f>
        <v>420705~0~50~&lt;color=red&gt;晴转雷暴雨&lt;/color&gt;;420705~10~50~&lt;color=red&gt;阴转雷暴雨&lt;/color&gt;;420705~11~100~&lt;color=red&gt;小雨转雷暴雨&lt;/color&gt;;420705~12~100~&lt;color=red&gt;大雨转雷暴雨&lt;/color&gt;;420705~13~100~&lt;color=purple&gt;雷暴雨&lt;/color&gt;;420706~10~50~&lt;color=red&gt;阴转雷暴雨&lt;/color&gt;;420706~11~50~&lt;color=red&gt;小雨转雷暴雨&lt;/color&gt;;420706~12~100~&lt;color=red&gt;大雨转雷暴雨&lt;/color&gt;;420706~13~100~&lt;color=purple&gt;雷暴雨&lt;/color&gt;</v>
      </c>
      <c r="Q134" s="59">
        <v>0</v>
      </c>
      <c r="R134" s="51">
        <v>9051</v>
      </c>
      <c r="S134" s="59" t="s">
        <v>687</v>
      </c>
      <c r="T134" s="99" t="str" cm="1">
        <f t="array" ref="T134">_F_get_RS_Shop_pool(D134,C134)</f>
        <v>30111=1728;40113=1080</v>
      </c>
      <c r="U134" s="59" t="s">
        <v>759</v>
      </c>
      <c r="V134" s="51"/>
      <c r="W134" s="51" cm="1">
        <f t="array" ref="W134">_xlfn.SWITCH(D134,0,"","初始",1,"普通",INT(LOG(C134,8.2))+2,"最终",2,1)</f>
        <v>1</v>
      </c>
      <c r="X134" s="91" t="str" cm="1">
        <f t="array" ref="X134">_F_get_RS_MG_pool($D134,$C134,$AA134:$AL134)</f>
        <v>420850~1~50~&lt;color=purple&gt;渊齿巨鱼&lt;/color&gt;;420851~1~50~&lt;color=purple&gt;缠绕水藻&lt;/color&gt;;420852~1~50~&lt;color=purple&gt;金鱼之王&lt;/color&gt;</v>
      </c>
      <c r="Y134" s="43" t="str">
        <f t="shared" si="89"/>
        <v>Correct</v>
      </c>
      <c r="Z134" s="73" t="str" cm="1">
        <f t="array" ref="Z134">_xlfn.TEXTJOIN("; ",1,_xlfn.MAP(AA134:AL134,_xlfn.LAMBDA(_xlpm._i,_xlfn.XLOOKUP(_xlpm._i,tb_mg[id],tb_mg[备注],"-TBN-"))))</f>
        <v>渊齿巨鱼; 缠绕水藻; 金鱼之王</v>
      </c>
      <c r="AA134" s="71">
        <v>420850</v>
      </c>
      <c r="AB134" s="71">
        <v>420851</v>
      </c>
      <c r="AC134" s="71">
        <v>420852</v>
      </c>
      <c r="AP134" s="5"/>
      <c r="AR134" s="5"/>
    </row>
    <row r="135" spans="1:44">
      <c r="A135" s="5">
        <v>420764</v>
      </c>
      <c r="B135" s="90" t="str" cm="1">
        <f t="array" ref="B135">_F_get_world_name($A135)</f>
        <v>荒漠</v>
      </c>
      <c r="C135" s="43">
        <f t="shared" si="110"/>
        <v>14</v>
      </c>
      <c r="D135" s="43" t="str">
        <f>VLOOKUP(MOD(A135,100),tb_scene_id_type[#All],3,1)</f>
        <v>精英</v>
      </c>
      <c r="E135" s="43" t="str">
        <f t="shared" si="99"/>
        <v>7B</v>
      </c>
      <c r="F135" s="43" t="str">
        <f>IFERROR(VLOOKUP(E135,tb_scene_name[],2,0),"")</f>
        <v>地火荒原</v>
      </c>
      <c r="G135" s="51" t="str">
        <f t="shared" si="100"/>
        <v>bgm_7b</v>
      </c>
      <c r="H135" s="51" t="str">
        <f t="shared" si="111"/>
        <v>42072</v>
      </c>
      <c r="I135" s="51" t="str">
        <f t="shared" si="104"/>
        <v>scene_7B</v>
      </c>
      <c r="J135" s="51" t="str">
        <f t="shared" si="114"/>
        <v>rs_scene_icon[ui_level_icon_thumbnail_19]</v>
      </c>
      <c r="K135" s="51" t="str">
        <f t="shared" si="112"/>
        <v>42072~2.3375~0.8~2.85</v>
      </c>
      <c r="L135" s="35" t="str">
        <f t="shared" si="113"/>
        <v>42072</v>
      </c>
      <c r="M135" s="35">
        <f t="shared" si="115"/>
        <v>2.3374999999999999</v>
      </c>
      <c r="N135" s="35">
        <v>0.8</v>
      </c>
      <c r="O135" s="35">
        <f t="shared" si="107"/>
        <v>2.85</v>
      </c>
      <c r="P135" s="92" t="str" cm="1">
        <f t="array" ref="P135">_F_get_RS_Weather_pool($A135,$C135)</f>
        <v>420706~10~50~&lt;color=red&gt;阴转雷暴雨&lt;/color&gt;;420706~11~50~&lt;color=red&gt;小雨转雷暴雨&lt;/color&gt;;420706~12~100~&lt;color=red&gt;大雨转雷暴雨&lt;/color&gt;;420706~13~100~&lt;color=purple&gt;雷暴雨&lt;/color&gt;;420706~10~0~&lt;color=red&gt;阴转雷暴雨&lt;/color&gt;;420706~11~50~&lt;color=red&gt;小雨转雷暴雨&lt;/color&gt;;420706~12~100~&lt;color=red&gt;大雨转雷暴雨&lt;/color&gt;;420706~13~100~&lt;color=purple&gt;雷暴雨&lt;/color&gt;</v>
      </c>
      <c r="Q135" s="59">
        <v>0</v>
      </c>
      <c r="R135" s="51">
        <v>10574</v>
      </c>
      <c r="S135" s="59" t="s">
        <v>687</v>
      </c>
      <c r="T135" s="99" t="str" cm="1">
        <f t="array" ref="T135">_F_get_RS_Shop_pool(D135,C135)</f>
        <v>30111=1728;40113=1080</v>
      </c>
      <c r="U135" s="59" t="s">
        <v>760</v>
      </c>
      <c r="V135" s="51"/>
      <c r="W135" s="51" cm="1">
        <f t="array" ref="W135">_xlfn.SWITCH(D135,0,"","初始",1,"普通",INT(LOG(C135,8.2))+2,"最终",2,1)</f>
        <v>1</v>
      </c>
      <c r="X135" s="91" t="str" cm="1">
        <f t="array" ref="X135">_F_get_RS_MG_pool($D135,$C135,$AA135:$AL135)</f>
        <v>420850~1~50~&lt;color=purple&gt;渊齿巨鱼&lt;/color&gt;;420851~1~50~&lt;color=purple&gt;缠绕水藻&lt;/color&gt;;420852~1~50~&lt;color=purple&gt;金鱼之王&lt;/color&gt;</v>
      </c>
      <c r="Y135" s="43" t="str">
        <f t="shared" si="89"/>
        <v>Correct</v>
      </c>
      <c r="Z135" s="73" t="str" cm="1">
        <f t="array" ref="Z135">_xlfn.TEXTJOIN("; ",1,_xlfn.MAP(AA135:AL135,_xlfn.LAMBDA(_xlpm._i,_xlfn.XLOOKUP(_xlpm._i,tb_mg[id],tb_mg[备注],"-TBN-"))))</f>
        <v>渊齿巨鱼; 缠绕水藻; 金鱼之王</v>
      </c>
      <c r="AA135" s="71">
        <v>420850</v>
      </c>
      <c r="AB135" s="71">
        <v>420851</v>
      </c>
      <c r="AC135" s="71">
        <v>420852</v>
      </c>
      <c r="AP135" s="5"/>
      <c r="AR135" s="5"/>
    </row>
    <row r="136" spans="1:44">
      <c r="A136" s="5">
        <v>420765</v>
      </c>
      <c r="B136" s="90" t="str" cm="1">
        <f t="array" ref="B136">_F_get_world_name($A136)</f>
        <v>荒漠</v>
      </c>
      <c r="C136" s="43">
        <f t="shared" si="110"/>
        <v>15</v>
      </c>
      <c r="D136" s="43" t="str">
        <f>VLOOKUP(MOD(A136,100),tb_scene_id_type[#All],3,1)</f>
        <v>精英</v>
      </c>
      <c r="E136" s="43" t="str">
        <f t="shared" si="99"/>
        <v>7C</v>
      </c>
      <c r="F136" s="43" t="str">
        <f>IFERROR(VLOOKUP(E136,tb_scene_name[],2,0),"")</f>
        <v>风吞大漠</v>
      </c>
      <c r="G136" s="51" t="str">
        <f t="shared" si="100"/>
        <v>bgm_7c</v>
      </c>
      <c r="H136" s="51" t="str">
        <f t="shared" si="111"/>
        <v>42073</v>
      </c>
      <c r="I136" s="51" t="str">
        <f t="shared" si="104"/>
        <v>scene_7C</v>
      </c>
      <c r="J136" s="51" t="str">
        <f t="shared" si="114"/>
        <v>rs_scene_icon[ui_level_icon_thumbnail_20]</v>
      </c>
      <c r="K136" s="51" t="str">
        <f t="shared" si="112"/>
        <v>42073~2.375~0.8~2.9</v>
      </c>
      <c r="L136" s="35" t="str">
        <f t="shared" si="113"/>
        <v>42073</v>
      </c>
      <c r="M136" s="35">
        <f t="shared" si="115"/>
        <v>2.3750000000000004</v>
      </c>
      <c r="N136" s="35">
        <v>0.8</v>
      </c>
      <c r="O136" s="35">
        <f t="shared" si="107"/>
        <v>2.9000000000000004</v>
      </c>
      <c r="P136" s="92" t="str" cm="1">
        <f t="array" ref="P136">_F_get_RS_Weather_pool($A136,$C136)</f>
        <v>420706~10~0~&lt;color=red&gt;阴转雷暴雨&lt;/color&gt;;420706~11~50~&lt;color=red&gt;小雨转雷暴雨&lt;/color&gt;;420706~12~100~&lt;color=red&gt;大雨转雷暴雨&lt;/color&gt;;420706~13~100~&lt;color=purple&gt;雷暴雨&lt;/color&gt;;420707~11~50~&lt;color=red&gt;小雨转雷暴雨&lt;/color&gt;;420707~12~100~&lt;color=red&gt;大雨转雷暴雨&lt;/color&gt;;420707~13~100~&lt;color=purple&gt;雷暴雨&lt;/color&gt;</v>
      </c>
      <c r="Q136" s="59">
        <v>0</v>
      </c>
      <c r="R136" s="51">
        <v>12263</v>
      </c>
      <c r="S136" s="59" t="s">
        <v>687</v>
      </c>
      <c r="T136" s="99" t="str" cm="1">
        <f t="array" ref="T136">_F_get_RS_Shop_pool(D136,C136)</f>
        <v>30111=1728;40113=1080</v>
      </c>
      <c r="U136" s="59" t="s">
        <v>761</v>
      </c>
      <c r="V136" s="51"/>
      <c r="W136" s="51" cm="1">
        <f t="array" ref="W136">_xlfn.SWITCH(D136,0,"","初始",1,"普通",INT(LOG(C136,8.2))+2,"最终",2,1)</f>
        <v>1</v>
      </c>
      <c r="X136" s="91" t="str" cm="1">
        <f t="array" ref="X136">_F_get_RS_MG_pool($D136,$C136,$AA136:$AL136)</f>
        <v>420850~1~50~&lt;color=purple&gt;渊齿巨鱼&lt;/color&gt;;420851~1~50~&lt;color=purple&gt;缠绕水藻&lt;/color&gt;;420852~1~50~&lt;color=purple&gt;金鱼之王&lt;/color&gt;</v>
      </c>
      <c r="Y136" s="43" t="str">
        <f t="shared" si="89"/>
        <v>Correct</v>
      </c>
      <c r="Z136" s="73" t="str" cm="1">
        <f t="array" ref="Z136">_xlfn.TEXTJOIN("; ",1,_xlfn.MAP(AA136:AL136,_xlfn.LAMBDA(_xlpm._i,_xlfn.XLOOKUP(_xlpm._i,tb_mg[id],tb_mg[备注],"-TBN-"))))</f>
        <v>渊齿巨鱼; 缠绕水藻; 金鱼之王</v>
      </c>
      <c r="AA136" s="71">
        <v>420850</v>
      </c>
      <c r="AB136" s="71">
        <v>420851</v>
      </c>
      <c r="AC136" s="71">
        <v>420852</v>
      </c>
      <c r="AP136" s="5"/>
      <c r="AR136" s="5"/>
    </row>
    <row r="137" spans="1:44">
      <c r="A137" s="5">
        <v>420766</v>
      </c>
      <c r="B137" s="90" t="str" cm="1">
        <f t="array" ref="B137">_F_get_world_name($A137)</f>
        <v>荒漠</v>
      </c>
      <c r="C137" s="43">
        <f t="shared" si="110"/>
        <v>16</v>
      </c>
      <c r="D137" s="43" t="str">
        <f>VLOOKUP(MOD(A137,100),tb_scene_id_type[#All],3,1)</f>
        <v>精英</v>
      </c>
      <c r="E137" s="43" t="str">
        <f t="shared" si="99"/>
        <v>7C</v>
      </c>
      <c r="F137" s="43" t="str">
        <f>IFERROR(VLOOKUP(E137,tb_scene_name[],2,0),"")</f>
        <v>风吞大漠</v>
      </c>
      <c r="G137" s="51" t="str">
        <f t="shared" si="100"/>
        <v>bgm_7c</v>
      </c>
      <c r="H137" s="51" t="str">
        <f t="shared" si="111"/>
        <v>42073</v>
      </c>
      <c r="I137" s="51" t="str">
        <f t="shared" si="104"/>
        <v>scene_7C</v>
      </c>
      <c r="J137" s="51" t="str">
        <f t="shared" si="114"/>
        <v>rs_scene_icon[ui_level_icon_thumbnail_20]</v>
      </c>
      <c r="K137" s="51" t="str">
        <f t="shared" si="112"/>
        <v>42073~2.4125~0.8~2.95</v>
      </c>
      <c r="L137" s="35" t="str">
        <f t="shared" si="113"/>
        <v>42073</v>
      </c>
      <c r="M137" s="35">
        <f t="shared" si="115"/>
        <v>2.4125000000000005</v>
      </c>
      <c r="N137" s="35">
        <v>0.8</v>
      </c>
      <c r="O137" s="35">
        <f t="shared" si="107"/>
        <v>2.95</v>
      </c>
      <c r="P137" s="92" t="str" cm="1">
        <f t="array" ref="P137">_F_get_RS_Weather_pool($A137,$C137)</f>
        <v>420707~11~50~&lt;color=red&gt;小雨转雷暴雨&lt;/color&gt;;420707~12~100~&lt;color=red&gt;大雨转雷暴雨&lt;/color&gt;;420707~13~100~&lt;color=purple&gt;雷暴雨&lt;/color&gt;;420707~11~0~&lt;color=red&gt;小雨转雷暴雨&lt;/color&gt;;420707~12~100~&lt;color=red&gt;大雨转雷暴雨&lt;/color&gt;;420707~13~100~&lt;color=purple&gt;雷暴雨&lt;/color&gt;</v>
      </c>
      <c r="Q137" s="59">
        <v>0</v>
      </c>
      <c r="R137" s="51">
        <v>14139</v>
      </c>
      <c r="S137" s="59" t="s">
        <v>687</v>
      </c>
      <c r="T137" s="99" t="str" cm="1">
        <f t="array" ref="T137">_F_get_RS_Shop_pool(D137,C137)</f>
        <v>40113=1080</v>
      </c>
      <c r="U137" s="59" t="s">
        <v>762</v>
      </c>
      <c r="V137" s="51"/>
      <c r="W137" s="51" cm="1">
        <f t="array" ref="W137">_xlfn.SWITCH(D137,0,"","初始",1,"普通",INT(LOG(C137,8.2))+2,"最终",2,1)</f>
        <v>1</v>
      </c>
      <c r="X137" s="91" t="str" cm="1">
        <f t="array" ref="X137">_F_get_RS_MG_pool($D137,$C137,$AA137:$AL137)</f>
        <v>420850~1~50~&lt;color=purple&gt;渊齿巨鱼&lt;/color&gt;;420851~1~50~&lt;color=purple&gt;缠绕水藻&lt;/color&gt;;420852~1~50~&lt;color=purple&gt;金鱼之王&lt;/color&gt;</v>
      </c>
      <c r="Y137" s="43" t="str">
        <f t="shared" si="89"/>
        <v>Correct</v>
      </c>
      <c r="Z137" s="73" t="str" cm="1">
        <f t="array" ref="Z137">_xlfn.TEXTJOIN("; ",1,_xlfn.MAP(AA137:AL137,_xlfn.LAMBDA(_xlpm._i,_xlfn.XLOOKUP(_xlpm._i,tb_mg[id],tb_mg[备注],"-TBN-"))))</f>
        <v>渊齿巨鱼; 缠绕水藻; 金鱼之王</v>
      </c>
      <c r="AA137" s="71">
        <v>420850</v>
      </c>
      <c r="AB137" s="71">
        <v>420851</v>
      </c>
      <c r="AC137" s="71">
        <v>420852</v>
      </c>
      <c r="AP137" s="5"/>
      <c r="AR137" s="5"/>
    </row>
    <row r="138" spans="1:44">
      <c r="A138" s="5">
        <v>420767</v>
      </c>
      <c r="B138" s="90" t="str" cm="1">
        <f t="array" ref="B138">_F_get_world_name($A138)</f>
        <v>荒漠</v>
      </c>
      <c r="C138" s="43">
        <f t="shared" si="110"/>
        <v>17</v>
      </c>
      <c r="D138" s="43" t="str">
        <f>VLOOKUP(MOD(A138,100),tb_scene_id_type[#All],3,1)</f>
        <v>精英</v>
      </c>
      <c r="E138" s="43" t="str">
        <f t="shared" si="99"/>
        <v>7C</v>
      </c>
      <c r="F138" s="43" t="str">
        <f>IFERROR(VLOOKUP(E138,tb_scene_name[],2,0),"")</f>
        <v>风吞大漠</v>
      </c>
      <c r="G138" s="51" t="str">
        <f t="shared" si="100"/>
        <v>bgm_7c</v>
      </c>
      <c r="H138" s="51" t="str">
        <f t="shared" si="111"/>
        <v>42073</v>
      </c>
      <c r="I138" s="51" t="str">
        <f t="shared" si="104"/>
        <v>scene_7C</v>
      </c>
      <c r="J138" s="51" t="str">
        <f t="shared" si="114"/>
        <v>rs_scene_icon[ui_level_icon_thumbnail_20]</v>
      </c>
      <c r="K138" s="51" t="str">
        <f t="shared" si="112"/>
        <v>42073~2.45~0.8~3</v>
      </c>
      <c r="L138" s="35" t="str">
        <f t="shared" si="113"/>
        <v>42073</v>
      </c>
      <c r="M138" s="35">
        <f t="shared" si="115"/>
        <v>2.4500000000000002</v>
      </c>
      <c r="N138" s="35">
        <v>0.8</v>
      </c>
      <c r="O138" s="35">
        <f t="shared" si="107"/>
        <v>3</v>
      </c>
      <c r="P138" s="92" t="str" cm="1">
        <f t="array" ref="P138">_F_get_RS_Weather_pool($A138,$C138)</f>
        <v>420707~11~0~&lt;color=red&gt;小雨转雷暴雨&lt;/color&gt;;420707~12~100~&lt;color=red&gt;大雨转雷暴雨&lt;/color&gt;;420707~13~100~&lt;color=purple&gt;雷暴雨&lt;/color&gt;;420708~12~100~&lt;color=red&gt;大雨转雷暴雨&lt;/color&gt;;420708~13~100~&lt;color=purple&gt;雷暴雨&lt;/color&gt;</v>
      </c>
      <c r="Q138" s="59">
        <v>0</v>
      </c>
      <c r="R138" s="51">
        <v>16204</v>
      </c>
      <c r="S138" s="59" t="s">
        <v>687</v>
      </c>
      <c r="T138" s="99" t="str" cm="1">
        <f t="array" ref="T138">_F_get_RS_Shop_pool(D138,C138)</f>
        <v>30111=1728;40113=1080</v>
      </c>
      <c r="U138" s="59" t="s">
        <v>763</v>
      </c>
      <c r="V138" s="51"/>
      <c r="W138" s="51" cm="1">
        <f t="array" ref="W138">_xlfn.SWITCH(D138,0,"","初始",1,"普通",INT(LOG(C138,8.2))+2,"最终",2,1)</f>
        <v>1</v>
      </c>
      <c r="X138" s="91" t="str" cm="1">
        <f t="array" ref="X138">_F_get_RS_MG_pool($D138,$C138,$AA138:$AL138)</f>
        <v>420850~1~50~&lt;color=purple&gt;渊齿巨鱼&lt;/color&gt;;420851~1~50~&lt;color=purple&gt;缠绕水藻&lt;/color&gt;;420852~1~50~&lt;color=purple&gt;金鱼之王&lt;/color&gt;</v>
      </c>
      <c r="Y138" s="43" t="str">
        <f t="shared" si="89"/>
        <v>Correct</v>
      </c>
      <c r="Z138" s="73" t="str" cm="1">
        <f t="array" ref="Z138">_xlfn.TEXTJOIN("; ",1,_xlfn.MAP(AA138:AL138,_xlfn.LAMBDA(_xlpm._i,_xlfn.XLOOKUP(_xlpm._i,tb_mg[id],tb_mg[备注],"-TBN-"))))</f>
        <v>渊齿巨鱼; 缠绕水藻; 金鱼之王</v>
      </c>
      <c r="AA138" s="71">
        <v>420850</v>
      </c>
      <c r="AB138" s="71">
        <v>420851</v>
      </c>
      <c r="AC138" s="71">
        <v>420852</v>
      </c>
      <c r="AP138" s="5"/>
      <c r="AR138" s="5"/>
    </row>
    <row r="139" spans="1:44">
      <c r="A139" s="5">
        <v>420768</v>
      </c>
      <c r="B139" s="90" t="str" cm="1">
        <f t="array" ref="B139">_F_get_world_name($A139)</f>
        <v>荒漠</v>
      </c>
      <c r="C139" s="43">
        <f t="shared" si="110"/>
        <v>18</v>
      </c>
      <c r="D139" s="43" t="str">
        <f>VLOOKUP(MOD(A139,100),tb_scene_id_type[#All],3,1)</f>
        <v>精英</v>
      </c>
      <c r="E139" s="43" t="str">
        <f t="shared" si="99"/>
        <v>7C</v>
      </c>
      <c r="F139" s="43" t="str">
        <f>IFERROR(VLOOKUP(E139,tb_scene_name[],2,0),"")</f>
        <v>风吞大漠</v>
      </c>
      <c r="G139" s="51" t="str">
        <f t="shared" si="100"/>
        <v>bgm_7c</v>
      </c>
      <c r="H139" s="51" t="str">
        <f t="shared" si="111"/>
        <v>42073</v>
      </c>
      <c r="I139" s="51" t="str">
        <f t="shared" si="104"/>
        <v>scene_7C</v>
      </c>
      <c r="J139" s="51" t="str">
        <f t="shared" si="114"/>
        <v>rs_scene_icon[ui_level_icon_thumbnail_20]</v>
      </c>
      <c r="K139" s="51" t="str">
        <f t="shared" si="112"/>
        <v>42073~2.4875~0.8~3.05</v>
      </c>
      <c r="L139" s="35" t="str">
        <f t="shared" si="113"/>
        <v>42073</v>
      </c>
      <c r="M139" s="35">
        <f t="shared" si="115"/>
        <v>2.4874999999999998</v>
      </c>
      <c r="N139" s="35">
        <v>0.8</v>
      </c>
      <c r="O139" s="35">
        <f t="shared" si="107"/>
        <v>3.0500000000000003</v>
      </c>
      <c r="P139" s="92" t="str" cm="1">
        <f t="array" ref="P139">_F_get_RS_Weather_pool($A139,$C139)</f>
        <v>420708~12~100~&lt;color=red&gt;大雨转雷暴雨&lt;/color&gt;;420708~13~100~&lt;color=purple&gt;雷暴雨&lt;/color&gt;;420708~12~50~&lt;color=red&gt;大雨转雷暴雨&lt;/color&gt;;420708~13~100~&lt;color=purple&gt;雷暴雨&lt;/color&gt;</v>
      </c>
      <c r="Q139" s="59">
        <v>0</v>
      </c>
      <c r="R139" s="51">
        <v>18456</v>
      </c>
      <c r="S139" s="59" t="s">
        <v>687</v>
      </c>
      <c r="T139" s="99" t="str" cm="1">
        <f t="array" ref="T139">_F_get_RS_Shop_pool(D139,C139)</f>
        <v>30111=1728;40113=1080</v>
      </c>
      <c r="U139" s="59" t="s">
        <v>764</v>
      </c>
      <c r="V139" s="51"/>
      <c r="W139" s="51" cm="1">
        <f t="array" ref="W139">_xlfn.SWITCH(D139,0,"","初始",1,"普通",INT(LOG(C139,8.2))+2,"最终",2,1)</f>
        <v>1</v>
      </c>
      <c r="X139" s="91" t="str" cm="1">
        <f t="array" ref="X139">_F_get_RS_MG_pool($D139,$C139,$AA139:$AL139)</f>
        <v>420850~1~50~&lt;color=purple&gt;渊齿巨鱼&lt;/color&gt;;420851~1~50~&lt;color=purple&gt;缠绕水藻&lt;/color&gt;;420852~1~50~&lt;color=purple&gt;金鱼之王&lt;/color&gt;</v>
      </c>
      <c r="Y139" s="43" t="str">
        <f t="shared" si="89"/>
        <v>Correct</v>
      </c>
      <c r="Z139" s="73" t="str" cm="1">
        <f t="array" ref="Z139">_xlfn.TEXTJOIN("; ",1,_xlfn.MAP(AA139:AL139,_xlfn.LAMBDA(_xlpm._i,_xlfn.XLOOKUP(_xlpm._i,tb_mg[id],tb_mg[备注],"-TBN-"))))</f>
        <v>渊齿巨鱼; 缠绕水藻; 金鱼之王</v>
      </c>
      <c r="AA139" s="71">
        <v>420850</v>
      </c>
      <c r="AB139" s="71">
        <v>420851</v>
      </c>
      <c r="AC139" s="71">
        <v>420852</v>
      </c>
      <c r="AP139" s="5"/>
      <c r="AR139" s="5"/>
    </row>
    <row r="140" spans="1:44">
      <c r="A140" s="5">
        <v>420769</v>
      </c>
      <c r="B140" s="90" t="str" cm="1">
        <f t="array" ref="B140">_F_get_world_name($A140)</f>
        <v>荒漠</v>
      </c>
      <c r="C140" s="43">
        <f t="shared" si="110"/>
        <v>19</v>
      </c>
      <c r="D140" s="43" t="str">
        <f>VLOOKUP(MOD(A140,100),tb_scene_id_type[#All],3,1)</f>
        <v>精英</v>
      </c>
      <c r="E140" s="43" t="str">
        <f t="shared" si="99"/>
        <v>7C</v>
      </c>
      <c r="F140" s="43" t="str">
        <f>IFERROR(VLOOKUP(E140,tb_scene_name[],2,0),"")</f>
        <v>风吞大漠</v>
      </c>
      <c r="G140" s="51" t="str">
        <f t="shared" si="100"/>
        <v>bgm_7c</v>
      </c>
      <c r="H140" s="51" t="str">
        <f t="shared" si="111"/>
        <v>42073</v>
      </c>
      <c r="I140" s="51" t="str">
        <f t="shared" si="104"/>
        <v>scene_7C</v>
      </c>
      <c r="J140" s="51" t="str">
        <f t="shared" si="114"/>
        <v>rs_scene_icon[ui_level_icon_thumbnail_20]</v>
      </c>
      <c r="K140" s="51" t="str">
        <f t="shared" si="112"/>
        <v>42073~2.525~0.8~3.1</v>
      </c>
      <c r="L140" s="35" t="str">
        <f t="shared" si="113"/>
        <v>42073</v>
      </c>
      <c r="M140" s="35">
        <f t="shared" si="115"/>
        <v>2.5249999999999999</v>
      </c>
      <c r="N140" s="35">
        <v>0.8</v>
      </c>
      <c r="O140" s="35">
        <f t="shared" si="107"/>
        <v>3.1</v>
      </c>
      <c r="P140" s="92" t="str" cm="1">
        <f t="array" ref="P140">_F_get_RS_Weather_pool($A140,$C140)</f>
        <v>420708~12~50~&lt;color=red&gt;大雨转雷暴雨&lt;/color&gt;;420708~13~100~&lt;color=purple&gt;雷暴雨&lt;/color&gt;;420709~13~100~&lt;color=purple&gt;雷暴雨&lt;/color&gt;</v>
      </c>
      <c r="Q140" s="59">
        <v>0</v>
      </c>
      <c r="R140" s="51">
        <v>20929</v>
      </c>
      <c r="S140" s="59" t="s">
        <v>687</v>
      </c>
      <c r="T140" s="99" t="str" cm="1">
        <f t="array" ref="T140">_F_get_RS_Shop_pool(D140,C140)</f>
        <v>40113=1080</v>
      </c>
      <c r="U140" s="59" t="s">
        <v>765</v>
      </c>
      <c r="V140" s="51"/>
      <c r="W140" s="51" cm="1">
        <f t="array" ref="W140">_xlfn.SWITCH(D140,0,"","初始",1,"普通",INT(LOG(C140,8.2))+2,"最终",2,1)</f>
        <v>1</v>
      </c>
      <c r="X140" s="91" t="str" cm="1">
        <f t="array" ref="X140">_F_get_RS_MG_pool($D140,$C140,$AA140:$AL140)</f>
        <v>420850~1~50~&lt;color=purple&gt;渊齿巨鱼&lt;/color&gt;;420851~1~50~&lt;color=purple&gt;缠绕水藻&lt;/color&gt;;420852~1~50~&lt;color=purple&gt;金鱼之王&lt;/color&gt;</v>
      </c>
      <c r="Y140" s="43" t="str">
        <f t="shared" si="89"/>
        <v>Correct</v>
      </c>
      <c r="Z140" s="73" t="str" cm="1">
        <f t="array" ref="Z140">_xlfn.TEXTJOIN("; ",1,_xlfn.MAP(AA140:AL140,_xlfn.LAMBDA(_xlpm._i,_xlfn.XLOOKUP(_xlpm._i,tb_mg[id],tb_mg[备注],"-TBN-"))))</f>
        <v>渊齿巨鱼; 缠绕水藻; 金鱼之王</v>
      </c>
      <c r="AA140" s="71">
        <v>420850</v>
      </c>
      <c r="AB140" s="71">
        <v>420851</v>
      </c>
      <c r="AC140" s="71">
        <v>420852</v>
      </c>
      <c r="AP140" s="5"/>
      <c r="AR140" s="5"/>
    </row>
    <row r="141" spans="1:44">
      <c r="B141" s="5"/>
      <c r="I141" s="51"/>
      <c r="J141" s="51"/>
      <c r="Q141" s="59"/>
      <c r="R141" s="59"/>
      <c r="V141" s="51"/>
      <c r="W141" s="51" t="str" cm="1">
        <f t="array" ref="W141">_xlfn.SWITCH(D141,0,"","初始",1,"普通",INT(LOG(C141,8.2))+2,"最终",2,1)</f>
        <v/>
      </c>
      <c r="X141" s="51"/>
      <c r="Y141" s="43" t="str">
        <f t="shared" si="89"/>
        <v/>
      </c>
      <c r="Z141" s="73" t="str" cm="1">
        <f t="array" ref="Z141">_xlfn.TEXTJOIN("; ",1,_xlfn.MAP(AA141:AL141,_xlfn.LAMBDA(_xlpm._i,_xlfn.XLOOKUP(_xlpm._i,tb_mg[id],tb_mg[备注],"-TBN-"))))</f>
        <v/>
      </c>
    </row>
    <row r="142" spans="1:44">
      <c r="A142" s="5">
        <v>420799</v>
      </c>
      <c r="B142" s="90" t="str" cm="1">
        <f t="array" ref="B142">_F_get_world_name($A142)</f>
        <v>荒漠</v>
      </c>
      <c r="C142" s="43">
        <f t="shared" ref="C142" si="116">IF(MOD(A142,100)&gt;90,20,MOD(A142,50))</f>
        <v>20</v>
      </c>
      <c r="D142" s="43" t="str">
        <f>VLOOKUP(MOD(A142,100),tb_scene_id_type[#All],3,1)</f>
        <v>最终</v>
      </c>
      <c r="E142" s="43" t="str">
        <f t="shared" ref="E142" si="117">MID(A142,4,1)&amp;CHAR(INT((C142-1)/7+1)+64)</f>
        <v>7C</v>
      </c>
      <c r="F142" s="43" t="str">
        <f>IFERROR(VLOOKUP(E142,tb_scene_name[],2,0),"")</f>
        <v>风吞大漠</v>
      </c>
      <c r="G142" s="51" t="str">
        <f t="shared" si="100"/>
        <v>bgm_7c</v>
      </c>
      <c r="H142" s="51" t="str">
        <f t="shared" ref="H142" si="118">420&amp;LEFT(E142,1)&amp;_xlfn.UNICODE(RIGHT(E142,1))-64</f>
        <v>42073</v>
      </c>
      <c r="I142" s="51" t="str">
        <f t="shared" si="104"/>
        <v>scene_7C</v>
      </c>
      <c r="J142" s="51" t="str">
        <f t="shared" si="114"/>
        <v>rs_scene_icon[ui_level_icon_thumbnail_20]</v>
      </c>
      <c r="K142" s="51" t="str">
        <f t="shared" ref="K142" si="119">_xlfn.TEXTJOIN("~",1,L142:O142)</f>
        <v>42073~2.5625~0.8~3.15</v>
      </c>
      <c r="L142" s="35" t="str">
        <f t="shared" ref="L142" si="120">H142</f>
        <v>42073</v>
      </c>
      <c r="M142" s="35">
        <f t="shared" ref="M142" si="121">N142+(O142-N142)*0.75</f>
        <v>2.5625000000000004</v>
      </c>
      <c r="N142" s="35">
        <v>0.8</v>
      </c>
      <c r="O142" s="35">
        <f t="shared" si="107"/>
        <v>3.1500000000000004</v>
      </c>
      <c r="P142" s="92" t="str" cm="1">
        <f t="array" ref="P142">_F_get_RS_Weather_pool($A142,$C142)</f>
        <v>420709~13~100~&lt;color=purple&gt;雷暴雨&lt;/color&gt;;420709~13~50~&lt;color=purple&gt;雷暴雨&lt;/color&gt;</v>
      </c>
      <c r="Q142" s="59">
        <v>0</v>
      </c>
      <c r="R142" s="51">
        <v>23618</v>
      </c>
      <c r="S142" s="59" t="s">
        <v>780</v>
      </c>
      <c r="T142" s="99" t="str" cm="1">
        <f t="array" ref="T142">_F_get_RS_Shop_pool(D142,C142)</f>
        <v/>
      </c>
      <c r="U142" s="59"/>
      <c r="V142" s="51"/>
      <c r="W142" s="51" cm="1">
        <f t="array" ref="W142">_xlfn.SWITCH(D142,0,"","初始",1,"普通",INT(LOG(C142,8.2))+2,"最终",2,1)</f>
        <v>2</v>
      </c>
      <c r="X142" s="91" t="str" cm="1">
        <f t="array" ref="X142">_F_get_RS_MG_pool($D142,$C142,$AA142:$AL142)</f>
        <v>420850~1~75~&lt;color=purple&gt;渊齿巨鱼&lt;/color&gt;;420851~1~75~&lt;color=purple&gt;缠绕水藻&lt;/color&gt;;420852~1~75~&lt;color=purple&gt;金鱼之王&lt;/color&gt;</v>
      </c>
      <c r="Y142" s="43" t="str">
        <f t="shared" si="89"/>
        <v>Correct</v>
      </c>
      <c r="Z142" s="73" t="str" cm="1">
        <f t="array" ref="Z142">_xlfn.TEXTJOIN("; ",1,_xlfn.MAP(AA142:AL142,_xlfn.LAMBDA(_xlpm._i,_xlfn.XLOOKUP(_xlpm._i,tb_mg[id],tb_mg[备注],"-TBN-"))))</f>
        <v>渊齿巨鱼; 缠绕水藻; 金鱼之王</v>
      </c>
      <c r="AA142" s="71">
        <v>420850</v>
      </c>
      <c r="AB142" s="71">
        <v>420851</v>
      </c>
      <c r="AC142" s="71">
        <v>420852</v>
      </c>
      <c r="AP142" s="5"/>
      <c r="AR142" s="5"/>
    </row>
    <row r="143" spans="1:44">
      <c r="Q143" s="59"/>
      <c r="R143" s="59"/>
      <c r="V143" s="51"/>
      <c r="W143" s="51" t="str" cm="1">
        <f t="array" ref="W143">_xlfn.SWITCH(D143,0,"","初始",1,"普通",INT(LOG(C143,8.2))+2,"最终",2,1)</f>
        <v/>
      </c>
      <c r="X143" s="51" t="str" cm="1">
        <f t="array" ref="X143">_xlfn.LET(_xlpm._mg_len_coef,_xlfn.XLOOKUP($D143,tb_scene_type[类型],tb_scene_type[长度倍率],1)+$C143*_xlfn.XLOOKUP($D143,tb_scene_type[类型],tb_scene_type[场景序数加成],1),
_xlfn.TEXTJOIN(";",1,
    _xlfn.MAP($AA143:$AL143,_xlfn.LAMBDA(_xlpm.x,
        _xlfn.LET(_xlpm._not_null,_xlpm.x&lt;&gt;"",
            _xlpm._mg_len,MROUND(_xlfn.XLOOKUP(_xlpm.x,tb_mg[id],tb_mg[base_len],300)*_xlpm._mg_len_coef,5),
            _xlpm._ui_text,"~"&amp;_xlfn.XLOOKUP(_xlpm.x,tb_mg[id],tb_mg[选路ui文本],""),
            IF(_xlpm._not_null,_xlfn.TEXTJOIN("~",1,_xlpm.x,1,_xlpm._mg_len,)&amp;_xlpm._ui_text,""))))))</f>
        <v/>
      </c>
      <c r="Y143" s="43" t="str">
        <f t="shared" si="89"/>
        <v/>
      </c>
      <c r="Z143" s="73" t="str" cm="1">
        <f t="array" ref="Z143">_xlfn.TEXTJOIN("; ",1,_xlfn.MAP(AA143:AL143,_xlfn.LAMBDA(_xlpm._i,_xlfn.XLOOKUP(_xlpm._i,tb_mg[id],tb_mg[备注],"-TBN-"))))</f>
        <v/>
      </c>
    </row>
    <row r="144" spans="1:44">
      <c r="Q144" s="59"/>
      <c r="R144" s="59"/>
      <c r="V144" s="51"/>
      <c r="W144" s="51" t="str" cm="1">
        <f t="array" ref="W144">_xlfn.SWITCH(D144,0,"","初始",1,"普通",INT(LOG(C144,8.2))+2,"最终",2,1)</f>
        <v/>
      </c>
      <c r="X144" s="51" t="str" cm="1">
        <f t="array" ref="X144">_xlfn.LET(_xlpm._mg_len_coef,_xlfn.XLOOKUP($D144,tb_scene_type[类型],tb_scene_type[长度倍率],1)+$C144*_xlfn.XLOOKUP($D144,tb_scene_type[类型],tb_scene_type[场景序数加成],1),
_xlfn.TEXTJOIN(";",1,
    _xlfn.MAP($AA144:$AL144,_xlfn.LAMBDA(_xlpm.x,
        _xlfn.LET(_xlpm._not_null,_xlpm.x&lt;&gt;"",
            _xlpm._mg_len,MROUND(_xlfn.XLOOKUP(_xlpm.x,tb_mg[id],tb_mg[base_len],300)*_xlpm._mg_len_coef,5),
            _xlpm._ui_text,"~"&amp;_xlfn.XLOOKUP(_xlpm.x,tb_mg[id],tb_mg[选路ui文本],""),
            IF(_xlpm._not_null,_xlfn.TEXTJOIN("~",1,_xlpm.x,1,_xlpm._mg_len,)&amp;_xlpm._ui_text,""))))))</f>
        <v/>
      </c>
      <c r="Y144" s="43" t="str">
        <f t="shared" si="89"/>
        <v/>
      </c>
      <c r="Z144" s="73" t="str" cm="1">
        <f t="array" ref="Z144">_xlfn.TEXTJOIN("; ",1,_xlfn.MAP(AA144:AL144,_xlfn.LAMBDA(_xlpm._i,_xlfn.XLOOKUP(_xlpm._i,tb_mg[id],tb_mg[备注],"-TBN-"))))</f>
        <v/>
      </c>
    </row>
    <row r="145" spans="1:44">
      <c r="Q145" s="59"/>
      <c r="R145" s="59"/>
      <c r="V145" s="51"/>
      <c r="W145" s="51" t="str" cm="1">
        <f t="array" ref="W145">_xlfn.SWITCH(D145,0,"","初始",1,"普通",INT(LOG(C145,8.2))+2,"最终",2,1)</f>
        <v/>
      </c>
      <c r="X145" s="51" t="str" cm="1">
        <f t="array" ref="X145">_xlfn.LET(_xlpm._mg_len_coef,_xlfn.XLOOKUP($D145,tb_scene_type[类型],tb_scene_type[长度倍率],1)+$C145*_xlfn.XLOOKUP($D145,tb_scene_type[类型],tb_scene_type[场景序数加成],1),
_xlfn.TEXTJOIN(";",1,
    _xlfn.MAP($AA145:$AL145,_xlfn.LAMBDA(_xlpm.x,
        _xlfn.LET(_xlpm._not_null,_xlpm.x&lt;&gt;"",
            _xlpm._mg_len,MROUND(_xlfn.XLOOKUP(_xlpm.x,tb_mg[id],tb_mg[base_len],300)*_xlpm._mg_len_coef,5),
            _xlpm._ui_text,"~"&amp;_xlfn.XLOOKUP(_xlpm.x,tb_mg[id],tb_mg[选路ui文本],""),
            IF(_xlpm._not_null,_xlfn.TEXTJOIN("~",1,_xlpm.x,1,_xlpm._mg_len,)&amp;_xlpm._ui_text,""))))))</f>
        <v/>
      </c>
      <c r="Y145" s="43" t="str">
        <f t="shared" si="89"/>
        <v/>
      </c>
      <c r="Z145" s="73" t="str" cm="1">
        <f t="array" ref="Z145">_xlfn.TEXTJOIN("; ",1,_xlfn.MAP(AA145:AL145,_xlfn.LAMBDA(_xlpm._i,_xlfn.XLOOKUP(_xlpm._i,tb_mg[id],tb_mg[备注],"-TBN-"))))</f>
        <v/>
      </c>
    </row>
    <row r="146" spans="1:44">
      <c r="A146" s="5">
        <v>420801</v>
      </c>
      <c r="B146" s="90" t="str" cm="1">
        <f t="array" ref="B146">_F_get_world_name($A146)</f>
        <v>大湖</v>
      </c>
      <c r="C146" s="43">
        <f t="shared" ref="C146" si="122">IF(MOD(A146,100)&gt;90,20,MOD(A146,50))</f>
        <v>1</v>
      </c>
      <c r="D146" s="43" t="str">
        <f>VLOOKUP(MOD(A146,100),tb_scene_id_type[#All],3,1)</f>
        <v>初始</v>
      </c>
      <c r="E146" s="43" t="str">
        <f t="shared" ref="E146" si="123">MID(A146,4,1)&amp;CHAR(INT((C146-1)/7+1)+64)</f>
        <v>8A</v>
      </c>
      <c r="F146" s="43" t="str">
        <f>IFERROR(VLOOKUP(E146,tb_scene_name[],2,0),"")</f>
        <v>大人之堂</v>
      </c>
      <c r="G146" s="51" t="str">
        <f t="shared" ref="G146:G155" si="124">"bgm_"&amp;LOWER(E146)</f>
        <v>bgm_8a</v>
      </c>
      <c r="H146" s="51" t="str">
        <f t="shared" ref="H146:H155" si="125">420&amp;LEFT(E146,1)&amp;_xlfn.UNICODE(RIGHT(E146,1))-64</f>
        <v>42081</v>
      </c>
      <c r="I146" s="51" t="str">
        <f>"scene_"&amp;$E146</f>
        <v>scene_8A</v>
      </c>
      <c r="J146" s="51" t="str">
        <f>_xlfn.LET(_xlpm._id,(LEFT($E146,1)-1)*3+_xlfn.UNICODE(RIGHT($E146,1))-65,
_xlfn.CONCAT("rs_scene_icon[ui_level_icon_thumbnail_",_xlpm._id,"]"))</f>
        <v>rs_scene_icon[ui_level_icon_thumbnail_21]</v>
      </c>
      <c r="K146" s="51" t="str">
        <f t="shared" ref="K146:K155" si="126">_xlfn.TEXTJOIN("~",1,L146:O146)</f>
        <v>42081~1.85~0.8~2.2</v>
      </c>
      <c r="L146" s="35" t="str">
        <f t="shared" ref="L146:L155" si="127">H146</f>
        <v>42081</v>
      </c>
      <c r="M146" s="35">
        <f>N146+(O146-N146)*0.75</f>
        <v>1.85</v>
      </c>
      <c r="N146" s="35">
        <v>0.8</v>
      </c>
      <c r="O146" s="35">
        <f>MIN(3.2,2.2+(C146-1)*0.05)</f>
        <v>2.2000000000000002</v>
      </c>
      <c r="P146" s="92" t="str" cm="1">
        <f t="array" ref="P146">_F_get_RS_Weather_pool($A146,$C146)</f>
        <v>420801~0~100~&lt;color=grey&gt;晴空万里&lt;/color&gt;</v>
      </c>
      <c r="Q146" s="59">
        <v>0</v>
      </c>
      <c r="R146" s="51">
        <f>_xlfn.XLOOKUP(C146,tb_enemy_mod[scene_index],tb_enemy_mod[hp_mod],1000)</f>
        <v>1000</v>
      </c>
      <c r="S146" s="59" t="s">
        <v>687</v>
      </c>
      <c r="T146" s="99" t="str" cm="1">
        <f t="array" ref="T146">_F_get_RS_Shop_pool(D146,C146)</f>
        <v>30103=8640</v>
      </c>
      <c r="U146" s="59" t="s">
        <v>749</v>
      </c>
      <c r="V146" s="51"/>
      <c r="W146" s="51" cm="1">
        <f t="array" ref="W146">_xlfn.SWITCH(D146,0,"","初始",1,"普通",INT(LOG(C146,8.2))+2,"最终",2,1)</f>
        <v>1</v>
      </c>
      <c r="X146" s="91" t="str" cm="1">
        <f t="array" ref="X146">_F_get_RS_MG_pool($D146,$C146,$AA146:$AL146)</f>
        <v>420800~1~170~</v>
      </c>
      <c r="Y146" s="43" t="str">
        <f t="shared" si="89"/>
        <v>Correct</v>
      </c>
      <c r="Z146" s="73" t="str" cm="1">
        <f t="array" ref="Z146">_xlfn.TEXTJOIN("; ",1,_xlfn.MAP(AA146:AL146,_xlfn.LAMBDA(_xlpm._i,_xlfn.XLOOKUP(_xlpm._i,tb_mg[id],tb_mg[备注],"-TBN-"))))</f>
        <v>初始金鱼</v>
      </c>
      <c r="AA146" s="57">
        <v>420800</v>
      </c>
      <c r="AP146" s="5"/>
      <c r="AR146" s="5"/>
    </row>
    <row r="147" spans="1:44">
      <c r="B147" s="5"/>
      <c r="I147" s="51"/>
      <c r="Q147" s="59"/>
      <c r="R147" s="59"/>
      <c r="V147" s="51"/>
      <c r="W147" s="51" t="str" cm="1">
        <f t="array" ref="W147">_xlfn.SWITCH(D147,0,"","初始",1,"普通",INT(LOG(C147,8.2))+2,"最终",2,1)</f>
        <v/>
      </c>
      <c r="X147" s="51"/>
      <c r="Y147" s="43" t="str">
        <f t="shared" si="89"/>
        <v/>
      </c>
      <c r="Z147" s="73" t="str" cm="1">
        <f t="array" ref="Z147">_xlfn.TEXTJOIN("; ",1,_xlfn.MAP(AA147:AL147,_xlfn.LAMBDA(_xlpm._i,_xlfn.XLOOKUP(_xlpm._i,tb_mg[id],tb_mg[备注],"-TBN-"))))</f>
        <v/>
      </c>
    </row>
    <row r="148" spans="1:44">
      <c r="A148" s="5">
        <v>420802</v>
      </c>
      <c r="B148" s="90" t="str" cm="1">
        <f t="array" ref="B148">_F_get_world_name($A148)</f>
        <v>大湖</v>
      </c>
      <c r="C148" s="43">
        <f t="shared" ref="C148:C165" si="128">IF(MOD(A148,100)&gt;90,20,MOD(A148,50))</f>
        <v>2</v>
      </c>
      <c r="D148" s="43" t="str">
        <f>VLOOKUP(MOD(A148,100),tb_scene_id_type[#All],3,1)</f>
        <v>普通</v>
      </c>
      <c r="E148" s="43" t="str">
        <f t="shared" ref="E148:E165" si="129">MID(A148,4,1)&amp;CHAR(INT((C148-1)/7+1)+64)</f>
        <v>8A</v>
      </c>
      <c r="F148" s="43" t="str">
        <f>IFERROR(VLOOKUP(E148,tb_scene_name[],2,0),"")</f>
        <v>大人之堂</v>
      </c>
      <c r="G148" s="51" t="str">
        <f t="shared" si="124"/>
        <v>bgm_8a</v>
      </c>
      <c r="H148" s="51" t="str">
        <f t="shared" si="125"/>
        <v>42081</v>
      </c>
      <c r="I148" s="51" t="str">
        <f t="shared" ref="I148:I184" si="130">"scene_"&amp;$E148</f>
        <v>scene_8A</v>
      </c>
      <c r="J148" s="51" t="str">
        <f>_xlfn.LET(_xlpm._id,(LEFT($E148,1)-1)*3+_xlfn.UNICODE(RIGHT($E148,1))-65,
_xlfn.CONCAT("rs_scene_icon[ui_level_icon_thumbnail_",_xlpm._id,"]"))</f>
        <v>rs_scene_icon[ui_level_icon_thumbnail_21]</v>
      </c>
      <c r="K148" s="51" t="str">
        <f t="shared" si="126"/>
        <v>42081~1.8875~0.8~2.25</v>
      </c>
      <c r="L148" s="35" t="str">
        <f t="shared" si="127"/>
        <v>42081</v>
      </c>
      <c r="M148" s="35">
        <f t="shared" ref="M148:M165" si="131">N148+(O148-N148)*0.75</f>
        <v>1.8875</v>
      </c>
      <c r="N148" s="35">
        <v>0.8</v>
      </c>
      <c r="O148" s="35">
        <f>MIN(3.2,2.2+(C148-1)*0.05)</f>
        <v>2.25</v>
      </c>
      <c r="P148" s="92" t="str" cm="1">
        <f t="array" ref="P148">_F_get_RS_Weather_pool($A148,$C148)</f>
        <v>420801~0~100~&lt;color=grey&gt;晴空万里&lt;/color&gt;;420802~0~100~&lt;color=grey&gt;晴转阴&lt;/color&gt;;420802~10~0~&lt;color=grey&gt;阴&lt;/color&gt;</v>
      </c>
      <c r="Q148" s="59">
        <v>889</v>
      </c>
      <c r="R148" s="51">
        <v>1000</v>
      </c>
      <c r="S148" s="59" t="s">
        <v>635</v>
      </c>
      <c r="T148" s="99" t="str" cm="1">
        <f t="array" ref="T148">_F_get_RS_Shop_pool(D148,C148)</f>
        <v>20005=32256;30007=20160</v>
      </c>
      <c r="U148" s="59" t="s">
        <v>731</v>
      </c>
      <c r="V148" s="93" t="str">
        <f t="shared" ref="V148:V165" si="132">4208000&amp;INT((C148-1)/4+1)</f>
        <v>42080001</v>
      </c>
      <c r="W148" s="51" cm="1">
        <f t="array" ref="W148">_xlfn.SWITCH(D148,0,"","初始",1,"普通",INT(LOG(C148,8.2))+2,"最终",2,1)</f>
        <v>2</v>
      </c>
      <c r="X148" s="91" t="str" cm="1">
        <f t="array" ref="X148">_F_get_RS_MG_pool($D148,$C148,$AA148:$AL148)</f>
        <v>420801~1~305~&lt;color=#007328&gt;泡泡金鱼&lt;/color&gt;;420802~1~305~&lt;color=#007328&gt;海藻小妖&lt;/color&gt;;420804~1~305~&lt;color=orange&gt;滩涂海贝&lt;/color&gt;;420805~1~305~&lt;color=#007328&gt;河滩螃蟹&lt;/color&gt;</v>
      </c>
      <c r="Y148" s="43" t="str">
        <f t="shared" si="89"/>
        <v>Correct</v>
      </c>
      <c r="Z148" s="73" t="str" cm="1">
        <f t="array" ref="Z148">_xlfn.TEXTJOIN("; ",1,_xlfn.MAP(AA148:AL148,_xlfn.LAMBDA(_xlpm._i,_xlfn.XLOOKUP(_xlpm._i,tb_mg[id],tb_mg[备注],"-TBN-"))))</f>
        <v>泡泡金鱼; 海藻小妖; 聒噪海贝; 小螃蟹群</v>
      </c>
      <c r="AA148" s="57">
        <v>420801</v>
      </c>
      <c r="AB148" s="57">
        <v>420802</v>
      </c>
      <c r="AC148" s="57">
        <v>420804</v>
      </c>
      <c r="AD148" s="57">
        <v>420805</v>
      </c>
      <c r="AP148" s="5"/>
      <c r="AR148" s="5"/>
    </row>
    <row r="149" spans="1:44">
      <c r="A149" s="5">
        <v>420803</v>
      </c>
      <c r="B149" s="90" t="str" cm="1">
        <f t="array" ref="B149">_F_get_world_name($A149)</f>
        <v>大湖</v>
      </c>
      <c r="C149" s="43">
        <f t="shared" si="128"/>
        <v>3</v>
      </c>
      <c r="D149" s="43" t="str">
        <f>VLOOKUP(MOD(A149,100),tb_scene_id_type[#All],3,1)</f>
        <v>普通</v>
      </c>
      <c r="E149" s="43" t="str">
        <f t="shared" si="129"/>
        <v>8A</v>
      </c>
      <c r="F149" s="43" t="str">
        <f>IFERROR(VLOOKUP(E149,tb_scene_name[],2,0),"")</f>
        <v>大人之堂</v>
      </c>
      <c r="G149" s="51" t="str">
        <f t="shared" si="124"/>
        <v>bgm_8a</v>
      </c>
      <c r="H149" s="51" t="str">
        <f t="shared" si="125"/>
        <v>42081</v>
      </c>
      <c r="I149" s="51" t="str">
        <f t="shared" si="130"/>
        <v>scene_8A</v>
      </c>
      <c r="J149" s="51" t="str">
        <f t="shared" ref="J149:J165" si="133">_xlfn.LET(_xlpm._id,(LEFT($E149,1)-1)*3+_xlfn.UNICODE(RIGHT($E149,1))-65,
_xlfn.CONCAT("rs_scene_icon[ui_level_icon_thumbnail_",_xlpm._id,"]"))</f>
        <v>rs_scene_icon[ui_level_icon_thumbnail_21]</v>
      </c>
      <c r="K149" s="51" t="str">
        <f t="shared" si="126"/>
        <v>42081~1.925~0.8~2.3</v>
      </c>
      <c r="L149" s="35" t="str">
        <f t="shared" si="127"/>
        <v>42081</v>
      </c>
      <c r="M149" s="35">
        <f t="shared" si="131"/>
        <v>1.9250000000000003</v>
      </c>
      <c r="N149" s="35">
        <v>0.8</v>
      </c>
      <c r="O149" s="35">
        <f t="shared" ref="O149:O184" si="134">MIN(3.2,2.2+(C149-1)*0.05)</f>
        <v>2.3000000000000003</v>
      </c>
      <c r="P149" s="92" t="str" cm="1">
        <f t="array" ref="P149">_F_get_RS_Weather_pool($A149,$C149)</f>
        <v>420802~0~100~&lt;color=grey&gt;晴转阴&lt;/color&gt;;420802~10~0~&lt;color=grey&gt;阴&lt;/color&gt;;420802~0~100~&lt;color=grey&gt;晴转阴&lt;/color&gt;;420802~10~50~&lt;color=grey&gt;阴&lt;/color&gt;</v>
      </c>
      <c r="Q149" s="59">
        <v>1097</v>
      </c>
      <c r="R149" s="51">
        <v>1044</v>
      </c>
      <c r="S149" s="59" t="s">
        <v>635</v>
      </c>
      <c r="T149" s="99" t="str" cm="1">
        <f t="array" ref="T149">_F_get_RS_Shop_pool(D149,C149)</f>
        <v>20005=32256;30007=20160</v>
      </c>
      <c r="U149" s="59" t="s">
        <v>732</v>
      </c>
      <c r="V149" s="93" t="str">
        <f t="shared" si="132"/>
        <v>42080001</v>
      </c>
      <c r="W149" s="51" cm="1">
        <f t="array" ref="W149">_xlfn.SWITCH(D149,0,"","初始",1,"普通",INT(LOG(C149,8.2))+2,"最终",2,1)</f>
        <v>2</v>
      </c>
      <c r="X149" s="91" t="str" cm="1">
        <f t="array" ref="X149">_F_get_RS_MG_pool($D149,$C149,$AA149:$AL149)</f>
        <v>420801~1~310~&lt;color=#007328&gt;泡泡金鱼&lt;/color&gt;;420802~1~310~&lt;color=#007328&gt;海藻小妖&lt;/color&gt;;420803~1~260~&lt;color=#999900&gt;似目草草海&lt;/color&gt;;420804~1~310~&lt;color=orange&gt;滩涂海贝&lt;/color&gt;;420805~1~310~&lt;color=#007328&gt;河滩螃蟹&lt;/color&gt;</v>
      </c>
      <c r="Y149" s="43" t="str">
        <f t="shared" ref="Y149:Y184" si="135">IF(A149="","",IF(COUNTA(AA149:AL149)&gt;=W149,"Correct","Error"))</f>
        <v>Correct</v>
      </c>
      <c r="Z149" s="73" t="str" cm="1">
        <f t="array" ref="Z149">_xlfn.TEXTJOIN("; ",1,_xlfn.MAP(AA149:AL149,_xlfn.LAMBDA(_xlpm._i,_xlfn.XLOOKUP(_xlpm._i,tb_mg[id],tb_mg[备注],"-TBN-"))))</f>
        <v>泡泡金鱼; 海藻小妖; 似目草海; 聒噪海贝; 小螃蟹群</v>
      </c>
      <c r="AA149" s="57">
        <v>420801</v>
      </c>
      <c r="AB149" s="57">
        <v>420802</v>
      </c>
      <c r="AC149" s="57">
        <v>420803</v>
      </c>
      <c r="AD149" s="57">
        <v>420804</v>
      </c>
      <c r="AE149" s="57">
        <v>420805</v>
      </c>
      <c r="AP149" s="5"/>
      <c r="AR149" s="5"/>
    </row>
    <row r="150" spans="1:44">
      <c r="A150" s="5">
        <v>420804</v>
      </c>
      <c r="B150" s="90" t="str" cm="1">
        <f t="array" ref="B150">_F_get_world_name($A150)</f>
        <v>大湖</v>
      </c>
      <c r="C150" s="43">
        <f t="shared" si="128"/>
        <v>4</v>
      </c>
      <c r="D150" s="43" t="str">
        <f>VLOOKUP(MOD(A150,100),tb_scene_id_type[#All],3,1)</f>
        <v>普通</v>
      </c>
      <c r="E150" s="43" t="str">
        <f t="shared" si="129"/>
        <v>8A</v>
      </c>
      <c r="F150" s="43" t="str">
        <f>IFERROR(VLOOKUP(E150,tb_scene_name[],2,0),"")</f>
        <v>大人之堂</v>
      </c>
      <c r="G150" s="51" t="str">
        <f t="shared" si="124"/>
        <v>bgm_8a</v>
      </c>
      <c r="H150" s="51" t="str">
        <f t="shared" si="125"/>
        <v>42081</v>
      </c>
      <c r="I150" s="51" t="str">
        <f t="shared" si="130"/>
        <v>scene_8A</v>
      </c>
      <c r="J150" s="51" t="str">
        <f t="shared" si="133"/>
        <v>rs_scene_icon[ui_level_icon_thumbnail_21]</v>
      </c>
      <c r="K150" s="51" t="str">
        <f t="shared" si="126"/>
        <v>42081~1.9625~0.8~2.35</v>
      </c>
      <c r="L150" s="35" t="str">
        <f t="shared" si="127"/>
        <v>42081</v>
      </c>
      <c r="M150" s="35">
        <f t="shared" si="131"/>
        <v>1.9625000000000001</v>
      </c>
      <c r="N150" s="35">
        <v>0.8</v>
      </c>
      <c r="O150" s="35">
        <f t="shared" si="134"/>
        <v>2.35</v>
      </c>
      <c r="P150" s="92" t="str" cm="1">
        <f t="array" ref="P150">_F_get_RS_Weather_pool($A150,$C150)</f>
        <v>420802~0~100~&lt;color=grey&gt;晴转阴&lt;/color&gt;;420802~10~50~&lt;color=grey&gt;阴&lt;/color&gt;;420803~0~100~&lt;color=#999900&gt;晴转小雨&lt;/color&gt;;420803~10~50~&lt;color=#999900&gt;阴转小雨&lt;/color&gt;;420803~11~0~&lt;color=#999900&gt;小雨&lt;/color&gt;</v>
      </c>
      <c r="Q150" s="59">
        <v>1311</v>
      </c>
      <c r="R150" s="51">
        <v>1438</v>
      </c>
      <c r="S150" s="59" t="s">
        <v>687</v>
      </c>
      <c r="T150" s="99" t="str" cm="1">
        <f t="array" ref="T150">_F_get_RS_Shop_pool(D150,C150)</f>
        <v>40113=1080</v>
      </c>
      <c r="U150" s="59" t="s">
        <v>733</v>
      </c>
      <c r="V150" s="93" t="str">
        <f t="shared" si="132"/>
        <v>42080001</v>
      </c>
      <c r="W150" s="51" cm="1">
        <f t="array" ref="W150">_xlfn.SWITCH(D150,0,"","初始",1,"普通",INT(LOG(C150,8.2))+2,"最终",2,1)</f>
        <v>2</v>
      </c>
      <c r="X150" s="91" t="str" cm="1">
        <f t="array" ref="X150">_F_get_RS_MG_pool($D150,$C150,$AA150:$AL150)</f>
        <v>420801~1~310~&lt;color=#007328&gt;泡泡金鱼&lt;/color&gt;;420802~1~310~&lt;color=#007328&gt;海藻小妖&lt;/color&gt;;420803~1~260~&lt;color=#999900&gt;似目草草海&lt;/color&gt;;420804~1~310~&lt;color=orange&gt;滩涂海贝&lt;/color&gt;;420805~1~310~&lt;color=#007328&gt;河滩螃蟹&lt;/color&gt;</v>
      </c>
      <c r="Y150" s="43" t="str">
        <f t="shared" si="135"/>
        <v>Correct</v>
      </c>
      <c r="Z150" s="73" t="str" cm="1">
        <f t="array" ref="Z150">_xlfn.TEXTJOIN("; ",1,_xlfn.MAP(AA150:AL150,_xlfn.LAMBDA(_xlpm._i,_xlfn.XLOOKUP(_xlpm._i,tb_mg[id],tb_mg[备注],"-TBN-"))))</f>
        <v>泡泡金鱼; 海藻小妖; 似目草海; 聒噪海贝; 小螃蟹群</v>
      </c>
      <c r="AA150" s="57">
        <v>420801</v>
      </c>
      <c r="AB150" s="57">
        <v>420802</v>
      </c>
      <c r="AC150" s="57">
        <v>420803</v>
      </c>
      <c r="AD150" s="57">
        <v>420804</v>
      </c>
      <c r="AE150" s="57">
        <v>420805</v>
      </c>
      <c r="AP150" s="5"/>
      <c r="AR150" s="5"/>
    </row>
    <row r="151" spans="1:44">
      <c r="A151" s="5">
        <v>420805</v>
      </c>
      <c r="B151" s="90" t="str" cm="1">
        <f t="array" ref="B151">_F_get_world_name($A151)</f>
        <v>大湖</v>
      </c>
      <c r="C151" s="43">
        <f t="shared" si="128"/>
        <v>5</v>
      </c>
      <c r="D151" s="43" t="str">
        <f>VLOOKUP(MOD(A151,100),tb_scene_id_type[#All],3,1)</f>
        <v>普通</v>
      </c>
      <c r="E151" s="43" t="str">
        <f t="shared" si="129"/>
        <v>8A</v>
      </c>
      <c r="F151" s="43" t="str">
        <f>IFERROR(VLOOKUP(E151,tb_scene_name[],2,0),"")</f>
        <v>大人之堂</v>
      </c>
      <c r="G151" s="51" t="str">
        <f t="shared" si="124"/>
        <v>bgm_8a</v>
      </c>
      <c r="H151" s="51" t="str">
        <f t="shared" si="125"/>
        <v>42081</v>
      </c>
      <c r="I151" s="51" t="str">
        <f t="shared" si="130"/>
        <v>scene_8A</v>
      </c>
      <c r="J151" s="51" t="str">
        <f t="shared" si="133"/>
        <v>rs_scene_icon[ui_level_icon_thumbnail_21]</v>
      </c>
      <c r="K151" s="51" t="str">
        <f t="shared" si="126"/>
        <v>42081~2~0.8~2.4</v>
      </c>
      <c r="L151" s="35" t="str">
        <f t="shared" si="127"/>
        <v>42081</v>
      </c>
      <c r="M151" s="35">
        <f t="shared" si="131"/>
        <v>2</v>
      </c>
      <c r="N151" s="35">
        <v>0.8</v>
      </c>
      <c r="O151" s="35">
        <f t="shared" si="134"/>
        <v>2.4000000000000004</v>
      </c>
      <c r="P151" s="92" t="str" cm="1">
        <f t="array" ref="P151">_F_get_RS_Weather_pool($A151,$C151)</f>
        <v>420803~0~100~&lt;color=#999900&gt;晴转小雨&lt;/color&gt;;420803~10~50~&lt;color=#999900&gt;阴转小雨&lt;/color&gt;;420803~11~0~&lt;color=#999900&gt;小雨&lt;/color&gt;;420803~0~100~&lt;color=#999900&gt;晴转小雨&lt;/color&gt;;420803~10~50~&lt;color=#999900&gt;阴转小雨&lt;/color&gt;;420803~11~50~&lt;color=#999900&gt;小雨&lt;/color&gt;</v>
      </c>
      <c r="Q151" s="59">
        <v>1554</v>
      </c>
      <c r="R151" s="51">
        <v>1887</v>
      </c>
      <c r="S151" s="59" t="s">
        <v>583</v>
      </c>
      <c r="T151" s="99" t="str" cm="1">
        <f t="array" ref="T151">_F_get_RS_Shop_pool(D151,C151)</f>
        <v>10001=36864;20011=4608;20003=23040;30013=2880;20005=32256;30015=4032;30007=20160;40017=2520</v>
      </c>
      <c r="U151" s="59" t="s">
        <v>734</v>
      </c>
      <c r="V151" s="93" t="str">
        <f t="shared" si="132"/>
        <v>42080002</v>
      </c>
      <c r="W151" s="51" cm="1">
        <f t="array" ref="W151">_xlfn.SWITCH(D151,0,"","初始",1,"普通",INT(LOG(C151,8.2))+2,"最终",2,1)</f>
        <v>2</v>
      </c>
      <c r="X151" s="91" t="str" cm="1">
        <f t="array" ref="X151">_F_get_RS_MG_pool($D151,$C151,$AA151:$AL151)</f>
        <v>420801~1~315~&lt;color=#007328&gt;泡泡金鱼&lt;/color&gt;;420802~1~315~&lt;color=#007328&gt;海藻小妖&lt;/color&gt;;420803~1~265~&lt;color=#999900&gt;似目草草海&lt;/color&gt;;420804~1~315~&lt;color=orange&gt;滩涂海贝&lt;/color&gt;;420805~1~315~&lt;color=#007328&gt;河滩螃蟹&lt;/color&gt;;420811~1~315~&lt;color=orange&gt;脑水母&lt;/color&gt;</v>
      </c>
      <c r="Y151" s="43" t="str">
        <f t="shared" si="135"/>
        <v>Correct</v>
      </c>
      <c r="Z151" s="73" t="str" cm="1">
        <f t="array" ref="Z151">_xlfn.TEXTJOIN("; ",1,_xlfn.MAP(AA151:AL151,_xlfn.LAMBDA(_xlpm._i,_xlfn.XLOOKUP(_xlpm._i,tb_mg[id],tb_mg[备注],"-TBN-"))))</f>
        <v>泡泡金鱼; 海藻小妖; 似目草海; 聒噪海贝; 小螃蟹群; 大小水母</v>
      </c>
      <c r="AA151" s="57">
        <v>420801</v>
      </c>
      <c r="AB151" s="57">
        <v>420802</v>
      </c>
      <c r="AC151" s="57">
        <v>420803</v>
      </c>
      <c r="AD151" s="57">
        <v>420804</v>
      </c>
      <c r="AE151" s="57">
        <v>420805</v>
      </c>
      <c r="AF151" s="57">
        <v>420811</v>
      </c>
      <c r="AP151" s="5"/>
      <c r="AR151" s="5"/>
    </row>
    <row r="152" spans="1:44">
      <c r="A152" s="5">
        <v>420806</v>
      </c>
      <c r="B152" s="90" t="str" cm="1">
        <f t="array" ref="B152">_F_get_world_name($A152)</f>
        <v>大湖</v>
      </c>
      <c r="C152" s="43">
        <f t="shared" si="128"/>
        <v>6</v>
      </c>
      <c r="D152" s="43" t="str">
        <f>VLOOKUP(MOD(A152,100),tb_scene_id_type[#All],3,1)</f>
        <v>普通</v>
      </c>
      <c r="E152" s="43" t="str">
        <f t="shared" si="129"/>
        <v>8A</v>
      </c>
      <c r="F152" s="43" t="str">
        <f>IFERROR(VLOOKUP(E152,tb_scene_name[],2,0),"")</f>
        <v>大人之堂</v>
      </c>
      <c r="G152" s="51" t="str">
        <f t="shared" si="124"/>
        <v>bgm_8a</v>
      </c>
      <c r="H152" s="51" t="str">
        <f t="shared" si="125"/>
        <v>42081</v>
      </c>
      <c r="I152" s="51" t="str">
        <f t="shared" si="130"/>
        <v>scene_8A</v>
      </c>
      <c r="J152" s="51" t="str">
        <f t="shared" si="133"/>
        <v>rs_scene_icon[ui_level_icon_thumbnail_21]</v>
      </c>
      <c r="K152" s="51" t="str">
        <f t="shared" si="126"/>
        <v>42081~2.0375~0.8~2.45</v>
      </c>
      <c r="L152" s="35" t="str">
        <f t="shared" si="127"/>
        <v>42081</v>
      </c>
      <c r="M152" s="35">
        <f t="shared" si="131"/>
        <v>2.0375000000000001</v>
      </c>
      <c r="N152" s="35">
        <v>0.8</v>
      </c>
      <c r="O152" s="35">
        <f t="shared" si="134"/>
        <v>2.4500000000000002</v>
      </c>
      <c r="P152" s="92" t="str" cm="1">
        <f t="array" ref="P152">_F_get_RS_Weather_pool($A152,$C152)</f>
        <v>420803~0~100~&lt;color=#999900&gt;晴转小雨&lt;/color&gt;;420803~10~50~&lt;color=#999900&gt;阴转小雨&lt;/color&gt;;420803~11~50~&lt;color=#999900&gt;小雨&lt;/color&gt;;420804~0~100~&lt;color=orange&gt;晴转大雨&lt;/color&gt;;420804~10~50~&lt;color=orange&gt;阴转大雨&lt;/color&gt;;420804~11~50~&lt;color=orange&gt;小雨渐大&lt;/color&gt;;420804~12~0~&lt;color=orange&gt;大雨倾盆&lt;/color&gt;</v>
      </c>
      <c r="Q152" s="59">
        <v>1801</v>
      </c>
      <c r="R152" s="51">
        <v>2404</v>
      </c>
      <c r="S152" s="59" t="s">
        <v>583</v>
      </c>
      <c r="T152" s="99" t="str" cm="1">
        <f t="array" ref="T152">_F_get_RS_Shop_pool(D152,C152)</f>
        <v>10001=36864;20011=4608;20003=23040;30013=2880;20005=32256;30015=4032;30007=20160;40017=2520</v>
      </c>
      <c r="U152" s="59" t="s">
        <v>735</v>
      </c>
      <c r="V152" s="93" t="str">
        <f t="shared" si="132"/>
        <v>42080002</v>
      </c>
      <c r="W152" s="51" cm="1">
        <f t="array" ref="W152">_xlfn.SWITCH(D152,0,"","初始",1,"普通",INT(LOG(C152,8.2))+2,"最终",2,1)</f>
        <v>2</v>
      </c>
      <c r="X152" s="91" t="str" cm="1">
        <f t="array" ref="X152">_F_get_RS_MG_pool($D152,$C152,$AA152:$AL152)</f>
        <v>420801~1~320~&lt;color=#007328&gt;泡泡金鱼&lt;/color&gt;;420802~1~320~&lt;color=#007328&gt;海藻小妖&lt;/color&gt;;420803~1~265~&lt;color=#999900&gt;似目草草海&lt;/color&gt;;420804~1~320~&lt;color=orange&gt;滩涂海贝&lt;/color&gt;;420805~1~320~&lt;color=#007328&gt;河滩螃蟹&lt;/color&gt;;420811~1~320~&lt;color=orange&gt;脑水母&lt;/color&gt;</v>
      </c>
      <c r="Y152" s="43" t="str">
        <f t="shared" si="135"/>
        <v>Correct</v>
      </c>
      <c r="Z152" s="73" t="str" cm="1">
        <f t="array" ref="Z152">_xlfn.TEXTJOIN("; ",1,_xlfn.MAP(AA152:AL152,_xlfn.LAMBDA(_xlpm._i,_xlfn.XLOOKUP(_xlpm._i,tb_mg[id],tb_mg[备注],"-TBN-"))))</f>
        <v>泡泡金鱼; 海藻小妖; 似目草海; 聒噪海贝; 小螃蟹群; 大小水母</v>
      </c>
      <c r="AA152" s="57">
        <v>420801</v>
      </c>
      <c r="AB152" s="57">
        <v>420802</v>
      </c>
      <c r="AC152" s="57">
        <v>420803</v>
      </c>
      <c r="AD152" s="57">
        <v>420804</v>
      </c>
      <c r="AE152" s="57">
        <v>420805</v>
      </c>
      <c r="AF152" s="57">
        <v>420811</v>
      </c>
      <c r="AP152" s="5"/>
      <c r="AR152" s="5"/>
    </row>
    <row r="153" spans="1:44">
      <c r="A153" s="5">
        <v>420807</v>
      </c>
      <c r="B153" s="90" t="str" cm="1">
        <f t="array" ref="B153">_F_get_world_name($A153)</f>
        <v>大湖</v>
      </c>
      <c r="C153" s="43">
        <f t="shared" si="128"/>
        <v>7</v>
      </c>
      <c r="D153" s="43" t="str">
        <f>VLOOKUP(MOD(A153,100),tb_scene_id_type[#All],3,1)</f>
        <v>普通</v>
      </c>
      <c r="E153" s="43" t="str">
        <f t="shared" si="129"/>
        <v>8A</v>
      </c>
      <c r="F153" s="43" t="str">
        <f>IFERROR(VLOOKUP(E153,tb_scene_name[],2,0),"")</f>
        <v>大人之堂</v>
      </c>
      <c r="G153" s="51" t="str">
        <f t="shared" si="124"/>
        <v>bgm_8a</v>
      </c>
      <c r="H153" s="51" t="str">
        <f t="shared" si="125"/>
        <v>42081</v>
      </c>
      <c r="I153" s="51" t="str">
        <f t="shared" si="130"/>
        <v>scene_8A</v>
      </c>
      <c r="J153" s="51" t="str">
        <f t="shared" si="133"/>
        <v>rs_scene_icon[ui_level_icon_thumbnail_21]</v>
      </c>
      <c r="K153" s="51" t="str">
        <f t="shared" si="126"/>
        <v>42081~2.075~0.8~2.5</v>
      </c>
      <c r="L153" s="35" t="str">
        <f t="shared" si="127"/>
        <v>42081</v>
      </c>
      <c r="M153" s="35">
        <f t="shared" si="131"/>
        <v>2.0750000000000002</v>
      </c>
      <c r="N153" s="35">
        <v>0.8</v>
      </c>
      <c r="O153" s="35">
        <f t="shared" si="134"/>
        <v>2.5</v>
      </c>
      <c r="P153" s="92" t="str" cm="1">
        <f t="array" ref="P153">_F_get_RS_Weather_pool($A153,$C153)</f>
        <v>420804~0~100~&lt;color=orange&gt;晴转大雨&lt;/color&gt;;420804~10~50~&lt;color=orange&gt;阴转大雨&lt;/color&gt;;420804~11~50~&lt;color=orange&gt;小雨渐大&lt;/color&gt;;420804~12~0~&lt;color=orange&gt;大雨倾盆&lt;/color&gt;;420804~0~100~&lt;color=orange&gt;晴转大雨&lt;/color&gt;;420804~10~50~&lt;color=orange&gt;阴转大雨&lt;/color&gt;;420804~11~50~&lt;color=orange&gt;小雨渐大&lt;/color&gt;;420804~12~50~&lt;color=orange&gt;大雨倾盆&lt;/color&gt;</v>
      </c>
      <c r="Q153" s="59">
        <v>2066</v>
      </c>
      <c r="R153" s="51">
        <v>3002</v>
      </c>
      <c r="S153" s="59" t="s">
        <v>580</v>
      </c>
      <c r="T153" s="99" t="str" cm="1">
        <f t="array" ref="T153">_F_get_RS_Shop_pool(D153,C153)</f>
        <v>20011=4608;30013=2880;30015=4032;40017=2520</v>
      </c>
      <c r="U153" s="59" t="s">
        <v>736</v>
      </c>
      <c r="V153" s="93" t="str">
        <f t="shared" si="132"/>
        <v>42080002</v>
      </c>
      <c r="W153" s="51" cm="1">
        <f t="array" ref="W153">_xlfn.SWITCH(D153,0,"","初始",1,"普通",INT(LOG(C153,8.2))+2,"最终",2,1)</f>
        <v>2</v>
      </c>
      <c r="X153" s="91" t="str" cm="1">
        <f t="array" ref="X153">_F_get_RS_MG_pool($D153,$C153,$AA153:$AL153)</f>
        <v>420801~1~320~&lt;color=#007328&gt;泡泡金鱼&lt;/color&gt;;420802~1~320~&lt;color=#007328&gt;海藻小妖&lt;/color&gt;;420803~1~270~&lt;color=#999900&gt;似目草草海&lt;/color&gt;;420804~1~320~&lt;color=orange&gt;滩涂海贝&lt;/color&gt;;420805~1~320~&lt;color=#007328&gt;河滩螃蟹&lt;/color&gt;;420811~1~320~&lt;color=orange&gt;脑水母&lt;/color&gt;</v>
      </c>
      <c r="Y153" s="43" t="str">
        <f t="shared" si="135"/>
        <v>Correct</v>
      </c>
      <c r="Z153" s="73" t="str" cm="1">
        <f t="array" ref="Z153">_xlfn.TEXTJOIN("; ",1,_xlfn.MAP(AA153:AL153,_xlfn.LAMBDA(_xlpm._i,_xlfn.XLOOKUP(_xlpm._i,tb_mg[id],tb_mg[备注],"-TBN-"))))</f>
        <v>泡泡金鱼; 海藻小妖; 似目草海; 聒噪海贝; 小螃蟹群; 大小水母</v>
      </c>
      <c r="AA153" s="57">
        <v>420801</v>
      </c>
      <c r="AB153" s="57">
        <v>420802</v>
      </c>
      <c r="AC153" s="57">
        <v>420803</v>
      </c>
      <c r="AD153" s="57">
        <v>420804</v>
      </c>
      <c r="AE153" s="57">
        <v>420805</v>
      </c>
      <c r="AF153" s="57">
        <v>420811</v>
      </c>
      <c r="AP153" s="5"/>
      <c r="AR153" s="5"/>
    </row>
    <row r="154" spans="1:44">
      <c r="A154" s="5">
        <v>420808</v>
      </c>
      <c r="B154" s="90" t="str" cm="1">
        <f t="array" ref="B154">_F_get_world_name($A154)</f>
        <v>大湖</v>
      </c>
      <c r="C154" s="43">
        <f t="shared" si="128"/>
        <v>8</v>
      </c>
      <c r="D154" s="43" t="str">
        <f>VLOOKUP(MOD(A154,100),tb_scene_id_type[#All],3,1)</f>
        <v>普通</v>
      </c>
      <c r="E154" s="43" t="str">
        <f t="shared" si="129"/>
        <v>8B</v>
      </c>
      <c r="F154" s="43" t="str">
        <f>IFERROR(VLOOKUP(E154,tb_scene_name[],2,0),"")</f>
        <v>水天灵境</v>
      </c>
      <c r="G154" s="51" t="str">
        <f t="shared" si="124"/>
        <v>bgm_8b</v>
      </c>
      <c r="H154" s="51" t="str">
        <f t="shared" si="125"/>
        <v>42082</v>
      </c>
      <c r="I154" s="51" t="str">
        <f t="shared" si="130"/>
        <v>scene_8B</v>
      </c>
      <c r="J154" s="51" t="str">
        <f t="shared" si="133"/>
        <v>rs_scene_icon[ui_level_icon_thumbnail_22]</v>
      </c>
      <c r="K154" s="51" t="str">
        <f t="shared" si="126"/>
        <v>42082~2.1125~0.8~2.55</v>
      </c>
      <c r="L154" s="35" t="str">
        <f t="shared" si="127"/>
        <v>42082</v>
      </c>
      <c r="M154" s="35">
        <f t="shared" si="131"/>
        <v>2.1125000000000003</v>
      </c>
      <c r="N154" s="35">
        <v>0.8</v>
      </c>
      <c r="O154" s="35">
        <f t="shared" si="134"/>
        <v>2.5500000000000003</v>
      </c>
      <c r="P154" s="92" t="str" cm="1">
        <f t="array" ref="P154">_F_get_RS_Weather_pool($A154,$C154)</f>
        <v>420804~0~100~&lt;color=orange&gt;晴转大雨&lt;/color&gt;;420804~10~50~&lt;color=orange&gt;阴转大雨&lt;/color&gt;;420804~11~50~&lt;color=orange&gt;小雨渐大&lt;/color&gt;;420804~12~50~&lt;color=orange&gt;大雨倾盆&lt;/color&gt;;420805~0~100~&lt;color=red&gt;晴转雷暴雨&lt;/color&gt;;420805~10~50~&lt;color=red&gt;阴转雷暴雨&lt;/color&gt;;420805~11~50~&lt;color=red&gt;小雨转雷暴雨&lt;/color&gt;;420805~12~50~&lt;color=red&gt;大雨转雷暴雨&lt;/color&gt;;420805~13~0~&lt;color=purple&gt;雷暴雨&lt;/color&gt;</v>
      </c>
      <c r="Q154" s="59">
        <v>2355</v>
      </c>
      <c r="R154" s="51">
        <v>3702</v>
      </c>
      <c r="S154" s="59" t="s">
        <v>583</v>
      </c>
      <c r="T154" s="99" t="str" cm="1">
        <f t="array" ref="T154">_F_get_RS_Shop_pool(D154,C154)</f>
        <v>20003=23040;30013=2880;30007=20160;40017=2520</v>
      </c>
      <c r="U154" s="59" t="s">
        <v>737</v>
      </c>
      <c r="V154" s="93" t="str">
        <f t="shared" si="132"/>
        <v>42080002</v>
      </c>
      <c r="W154" s="51" cm="1">
        <f t="array" ref="W154">_xlfn.SWITCH(D154,0,"","初始",1,"普通",INT(LOG(C154,8.2))+2,"最终",2,1)</f>
        <v>2</v>
      </c>
      <c r="X154" s="91" t="str" cm="1">
        <f t="array" ref="X154">_F_get_RS_MG_pool($D154,$C154,$AA154:$AL154)</f>
        <v>420801~1~325~&lt;color=#007328&gt;泡泡金鱼&lt;/color&gt;;420802~1~325~&lt;color=#007328&gt;海藻小妖&lt;/color&gt;;420803~1~270~&lt;color=#999900&gt;似目草草海&lt;/color&gt;;420804~1~325~&lt;color=orange&gt;滩涂海贝&lt;/color&gt;;420805~1~325~&lt;color=#007328&gt;河滩螃蟹&lt;/color&gt;;420811~1~325~&lt;color=orange&gt;脑水母&lt;/color&gt;;420815~1~325~河蚌与青蛙</v>
      </c>
      <c r="Y154" s="43" t="str">
        <f t="shared" si="135"/>
        <v>Correct</v>
      </c>
      <c r="Z154" s="73" t="str" cm="1">
        <f t="array" ref="Z154">_xlfn.TEXTJOIN("; ",1,_xlfn.MAP(AA154:AL154,_xlfn.LAMBDA(_xlpm._i,_xlfn.XLOOKUP(_xlpm._i,tb_mg[id],tb_mg[备注],"-TBN-"))))</f>
        <v>泡泡金鱼; 海藻小妖; 似目草海; 聒噪海贝; 小螃蟹群; 大小水母; 海贝青蛙</v>
      </c>
      <c r="AA154" s="57">
        <v>420801</v>
      </c>
      <c r="AB154" s="57">
        <v>420802</v>
      </c>
      <c r="AC154" s="57">
        <v>420803</v>
      </c>
      <c r="AD154" s="57">
        <v>420804</v>
      </c>
      <c r="AE154" s="57">
        <v>420805</v>
      </c>
      <c r="AF154" s="57">
        <v>420811</v>
      </c>
      <c r="AG154" s="57">
        <v>420815</v>
      </c>
      <c r="AP154" s="5"/>
      <c r="AR154" s="5"/>
    </row>
    <row r="155" spans="1:44">
      <c r="A155" s="5">
        <v>420809</v>
      </c>
      <c r="B155" s="90" t="str" cm="1">
        <f t="array" ref="B155">_F_get_world_name($A155)</f>
        <v>大湖</v>
      </c>
      <c r="C155" s="43">
        <f t="shared" si="128"/>
        <v>9</v>
      </c>
      <c r="D155" s="43" t="str">
        <f>VLOOKUP(MOD(A155,100),tb_scene_id_type[#All],3,1)</f>
        <v>普通</v>
      </c>
      <c r="E155" s="43" t="str">
        <f t="shared" si="129"/>
        <v>8B</v>
      </c>
      <c r="F155" s="43" t="str">
        <f>IFERROR(VLOOKUP(E155,tb_scene_name[],2,0),"")</f>
        <v>水天灵境</v>
      </c>
      <c r="G155" s="51" t="str">
        <f t="shared" si="124"/>
        <v>bgm_8b</v>
      </c>
      <c r="H155" s="51" t="str">
        <f t="shared" si="125"/>
        <v>42082</v>
      </c>
      <c r="I155" s="51" t="str">
        <f t="shared" si="130"/>
        <v>scene_8B</v>
      </c>
      <c r="J155" s="51" t="str">
        <f t="shared" si="133"/>
        <v>rs_scene_icon[ui_level_icon_thumbnail_22]</v>
      </c>
      <c r="K155" s="51" t="str">
        <f t="shared" si="126"/>
        <v>42082~2.15~0.8~2.6</v>
      </c>
      <c r="L155" s="35" t="str">
        <f t="shared" si="127"/>
        <v>42082</v>
      </c>
      <c r="M155" s="35">
        <f t="shared" si="131"/>
        <v>2.1500000000000004</v>
      </c>
      <c r="N155" s="35">
        <v>0.8</v>
      </c>
      <c r="O155" s="35">
        <f t="shared" si="134"/>
        <v>2.6</v>
      </c>
      <c r="P155" s="92" t="str" cm="1">
        <f t="array" ref="P155">_F_get_RS_Weather_pool($A155,$C155)</f>
        <v>420805~0~100~&lt;color=red&gt;晴转雷暴雨&lt;/color&gt;;420805~10~50~&lt;color=red&gt;阴转雷暴雨&lt;/color&gt;;420805~11~50~&lt;color=red&gt;小雨转雷暴雨&lt;/color&gt;;420805~12~50~&lt;color=red&gt;大雨转雷暴雨&lt;/color&gt;;420805~13~0~&lt;color=purple&gt;雷暴雨&lt;/color&gt;;420805~0~50~&lt;color=red&gt;晴转雷暴雨&lt;/color&gt;;420805~10~50~&lt;color=red&gt;阴转雷暴雨&lt;/color&gt;;420805~11~50~&lt;color=red&gt;小雨转雷暴雨&lt;/color&gt;;420805~12~50~&lt;color=red&gt;大雨转雷暴雨&lt;/color&gt;;420805~13~0~&lt;color=purple&gt;雷暴雨&lt;/color&gt;</v>
      </c>
      <c r="Q155" s="59">
        <v>2642</v>
      </c>
      <c r="R155" s="51">
        <v>4508</v>
      </c>
      <c r="S155" s="59" t="s">
        <v>583</v>
      </c>
      <c r="T155" s="99" t="str" cm="1">
        <f t="array" ref="T155">_F_get_RS_Shop_pool(D155,C155)</f>
        <v>20101=13824;30111=1728;30103=8640;40113=1080</v>
      </c>
      <c r="U155" s="59" t="s">
        <v>738</v>
      </c>
      <c r="V155" s="93" t="str">
        <f t="shared" si="132"/>
        <v>42080003</v>
      </c>
      <c r="W155" s="51" cm="1">
        <f t="array" ref="W155">_xlfn.SWITCH(D155,0,"","初始",1,"普通",INT(LOG(C155,8.2))+2,"最终",2,1)</f>
        <v>3</v>
      </c>
      <c r="X155" s="91" t="str" cm="1">
        <f t="array" ref="X155">_F_get_RS_MG_pool($D155,$C155,$AA155:$AL155)</f>
        <v>420801~1~325~&lt;color=#007328&gt;泡泡金鱼&lt;/color&gt;;420802~1~325~&lt;color=#007328&gt;海藻小妖&lt;/color&gt;;420803~1~275~&lt;color=#999900&gt;似目草草海&lt;/color&gt;;420804~1~325~&lt;color=orange&gt;滩涂海贝&lt;/color&gt;;420805~1~325~&lt;color=#007328&gt;河滩螃蟹&lt;/color&gt;;420811~1~325~&lt;color=orange&gt;脑水母&lt;/color&gt;;420815~1~325~河蚌与青蛙</v>
      </c>
      <c r="Y155" s="43" t="str">
        <f t="shared" si="135"/>
        <v>Correct</v>
      </c>
      <c r="Z155" s="73" t="str" cm="1">
        <f t="array" ref="Z155">_xlfn.TEXTJOIN("; ",1,_xlfn.MAP(AA155:AL155,_xlfn.LAMBDA(_xlpm._i,_xlfn.XLOOKUP(_xlpm._i,tb_mg[id],tb_mg[备注],"-TBN-"))))</f>
        <v>泡泡金鱼; 海藻小妖; 似目草海; 聒噪海贝; 小螃蟹群; 大小水母; 海贝青蛙</v>
      </c>
      <c r="AA155" s="57">
        <v>420801</v>
      </c>
      <c r="AB155" s="57">
        <v>420802</v>
      </c>
      <c r="AC155" s="57">
        <v>420803</v>
      </c>
      <c r="AD155" s="57">
        <v>420804</v>
      </c>
      <c r="AE155" s="57">
        <v>420805</v>
      </c>
      <c r="AF155" s="57">
        <v>420811</v>
      </c>
      <c r="AG155" s="57">
        <v>420815</v>
      </c>
      <c r="AP155" s="5"/>
      <c r="AR155" s="5"/>
    </row>
    <row r="156" spans="1:44">
      <c r="A156" s="5">
        <v>420810</v>
      </c>
      <c r="B156" s="90" t="str" cm="1">
        <f t="array" ref="B156">_F_get_world_name($A156)</f>
        <v>大湖</v>
      </c>
      <c r="C156" s="43">
        <f t="shared" si="128"/>
        <v>10</v>
      </c>
      <c r="D156" s="43" t="str">
        <f>VLOOKUP(MOD(A156,100),tb_scene_id_type[#All],3,1)</f>
        <v>普通</v>
      </c>
      <c r="E156" s="43" t="str">
        <f t="shared" si="129"/>
        <v>8B</v>
      </c>
      <c r="F156" s="43" t="str">
        <f>IFERROR(VLOOKUP(E156,tb_scene_name[],2,0),"")</f>
        <v>水天灵境</v>
      </c>
      <c r="G156" s="51" t="str">
        <f t="shared" ref="G156:G164" si="136">"bgm_"&amp;LOWER(E156)</f>
        <v>bgm_8b</v>
      </c>
      <c r="H156" s="51" t="str">
        <f t="shared" ref="H156:H164" si="137">420&amp;LEFT(E156,1)&amp;_xlfn.UNICODE(RIGHT(E156,1))-64</f>
        <v>42082</v>
      </c>
      <c r="I156" s="51" t="str">
        <f t="shared" si="130"/>
        <v>scene_8B</v>
      </c>
      <c r="J156" s="51" t="str">
        <f t="shared" si="133"/>
        <v>rs_scene_icon[ui_level_icon_thumbnail_22]</v>
      </c>
      <c r="K156" s="51" t="str">
        <f t="shared" ref="K156:K164" si="138">_xlfn.TEXTJOIN("~",1,L156:O156)</f>
        <v>42082~2.1875~0.8~2.65</v>
      </c>
      <c r="L156" s="35" t="str">
        <f t="shared" ref="L156:L164" si="139">H156</f>
        <v>42082</v>
      </c>
      <c r="M156" s="35">
        <f t="shared" si="131"/>
        <v>2.1875</v>
      </c>
      <c r="N156" s="35">
        <v>0.8</v>
      </c>
      <c r="O156" s="35">
        <f t="shared" si="134"/>
        <v>2.6500000000000004</v>
      </c>
      <c r="P156" s="92" t="str" cm="1">
        <f t="array" ref="P156">_F_get_RS_Weather_pool($A156,$C156)</f>
        <v>420805~0~50~&lt;color=red&gt;晴转雷暴雨&lt;/color&gt;;420805~10~50~&lt;color=red&gt;阴转雷暴雨&lt;/color&gt;;420805~11~50~&lt;color=red&gt;小雨转雷暴雨&lt;/color&gt;;420805~12~50~&lt;color=red&gt;大雨转雷暴雨&lt;/color&gt;;420805~13~0~&lt;color=purple&gt;雷暴雨&lt;/color&gt;;420805~0~50~&lt;color=red&gt;晴转雷暴雨&lt;/color&gt;;420805~10~50~&lt;color=red&gt;阴转雷暴雨&lt;/color&gt;;420805~11~50~&lt;color=red&gt;小雨转雷暴雨&lt;/color&gt;;420805~12~50~&lt;color=red&gt;大雨转雷暴雨&lt;/color&gt;;420805~13~50~&lt;color=purple&gt;雷暴雨&lt;/color&gt;</v>
      </c>
      <c r="Q156" s="59">
        <v>2942</v>
      </c>
      <c r="R156" s="51">
        <v>5435</v>
      </c>
      <c r="S156" s="59" t="s">
        <v>583</v>
      </c>
      <c r="T156" s="99" t="str" cm="1">
        <f t="array" ref="T156">_F_get_RS_Shop_pool(D156,C156)</f>
        <v>10001=36864;20011=4608;20003=23040;30013=2880;20005=32256;30015=4032;30007=20160;40017=2520</v>
      </c>
      <c r="U156" s="59" t="s">
        <v>739</v>
      </c>
      <c r="V156" s="93" t="str">
        <f t="shared" si="132"/>
        <v>42080003</v>
      </c>
      <c r="W156" s="51" cm="1">
        <f t="array" ref="W156">_xlfn.SWITCH(D156,0,"","初始",1,"普通",INT(LOG(C156,8.2))+2,"最终",2,1)</f>
        <v>3</v>
      </c>
      <c r="X156" s="91" t="str" cm="1">
        <f t="array" ref="X156">_F_get_RS_MG_pool($D156,$C156,$AA156:$AL156)</f>
        <v>420801~1~330~&lt;color=#007328&gt;泡泡金鱼&lt;/color&gt;;420802~1~330~&lt;color=#007328&gt;海藻小妖&lt;/color&gt;;42080301~1~330~&lt;color=orange&gt;猎手草丛&lt;/color&gt;;420804~1~330~&lt;color=orange&gt;滩涂海贝&lt;/color&gt;;420805~1~330~&lt;color=#007328&gt;河滩螃蟹&lt;/color&gt;;420811~1~330~&lt;color=orange&gt;脑水母&lt;/color&gt;;420815~1~330~河蚌与青蛙;420821~1~330~贝壳乌贼</v>
      </c>
      <c r="Y156" s="43" t="str">
        <f t="shared" si="135"/>
        <v>Correct</v>
      </c>
      <c r="Z156" s="73" t="str" cm="1">
        <f t="array" ref="Z156">_xlfn.TEXTJOIN("; ",1,_xlfn.MAP(AA156:AL156,_xlfn.LAMBDA(_xlpm._i,_xlfn.XLOOKUP(_xlpm._i,tb_mg[id],tb_mg[备注],"-TBN-"))))</f>
        <v>泡泡金鱼; 海藻小妖; 似目草海(+海贝); 聒噪海贝; 小螃蟹群; 大小水母; 海贝青蛙; 贝壳乌贼</v>
      </c>
      <c r="AA156" s="57">
        <v>420801</v>
      </c>
      <c r="AB156" s="57">
        <v>420802</v>
      </c>
      <c r="AC156" s="57">
        <v>42080301</v>
      </c>
      <c r="AD156" s="57">
        <v>420804</v>
      </c>
      <c r="AE156" s="57">
        <v>420805</v>
      </c>
      <c r="AF156" s="57">
        <v>420811</v>
      </c>
      <c r="AG156" s="57">
        <v>420815</v>
      </c>
      <c r="AH156" s="57">
        <v>420821</v>
      </c>
      <c r="AP156" s="5"/>
      <c r="AR156" s="5"/>
    </row>
    <row r="157" spans="1:44">
      <c r="A157" s="5">
        <v>420811</v>
      </c>
      <c r="B157" s="90" t="str" cm="1">
        <f t="array" ref="B157">_F_get_world_name($A157)</f>
        <v>大湖</v>
      </c>
      <c r="C157" s="43">
        <f t="shared" si="128"/>
        <v>11</v>
      </c>
      <c r="D157" s="43" t="str">
        <f>VLOOKUP(MOD(A157,100),tb_scene_id_type[#All],3,1)</f>
        <v>普通</v>
      </c>
      <c r="E157" s="43" t="str">
        <f t="shared" si="129"/>
        <v>8B</v>
      </c>
      <c r="F157" s="43" t="str">
        <f>IFERROR(VLOOKUP(E157,tb_scene_name[],2,0),"")</f>
        <v>水天灵境</v>
      </c>
      <c r="G157" s="51" t="str">
        <f t="shared" si="136"/>
        <v>bgm_8b</v>
      </c>
      <c r="H157" s="51" t="str">
        <f t="shared" si="137"/>
        <v>42082</v>
      </c>
      <c r="I157" s="51" t="str">
        <f t="shared" si="130"/>
        <v>scene_8B</v>
      </c>
      <c r="J157" s="51" t="str">
        <f t="shared" si="133"/>
        <v>rs_scene_icon[ui_level_icon_thumbnail_22]</v>
      </c>
      <c r="K157" s="51" t="str">
        <f t="shared" si="138"/>
        <v>42082~2.225~0.8~2.7</v>
      </c>
      <c r="L157" s="35" t="str">
        <f t="shared" si="139"/>
        <v>42082</v>
      </c>
      <c r="M157" s="35">
        <f t="shared" si="131"/>
        <v>2.2250000000000001</v>
      </c>
      <c r="N157" s="35">
        <v>0.8</v>
      </c>
      <c r="O157" s="35">
        <f t="shared" si="134"/>
        <v>2.7</v>
      </c>
      <c r="P157" s="92" t="str" cm="1">
        <f t="array" ref="P157">_F_get_RS_Weather_pool($A157,$C157)</f>
        <v>420805~0~50~&lt;color=red&gt;晴转雷暴雨&lt;/color&gt;;420805~10~50~&lt;color=red&gt;阴转雷暴雨&lt;/color&gt;;420805~11~50~&lt;color=red&gt;小雨转雷暴雨&lt;/color&gt;;420805~12~50~&lt;color=red&gt;大雨转雷暴雨&lt;/color&gt;;420805~13~50~&lt;color=purple&gt;雷暴雨&lt;/color&gt;;420805~0~50~&lt;color=red&gt;晴转雷暴雨&lt;/color&gt;;420805~10~100~&lt;color=red&gt;阴转雷暴雨&lt;/color&gt;;420805~11~100~&lt;color=red&gt;小雨转雷暴雨&lt;/color&gt;;420805~12~100~&lt;color=red&gt;大雨转雷暴雨&lt;/color&gt;;420805~13~100~&lt;color=purple&gt;雷暴雨&lt;/color&gt;</v>
      </c>
      <c r="Q157" s="59">
        <v>3256</v>
      </c>
      <c r="R157" s="51">
        <v>6499</v>
      </c>
      <c r="S157" s="59" t="s">
        <v>583</v>
      </c>
      <c r="T157" s="99" t="str" cm="1">
        <f t="array" ref="T157">_F_get_RS_Shop_pool(D157,C157)</f>
        <v>20011=4608;30013=2880;30015=4032;40017=2520</v>
      </c>
      <c r="U157" s="59" t="s">
        <v>740</v>
      </c>
      <c r="V157" s="93" t="str">
        <f t="shared" si="132"/>
        <v>42080003</v>
      </c>
      <c r="W157" s="51" cm="1">
        <f t="array" ref="W157">_xlfn.SWITCH(D157,0,"","初始",1,"普通",INT(LOG(C157,8.2))+2,"最终",2,1)</f>
        <v>3</v>
      </c>
      <c r="X157" s="91" t="str" cm="1">
        <f t="array" ref="X157">_F_get_RS_MG_pool($D157,$C157,$AA157:$AL157)</f>
        <v>420801~1~335~&lt;color=#007328&gt;泡泡金鱼&lt;/color&gt;;420802~1~335~&lt;color=#007328&gt;海藻小妖&lt;/color&gt;;42080301~1~335~&lt;color=orange&gt;猎手草丛&lt;/color&gt;;420804~1~335~&lt;color=orange&gt;滩涂海贝&lt;/color&gt;;420805~1~335~&lt;color=#007328&gt;河滩螃蟹&lt;/color&gt;;420811~1~335~&lt;color=orange&gt;脑水母&lt;/color&gt;;420815~1~335~河蚌与青蛙;420821~1~335~贝壳乌贼</v>
      </c>
      <c r="Y157" s="43" t="str">
        <f t="shared" si="135"/>
        <v>Correct</v>
      </c>
      <c r="Z157" s="73" t="str" cm="1">
        <f t="array" ref="Z157">_xlfn.TEXTJOIN("; ",1,_xlfn.MAP(AA157:AL157,_xlfn.LAMBDA(_xlpm._i,_xlfn.XLOOKUP(_xlpm._i,tb_mg[id],tb_mg[备注],"-TBN-"))))</f>
        <v>泡泡金鱼; 海藻小妖; 似目草海(+海贝); 聒噪海贝; 小螃蟹群; 大小水母; 海贝青蛙; 贝壳乌贼</v>
      </c>
      <c r="AA157" s="57">
        <v>420801</v>
      </c>
      <c r="AB157" s="57">
        <v>420802</v>
      </c>
      <c r="AC157" s="57">
        <v>42080301</v>
      </c>
      <c r="AD157" s="57">
        <v>420804</v>
      </c>
      <c r="AE157" s="57">
        <v>420805</v>
      </c>
      <c r="AF157" s="57">
        <v>420811</v>
      </c>
      <c r="AG157" s="57">
        <v>420815</v>
      </c>
      <c r="AH157" s="57">
        <v>420821</v>
      </c>
      <c r="AP157" s="5"/>
      <c r="AR157" s="5"/>
    </row>
    <row r="158" spans="1:44">
      <c r="A158" s="5">
        <v>420812</v>
      </c>
      <c r="B158" s="90" t="str" cm="1">
        <f t="array" ref="B158">_F_get_world_name($A158)</f>
        <v>大湖</v>
      </c>
      <c r="C158" s="43">
        <f t="shared" si="128"/>
        <v>12</v>
      </c>
      <c r="D158" s="43" t="str">
        <f>VLOOKUP(MOD(A158,100),tb_scene_id_type[#All],3,1)</f>
        <v>普通</v>
      </c>
      <c r="E158" s="43" t="str">
        <f t="shared" si="129"/>
        <v>8B</v>
      </c>
      <c r="F158" s="43" t="str">
        <f>IFERROR(VLOOKUP(E158,tb_scene_name[],2,0),"")</f>
        <v>水天灵境</v>
      </c>
      <c r="G158" s="51" t="str">
        <f t="shared" si="136"/>
        <v>bgm_8b</v>
      </c>
      <c r="H158" s="51" t="str">
        <f t="shared" si="137"/>
        <v>42082</v>
      </c>
      <c r="I158" s="51" t="str">
        <f t="shared" si="130"/>
        <v>scene_8B</v>
      </c>
      <c r="J158" s="51" t="str">
        <f t="shared" si="133"/>
        <v>rs_scene_icon[ui_level_icon_thumbnail_22]</v>
      </c>
      <c r="K158" s="51" t="str">
        <f t="shared" si="138"/>
        <v>42082~2.2625~0.8~2.75</v>
      </c>
      <c r="L158" s="35" t="str">
        <f t="shared" si="139"/>
        <v>42082</v>
      </c>
      <c r="M158" s="35">
        <f t="shared" si="131"/>
        <v>2.2625000000000002</v>
      </c>
      <c r="N158" s="35">
        <v>0.8</v>
      </c>
      <c r="O158" s="35">
        <f t="shared" si="134"/>
        <v>2.75</v>
      </c>
      <c r="P158" s="92" t="str" cm="1">
        <f t="array" ref="P158">_F_get_RS_Weather_pool($A158,$C158)</f>
        <v>420805~0~50~&lt;color=red&gt;晴转雷暴雨&lt;/color&gt;;420805~10~100~&lt;color=red&gt;阴转雷暴雨&lt;/color&gt;;420805~11~100~&lt;color=red&gt;小雨转雷暴雨&lt;/color&gt;;420805~12~100~&lt;color=red&gt;大雨转雷暴雨&lt;/color&gt;;420805~13~100~&lt;color=purple&gt;雷暴雨&lt;/color&gt;;420805~0~50~&lt;color=red&gt;晴转雷暴雨&lt;/color&gt;;420805~10~50~&lt;color=red&gt;阴转雷暴雨&lt;/color&gt;;420805~11~100~&lt;color=red&gt;小雨转雷暴雨&lt;/color&gt;;420805~12~100~&lt;color=red&gt;大雨转雷暴雨&lt;/color&gt;;420805~13~100~&lt;color=purple&gt;雷暴雨&lt;/color&gt;</v>
      </c>
      <c r="Q158" s="59">
        <v>3571</v>
      </c>
      <c r="R158" s="51">
        <v>7698</v>
      </c>
      <c r="S158" s="59" t="s">
        <v>583</v>
      </c>
      <c r="T158" s="99" t="str" cm="1">
        <f t="array" ref="T158">_F_get_RS_Shop_pool(D158,C158)</f>
        <v>20003=23040;30013=2880;30007=20160;40017=2520</v>
      </c>
      <c r="U158" s="59" t="s">
        <v>741</v>
      </c>
      <c r="V158" s="93" t="str">
        <f t="shared" si="132"/>
        <v>42080003</v>
      </c>
      <c r="W158" s="51" cm="1">
        <f t="array" ref="W158">_xlfn.SWITCH(D158,0,"","初始",1,"普通",INT(LOG(C158,8.2))+2,"最终",2,1)</f>
        <v>3</v>
      </c>
      <c r="X158" s="91" t="str" cm="1">
        <f t="array" ref="X158">_F_get_RS_MG_pool($D158,$C158,$AA158:$AL158)</f>
        <v>420801~1~335~&lt;color=#007328&gt;泡泡金鱼&lt;/color&gt;;420802~1~335~&lt;color=#007328&gt;海藻小妖&lt;/color&gt;;42080301~1~335~&lt;color=orange&gt;猎手草丛&lt;/color&gt;;420804~1~335~&lt;color=orange&gt;滩涂海贝&lt;/color&gt;;420805~1~335~&lt;color=#007328&gt;河滩螃蟹&lt;/color&gt;;420811~1~335~&lt;color=orange&gt;脑水母&lt;/color&gt;;420815~1~335~河蚌与青蛙;420821~1~335~贝壳乌贼;420823~1~335~似目草与青蛙</v>
      </c>
      <c r="Y158" s="43" t="str">
        <f t="shared" si="135"/>
        <v>Correct</v>
      </c>
      <c r="Z158" s="73" t="str" cm="1">
        <f t="array" ref="Z158">_xlfn.TEXTJOIN("; ",1,_xlfn.MAP(AA158:AL158,_xlfn.LAMBDA(_xlpm._i,_xlfn.XLOOKUP(_xlpm._i,tb_mg[id],tb_mg[备注],"-TBN-"))))</f>
        <v>泡泡金鱼; 海藻小妖; 似目草海(+海贝); 聒噪海贝; 小螃蟹群; 大小水母; 海贝青蛙; 贝壳乌贼; 青蛙草海</v>
      </c>
      <c r="AA158" s="57">
        <v>420801</v>
      </c>
      <c r="AB158" s="57">
        <v>420802</v>
      </c>
      <c r="AC158" s="57">
        <v>42080301</v>
      </c>
      <c r="AD158" s="57">
        <v>420804</v>
      </c>
      <c r="AE158" s="57">
        <v>420805</v>
      </c>
      <c r="AF158" s="57">
        <v>420811</v>
      </c>
      <c r="AG158" s="57">
        <v>420815</v>
      </c>
      <c r="AH158" s="57">
        <v>420821</v>
      </c>
      <c r="AI158" s="57">
        <v>420823</v>
      </c>
      <c r="AP158" s="5"/>
      <c r="AR158" s="5"/>
    </row>
    <row r="159" spans="1:44">
      <c r="A159" s="5">
        <v>420813</v>
      </c>
      <c r="B159" s="90" t="str" cm="1">
        <f t="array" ref="B159">_F_get_world_name($A159)</f>
        <v>大湖</v>
      </c>
      <c r="C159" s="43">
        <f t="shared" si="128"/>
        <v>13</v>
      </c>
      <c r="D159" s="43" t="str">
        <f>VLOOKUP(MOD(A159,100),tb_scene_id_type[#All],3,1)</f>
        <v>普通</v>
      </c>
      <c r="E159" s="43" t="str">
        <f t="shared" si="129"/>
        <v>8B</v>
      </c>
      <c r="F159" s="43" t="str">
        <f>IFERROR(VLOOKUP(E159,tb_scene_name[],2,0),"")</f>
        <v>水天灵境</v>
      </c>
      <c r="G159" s="51" t="str">
        <f t="shared" si="136"/>
        <v>bgm_8b</v>
      </c>
      <c r="H159" s="51" t="str">
        <f t="shared" si="137"/>
        <v>42082</v>
      </c>
      <c r="I159" s="51" t="str">
        <f t="shared" si="130"/>
        <v>scene_8B</v>
      </c>
      <c r="J159" s="51" t="str">
        <f t="shared" si="133"/>
        <v>rs_scene_icon[ui_level_icon_thumbnail_22]</v>
      </c>
      <c r="K159" s="51" t="str">
        <f t="shared" si="138"/>
        <v>42082~2.3~0.8~2.8</v>
      </c>
      <c r="L159" s="35" t="str">
        <f t="shared" si="139"/>
        <v>42082</v>
      </c>
      <c r="M159" s="35">
        <f t="shared" si="131"/>
        <v>2.2999999999999998</v>
      </c>
      <c r="N159" s="35">
        <v>0.8</v>
      </c>
      <c r="O159" s="35">
        <f t="shared" si="134"/>
        <v>2.8000000000000003</v>
      </c>
      <c r="P159" s="92" t="str" cm="1">
        <f t="array" ref="P159">_F_get_RS_Weather_pool($A159,$C159)</f>
        <v>420805~0~50~&lt;color=red&gt;晴转雷暴雨&lt;/color&gt;;420805~10~50~&lt;color=red&gt;阴转雷暴雨&lt;/color&gt;;420805~11~100~&lt;color=red&gt;小雨转雷暴雨&lt;/color&gt;;420805~12~100~&lt;color=red&gt;大雨转雷暴雨&lt;/color&gt;;420805~13~100~&lt;color=purple&gt;雷暴雨&lt;/color&gt;;420806~10~50~&lt;color=red&gt;阴转雷暴雨&lt;/color&gt;;420806~11~50~&lt;color=red&gt;小雨转雷暴雨&lt;/color&gt;;420806~12~100~&lt;color=red&gt;大雨转雷暴雨&lt;/color&gt;;420806~13~100~&lt;color=purple&gt;雷暴雨&lt;/color&gt;</v>
      </c>
      <c r="Q159" s="59">
        <v>3889</v>
      </c>
      <c r="R159" s="51">
        <v>9051</v>
      </c>
      <c r="S159" s="59" t="s">
        <v>580</v>
      </c>
      <c r="T159" s="99" t="str" cm="1">
        <f t="array" ref="T159">_F_get_RS_Shop_pool(D159,C159)</f>
        <v>10001=36864;20011=4608;20003=23040;30013=2880;20005=32256;30015=4032;30007=20160;40017=2520</v>
      </c>
      <c r="U159" s="59" t="s">
        <v>742</v>
      </c>
      <c r="V159" s="93" t="str">
        <f t="shared" si="132"/>
        <v>42080004</v>
      </c>
      <c r="W159" s="51" cm="1">
        <f t="array" ref="W159">_xlfn.SWITCH(D159,0,"","初始",1,"普通",INT(LOG(C159,8.2))+2,"最终",2,1)</f>
        <v>3</v>
      </c>
      <c r="X159" s="91" t="str" cm="1">
        <f t="array" ref="X159">_F_get_RS_MG_pool($D159,$C159,$AA159:$AL159)</f>
        <v>420801~1~340~&lt;color=#007328&gt;泡泡金鱼&lt;/color&gt;;420802~1~340~&lt;color=#007328&gt;海藻小妖&lt;/color&gt;;42080301~1~340~&lt;color=orange&gt;猎手草丛&lt;/color&gt;;420804~1~340~&lt;color=orange&gt;滩涂海贝&lt;/color&gt;;420805~1~340~&lt;color=#007328&gt;河滩螃蟹&lt;/color&gt;;420811~1~340~&lt;color=orange&gt;脑水母&lt;/color&gt;;420815~1~340~河蚌与青蛙;420821~1~340~贝壳乌贼;420823~1~340~似目草与青蛙</v>
      </c>
      <c r="Y159" s="43" t="str">
        <f t="shared" si="135"/>
        <v>Correct</v>
      </c>
      <c r="Z159" s="73" t="str" cm="1">
        <f t="array" ref="Z159">_xlfn.TEXTJOIN("; ",1,_xlfn.MAP(AA159:AL159,_xlfn.LAMBDA(_xlpm._i,_xlfn.XLOOKUP(_xlpm._i,tb_mg[id],tb_mg[备注],"-TBN-"))))</f>
        <v>泡泡金鱼; 海藻小妖; 似目草海(+海贝); 聒噪海贝; 小螃蟹群; 大小水母; 海贝青蛙; 贝壳乌贼; 青蛙草海</v>
      </c>
      <c r="AA159" s="57">
        <v>420801</v>
      </c>
      <c r="AB159" s="57">
        <v>420802</v>
      </c>
      <c r="AC159" s="57">
        <v>42080301</v>
      </c>
      <c r="AD159" s="57">
        <v>420804</v>
      </c>
      <c r="AE159" s="57">
        <v>420805</v>
      </c>
      <c r="AF159" s="57">
        <v>420811</v>
      </c>
      <c r="AG159" s="57">
        <v>420815</v>
      </c>
      <c r="AH159" s="57">
        <v>420821</v>
      </c>
      <c r="AI159" s="57">
        <v>420823</v>
      </c>
      <c r="AP159" s="5"/>
      <c r="AR159" s="5"/>
    </row>
    <row r="160" spans="1:44">
      <c r="A160" s="5">
        <v>420814</v>
      </c>
      <c r="B160" s="90" t="str" cm="1">
        <f t="array" ref="B160">_F_get_world_name($A160)</f>
        <v>大湖</v>
      </c>
      <c r="C160" s="43">
        <f t="shared" si="128"/>
        <v>14</v>
      </c>
      <c r="D160" s="43" t="str">
        <f>VLOOKUP(MOD(A160,100),tb_scene_id_type[#All],3,1)</f>
        <v>普通</v>
      </c>
      <c r="E160" s="43" t="str">
        <f t="shared" si="129"/>
        <v>8B</v>
      </c>
      <c r="F160" s="43" t="str">
        <f>IFERROR(VLOOKUP(E160,tb_scene_name[],2,0),"")</f>
        <v>水天灵境</v>
      </c>
      <c r="G160" s="51" t="str">
        <f t="shared" si="136"/>
        <v>bgm_8b</v>
      </c>
      <c r="H160" s="51" t="str">
        <f t="shared" si="137"/>
        <v>42082</v>
      </c>
      <c r="I160" s="51" t="str">
        <f t="shared" si="130"/>
        <v>scene_8B</v>
      </c>
      <c r="J160" s="51" t="str">
        <f t="shared" si="133"/>
        <v>rs_scene_icon[ui_level_icon_thumbnail_22]</v>
      </c>
      <c r="K160" s="51" t="str">
        <f t="shared" si="138"/>
        <v>42082~2.3375~0.8~2.85</v>
      </c>
      <c r="L160" s="35" t="str">
        <f t="shared" si="139"/>
        <v>42082</v>
      </c>
      <c r="M160" s="35">
        <f t="shared" si="131"/>
        <v>2.3374999999999999</v>
      </c>
      <c r="N160" s="35">
        <v>0.8</v>
      </c>
      <c r="O160" s="35">
        <f t="shared" si="134"/>
        <v>2.85</v>
      </c>
      <c r="P160" s="92" t="str" cm="1">
        <f t="array" ref="P160">_F_get_RS_Weather_pool($A160,$C160)</f>
        <v>420806~10~50~&lt;color=red&gt;阴转雷暴雨&lt;/color&gt;;420806~11~50~&lt;color=red&gt;小雨转雷暴雨&lt;/color&gt;;420806~12~100~&lt;color=red&gt;大雨转雷暴雨&lt;/color&gt;;420806~13~100~&lt;color=purple&gt;雷暴雨&lt;/color&gt;;420806~10~0~&lt;color=red&gt;阴转雷暴雨&lt;/color&gt;;420806~11~50~&lt;color=red&gt;小雨转雷暴雨&lt;/color&gt;;420806~12~100~&lt;color=red&gt;大雨转雷暴雨&lt;/color&gt;;420806~13~100~&lt;color=purple&gt;雷暴雨&lt;/color&gt;</v>
      </c>
      <c r="Q160" s="59">
        <v>4211</v>
      </c>
      <c r="R160" s="51">
        <v>10574</v>
      </c>
      <c r="S160" s="59" t="s">
        <v>583</v>
      </c>
      <c r="T160" s="99" t="str" cm="1">
        <f t="array" ref="T160">_F_get_RS_Shop_pool(D160,C160)</f>
        <v>20101=13824;30111=1728;30103=8640;40113=1080</v>
      </c>
      <c r="U160" s="59" t="s">
        <v>743</v>
      </c>
      <c r="V160" s="93" t="str">
        <f t="shared" si="132"/>
        <v>42080004</v>
      </c>
      <c r="W160" s="51" cm="1">
        <f t="array" ref="W160">_xlfn.SWITCH(D160,0,"","初始",1,"普通",INT(LOG(C160,8.2))+2,"最终",2,1)</f>
        <v>3</v>
      </c>
      <c r="X160" s="91" t="str" cm="1">
        <f t="array" ref="X160">_F_get_RS_MG_pool($D160,$C160,$AA160:$AL160)</f>
        <v>420801~1~340~&lt;color=#007328&gt;泡泡金鱼&lt;/color&gt;;420802~1~340~&lt;color=#007328&gt;海藻小妖&lt;/color&gt;;42080301~1~340~&lt;color=orange&gt;猎手草丛&lt;/color&gt;;420804~1~340~&lt;color=orange&gt;滩涂海贝&lt;/color&gt;;420805~1~340~&lt;color=#007328&gt;河滩螃蟹&lt;/color&gt;;420811~1~340~&lt;color=orange&gt;脑水母&lt;/color&gt;;420815~1~340~河蚌与青蛙;420821~1~340~贝壳乌贼;420822~1~340~&lt;color=red&gt;自爆水母&lt;/color&gt;;420823~1~340~似目草与青蛙</v>
      </c>
      <c r="Y160" s="43" t="str">
        <f t="shared" si="135"/>
        <v>Correct</v>
      </c>
      <c r="Z160" s="73" t="str" cm="1">
        <f t="array" ref="Z160">_xlfn.TEXTJOIN("; ",1,_xlfn.MAP(AA160:AL160,_xlfn.LAMBDA(_xlpm._i,_xlfn.XLOOKUP(_xlpm._i,tb_mg[id],tb_mg[备注],"-TBN-"))))</f>
        <v>泡泡金鱼; 海藻小妖; 似目草海(+海贝); 聒噪海贝; 小螃蟹群; 大小水母; 海贝青蛙; 贝壳乌贼; 自爆水母; 青蛙草海</v>
      </c>
      <c r="AA160" s="57">
        <v>420801</v>
      </c>
      <c r="AB160" s="57">
        <v>420802</v>
      </c>
      <c r="AC160" s="57">
        <v>42080301</v>
      </c>
      <c r="AD160" s="57">
        <v>420804</v>
      </c>
      <c r="AE160" s="57">
        <v>420805</v>
      </c>
      <c r="AF160" s="57">
        <v>420811</v>
      </c>
      <c r="AG160" s="57">
        <v>420815</v>
      </c>
      <c r="AH160" s="57">
        <v>420821</v>
      </c>
      <c r="AI160" s="57">
        <v>420822</v>
      </c>
      <c r="AJ160" s="57">
        <v>420823</v>
      </c>
      <c r="AP160" s="5"/>
      <c r="AR160" s="5"/>
    </row>
    <row r="161" spans="1:44">
      <c r="A161" s="5">
        <v>420815</v>
      </c>
      <c r="B161" s="90" t="str" cm="1">
        <f t="array" ref="B161">_F_get_world_name($A161)</f>
        <v>大湖</v>
      </c>
      <c r="C161" s="43">
        <f t="shared" si="128"/>
        <v>15</v>
      </c>
      <c r="D161" s="43" t="str">
        <f>VLOOKUP(MOD(A161,100),tb_scene_id_type[#All],3,1)</f>
        <v>普通</v>
      </c>
      <c r="E161" s="43" t="str">
        <f t="shared" si="129"/>
        <v>8C</v>
      </c>
      <c r="F161" s="43" t="str">
        <f>IFERROR(VLOOKUP(E161,tb_scene_name[],2,0),"")</f>
        <v>流波群山</v>
      </c>
      <c r="G161" s="51" t="str">
        <f t="shared" si="136"/>
        <v>bgm_8c</v>
      </c>
      <c r="H161" s="51" t="str">
        <f t="shared" si="137"/>
        <v>42083</v>
      </c>
      <c r="I161" s="51" t="str">
        <f t="shared" si="130"/>
        <v>scene_8C</v>
      </c>
      <c r="J161" s="51" t="str">
        <f t="shared" si="133"/>
        <v>rs_scene_icon[ui_level_icon_thumbnail_23]</v>
      </c>
      <c r="K161" s="51" t="str">
        <f t="shared" si="138"/>
        <v>42083~2.375~0.8~2.9</v>
      </c>
      <c r="L161" s="35" t="str">
        <f t="shared" si="139"/>
        <v>42083</v>
      </c>
      <c r="M161" s="35">
        <f t="shared" si="131"/>
        <v>2.3750000000000004</v>
      </c>
      <c r="N161" s="35">
        <v>0.8</v>
      </c>
      <c r="O161" s="35">
        <f t="shared" si="134"/>
        <v>2.9000000000000004</v>
      </c>
      <c r="P161" s="92" t="str" cm="1">
        <f t="array" ref="P161">_F_get_RS_Weather_pool($A161,$C161)</f>
        <v>420806~10~0~&lt;color=red&gt;阴转雷暴雨&lt;/color&gt;;420806~11~50~&lt;color=red&gt;小雨转雷暴雨&lt;/color&gt;;420806~12~100~&lt;color=red&gt;大雨转雷暴雨&lt;/color&gt;;420806~13~100~&lt;color=purple&gt;雷暴雨&lt;/color&gt;;420807~11~50~&lt;color=red&gt;小雨转雷暴雨&lt;/color&gt;;420807~12~100~&lt;color=red&gt;大雨转雷暴雨&lt;/color&gt;;420807~13~100~&lt;color=purple&gt;雷暴雨&lt;/color&gt;</v>
      </c>
      <c r="Q161" s="59">
        <v>4545</v>
      </c>
      <c r="R161" s="51">
        <v>12263</v>
      </c>
      <c r="S161" s="59" t="s">
        <v>583</v>
      </c>
      <c r="T161" s="99" t="str" cm="1">
        <f t="array" ref="T161">_F_get_RS_Shop_pool(D161,C161)</f>
        <v>20011=4608;30013=2880;30015=4032;40017=2520</v>
      </c>
      <c r="U161" s="59" t="s">
        <v>744</v>
      </c>
      <c r="V161" s="93" t="str">
        <f t="shared" si="132"/>
        <v>42080004</v>
      </c>
      <c r="W161" s="51" cm="1">
        <f t="array" ref="W161">_xlfn.SWITCH(D161,0,"","初始",1,"普通",INT(LOG(C161,8.2))+2,"最终",2,1)</f>
        <v>3</v>
      </c>
      <c r="X161" s="91" t="str" cm="1">
        <f t="array" ref="X161">_F_get_RS_MG_pool($D161,$C161,$AA161:$AL161)</f>
        <v>420801~1~345~&lt;color=#007328&gt;泡泡金鱼&lt;/color&gt;;420802~1~345~&lt;color=#007328&gt;海藻小妖&lt;/color&gt;;42080301~1~345~&lt;color=orange&gt;猎手草丛&lt;/color&gt;;420804~1~345~&lt;color=orange&gt;滩涂海贝&lt;/color&gt;;420805~1~345~&lt;color=#007328&gt;河滩螃蟹&lt;/color&gt;;420811~1~345~&lt;color=orange&gt;脑水母&lt;/color&gt;;420815~1~345~河蚌与青蛙;420821~1~345~贝壳乌贼;420822~1~345~&lt;color=red&gt;自爆水母&lt;/color&gt;;420823~1~345~似目草与青蛙</v>
      </c>
      <c r="Y161" s="43" t="str">
        <f t="shared" si="135"/>
        <v>Correct</v>
      </c>
      <c r="Z161" s="73" t="str" cm="1">
        <f t="array" ref="Z161">_xlfn.TEXTJOIN("; ",1,_xlfn.MAP(AA161:AL161,_xlfn.LAMBDA(_xlpm._i,_xlfn.XLOOKUP(_xlpm._i,tb_mg[id],tb_mg[备注],"-TBN-"))))</f>
        <v>泡泡金鱼; 海藻小妖; 似目草海(+海贝); 聒噪海贝; 小螃蟹群; 大小水母; 海贝青蛙; 贝壳乌贼; 自爆水母; 青蛙草海</v>
      </c>
      <c r="AA161" s="57">
        <v>420801</v>
      </c>
      <c r="AB161" s="57">
        <v>420802</v>
      </c>
      <c r="AC161" s="57">
        <v>42080301</v>
      </c>
      <c r="AD161" s="57">
        <v>420804</v>
      </c>
      <c r="AE161" s="57">
        <v>420805</v>
      </c>
      <c r="AF161" s="57">
        <v>420811</v>
      </c>
      <c r="AG161" s="57">
        <v>420815</v>
      </c>
      <c r="AH161" s="57">
        <v>420821</v>
      </c>
      <c r="AI161" s="57">
        <v>420822</v>
      </c>
      <c r="AJ161" s="57">
        <v>420823</v>
      </c>
      <c r="AP161" s="5"/>
      <c r="AR161" s="5"/>
    </row>
    <row r="162" spans="1:44">
      <c r="A162" s="5">
        <v>420816</v>
      </c>
      <c r="B162" s="90" t="str" cm="1">
        <f t="array" ref="B162">_F_get_world_name($A162)</f>
        <v>大湖</v>
      </c>
      <c r="C162" s="43">
        <f t="shared" si="128"/>
        <v>16</v>
      </c>
      <c r="D162" s="43" t="str">
        <f>VLOOKUP(MOD(A162,100),tb_scene_id_type[#All],3,1)</f>
        <v>普通</v>
      </c>
      <c r="E162" s="43" t="str">
        <f t="shared" si="129"/>
        <v>8C</v>
      </c>
      <c r="F162" s="43" t="str">
        <f>IFERROR(VLOOKUP(E162,tb_scene_name[],2,0),"")</f>
        <v>流波群山</v>
      </c>
      <c r="G162" s="51" t="str">
        <f t="shared" si="136"/>
        <v>bgm_8c</v>
      </c>
      <c r="H162" s="51" t="str">
        <f t="shared" si="137"/>
        <v>42083</v>
      </c>
      <c r="I162" s="51" t="str">
        <f t="shared" si="130"/>
        <v>scene_8C</v>
      </c>
      <c r="J162" s="51" t="str">
        <f t="shared" si="133"/>
        <v>rs_scene_icon[ui_level_icon_thumbnail_23]</v>
      </c>
      <c r="K162" s="51" t="str">
        <f t="shared" si="138"/>
        <v>42083~2.4125~0.8~2.95</v>
      </c>
      <c r="L162" s="35" t="str">
        <f t="shared" si="139"/>
        <v>42083</v>
      </c>
      <c r="M162" s="35">
        <f t="shared" si="131"/>
        <v>2.4125000000000005</v>
      </c>
      <c r="N162" s="35">
        <v>0.8</v>
      </c>
      <c r="O162" s="35">
        <f t="shared" si="134"/>
        <v>2.95</v>
      </c>
      <c r="P162" s="92" t="str" cm="1">
        <f t="array" ref="P162">_F_get_RS_Weather_pool($A162,$C162)</f>
        <v>420807~11~50~&lt;color=red&gt;小雨转雷暴雨&lt;/color&gt;;420807~12~100~&lt;color=red&gt;大雨转雷暴雨&lt;/color&gt;;420807~13~100~&lt;color=purple&gt;雷暴雨&lt;/color&gt;;420807~11~0~&lt;color=red&gt;小雨转雷暴雨&lt;/color&gt;;420807~12~100~&lt;color=red&gt;大雨转雷暴雨&lt;/color&gt;;420807~13~100~&lt;color=purple&gt;雷暴雨&lt;/color&gt;</v>
      </c>
      <c r="Q162" s="59">
        <v>4871</v>
      </c>
      <c r="R162" s="51">
        <v>14139</v>
      </c>
      <c r="S162" s="59" t="s">
        <v>583</v>
      </c>
      <c r="T162" s="99" t="str" cm="1">
        <f t="array" ref="T162">_F_get_RS_Shop_pool(D162,C162)</f>
        <v>20003=23040;30013=2880;30007=20160;40017=2520</v>
      </c>
      <c r="U162" s="59" t="s">
        <v>745</v>
      </c>
      <c r="V162" s="93" t="str">
        <f t="shared" si="132"/>
        <v>42080004</v>
      </c>
      <c r="W162" s="51" cm="1">
        <f t="array" ref="W162">_xlfn.SWITCH(D162,0,"","初始",1,"普通",INT(LOG(C162,8.2))+2,"最终",2,1)</f>
        <v>3</v>
      </c>
      <c r="X162" s="91" t="str" cm="1">
        <f t="array" ref="X162">_F_get_RS_MG_pool($D162,$C162,$AA162:$AL162)</f>
        <v>420801~1~350~&lt;color=#007328&gt;泡泡金鱼&lt;/color&gt;;420802~1~350~&lt;color=#007328&gt;海藻小妖&lt;/color&gt;;42080301~1~350~&lt;color=orange&gt;猎手草丛&lt;/color&gt;;420804~1~350~&lt;color=orange&gt;滩涂海贝&lt;/color&gt;;420805~1~350~&lt;color=#007328&gt;河滩螃蟹&lt;/color&gt;;420811~1~350~&lt;color=orange&gt;脑水母&lt;/color&gt;;420815~1~350~河蚌与青蛙;420821~1~350~贝壳乌贼;42082211~1~350~&lt;color=red&gt;两种水母&lt;/color&gt;;420823~1~350~似目草与青蛙</v>
      </c>
      <c r="Y162" s="43" t="str">
        <f t="shared" si="135"/>
        <v>Correct</v>
      </c>
      <c r="Z162" s="73" t="str" cm="1">
        <f t="array" ref="Z162">_xlfn.TEXTJOIN("; ",1,_xlfn.MAP(AA162:AL162,_xlfn.LAMBDA(_xlpm._i,_xlfn.XLOOKUP(_xlpm._i,tb_mg[id],tb_mg[备注],"-TBN-"))))</f>
        <v>泡泡金鱼; 海藻小妖; 似目草海(+海贝); 聒噪海贝; 小螃蟹群; 大小水母; 海贝青蛙; 贝壳乌贼; 自爆+针刺; 青蛙草海</v>
      </c>
      <c r="AA162" s="57">
        <v>420801</v>
      </c>
      <c r="AB162" s="57">
        <v>420802</v>
      </c>
      <c r="AC162" s="57">
        <v>42080301</v>
      </c>
      <c r="AD162" s="57">
        <v>420804</v>
      </c>
      <c r="AE162" s="57">
        <v>420805</v>
      </c>
      <c r="AF162" s="57">
        <v>420811</v>
      </c>
      <c r="AG162" s="57">
        <v>420815</v>
      </c>
      <c r="AH162" s="57">
        <v>420821</v>
      </c>
      <c r="AI162" s="57">
        <v>42082211</v>
      </c>
      <c r="AJ162" s="57">
        <v>420823</v>
      </c>
      <c r="AP162" s="5"/>
      <c r="AR162" s="5"/>
    </row>
    <row r="163" spans="1:44">
      <c r="A163" s="5">
        <v>420817</v>
      </c>
      <c r="B163" s="90" t="str" cm="1">
        <f t="array" ref="B163">_F_get_world_name($A163)</f>
        <v>大湖</v>
      </c>
      <c r="C163" s="43">
        <f t="shared" si="128"/>
        <v>17</v>
      </c>
      <c r="D163" s="43" t="str">
        <f>VLOOKUP(MOD(A163,100),tb_scene_id_type[#All],3,1)</f>
        <v>普通</v>
      </c>
      <c r="E163" s="43" t="str">
        <f t="shared" si="129"/>
        <v>8C</v>
      </c>
      <c r="F163" s="43" t="str">
        <f>IFERROR(VLOOKUP(E163,tb_scene_name[],2,0),"")</f>
        <v>流波群山</v>
      </c>
      <c r="G163" s="51" t="str">
        <f t="shared" si="136"/>
        <v>bgm_8c</v>
      </c>
      <c r="H163" s="51" t="str">
        <f t="shared" si="137"/>
        <v>42083</v>
      </c>
      <c r="I163" s="51" t="str">
        <f t="shared" si="130"/>
        <v>scene_8C</v>
      </c>
      <c r="J163" s="51" t="str">
        <f t="shared" si="133"/>
        <v>rs_scene_icon[ui_level_icon_thumbnail_23]</v>
      </c>
      <c r="K163" s="51" t="str">
        <f t="shared" si="138"/>
        <v>42083~2.45~0.8~3</v>
      </c>
      <c r="L163" s="35" t="str">
        <f t="shared" si="139"/>
        <v>42083</v>
      </c>
      <c r="M163" s="35">
        <f t="shared" si="131"/>
        <v>2.4500000000000002</v>
      </c>
      <c r="N163" s="35">
        <v>0.8</v>
      </c>
      <c r="O163" s="35">
        <f t="shared" si="134"/>
        <v>3</v>
      </c>
      <c r="P163" s="92" t="str" cm="1">
        <f t="array" ref="P163">_F_get_RS_Weather_pool($A163,$C163)</f>
        <v>420807~11~0~&lt;color=red&gt;小雨转雷暴雨&lt;/color&gt;;420807~12~100~&lt;color=red&gt;大雨转雷暴雨&lt;/color&gt;;420807~13~100~&lt;color=purple&gt;雷暴雨&lt;/color&gt;;420808~12~100~&lt;color=red&gt;大雨转雷暴雨&lt;/color&gt;;420808~13~100~&lt;color=purple&gt;雷暴雨&lt;/color&gt;</v>
      </c>
      <c r="Q163" s="59">
        <v>5200</v>
      </c>
      <c r="R163" s="51">
        <v>16204</v>
      </c>
      <c r="S163" s="59" t="s">
        <v>583</v>
      </c>
      <c r="T163" s="99" t="str" cm="1">
        <f t="array" ref="T163">_F_get_RS_Shop_pool(D163,C163)</f>
        <v>10001=36864;20011=4608;20003=23040;30013=2880;20005=32256;30015=4032;30007=20160;40017=2520</v>
      </c>
      <c r="U163" s="59" t="s">
        <v>746</v>
      </c>
      <c r="V163" s="93" t="str">
        <f t="shared" si="132"/>
        <v>42080005</v>
      </c>
      <c r="W163" s="51" cm="1">
        <f t="array" ref="W163">_xlfn.SWITCH(D163,0,"","初始",1,"普通",INT(LOG(C163,8.2))+2,"最终",2,1)</f>
        <v>3</v>
      </c>
      <c r="X163" s="91" t="str" cm="1">
        <f t="array" ref="X163">_F_get_RS_MG_pool($D163,$C163,$AA163:$AL163)</f>
        <v>420801~1~350~&lt;color=#007328&gt;泡泡金鱼&lt;/color&gt;;420802~1~350~&lt;color=#007328&gt;海藻小妖&lt;/color&gt;;42080301~1~350~&lt;color=orange&gt;猎手草丛&lt;/color&gt;;420804~1~350~&lt;color=orange&gt;滩涂海贝&lt;/color&gt;;420805~1~350~&lt;color=#007328&gt;河滩螃蟹&lt;/color&gt;;420811~1~350~&lt;color=orange&gt;脑水母&lt;/color&gt;;420815~1~350~河蚌与青蛙;420821~1~350~贝壳乌贼;42082211~1~350~&lt;color=red&gt;两种水母&lt;/color&gt;;420823~1~350~似目草与青蛙</v>
      </c>
      <c r="Y163" s="43" t="str">
        <f t="shared" si="135"/>
        <v>Correct</v>
      </c>
      <c r="Z163" s="73" t="str" cm="1">
        <f t="array" ref="Z163">_xlfn.TEXTJOIN("; ",1,_xlfn.MAP(AA163:AL163,_xlfn.LAMBDA(_xlpm._i,_xlfn.XLOOKUP(_xlpm._i,tb_mg[id],tb_mg[备注],"-TBN-"))))</f>
        <v>泡泡金鱼; 海藻小妖; 似目草海(+海贝); 聒噪海贝; 小螃蟹群; 大小水母; 海贝青蛙; 贝壳乌贼; 自爆+针刺; 青蛙草海</v>
      </c>
      <c r="AA163" s="57">
        <v>420801</v>
      </c>
      <c r="AB163" s="57">
        <v>420802</v>
      </c>
      <c r="AC163" s="57">
        <v>42080301</v>
      </c>
      <c r="AD163" s="57">
        <v>420804</v>
      </c>
      <c r="AE163" s="57">
        <v>420805</v>
      </c>
      <c r="AF163" s="57">
        <v>420811</v>
      </c>
      <c r="AG163" s="57">
        <v>420815</v>
      </c>
      <c r="AH163" s="57">
        <v>420821</v>
      </c>
      <c r="AI163" s="57">
        <v>42082211</v>
      </c>
      <c r="AJ163" s="57">
        <v>420823</v>
      </c>
      <c r="AP163" s="5"/>
      <c r="AR163" s="5"/>
    </row>
    <row r="164" spans="1:44">
      <c r="A164" s="5">
        <v>420818</v>
      </c>
      <c r="B164" s="90" t="str" cm="1">
        <f t="array" ref="B164">_F_get_world_name($A164)</f>
        <v>大湖</v>
      </c>
      <c r="C164" s="43">
        <f t="shared" si="128"/>
        <v>18</v>
      </c>
      <c r="D164" s="43" t="str">
        <f>VLOOKUP(MOD(A164,100),tb_scene_id_type[#All],3,1)</f>
        <v>普通</v>
      </c>
      <c r="E164" s="43" t="str">
        <f t="shared" si="129"/>
        <v>8C</v>
      </c>
      <c r="F164" s="43" t="str">
        <f>IFERROR(VLOOKUP(E164,tb_scene_name[],2,0),"")</f>
        <v>流波群山</v>
      </c>
      <c r="G164" s="51" t="str">
        <f t="shared" si="136"/>
        <v>bgm_8c</v>
      </c>
      <c r="H164" s="51" t="str">
        <f t="shared" si="137"/>
        <v>42083</v>
      </c>
      <c r="I164" s="51" t="str">
        <f t="shared" si="130"/>
        <v>scene_8C</v>
      </c>
      <c r="J164" s="51" t="str">
        <f t="shared" si="133"/>
        <v>rs_scene_icon[ui_level_icon_thumbnail_23]</v>
      </c>
      <c r="K164" s="51" t="str">
        <f t="shared" si="138"/>
        <v>42083~2.4875~0.8~3.05</v>
      </c>
      <c r="L164" s="35" t="str">
        <f t="shared" si="139"/>
        <v>42083</v>
      </c>
      <c r="M164" s="35">
        <f t="shared" si="131"/>
        <v>2.4874999999999998</v>
      </c>
      <c r="N164" s="35">
        <v>0.8</v>
      </c>
      <c r="O164" s="35">
        <f t="shared" si="134"/>
        <v>3.0500000000000003</v>
      </c>
      <c r="P164" s="92" t="str" cm="1">
        <f t="array" ref="P164">_F_get_RS_Weather_pool($A164,$C164)</f>
        <v>420808~12~100~&lt;color=red&gt;大雨转雷暴雨&lt;/color&gt;;420808~13~100~&lt;color=purple&gt;雷暴雨&lt;/color&gt;;420808~12~50~&lt;color=red&gt;大雨转雷暴雨&lt;/color&gt;;420808~13~100~&lt;color=purple&gt;雷暴雨&lt;/color&gt;</v>
      </c>
      <c r="Q164" s="59">
        <v>5539</v>
      </c>
      <c r="R164" s="51">
        <v>18456</v>
      </c>
      <c r="S164" s="59" t="s">
        <v>583</v>
      </c>
      <c r="T164" s="99" t="str" cm="1">
        <f t="array" ref="T164">_F_get_RS_Shop_pool(D164,C164)</f>
        <v>10001=36864;20011=4608;20003=23040;30013=2880;20005=32256;30015=4032;30007=20160;40017=2520</v>
      </c>
      <c r="U164" s="59" t="s">
        <v>747</v>
      </c>
      <c r="V164" s="93" t="str">
        <f t="shared" si="132"/>
        <v>42080005</v>
      </c>
      <c r="W164" s="51" cm="1">
        <f t="array" ref="W164">_xlfn.SWITCH(D164,0,"","初始",1,"普通",INT(LOG(C164,8.2))+2,"最终",2,1)</f>
        <v>3</v>
      </c>
      <c r="X164" s="91" t="str" cm="1">
        <f t="array" ref="X164">_F_get_RS_MG_pool($D164,$C164,$AA164:$AL164)</f>
        <v>42080301~1~355~&lt;color=orange&gt;猎手草丛&lt;/color&gt;;420804~1~355~&lt;color=orange&gt;滩涂海贝&lt;/color&gt;;420805~1~355~&lt;color=#007328&gt;河滩螃蟹&lt;/color&gt;;420811~1~355~&lt;color=orange&gt;脑水母&lt;/color&gt;;420815~1~355~河蚌与青蛙;420821~1~355~贝壳乌贼;42082211~1~355~&lt;color=red&gt;两种水母&lt;/color&gt;;420823~1~355~似目草与青蛙</v>
      </c>
      <c r="Y164" s="43" t="str">
        <f t="shared" si="135"/>
        <v>Correct</v>
      </c>
      <c r="Z164" s="73" t="str" cm="1">
        <f t="array" ref="Z164">_xlfn.TEXTJOIN("; ",1,_xlfn.MAP(AA164:AL164,_xlfn.LAMBDA(_xlpm._i,_xlfn.XLOOKUP(_xlpm._i,tb_mg[id],tb_mg[备注],"-TBN-"))))</f>
        <v>似目草海(+海贝); 聒噪海贝; 小螃蟹群; 大小水母; 海贝青蛙; 贝壳乌贼; 自爆+针刺; 青蛙草海</v>
      </c>
      <c r="AC164" s="57">
        <v>42080301</v>
      </c>
      <c r="AD164" s="57">
        <v>420804</v>
      </c>
      <c r="AE164" s="57">
        <v>420805</v>
      </c>
      <c r="AF164" s="57">
        <v>420811</v>
      </c>
      <c r="AG164" s="57">
        <v>420815</v>
      </c>
      <c r="AH164" s="57">
        <v>420821</v>
      </c>
      <c r="AI164" s="57">
        <v>42082211</v>
      </c>
      <c r="AJ164" s="57">
        <v>420823</v>
      </c>
      <c r="AP164" s="5"/>
      <c r="AR164" s="5"/>
    </row>
    <row r="165" spans="1:44">
      <c r="A165" s="5">
        <v>420819</v>
      </c>
      <c r="B165" s="90" t="str" cm="1">
        <f t="array" ref="B165">_F_get_world_name($A165)</f>
        <v>大湖</v>
      </c>
      <c r="C165" s="43">
        <f t="shared" si="128"/>
        <v>19</v>
      </c>
      <c r="D165" s="43" t="str">
        <f>VLOOKUP(MOD(A165,100),tb_scene_id_type[#All],3,1)</f>
        <v>普通</v>
      </c>
      <c r="E165" s="43" t="str">
        <f t="shared" si="129"/>
        <v>8C</v>
      </c>
      <c r="F165" s="43" t="str">
        <f>IFERROR(VLOOKUP(E165,tb_scene_name[],2,0),"")</f>
        <v>流波群山</v>
      </c>
      <c r="G165" s="51" t="str">
        <f t="shared" ref="G165" si="140">"bgm_"&amp;LOWER(E165)</f>
        <v>bgm_8c</v>
      </c>
      <c r="H165" s="51" t="str">
        <f t="shared" ref="H165" si="141">420&amp;LEFT(E165,1)&amp;_xlfn.UNICODE(RIGHT(E165,1))-64</f>
        <v>42083</v>
      </c>
      <c r="I165" s="51" t="str">
        <f t="shared" si="130"/>
        <v>scene_8C</v>
      </c>
      <c r="J165" s="51" t="str">
        <f t="shared" si="133"/>
        <v>rs_scene_icon[ui_level_icon_thumbnail_23]</v>
      </c>
      <c r="K165" s="51" t="str">
        <f t="shared" ref="K165" si="142">_xlfn.TEXTJOIN("~",1,L165:O165)</f>
        <v>42083~2.525~0.8~3.1</v>
      </c>
      <c r="L165" s="35" t="str">
        <f t="shared" ref="L165" si="143">H165</f>
        <v>42083</v>
      </c>
      <c r="M165" s="35">
        <f t="shared" si="131"/>
        <v>2.5249999999999999</v>
      </c>
      <c r="N165" s="35">
        <v>0.8</v>
      </c>
      <c r="O165" s="35">
        <f t="shared" si="134"/>
        <v>3.1</v>
      </c>
      <c r="P165" s="92" t="str" cm="1">
        <f t="array" ref="P165">_F_get_RS_Weather_pool($A165,$C165)</f>
        <v>420808~12~50~&lt;color=red&gt;大雨转雷暴雨&lt;/color&gt;;420808~13~100~&lt;color=purple&gt;雷暴雨&lt;/color&gt;;420809~13~100~&lt;color=purple&gt;雷暴雨&lt;/color&gt;</v>
      </c>
      <c r="Q165" s="59">
        <v>5872</v>
      </c>
      <c r="R165" s="51">
        <v>20929</v>
      </c>
      <c r="S165" s="59" t="s">
        <v>687</v>
      </c>
      <c r="T165" s="99" t="str" cm="1">
        <f t="array" ref="T165">_F_get_RS_Shop_pool(D165,C165)</f>
        <v>40113=1080</v>
      </c>
      <c r="U165" s="59" t="s">
        <v>748</v>
      </c>
      <c r="V165" s="93" t="str">
        <f t="shared" si="132"/>
        <v>42080005</v>
      </c>
      <c r="W165" s="51" cm="1">
        <f t="array" ref="W165">_xlfn.SWITCH(D165,0,"","初始",1,"普通",INT(LOG(C165,8.2))+2,"最终",2,1)</f>
        <v>3</v>
      </c>
      <c r="X165" s="91" t="str" cm="1">
        <f t="array" ref="X165">_F_get_RS_MG_pool($D165,$C165,$AA165:$AL165)</f>
        <v>42080301~1~355~&lt;color=orange&gt;猎手草丛&lt;/color&gt;;420804~1~355~&lt;color=orange&gt;滩涂海贝&lt;/color&gt;;420805~1~355~&lt;color=#007328&gt;河滩螃蟹&lt;/color&gt;;420811~1~355~&lt;color=orange&gt;脑水母&lt;/color&gt;;420815~1~355~河蚌与青蛙;420821~1~355~贝壳乌贼;42082211~1~355~&lt;color=red&gt;两种水母&lt;/color&gt;;420823~1~355~似目草与青蛙</v>
      </c>
      <c r="Y165" s="43" t="str">
        <f t="shared" si="135"/>
        <v>Correct</v>
      </c>
      <c r="Z165" s="73" t="str" cm="1">
        <f t="array" ref="Z165">_xlfn.TEXTJOIN("; ",1,_xlfn.MAP(AA165:AL165,_xlfn.LAMBDA(_xlpm._i,_xlfn.XLOOKUP(_xlpm._i,tb_mg[id],tb_mg[备注],"-TBN-"))))</f>
        <v>似目草海(+海贝); 聒噪海贝; 小螃蟹群; 大小水母; 海贝青蛙; 贝壳乌贼; 自爆+针刺; 青蛙草海</v>
      </c>
      <c r="AC165" s="57">
        <v>42080301</v>
      </c>
      <c r="AD165" s="57">
        <v>420804</v>
      </c>
      <c r="AE165" s="57">
        <v>420805</v>
      </c>
      <c r="AF165" s="57">
        <v>420811</v>
      </c>
      <c r="AG165" s="57">
        <v>420815</v>
      </c>
      <c r="AH165" s="57">
        <v>420821</v>
      </c>
      <c r="AI165" s="57">
        <v>42082211</v>
      </c>
      <c r="AJ165" s="57">
        <v>420823</v>
      </c>
      <c r="AP165" s="5"/>
      <c r="AR165" s="5"/>
    </row>
    <row r="166" spans="1:44">
      <c r="B166" s="5"/>
      <c r="I166" s="51"/>
      <c r="Q166" s="59"/>
      <c r="R166" s="59"/>
      <c r="V166" s="51"/>
      <c r="W166" s="51" t="str" cm="1">
        <f t="array" ref="W166">_xlfn.SWITCH(D166,0,"","初始",1,"普通",INT(LOG(C166,8.2))+2,"最终",2,1)</f>
        <v/>
      </c>
      <c r="X166" s="51"/>
      <c r="Y166" s="43" t="str">
        <f t="shared" si="135"/>
        <v/>
      </c>
      <c r="Z166" s="73" t="str" cm="1">
        <f t="array" ref="Z166">_xlfn.TEXTJOIN("; ",1,_xlfn.MAP(AA166:AL166,_xlfn.LAMBDA(_xlpm._i,_xlfn.XLOOKUP(_xlpm._i,tb_mg[id],tb_mg[备注],"-TBN-"))))</f>
        <v/>
      </c>
    </row>
    <row r="167" spans="1:44">
      <c r="A167" s="5">
        <v>420854</v>
      </c>
      <c r="B167" s="90" t="str" cm="1">
        <f t="array" ref="B167">_F_get_world_name($A167)</f>
        <v>大湖</v>
      </c>
      <c r="C167" s="43">
        <f t="shared" ref="C167:C182" si="144">IF(MOD(A167,100)&gt;90,20,MOD(A167,50))</f>
        <v>4</v>
      </c>
      <c r="D167" s="43" t="str">
        <f>VLOOKUP(MOD(A167,100),tb_scene_id_type[#All],3,1)</f>
        <v>精英</v>
      </c>
      <c r="E167" s="43" t="str">
        <f t="shared" ref="E167:E182" si="145">MID(A167,4,1)&amp;CHAR(INT((C167-1)/7+1)+64)</f>
        <v>8A</v>
      </c>
      <c r="F167" s="43" t="str">
        <f>IFERROR(VLOOKUP(E167,tb_scene_name[],2,0),"")</f>
        <v>大人之堂</v>
      </c>
      <c r="G167" s="51" t="str">
        <f t="shared" ref="G167:G182" si="146">"bgm_"&amp;LOWER(E167)</f>
        <v>bgm_8a</v>
      </c>
      <c r="H167" s="51" t="str">
        <f t="shared" ref="H167:H182" si="147">420&amp;LEFT(E167,1)&amp;_xlfn.UNICODE(RIGHT(E167,1))-64</f>
        <v>42081</v>
      </c>
      <c r="I167" s="51" t="str">
        <f t="shared" si="130"/>
        <v>scene_8A</v>
      </c>
      <c r="J167" s="51" t="str">
        <f>_xlfn.LET(_xlpm._id,(LEFT($E167,1)-1)*3+_xlfn.UNICODE(RIGHT($E167,1))-65,
_xlfn.CONCAT("rs_scene_icon[ui_level_icon_thumbnail_",_xlpm._id,"]"))</f>
        <v>rs_scene_icon[ui_level_icon_thumbnail_21]</v>
      </c>
      <c r="K167" s="51" t="str">
        <f t="shared" ref="K167:K182" si="148">_xlfn.TEXTJOIN("~",1,L167:O167)</f>
        <v>42081~1.9625~0.8~2.35</v>
      </c>
      <c r="L167" s="35" t="str">
        <f t="shared" ref="L167:L182" si="149">H167</f>
        <v>42081</v>
      </c>
      <c r="M167" s="35">
        <f>N167+(O167-N167)*0.75</f>
        <v>1.9625000000000001</v>
      </c>
      <c r="N167" s="35">
        <v>0.8</v>
      </c>
      <c r="O167" s="35">
        <f t="shared" si="134"/>
        <v>2.35</v>
      </c>
      <c r="P167" s="92" t="str" cm="1">
        <f t="array" ref="P167">_F_get_RS_Weather_pool($A167,$C167)</f>
        <v>420802~0~100~&lt;color=grey&gt;晴转阴&lt;/color&gt;;420802~10~50~&lt;color=grey&gt;阴&lt;/color&gt;;420803~0~100~&lt;color=#999900&gt;晴转小雨&lt;/color&gt;;420803~10~50~&lt;color=#999900&gt;阴转小雨&lt;/color&gt;;420803~11~0~&lt;color=#999900&gt;小雨&lt;/color&gt;</v>
      </c>
      <c r="Q167" s="59">
        <v>0</v>
      </c>
      <c r="R167" s="51">
        <v>1438</v>
      </c>
      <c r="S167" s="59" t="s">
        <v>687</v>
      </c>
      <c r="T167" s="99" t="str" cm="1">
        <f t="array" ref="T167">_F_get_RS_Shop_pool(D167,C167)</f>
        <v/>
      </c>
      <c r="U167" s="59" t="s">
        <v>750</v>
      </c>
      <c r="V167" s="93" t="str">
        <f t="shared" ref="V167:V182" si="150">4208000&amp;INT((C167-1)/4+1)</f>
        <v>42080001</v>
      </c>
      <c r="W167" s="51" cm="1">
        <f t="array" ref="W167">_xlfn.SWITCH(D167,0,"","初始",1,"普通",INT(LOG(C167,8.2))+2,"最终",2,1)</f>
        <v>1</v>
      </c>
      <c r="X167" s="91" t="str" cm="1">
        <f t="array" ref="X167">_F_get_RS_MG_pool($D167,$C167,$AA167:$AL167)</f>
        <v>420850~1~50~&lt;color=purple&gt;渊齿巨鱼&lt;/color&gt;;420852~1~50~&lt;color=purple&gt;金鱼之王&lt;/color&gt;</v>
      </c>
      <c r="Y167" s="43" t="str">
        <f t="shared" si="135"/>
        <v>Correct</v>
      </c>
      <c r="Z167" s="73" t="str" cm="1">
        <f t="array" ref="Z167">_xlfn.TEXTJOIN("; ",1,_xlfn.MAP(AA167:AL167,_xlfn.LAMBDA(_xlpm._i,_xlfn.XLOOKUP(_xlpm._i,tb_mg[id],tb_mg[备注],"-TBN-"))))</f>
        <v>渊齿巨鱼; 金鱼之王</v>
      </c>
      <c r="AA167" s="58">
        <v>420850</v>
      </c>
      <c r="AB167" s="58">
        <v>420852</v>
      </c>
      <c r="AP167" s="5"/>
      <c r="AR167" s="5"/>
    </row>
    <row r="168" spans="1:44">
      <c r="A168" s="5">
        <v>420855</v>
      </c>
      <c r="B168" s="90" t="str" cm="1">
        <f t="array" ref="B168">_F_get_world_name($A168)</f>
        <v>大湖</v>
      </c>
      <c r="C168" s="43">
        <f t="shared" si="144"/>
        <v>5</v>
      </c>
      <c r="D168" s="43" t="str">
        <f>VLOOKUP(MOD(A168,100),tb_scene_id_type[#All],3,1)</f>
        <v>精英</v>
      </c>
      <c r="E168" s="43" t="str">
        <f t="shared" si="145"/>
        <v>8A</v>
      </c>
      <c r="F168" s="43" t="str">
        <f>IFERROR(VLOOKUP(E168,tb_scene_name[],2,0),"")</f>
        <v>大人之堂</v>
      </c>
      <c r="G168" s="51" t="str">
        <f t="shared" si="146"/>
        <v>bgm_8a</v>
      </c>
      <c r="H168" s="51" t="str">
        <f t="shared" si="147"/>
        <v>42081</v>
      </c>
      <c r="I168" s="51" t="str">
        <f t="shared" si="130"/>
        <v>scene_8A</v>
      </c>
      <c r="J168" s="51" t="str">
        <f t="shared" ref="J168:J184" si="151">_xlfn.LET(_xlpm._id,(LEFT($E168,1)-1)*3+_xlfn.UNICODE(RIGHT($E168,1))-65,
_xlfn.CONCAT("rs_scene_icon[ui_level_icon_thumbnail_",_xlpm._id,"]"))</f>
        <v>rs_scene_icon[ui_level_icon_thumbnail_21]</v>
      </c>
      <c r="K168" s="51" t="str">
        <f t="shared" si="148"/>
        <v>42081~2~0.8~2.4</v>
      </c>
      <c r="L168" s="35" t="str">
        <f t="shared" si="149"/>
        <v>42081</v>
      </c>
      <c r="M168" s="35">
        <f t="shared" ref="M168:M182" si="152">N168+(O168-N168)*0.75</f>
        <v>2</v>
      </c>
      <c r="N168" s="35">
        <v>0.8</v>
      </c>
      <c r="O168" s="35">
        <f t="shared" si="134"/>
        <v>2.4000000000000004</v>
      </c>
      <c r="P168" s="92" t="str" cm="1">
        <f t="array" ref="P168">_F_get_RS_Weather_pool($A168,$C168)</f>
        <v>420803~0~100~&lt;color=#999900&gt;晴转小雨&lt;/color&gt;;420803~10~50~&lt;color=#999900&gt;阴转小雨&lt;/color&gt;;420803~11~0~&lt;color=#999900&gt;小雨&lt;/color&gt;;420803~0~100~&lt;color=#999900&gt;晴转小雨&lt;/color&gt;;420803~10~50~&lt;color=#999900&gt;阴转小雨&lt;/color&gt;;420803~11~50~&lt;color=#999900&gt;小雨&lt;/color&gt;</v>
      </c>
      <c r="Q168" s="59">
        <v>0</v>
      </c>
      <c r="R168" s="51">
        <v>1887</v>
      </c>
      <c r="S168" s="59" t="s">
        <v>687</v>
      </c>
      <c r="T168" s="99" t="str" cm="1">
        <f t="array" ref="T168">_F_get_RS_Shop_pool(D168,C168)</f>
        <v>30111=1728;40113=1080</v>
      </c>
      <c r="U168" s="59" t="s">
        <v>751</v>
      </c>
      <c r="V168" s="93" t="str">
        <f t="shared" si="150"/>
        <v>42080002</v>
      </c>
      <c r="W168" s="51" cm="1">
        <f t="array" ref="W168">_xlfn.SWITCH(D168,0,"","初始",1,"普通",INT(LOG(C168,8.2))+2,"最终",2,1)</f>
        <v>1</v>
      </c>
      <c r="X168" s="91" t="str" cm="1">
        <f t="array" ref="X168">_F_get_RS_MG_pool($D168,$C168,$AA168:$AL168)</f>
        <v>420850~1~50~&lt;color=purple&gt;渊齿巨鱼&lt;/color&gt;;420852~1~50~&lt;color=purple&gt;金鱼之王&lt;/color&gt;</v>
      </c>
      <c r="Y168" s="43" t="str">
        <f t="shared" si="135"/>
        <v>Correct</v>
      </c>
      <c r="Z168" s="73" t="str" cm="1">
        <f t="array" ref="Z168">_xlfn.TEXTJOIN("; ",1,_xlfn.MAP(AA168:AL168,_xlfn.LAMBDA(_xlpm._i,_xlfn.XLOOKUP(_xlpm._i,tb_mg[id],tb_mg[备注],"-TBN-"))))</f>
        <v>渊齿巨鱼; 金鱼之王</v>
      </c>
      <c r="AA168" s="58">
        <v>420850</v>
      </c>
      <c r="AB168" s="58">
        <v>420852</v>
      </c>
      <c r="AP168" s="5"/>
      <c r="AR168" s="5"/>
    </row>
    <row r="169" spans="1:44">
      <c r="A169" s="5">
        <v>420856</v>
      </c>
      <c r="B169" s="90" t="str" cm="1">
        <f t="array" ref="B169">_F_get_world_name($A169)</f>
        <v>大湖</v>
      </c>
      <c r="C169" s="43">
        <f t="shared" si="144"/>
        <v>6</v>
      </c>
      <c r="D169" s="43" t="str">
        <f>VLOOKUP(MOD(A169,100),tb_scene_id_type[#All],3,1)</f>
        <v>精英</v>
      </c>
      <c r="E169" s="43" t="str">
        <f t="shared" si="145"/>
        <v>8A</v>
      </c>
      <c r="F169" s="43" t="str">
        <f>IFERROR(VLOOKUP(E169,tb_scene_name[],2,0),"")</f>
        <v>大人之堂</v>
      </c>
      <c r="G169" s="51" t="str">
        <f t="shared" si="146"/>
        <v>bgm_8a</v>
      </c>
      <c r="H169" s="51" t="str">
        <f t="shared" si="147"/>
        <v>42081</v>
      </c>
      <c r="I169" s="51" t="str">
        <f t="shared" si="130"/>
        <v>scene_8A</v>
      </c>
      <c r="J169" s="51" t="str">
        <f t="shared" si="151"/>
        <v>rs_scene_icon[ui_level_icon_thumbnail_21]</v>
      </c>
      <c r="K169" s="51" t="str">
        <f t="shared" si="148"/>
        <v>42081~2.0375~0.8~2.45</v>
      </c>
      <c r="L169" s="35" t="str">
        <f t="shared" si="149"/>
        <v>42081</v>
      </c>
      <c r="M169" s="35">
        <f t="shared" si="152"/>
        <v>2.0375000000000001</v>
      </c>
      <c r="N169" s="35">
        <v>0.8</v>
      </c>
      <c r="O169" s="35">
        <f t="shared" si="134"/>
        <v>2.4500000000000002</v>
      </c>
      <c r="P169" s="92" t="str" cm="1">
        <f t="array" ref="P169">_F_get_RS_Weather_pool($A169,$C169)</f>
        <v>420803~0~100~&lt;color=#999900&gt;晴转小雨&lt;/color&gt;;420803~10~50~&lt;color=#999900&gt;阴转小雨&lt;/color&gt;;420803~11~50~&lt;color=#999900&gt;小雨&lt;/color&gt;;420804~0~100~&lt;color=orange&gt;晴转大雨&lt;/color&gt;;420804~10~50~&lt;color=orange&gt;阴转大雨&lt;/color&gt;;420804~11~50~&lt;color=orange&gt;小雨渐大&lt;/color&gt;;420804~12~0~&lt;color=orange&gt;大雨倾盆&lt;/color&gt;</v>
      </c>
      <c r="Q169" s="59">
        <v>0</v>
      </c>
      <c r="R169" s="51">
        <v>2404</v>
      </c>
      <c r="S169" s="59" t="s">
        <v>687</v>
      </c>
      <c r="T169" s="99" t="str" cm="1">
        <f t="array" ref="T169">_F_get_RS_Shop_pool(D169,C169)</f>
        <v>30111=1728;40113=1080</v>
      </c>
      <c r="U169" s="59" t="s">
        <v>752</v>
      </c>
      <c r="V169" s="93" t="str">
        <f t="shared" si="150"/>
        <v>42080002</v>
      </c>
      <c r="W169" s="51" cm="1">
        <f t="array" ref="W169">_xlfn.SWITCH(D169,0,"","初始",1,"普通",INT(LOG(C169,8.2))+2,"最终",2,1)</f>
        <v>1</v>
      </c>
      <c r="X169" s="91" t="str" cm="1">
        <f t="array" ref="X169">_F_get_RS_MG_pool($D169,$C169,$AA169:$AL169)</f>
        <v>420850~1~50~&lt;color=purple&gt;渊齿巨鱼&lt;/color&gt;;420852~1~50~&lt;color=purple&gt;金鱼之王&lt;/color&gt;</v>
      </c>
      <c r="Y169" s="43" t="str">
        <f t="shared" si="135"/>
        <v>Correct</v>
      </c>
      <c r="Z169" s="73" t="str" cm="1">
        <f t="array" ref="Z169">_xlfn.TEXTJOIN("; ",1,_xlfn.MAP(AA169:AL169,_xlfn.LAMBDA(_xlpm._i,_xlfn.XLOOKUP(_xlpm._i,tb_mg[id],tb_mg[备注],"-TBN-"))))</f>
        <v>渊齿巨鱼; 金鱼之王</v>
      </c>
      <c r="AA169" s="58">
        <v>420850</v>
      </c>
      <c r="AB169" s="58">
        <v>420852</v>
      </c>
      <c r="AP169" s="5"/>
      <c r="AR169" s="5"/>
    </row>
    <row r="170" spans="1:44">
      <c r="A170" s="5">
        <v>420857</v>
      </c>
      <c r="B170" s="90" t="str" cm="1">
        <f t="array" ref="B170">_F_get_world_name($A170)</f>
        <v>大湖</v>
      </c>
      <c r="C170" s="43">
        <f t="shared" si="144"/>
        <v>7</v>
      </c>
      <c r="D170" s="43" t="str">
        <f>VLOOKUP(MOD(A170,100),tb_scene_id_type[#All],3,1)</f>
        <v>精英</v>
      </c>
      <c r="E170" s="43" t="str">
        <f t="shared" si="145"/>
        <v>8A</v>
      </c>
      <c r="F170" s="43" t="str">
        <f>IFERROR(VLOOKUP(E170,tb_scene_name[],2,0),"")</f>
        <v>大人之堂</v>
      </c>
      <c r="G170" s="51" t="str">
        <f t="shared" si="146"/>
        <v>bgm_8a</v>
      </c>
      <c r="H170" s="51" t="str">
        <f t="shared" si="147"/>
        <v>42081</v>
      </c>
      <c r="I170" s="51" t="str">
        <f t="shared" si="130"/>
        <v>scene_8A</v>
      </c>
      <c r="J170" s="51" t="str">
        <f t="shared" si="151"/>
        <v>rs_scene_icon[ui_level_icon_thumbnail_21]</v>
      </c>
      <c r="K170" s="51" t="str">
        <f t="shared" si="148"/>
        <v>42081~2.075~0.8~2.5</v>
      </c>
      <c r="L170" s="35" t="str">
        <f t="shared" si="149"/>
        <v>42081</v>
      </c>
      <c r="M170" s="35">
        <f t="shared" si="152"/>
        <v>2.0750000000000002</v>
      </c>
      <c r="N170" s="35">
        <v>0.8</v>
      </c>
      <c r="O170" s="35">
        <f t="shared" si="134"/>
        <v>2.5</v>
      </c>
      <c r="P170" s="92" t="str" cm="1">
        <f t="array" ref="P170">_F_get_RS_Weather_pool($A170,$C170)</f>
        <v>420804~0~100~&lt;color=orange&gt;晴转大雨&lt;/color&gt;;420804~10~50~&lt;color=orange&gt;阴转大雨&lt;/color&gt;;420804~11~50~&lt;color=orange&gt;小雨渐大&lt;/color&gt;;420804~12~0~&lt;color=orange&gt;大雨倾盆&lt;/color&gt;;420804~0~100~&lt;color=orange&gt;晴转大雨&lt;/color&gt;;420804~10~50~&lt;color=orange&gt;阴转大雨&lt;/color&gt;;420804~11~50~&lt;color=orange&gt;小雨渐大&lt;/color&gt;;420804~12~50~&lt;color=orange&gt;大雨倾盆&lt;/color&gt;</v>
      </c>
      <c r="Q170" s="59">
        <v>0</v>
      </c>
      <c r="R170" s="51">
        <v>3002</v>
      </c>
      <c r="S170" s="59" t="s">
        <v>687</v>
      </c>
      <c r="T170" s="99" t="str" cm="1">
        <f t="array" ref="T170">_F_get_RS_Shop_pool(D170,C170)</f>
        <v>30111=1728;40113=1080</v>
      </c>
      <c r="U170" s="59" t="s">
        <v>753</v>
      </c>
      <c r="V170" s="93" t="str">
        <f t="shared" si="150"/>
        <v>42080002</v>
      </c>
      <c r="W170" s="51" cm="1">
        <f t="array" ref="W170">_xlfn.SWITCH(D170,0,"","初始",1,"普通",INT(LOG(C170,8.2))+2,"最终",2,1)</f>
        <v>1</v>
      </c>
      <c r="X170" s="91" t="str" cm="1">
        <f t="array" ref="X170">_F_get_RS_MG_pool($D170,$C170,$AA170:$AL170)</f>
        <v>420850~1~50~&lt;color=purple&gt;渊齿巨鱼&lt;/color&gt;;420852~1~50~&lt;color=purple&gt;金鱼之王&lt;/color&gt;</v>
      </c>
      <c r="Y170" s="43" t="str">
        <f t="shared" si="135"/>
        <v>Correct</v>
      </c>
      <c r="Z170" s="73" t="str" cm="1">
        <f t="array" ref="Z170">_xlfn.TEXTJOIN("; ",1,_xlfn.MAP(AA170:AL170,_xlfn.LAMBDA(_xlpm._i,_xlfn.XLOOKUP(_xlpm._i,tb_mg[id],tb_mg[备注],"-TBN-"))))</f>
        <v>渊齿巨鱼; 金鱼之王</v>
      </c>
      <c r="AA170" s="58">
        <v>420850</v>
      </c>
      <c r="AB170" s="58">
        <v>420852</v>
      </c>
      <c r="AP170" s="5"/>
      <c r="AR170" s="5"/>
    </row>
    <row r="171" spans="1:44">
      <c r="A171" s="5">
        <v>420858</v>
      </c>
      <c r="B171" s="90" t="str" cm="1">
        <f t="array" ref="B171">_F_get_world_name($A171)</f>
        <v>大湖</v>
      </c>
      <c r="C171" s="43">
        <f t="shared" si="144"/>
        <v>8</v>
      </c>
      <c r="D171" s="43" t="str">
        <f>VLOOKUP(MOD(A171,100),tb_scene_id_type[#All],3,1)</f>
        <v>精英</v>
      </c>
      <c r="E171" s="43" t="str">
        <f t="shared" si="145"/>
        <v>8B</v>
      </c>
      <c r="F171" s="43" t="str">
        <f>IFERROR(VLOOKUP(E171,tb_scene_name[],2,0),"")</f>
        <v>水天灵境</v>
      </c>
      <c r="G171" s="51" t="str">
        <f t="shared" si="146"/>
        <v>bgm_8b</v>
      </c>
      <c r="H171" s="51" t="str">
        <f t="shared" si="147"/>
        <v>42082</v>
      </c>
      <c r="I171" s="51" t="str">
        <f t="shared" si="130"/>
        <v>scene_8B</v>
      </c>
      <c r="J171" s="51" t="str">
        <f t="shared" si="151"/>
        <v>rs_scene_icon[ui_level_icon_thumbnail_22]</v>
      </c>
      <c r="K171" s="51" t="str">
        <f t="shared" si="148"/>
        <v>42082~2.1125~0.8~2.55</v>
      </c>
      <c r="L171" s="35" t="str">
        <f t="shared" si="149"/>
        <v>42082</v>
      </c>
      <c r="M171" s="35">
        <f t="shared" si="152"/>
        <v>2.1125000000000003</v>
      </c>
      <c r="N171" s="35">
        <v>0.8</v>
      </c>
      <c r="O171" s="35">
        <f t="shared" si="134"/>
        <v>2.5500000000000003</v>
      </c>
      <c r="P171" s="92" t="str" cm="1">
        <f t="array" ref="P171">_F_get_RS_Weather_pool($A171,$C171)</f>
        <v>420804~0~100~&lt;color=orange&gt;晴转大雨&lt;/color&gt;;420804~10~50~&lt;color=orange&gt;阴转大雨&lt;/color&gt;;420804~11~50~&lt;color=orange&gt;小雨渐大&lt;/color&gt;;420804~12~50~&lt;color=orange&gt;大雨倾盆&lt;/color&gt;;420805~0~100~&lt;color=red&gt;晴转雷暴雨&lt;/color&gt;;420805~10~50~&lt;color=red&gt;阴转雷暴雨&lt;/color&gt;;420805~11~50~&lt;color=red&gt;小雨转雷暴雨&lt;/color&gt;;420805~12~50~&lt;color=red&gt;大雨转雷暴雨&lt;/color&gt;;420805~13~0~&lt;color=purple&gt;雷暴雨&lt;/color&gt;</v>
      </c>
      <c r="Q171" s="59">
        <v>0</v>
      </c>
      <c r="R171" s="51">
        <v>3702</v>
      </c>
      <c r="S171" s="59" t="s">
        <v>687</v>
      </c>
      <c r="T171" s="99" t="str" cm="1">
        <f t="array" ref="T171">_F_get_RS_Shop_pool(D171,C171)</f>
        <v>40113=1080</v>
      </c>
      <c r="U171" s="59" t="s">
        <v>754</v>
      </c>
      <c r="V171" s="93" t="str">
        <f t="shared" si="150"/>
        <v>42080002</v>
      </c>
      <c r="W171" s="51" cm="1">
        <f t="array" ref="W171">_xlfn.SWITCH(D171,0,"","初始",1,"普通",INT(LOG(C171,8.2))+2,"最终",2,1)</f>
        <v>1</v>
      </c>
      <c r="X171" s="91" t="str" cm="1">
        <f t="array" ref="X171">_F_get_RS_MG_pool($D171,$C171,$AA171:$AL171)</f>
        <v>420850~1~50~&lt;color=purple&gt;渊齿巨鱼&lt;/color&gt;;420851~1~50~&lt;color=purple&gt;缠绕水藻&lt;/color&gt;;420852~1~50~&lt;color=purple&gt;金鱼之王&lt;/color&gt;</v>
      </c>
      <c r="Y171" s="43" t="str">
        <f t="shared" si="135"/>
        <v>Correct</v>
      </c>
      <c r="Z171" s="73" t="str" cm="1">
        <f t="array" ref="Z171">_xlfn.TEXTJOIN("; ",1,_xlfn.MAP(AA171:AL171,_xlfn.LAMBDA(_xlpm._i,_xlfn.XLOOKUP(_xlpm._i,tb_mg[id],tb_mg[备注],"-TBN-"))))</f>
        <v>渊齿巨鱼; 缠绕水藻; 金鱼之王</v>
      </c>
      <c r="AA171" s="58">
        <v>420850</v>
      </c>
      <c r="AB171" s="58">
        <v>420851</v>
      </c>
      <c r="AC171" s="58">
        <v>420852</v>
      </c>
      <c r="AP171" s="5"/>
      <c r="AR171" s="5"/>
    </row>
    <row r="172" spans="1:44">
      <c r="A172" s="5">
        <v>420859</v>
      </c>
      <c r="B172" s="90" t="str" cm="1">
        <f t="array" ref="B172">_F_get_world_name($A172)</f>
        <v>大湖</v>
      </c>
      <c r="C172" s="43">
        <f t="shared" si="144"/>
        <v>9</v>
      </c>
      <c r="D172" s="43" t="str">
        <f>VLOOKUP(MOD(A172,100),tb_scene_id_type[#All],3,1)</f>
        <v>精英</v>
      </c>
      <c r="E172" s="43" t="str">
        <f t="shared" si="145"/>
        <v>8B</v>
      </c>
      <c r="F172" s="43" t="str">
        <f>IFERROR(VLOOKUP(E172,tb_scene_name[],2,0),"")</f>
        <v>水天灵境</v>
      </c>
      <c r="G172" s="51" t="str">
        <f t="shared" si="146"/>
        <v>bgm_8b</v>
      </c>
      <c r="H172" s="51" t="str">
        <f t="shared" si="147"/>
        <v>42082</v>
      </c>
      <c r="I172" s="51" t="str">
        <f t="shared" si="130"/>
        <v>scene_8B</v>
      </c>
      <c r="J172" s="51" t="str">
        <f t="shared" si="151"/>
        <v>rs_scene_icon[ui_level_icon_thumbnail_22]</v>
      </c>
      <c r="K172" s="51" t="str">
        <f t="shared" si="148"/>
        <v>42082~2.15~0.8~2.6</v>
      </c>
      <c r="L172" s="35" t="str">
        <f t="shared" si="149"/>
        <v>42082</v>
      </c>
      <c r="M172" s="35">
        <f t="shared" si="152"/>
        <v>2.1500000000000004</v>
      </c>
      <c r="N172" s="35">
        <v>0.8</v>
      </c>
      <c r="O172" s="35">
        <f t="shared" si="134"/>
        <v>2.6</v>
      </c>
      <c r="P172" s="92" t="str" cm="1">
        <f t="array" ref="P172">_F_get_RS_Weather_pool($A172,$C172)</f>
        <v>420805~0~100~&lt;color=red&gt;晴转雷暴雨&lt;/color&gt;;420805~10~50~&lt;color=red&gt;阴转雷暴雨&lt;/color&gt;;420805~11~50~&lt;color=red&gt;小雨转雷暴雨&lt;/color&gt;;420805~12~50~&lt;color=red&gt;大雨转雷暴雨&lt;/color&gt;;420805~13~0~&lt;color=purple&gt;雷暴雨&lt;/color&gt;;420805~0~50~&lt;color=red&gt;晴转雷暴雨&lt;/color&gt;;420805~10~50~&lt;color=red&gt;阴转雷暴雨&lt;/color&gt;;420805~11~50~&lt;color=red&gt;小雨转雷暴雨&lt;/color&gt;;420805~12~50~&lt;color=red&gt;大雨转雷暴雨&lt;/color&gt;;420805~13~0~&lt;color=purple&gt;雷暴雨&lt;/color&gt;</v>
      </c>
      <c r="Q172" s="59">
        <v>0</v>
      </c>
      <c r="R172" s="51">
        <v>4508</v>
      </c>
      <c r="S172" s="59" t="s">
        <v>687</v>
      </c>
      <c r="T172" s="99" t="str" cm="1">
        <f t="array" ref="T172">_F_get_RS_Shop_pool(D172,C172)</f>
        <v>30111=1728;40113=1080</v>
      </c>
      <c r="U172" s="59" t="s">
        <v>755</v>
      </c>
      <c r="V172" s="93" t="str">
        <f t="shared" si="150"/>
        <v>42080003</v>
      </c>
      <c r="W172" s="51" cm="1">
        <f t="array" ref="W172">_xlfn.SWITCH(D172,0,"","初始",1,"普通",INT(LOG(C172,8.2))+2,"最终",2,1)</f>
        <v>1</v>
      </c>
      <c r="X172" s="91" t="str" cm="1">
        <f t="array" ref="X172">_F_get_RS_MG_pool($D172,$C172,$AA172:$AL172)</f>
        <v>420850~1~50~&lt;color=purple&gt;渊齿巨鱼&lt;/color&gt;;420851~1~50~&lt;color=purple&gt;缠绕水藻&lt;/color&gt;;420852~1~50~&lt;color=purple&gt;金鱼之王&lt;/color&gt;</v>
      </c>
      <c r="Y172" s="43" t="str">
        <f t="shared" si="135"/>
        <v>Correct</v>
      </c>
      <c r="Z172" s="73" t="str" cm="1">
        <f t="array" ref="Z172">_xlfn.TEXTJOIN("; ",1,_xlfn.MAP(AA172:AL172,_xlfn.LAMBDA(_xlpm._i,_xlfn.XLOOKUP(_xlpm._i,tb_mg[id],tb_mg[备注],"-TBN-"))))</f>
        <v>渊齿巨鱼; 缠绕水藻; 金鱼之王</v>
      </c>
      <c r="AA172" s="58">
        <v>420850</v>
      </c>
      <c r="AB172" s="58">
        <v>420851</v>
      </c>
      <c r="AC172" s="58">
        <v>420852</v>
      </c>
      <c r="AP172" s="5"/>
      <c r="AR172" s="5"/>
    </row>
    <row r="173" spans="1:44">
      <c r="A173" s="5">
        <v>420860</v>
      </c>
      <c r="B173" s="90" t="str" cm="1">
        <f t="array" ref="B173">_F_get_world_name($A173)</f>
        <v>大湖</v>
      </c>
      <c r="C173" s="43">
        <f t="shared" si="144"/>
        <v>10</v>
      </c>
      <c r="D173" s="43" t="str">
        <f>VLOOKUP(MOD(A173,100),tb_scene_id_type[#All],3,1)</f>
        <v>精英</v>
      </c>
      <c r="E173" s="43" t="str">
        <f t="shared" si="145"/>
        <v>8B</v>
      </c>
      <c r="F173" s="43" t="str">
        <f>IFERROR(VLOOKUP(E173,tb_scene_name[],2,0),"")</f>
        <v>水天灵境</v>
      </c>
      <c r="G173" s="51" t="str">
        <f t="shared" si="146"/>
        <v>bgm_8b</v>
      </c>
      <c r="H173" s="51" t="str">
        <f t="shared" si="147"/>
        <v>42082</v>
      </c>
      <c r="I173" s="51" t="str">
        <f t="shared" si="130"/>
        <v>scene_8B</v>
      </c>
      <c r="J173" s="51" t="str">
        <f t="shared" si="151"/>
        <v>rs_scene_icon[ui_level_icon_thumbnail_22]</v>
      </c>
      <c r="K173" s="51" t="str">
        <f t="shared" si="148"/>
        <v>42082~2.1875~0.8~2.65</v>
      </c>
      <c r="L173" s="35" t="str">
        <f t="shared" si="149"/>
        <v>42082</v>
      </c>
      <c r="M173" s="35">
        <f t="shared" si="152"/>
        <v>2.1875</v>
      </c>
      <c r="N173" s="35">
        <v>0.8</v>
      </c>
      <c r="O173" s="35">
        <f t="shared" si="134"/>
        <v>2.6500000000000004</v>
      </c>
      <c r="P173" s="92" t="str" cm="1">
        <f t="array" ref="P173">_F_get_RS_Weather_pool($A173,$C173)</f>
        <v>420805~0~50~&lt;color=red&gt;晴转雷暴雨&lt;/color&gt;;420805~10~50~&lt;color=red&gt;阴转雷暴雨&lt;/color&gt;;420805~11~50~&lt;color=red&gt;小雨转雷暴雨&lt;/color&gt;;420805~12~50~&lt;color=red&gt;大雨转雷暴雨&lt;/color&gt;;420805~13~0~&lt;color=purple&gt;雷暴雨&lt;/color&gt;;420805~0~50~&lt;color=red&gt;晴转雷暴雨&lt;/color&gt;;420805~10~50~&lt;color=red&gt;阴转雷暴雨&lt;/color&gt;;420805~11~50~&lt;color=red&gt;小雨转雷暴雨&lt;/color&gt;;420805~12~50~&lt;color=red&gt;大雨转雷暴雨&lt;/color&gt;;420805~13~50~&lt;color=purple&gt;雷暴雨&lt;/color&gt;</v>
      </c>
      <c r="Q173" s="59">
        <v>0</v>
      </c>
      <c r="R173" s="51">
        <v>5435</v>
      </c>
      <c r="S173" s="59" t="s">
        <v>687</v>
      </c>
      <c r="T173" s="99" t="str" cm="1">
        <f t="array" ref="T173">_F_get_RS_Shop_pool(D173,C173)</f>
        <v>30111=1728;40113=1080</v>
      </c>
      <c r="U173" s="59" t="s">
        <v>756</v>
      </c>
      <c r="V173" s="93" t="str">
        <f t="shared" si="150"/>
        <v>42080003</v>
      </c>
      <c r="W173" s="51" cm="1">
        <f t="array" ref="W173">_xlfn.SWITCH(D173,0,"","初始",1,"普通",INT(LOG(C173,8.2))+2,"最终",2,1)</f>
        <v>1</v>
      </c>
      <c r="X173" s="91" t="str" cm="1">
        <f t="array" ref="X173">_F_get_RS_MG_pool($D173,$C173,$AA173:$AL173)</f>
        <v>420850~1~50~&lt;color=purple&gt;渊齿巨鱼&lt;/color&gt;;420851~1~50~&lt;color=purple&gt;缠绕水藻&lt;/color&gt;;420852~1~50~&lt;color=purple&gt;金鱼之王&lt;/color&gt;</v>
      </c>
      <c r="Y173" s="43" t="str">
        <f t="shared" si="135"/>
        <v>Correct</v>
      </c>
      <c r="Z173" s="73" t="str" cm="1">
        <f t="array" ref="Z173">_xlfn.TEXTJOIN("; ",1,_xlfn.MAP(AA173:AL173,_xlfn.LAMBDA(_xlpm._i,_xlfn.XLOOKUP(_xlpm._i,tb_mg[id],tb_mg[备注],"-TBN-"))))</f>
        <v>渊齿巨鱼; 缠绕水藻; 金鱼之王</v>
      </c>
      <c r="AA173" s="58">
        <v>420850</v>
      </c>
      <c r="AB173" s="58">
        <v>420851</v>
      </c>
      <c r="AC173" s="58">
        <v>420852</v>
      </c>
      <c r="AP173" s="5"/>
      <c r="AR173" s="5"/>
    </row>
    <row r="174" spans="1:44">
      <c r="A174" s="5">
        <v>420861</v>
      </c>
      <c r="B174" s="90" t="str" cm="1">
        <f t="array" ref="B174">_F_get_world_name($A174)</f>
        <v>大湖</v>
      </c>
      <c r="C174" s="43">
        <f t="shared" si="144"/>
        <v>11</v>
      </c>
      <c r="D174" s="43" t="str">
        <f>VLOOKUP(MOD(A174,100),tb_scene_id_type[#All],3,1)</f>
        <v>精英</v>
      </c>
      <c r="E174" s="43" t="str">
        <f t="shared" si="145"/>
        <v>8B</v>
      </c>
      <c r="F174" s="43" t="str">
        <f>IFERROR(VLOOKUP(E174,tb_scene_name[],2,0),"")</f>
        <v>水天灵境</v>
      </c>
      <c r="G174" s="51" t="str">
        <f t="shared" si="146"/>
        <v>bgm_8b</v>
      </c>
      <c r="H174" s="51" t="str">
        <f t="shared" si="147"/>
        <v>42082</v>
      </c>
      <c r="I174" s="51" t="str">
        <f t="shared" si="130"/>
        <v>scene_8B</v>
      </c>
      <c r="J174" s="51" t="str">
        <f t="shared" si="151"/>
        <v>rs_scene_icon[ui_level_icon_thumbnail_22]</v>
      </c>
      <c r="K174" s="51" t="str">
        <f t="shared" si="148"/>
        <v>42082~2.225~0.8~2.7</v>
      </c>
      <c r="L174" s="35" t="str">
        <f t="shared" si="149"/>
        <v>42082</v>
      </c>
      <c r="M174" s="35">
        <f t="shared" si="152"/>
        <v>2.2250000000000001</v>
      </c>
      <c r="N174" s="35">
        <v>0.8</v>
      </c>
      <c r="O174" s="35">
        <f t="shared" si="134"/>
        <v>2.7</v>
      </c>
      <c r="P174" s="92" t="str" cm="1">
        <f t="array" ref="P174">_F_get_RS_Weather_pool($A174,$C174)</f>
        <v>420805~0~50~&lt;color=red&gt;晴转雷暴雨&lt;/color&gt;;420805~10~50~&lt;color=red&gt;阴转雷暴雨&lt;/color&gt;;420805~11~50~&lt;color=red&gt;小雨转雷暴雨&lt;/color&gt;;420805~12~50~&lt;color=red&gt;大雨转雷暴雨&lt;/color&gt;;420805~13~50~&lt;color=purple&gt;雷暴雨&lt;/color&gt;;420805~0~50~&lt;color=red&gt;晴转雷暴雨&lt;/color&gt;;420805~10~100~&lt;color=red&gt;阴转雷暴雨&lt;/color&gt;;420805~11~100~&lt;color=red&gt;小雨转雷暴雨&lt;/color&gt;;420805~12~100~&lt;color=red&gt;大雨转雷暴雨&lt;/color&gt;;420805~13~100~&lt;color=purple&gt;雷暴雨&lt;/color&gt;</v>
      </c>
      <c r="Q174" s="59">
        <v>0</v>
      </c>
      <c r="R174" s="51">
        <v>6499</v>
      </c>
      <c r="S174" s="59" t="s">
        <v>687</v>
      </c>
      <c r="T174" s="99" t="str" cm="1">
        <f t="array" ref="T174">_F_get_RS_Shop_pool(D174,C174)</f>
        <v>30111=1728;40113=1080</v>
      </c>
      <c r="U174" s="59" t="s">
        <v>757</v>
      </c>
      <c r="V174" s="93" t="str">
        <f t="shared" si="150"/>
        <v>42080003</v>
      </c>
      <c r="W174" s="51" cm="1">
        <f t="array" ref="W174">_xlfn.SWITCH(D174,0,"","初始",1,"普通",INT(LOG(C174,8.2))+2,"最终",2,1)</f>
        <v>1</v>
      </c>
      <c r="X174" s="91" t="str" cm="1">
        <f t="array" ref="X174">_F_get_RS_MG_pool($D174,$C174,$AA174:$AL174)</f>
        <v>420850~1~50~&lt;color=purple&gt;渊齿巨鱼&lt;/color&gt;;420851~1~50~&lt;color=purple&gt;缠绕水藻&lt;/color&gt;;420852~1~50~&lt;color=purple&gt;金鱼之王&lt;/color&gt;</v>
      </c>
      <c r="Y174" s="43" t="str">
        <f t="shared" si="135"/>
        <v>Correct</v>
      </c>
      <c r="Z174" s="73" t="str" cm="1">
        <f t="array" ref="Z174">_xlfn.TEXTJOIN("; ",1,_xlfn.MAP(AA174:AL174,_xlfn.LAMBDA(_xlpm._i,_xlfn.XLOOKUP(_xlpm._i,tb_mg[id],tb_mg[备注],"-TBN-"))))</f>
        <v>渊齿巨鱼; 缠绕水藻; 金鱼之王</v>
      </c>
      <c r="AA174" s="58">
        <v>420850</v>
      </c>
      <c r="AB174" s="58">
        <v>420851</v>
      </c>
      <c r="AC174" s="58">
        <v>420852</v>
      </c>
      <c r="AP174" s="5"/>
      <c r="AR174" s="5"/>
    </row>
    <row r="175" spans="1:44">
      <c r="A175" s="5">
        <v>420862</v>
      </c>
      <c r="B175" s="90" t="str" cm="1">
        <f t="array" ref="B175">_F_get_world_name($A175)</f>
        <v>大湖</v>
      </c>
      <c r="C175" s="43">
        <f t="shared" si="144"/>
        <v>12</v>
      </c>
      <c r="D175" s="43" t="str">
        <f>VLOOKUP(MOD(A175,100),tb_scene_id_type[#All],3,1)</f>
        <v>精英</v>
      </c>
      <c r="E175" s="43" t="str">
        <f t="shared" si="145"/>
        <v>8B</v>
      </c>
      <c r="F175" s="43" t="str">
        <f>IFERROR(VLOOKUP(E175,tb_scene_name[],2,0),"")</f>
        <v>水天灵境</v>
      </c>
      <c r="G175" s="51" t="str">
        <f t="shared" si="146"/>
        <v>bgm_8b</v>
      </c>
      <c r="H175" s="51" t="str">
        <f t="shared" si="147"/>
        <v>42082</v>
      </c>
      <c r="I175" s="51" t="str">
        <f t="shared" si="130"/>
        <v>scene_8B</v>
      </c>
      <c r="J175" s="51" t="str">
        <f t="shared" si="151"/>
        <v>rs_scene_icon[ui_level_icon_thumbnail_22]</v>
      </c>
      <c r="K175" s="51" t="str">
        <f t="shared" si="148"/>
        <v>42082~2.2625~0.8~2.75</v>
      </c>
      <c r="L175" s="35" t="str">
        <f t="shared" si="149"/>
        <v>42082</v>
      </c>
      <c r="M175" s="35">
        <f t="shared" si="152"/>
        <v>2.2625000000000002</v>
      </c>
      <c r="N175" s="35">
        <v>0.8</v>
      </c>
      <c r="O175" s="35">
        <f t="shared" si="134"/>
        <v>2.75</v>
      </c>
      <c r="P175" s="92" t="str" cm="1">
        <f t="array" ref="P175">_F_get_RS_Weather_pool($A175,$C175)</f>
        <v>420805~0~50~&lt;color=red&gt;晴转雷暴雨&lt;/color&gt;;420805~10~100~&lt;color=red&gt;阴转雷暴雨&lt;/color&gt;;420805~11~100~&lt;color=red&gt;小雨转雷暴雨&lt;/color&gt;;420805~12~100~&lt;color=red&gt;大雨转雷暴雨&lt;/color&gt;;420805~13~100~&lt;color=purple&gt;雷暴雨&lt;/color&gt;;420805~0~50~&lt;color=red&gt;晴转雷暴雨&lt;/color&gt;;420805~10~50~&lt;color=red&gt;阴转雷暴雨&lt;/color&gt;;420805~11~100~&lt;color=red&gt;小雨转雷暴雨&lt;/color&gt;;420805~12~100~&lt;color=red&gt;大雨转雷暴雨&lt;/color&gt;;420805~13~100~&lt;color=purple&gt;雷暴雨&lt;/color&gt;</v>
      </c>
      <c r="Q175" s="59">
        <v>0</v>
      </c>
      <c r="R175" s="51">
        <v>7698</v>
      </c>
      <c r="S175" s="59" t="s">
        <v>687</v>
      </c>
      <c r="T175" s="99" t="str" cm="1">
        <f t="array" ref="T175">_F_get_RS_Shop_pool(D175,C175)</f>
        <v>40113=1080</v>
      </c>
      <c r="U175" s="59" t="s">
        <v>758</v>
      </c>
      <c r="V175" s="93" t="str">
        <f t="shared" si="150"/>
        <v>42080003</v>
      </c>
      <c r="W175" s="51" cm="1">
        <f t="array" ref="W175">_xlfn.SWITCH(D175,0,"","初始",1,"普通",INT(LOG(C175,8.2))+2,"最终",2,1)</f>
        <v>1</v>
      </c>
      <c r="X175" s="91" t="str" cm="1">
        <f t="array" ref="X175">_F_get_RS_MG_pool($D175,$C175,$AA175:$AL175)</f>
        <v>420850~1~50~&lt;color=purple&gt;渊齿巨鱼&lt;/color&gt;;420851~1~50~&lt;color=purple&gt;缠绕水藻&lt;/color&gt;;420852~1~50~&lt;color=purple&gt;金鱼之王&lt;/color&gt;</v>
      </c>
      <c r="Y175" s="43" t="str">
        <f t="shared" si="135"/>
        <v>Correct</v>
      </c>
      <c r="Z175" s="73" t="str" cm="1">
        <f t="array" ref="Z175">_xlfn.TEXTJOIN("; ",1,_xlfn.MAP(AA175:AL175,_xlfn.LAMBDA(_xlpm._i,_xlfn.XLOOKUP(_xlpm._i,tb_mg[id],tb_mg[备注],"-TBN-"))))</f>
        <v>渊齿巨鱼; 缠绕水藻; 金鱼之王</v>
      </c>
      <c r="AA175" s="58">
        <v>420850</v>
      </c>
      <c r="AB175" s="58">
        <v>420851</v>
      </c>
      <c r="AC175" s="58">
        <v>420852</v>
      </c>
      <c r="AP175" s="5"/>
      <c r="AR175" s="5"/>
    </row>
    <row r="176" spans="1:44">
      <c r="A176" s="5">
        <v>420863</v>
      </c>
      <c r="B176" s="90" t="str" cm="1">
        <f t="array" ref="B176">_F_get_world_name($A176)</f>
        <v>大湖</v>
      </c>
      <c r="C176" s="43">
        <f t="shared" si="144"/>
        <v>13</v>
      </c>
      <c r="D176" s="43" t="str">
        <f>VLOOKUP(MOD(A176,100),tb_scene_id_type[#All],3,1)</f>
        <v>精英</v>
      </c>
      <c r="E176" s="43" t="str">
        <f t="shared" si="145"/>
        <v>8B</v>
      </c>
      <c r="F176" s="43" t="str">
        <f>IFERROR(VLOOKUP(E176,tb_scene_name[],2,0),"")</f>
        <v>水天灵境</v>
      </c>
      <c r="G176" s="51" t="str">
        <f t="shared" si="146"/>
        <v>bgm_8b</v>
      </c>
      <c r="H176" s="51" t="str">
        <f t="shared" si="147"/>
        <v>42082</v>
      </c>
      <c r="I176" s="51" t="str">
        <f t="shared" si="130"/>
        <v>scene_8B</v>
      </c>
      <c r="J176" s="51" t="str">
        <f t="shared" si="151"/>
        <v>rs_scene_icon[ui_level_icon_thumbnail_22]</v>
      </c>
      <c r="K176" s="51" t="str">
        <f t="shared" si="148"/>
        <v>42082~2.3~0.8~2.8</v>
      </c>
      <c r="L176" s="35" t="str">
        <f t="shared" si="149"/>
        <v>42082</v>
      </c>
      <c r="M176" s="35">
        <f t="shared" si="152"/>
        <v>2.2999999999999998</v>
      </c>
      <c r="N176" s="35">
        <v>0.8</v>
      </c>
      <c r="O176" s="35">
        <f t="shared" si="134"/>
        <v>2.8000000000000003</v>
      </c>
      <c r="P176" s="92" t="str" cm="1">
        <f t="array" ref="P176">_F_get_RS_Weather_pool($A176,$C176)</f>
        <v>420805~0~50~&lt;color=red&gt;晴转雷暴雨&lt;/color&gt;;420805~10~50~&lt;color=red&gt;阴转雷暴雨&lt;/color&gt;;420805~11~100~&lt;color=red&gt;小雨转雷暴雨&lt;/color&gt;;420805~12~100~&lt;color=red&gt;大雨转雷暴雨&lt;/color&gt;;420805~13~100~&lt;color=purple&gt;雷暴雨&lt;/color&gt;;420806~10~50~&lt;color=red&gt;阴转雷暴雨&lt;/color&gt;;420806~11~50~&lt;color=red&gt;小雨转雷暴雨&lt;/color&gt;;420806~12~100~&lt;color=red&gt;大雨转雷暴雨&lt;/color&gt;;420806~13~100~&lt;color=purple&gt;雷暴雨&lt;/color&gt;</v>
      </c>
      <c r="Q176" s="59">
        <v>0</v>
      </c>
      <c r="R176" s="51">
        <v>9051</v>
      </c>
      <c r="S176" s="59" t="s">
        <v>687</v>
      </c>
      <c r="T176" s="99" t="str" cm="1">
        <f t="array" ref="T176">_F_get_RS_Shop_pool(D176,C176)</f>
        <v>30111=1728;40113=1080</v>
      </c>
      <c r="U176" s="59" t="s">
        <v>759</v>
      </c>
      <c r="V176" s="93" t="str">
        <f t="shared" si="150"/>
        <v>42080004</v>
      </c>
      <c r="W176" s="51" cm="1">
        <f t="array" ref="W176">_xlfn.SWITCH(D176,0,"","初始",1,"普通",INT(LOG(C176,8.2))+2,"最终",2,1)</f>
        <v>1</v>
      </c>
      <c r="X176" s="91" t="str" cm="1">
        <f t="array" ref="X176">_F_get_RS_MG_pool($D176,$C176,$AA176:$AL176)</f>
        <v>420850~1~50~&lt;color=purple&gt;渊齿巨鱼&lt;/color&gt;;420851~1~50~&lt;color=purple&gt;缠绕水藻&lt;/color&gt;;420852~1~50~&lt;color=purple&gt;金鱼之王&lt;/color&gt;</v>
      </c>
      <c r="Y176" s="43" t="str">
        <f t="shared" si="135"/>
        <v>Correct</v>
      </c>
      <c r="Z176" s="73" t="str" cm="1">
        <f t="array" ref="Z176">_xlfn.TEXTJOIN("; ",1,_xlfn.MAP(AA176:AL176,_xlfn.LAMBDA(_xlpm._i,_xlfn.XLOOKUP(_xlpm._i,tb_mg[id],tb_mg[备注],"-TBN-"))))</f>
        <v>渊齿巨鱼; 缠绕水藻; 金鱼之王</v>
      </c>
      <c r="AA176" s="58">
        <v>420850</v>
      </c>
      <c r="AB176" s="58">
        <v>420851</v>
      </c>
      <c r="AC176" s="58">
        <v>420852</v>
      </c>
      <c r="AP176" s="5"/>
      <c r="AR176" s="5"/>
    </row>
    <row r="177" spans="1:44">
      <c r="A177" s="5">
        <v>420864</v>
      </c>
      <c r="B177" s="90" t="str" cm="1">
        <f t="array" ref="B177">_F_get_world_name($A177)</f>
        <v>大湖</v>
      </c>
      <c r="C177" s="43">
        <f t="shared" si="144"/>
        <v>14</v>
      </c>
      <c r="D177" s="43" t="str">
        <f>VLOOKUP(MOD(A177,100),tb_scene_id_type[#All],3,1)</f>
        <v>精英</v>
      </c>
      <c r="E177" s="43" t="str">
        <f t="shared" si="145"/>
        <v>8B</v>
      </c>
      <c r="F177" s="43" t="str">
        <f>IFERROR(VLOOKUP(E177,tb_scene_name[],2,0),"")</f>
        <v>水天灵境</v>
      </c>
      <c r="G177" s="51" t="str">
        <f t="shared" si="146"/>
        <v>bgm_8b</v>
      </c>
      <c r="H177" s="51" t="str">
        <f t="shared" si="147"/>
        <v>42082</v>
      </c>
      <c r="I177" s="51" t="str">
        <f t="shared" si="130"/>
        <v>scene_8B</v>
      </c>
      <c r="J177" s="51" t="str">
        <f t="shared" si="151"/>
        <v>rs_scene_icon[ui_level_icon_thumbnail_22]</v>
      </c>
      <c r="K177" s="51" t="str">
        <f t="shared" si="148"/>
        <v>42082~2.3375~0.8~2.85</v>
      </c>
      <c r="L177" s="35" t="str">
        <f t="shared" si="149"/>
        <v>42082</v>
      </c>
      <c r="M177" s="35">
        <f t="shared" si="152"/>
        <v>2.3374999999999999</v>
      </c>
      <c r="N177" s="35">
        <v>0.8</v>
      </c>
      <c r="O177" s="35">
        <f t="shared" si="134"/>
        <v>2.85</v>
      </c>
      <c r="P177" s="92" t="str" cm="1">
        <f t="array" ref="P177">_F_get_RS_Weather_pool($A177,$C177)</f>
        <v>420806~10~50~&lt;color=red&gt;阴转雷暴雨&lt;/color&gt;;420806~11~50~&lt;color=red&gt;小雨转雷暴雨&lt;/color&gt;;420806~12~100~&lt;color=red&gt;大雨转雷暴雨&lt;/color&gt;;420806~13~100~&lt;color=purple&gt;雷暴雨&lt;/color&gt;;420806~10~0~&lt;color=red&gt;阴转雷暴雨&lt;/color&gt;;420806~11~50~&lt;color=red&gt;小雨转雷暴雨&lt;/color&gt;;420806~12~100~&lt;color=red&gt;大雨转雷暴雨&lt;/color&gt;;420806~13~100~&lt;color=purple&gt;雷暴雨&lt;/color&gt;</v>
      </c>
      <c r="Q177" s="59">
        <v>0</v>
      </c>
      <c r="R177" s="51">
        <v>10574</v>
      </c>
      <c r="S177" s="59" t="s">
        <v>687</v>
      </c>
      <c r="T177" s="99" t="str" cm="1">
        <f t="array" ref="T177">_F_get_RS_Shop_pool(D177,C177)</f>
        <v>30111=1728;40113=1080</v>
      </c>
      <c r="U177" s="59" t="s">
        <v>760</v>
      </c>
      <c r="V177" s="93" t="str">
        <f t="shared" si="150"/>
        <v>42080004</v>
      </c>
      <c r="W177" s="51" cm="1">
        <f t="array" ref="W177">_xlfn.SWITCH(D177,0,"","初始",1,"普通",INT(LOG(C177,8.2))+2,"最终",2,1)</f>
        <v>1</v>
      </c>
      <c r="X177" s="91" t="str" cm="1">
        <f t="array" ref="X177">_F_get_RS_MG_pool($D177,$C177,$AA177:$AL177)</f>
        <v>420850~1~50~&lt;color=purple&gt;渊齿巨鱼&lt;/color&gt;;420851~1~50~&lt;color=purple&gt;缠绕水藻&lt;/color&gt;;420852~1~50~&lt;color=purple&gt;金鱼之王&lt;/color&gt;</v>
      </c>
      <c r="Y177" s="43" t="str">
        <f t="shared" si="135"/>
        <v>Correct</v>
      </c>
      <c r="Z177" s="73" t="str" cm="1">
        <f t="array" ref="Z177">_xlfn.TEXTJOIN("; ",1,_xlfn.MAP(AA177:AL177,_xlfn.LAMBDA(_xlpm._i,_xlfn.XLOOKUP(_xlpm._i,tb_mg[id],tb_mg[备注],"-TBN-"))))</f>
        <v>渊齿巨鱼; 缠绕水藻; 金鱼之王</v>
      </c>
      <c r="AA177" s="58">
        <v>420850</v>
      </c>
      <c r="AB177" s="58">
        <v>420851</v>
      </c>
      <c r="AC177" s="58">
        <v>420852</v>
      </c>
      <c r="AP177" s="5"/>
      <c r="AR177" s="5"/>
    </row>
    <row r="178" spans="1:44">
      <c r="A178" s="5">
        <v>420865</v>
      </c>
      <c r="B178" s="90" t="str" cm="1">
        <f t="array" ref="B178">_F_get_world_name($A178)</f>
        <v>大湖</v>
      </c>
      <c r="C178" s="43">
        <f t="shared" si="144"/>
        <v>15</v>
      </c>
      <c r="D178" s="43" t="str">
        <f>VLOOKUP(MOD(A178,100),tb_scene_id_type[#All],3,1)</f>
        <v>精英</v>
      </c>
      <c r="E178" s="43" t="str">
        <f t="shared" si="145"/>
        <v>8C</v>
      </c>
      <c r="F178" s="43" t="str">
        <f>IFERROR(VLOOKUP(E178,tb_scene_name[],2,0),"")</f>
        <v>流波群山</v>
      </c>
      <c r="G178" s="51" t="str">
        <f t="shared" si="146"/>
        <v>bgm_8c</v>
      </c>
      <c r="H178" s="51" t="str">
        <f t="shared" si="147"/>
        <v>42083</v>
      </c>
      <c r="I178" s="51" t="str">
        <f t="shared" si="130"/>
        <v>scene_8C</v>
      </c>
      <c r="J178" s="51" t="str">
        <f t="shared" si="151"/>
        <v>rs_scene_icon[ui_level_icon_thumbnail_23]</v>
      </c>
      <c r="K178" s="51" t="str">
        <f t="shared" si="148"/>
        <v>42083~2.375~0.8~2.9</v>
      </c>
      <c r="L178" s="35" t="str">
        <f t="shared" si="149"/>
        <v>42083</v>
      </c>
      <c r="M178" s="35">
        <f t="shared" si="152"/>
        <v>2.3750000000000004</v>
      </c>
      <c r="N178" s="35">
        <v>0.8</v>
      </c>
      <c r="O178" s="35">
        <f t="shared" si="134"/>
        <v>2.9000000000000004</v>
      </c>
      <c r="P178" s="92" t="str" cm="1">
        <f t="array" ref="P178">_F_get_RS_Weather_pool($A178,$C178)</f>
        <v>420806~10~0~&lt;color=red&gt;阴转雷暴雨&lt;/color&gt;;420806~11~50~&lt;color=red&gt;小雨转雷暴雨&lt;/color&gt;;420806~12~100~&lt;color=red&gt;大雨转雷暴雨&lt;/color&gt;;420806~13~100~&lt;color=purple&gt;雷暴雨&lt;/color&gt;;420807~11~50~&lt;color=red&gt;小雨转雷暴雨&lt;/color&gt;;420807~12~100~&lt;color=red&gt;大雨转雷暴雨&lt;/color&gt;;420807~13~100~&lt;color=purple&gt;雷暴雨&lt;/color&gt;</v>
      </c>
      <c r="Q178" s="59">
        <v>0</v>
      </c>
      <c r="R178" s="51">
        <v>12263</v>
      </c>
      <c r="S178" s="59" t="s">
        <v>687</v>
      </c>
      <c r="T178" s="99" t="str" cm="1">
        <f t="array" ref="T178">_F_get_RS_Shop_pool(D178,C178)</f>
        <v>30111=1728;40113=1080</v>
      </c>
      <c r="U178" s="59" t="s">
        <v>761</v>
      </c>
      <c r="V178" s="93" t="str">
        <f t="shared" si="150"/>
        <v>42080004</v>
      </c>
      <c r="W178" s="51" cm="1">
        <f t="array" ref="W178">_xlfn.SWITCH(D178,0,"","初始",1,"普通",INT(LOG(C178,8.2))+2,"最终",2,1)</f>
        <v>1</v>
      </c>
      <c r="X178" s="91" t="str" cm="1">
        <f t="array" ref="X178">_F_get_RS_MG_pool($D178,$C178,$AA178:$AL178)</f>
        <v>420850~1~50~&lt;color=purple&gt;渊齿巨鱼&lt;/color&gt;;420851~1~50~&lt;color=purple&gt;缠绕水藻&lt;/color&gt;;420852~1~50~&lt;color=purple&gt;金鱼之王&lt;/color&gt;</v>
      </c>
      <c r="Y178" s="43" t="str">
        <f t="shared" si="135"/>
        <v>Correct</v>
      </c>
      <c r="Z178" s="73" t="str" cm="1">
        <f t="array" ref="Z178">_xlfn.TEXTJOIN("; ",1,_xlfn.MAP(AA178:AL178,_xlfn.LAMBDA(_xlpm._i,_xlfn.XLOOKUP(_xlpm._i,tb_mg[id],tb_mg[备注],"-TBN-"))))</f>
        <v>渊齿巨鱼; 缠绕水藻; 金鱼之王</v>
      </c>
      <c r="AA178" s="58">
        <v>420850</v>
      </c>
      <c r="AB178" s="58">
        <v>420851</v>
      </c>
      <c r="AC178" s="58">
        <v>420852</v>
      </c>
      <c r="AP178" s="5"/>
      <c r="AR178" s="5"/>
    </row>
    <row r="179" spans="1:44">
      <c r="A179" s="5">
        <v>420866</v>
      </c>
      <c r="B179" s="90" t="str" cm="1">
        <f t="array" ref="B179">_F_get_world_name($A179)</f>
        <v>大湖</v>
      </c>
      <c r="C179" s="43">
        <f t="shared" si="144"/>
        <v>16</v>
      </c>
      <c r="D179" s="43" t="str">
        <f>VLOOKUP(MOD(A179,100),tb_scene_id_type[#All],3,1)</f>
        <v>精英</v>
      </c>
      <c r="E179" s="43" t="str">
        <f t="shared" si="145"/>
        <v>8C</v>
      </c>
      <c r="F179" s="43" t="str">
        <f>IFERROR(VLOOKUP(E179,tb_scene_name[],2,0),"")</f>
        <v>流波群山</v>
      </c>
      <c r="G179" s="51" t="str">
        <f t="shared" si="146"/>
        <v>bgm_8c</v>
      </c>
      <c r="H179" s="51" t="str">
        <f t="shared" si="147"/>
        <v>42083</v>
      </c>
      <c r="I179" s="51" t="str">
        <f t="shared" si="130"/>
        <v>scene_8C</v>
      </c>
      <c r="J179" s="51" t="str">
        <f t="shared" si="151"/>
        <v>rs_scene_icon[ui_level_icon_thumbnail_23]</v>
      </c>
      <c r="K179" s="51" t="str">
        <f t="shared" si="148"/>
        <v>42083~2.4125~0.8~2.95</v>
      </c>
      <c r="L179" s="35" t="str">
        <f t="shared" si="149"/>
        <v>42083</v>
      </c>
      <c r="M179" s="35">
        <f t="shared" si="152"/>
        <v>2.4125000000000005</v>
      </c>
      <c r="N179" s="35">
        <v>0.8</v>
      </c>
      <c r="O179" s="35">
        <f t="shared" si="134"/>
        <v>2.95</v>
      </c>
      <c r="P179" s="92" t="str" cm="1">
        <f t="array" ref="P179">_F_get_RS_Weather_pool($A179,$C179)</f>
        <v>420807~11~50~&lt;color=red&gt;小雨转雷暴雨&lt;/color&gt;;420807~12~100~&lt;color=red&gt;大雨转雷暴雨&lt;/color&gt;;420807~13~100~&lt;color=purple&gt;雷暴雨&lt;/color&gt;;420807~11~0~&lt;color=red&gt;小雨转雷暴雨&lt;/color&gt;;420807~12~100~&lt;color=red&gt;大雨转雷暴雨&lt;/color&gt;;420807~13~100~&lt;color=purple&gt;雷暴雨&lt;/color&gt;</v>
      </c>
      <c r="Q179" s="59">
        <v>0</v>
      </c>
      <c r="R179" s="51">
        <v>14139</v>
      </c>
      <c r="S179" s="59" t="s">
        <v>687</v>
      </c>
      <c r="T179" s="99" t="str" cm="1">
        <f t="array" ref="T179">_F_get_RS_Shop_pool(D179,C179)</f>
        <v>40113=1080</v>
      </c>
      <c r="U179" s="59" t="s">
        <v>762</v>
      </c>
      <c r="V179" s="93" t="str">
        <f t="shared" si="150"/>
        <v>42080004</v>
      </c>
      <c r="W179" s="51" cm="1">
        <f t="array" ref="W179">_xlfn.SWITCH(D179,0,"","初始",1,"普通",INT(LOG(C179,8.2))+2,"最终",2,1)</f>
        <v>1</v>
      </c>
      <c r="X179" s="91" t="str" cm="1">
        <f t="array" ref="X179">_F_get_RS_MG_pool($D179,$C179,$AA179:$AL179)</f>
        <v>420850~1~50~&lt;color=purple&gt;渊齿巨鱼&lt;/color&gt;;420851~1~50~&lt;color=purple&gt;缠绕水藻&lt;/color&gt;;420852~1~50~&lt;color=purple&gt;金鱼之王&lt;/color&gt;</v>
      </c>
      <c r="Y179" s="43" t="str">
        <f t="shared" si="135"/>
        <v>Correct</v>
      </c>
      <c r="Z179" s="73" t="str" cm="1">
        <f t="array" ref="Z179">_xlfn.TEXTJOIN("; ",1,_xlfn.MAP(AA179:AL179,_xlfn.LAMBDA(_xlpm._i,_xlfn.XLOOKUP(_xlpm._i,tb_mg[id],tb_mg[备注],"-TBN-"))))</f>
        <v>渊齿巨鱼; 缠绕水藻; 金鱼之王</v>
      </c>
      <c r="AA179" s="58">
        <v>420850</v>
      </c>
      <c r="AB179" s="58">
        <v>420851</v>
      </c>
      <c r="AC179" s="58">
        <v>420852</v>
      </c>
      <c r="AP179" s="5"/>
      <c r="AR179" s="5"/>
    </row>
    <row r="180" spans="1:44">
      <c r="A180" s="5">
        <v>420867</v>
      </c>
      <c r="B180" s="90" t="str" cm="1">
        <f t="array" ref="B180">_F_get_world_name($A180)</f>
        <v>大湖</v>
      </c>
      <c r="C180" s="43">
        <f t="shared" si="144"/>
        <v>17</v>
      </c>
      <c r="D180" s="43" t="str">
        <f>VLOOKUP(MOD(A180,100),tb_scene_id_type[#All],3,1)</f>
        <v>精英</v>
      </c>
      <c r="E180" s="43" t="str">
        <f t="shared" si="145"/>
        <v>8C</v>
      </c>
      <c r="F180" s="43" t="str">
        <f>IFERROR(VLOOKUP(E180,tb_scene_name[],2,0),"")</f>
        <v>流波群山</v>
      </c>
      <c r="G180" s="51" t="str">
        <f t="shared" si="146"/>
        <v>bgm_8c</v>
      </c>
      <c r="H180" s="51" t="str">
        <f t="shared" si="147"/>
        <v>42083</v>
      </c>
      <c r="I180" s="51" t="str">
        <f t="shared" si="130"/>
        <v>scene_8C</v>
      </c>
      <c r="J180" s="51" t="str">
        <f t="shared" si="151"/>
        <v>rs_scene_icon[ui_level_icon_thumbnail_23]</v>
      </c>
      <c r="K180" s="51" t="str">
        <f t="shared" si="148"/>
        <v>42083~2.45~0.8~3</v>
      </c>
      <c r="L180" s="35" t="str">
        <f t="shared" si="149"/>
        <v>42083</v>
      </c>
      <c r="M180" s="35">
        <f t="shared" si="152"/>
        <v>2.4500000000000002</v>
      </c>
      <c r="N180" s="35">
        <v>0.8</v>
      </c>
      <c r="O180" s="35">
        <f t="shared" si="134"/>
        <v>3</v>
      </c>
      <c r="P180" s="92" t="str" cm="1">
        <f t="array" ref="P180">_F_get_RS_Weather_pool($A180,$C180)</f>
        <v>420807~11~0~&lt;color=red&gt;小雨转雷暴雨&lt;/color&gt;;420807~12~100~&lt;color=red&gt;大雨转雷暴雨&lt;/color&gt;;420807~13~100~&lt;color=purple&gt;雷暴雨&lt;/color&gt;;420808~12~100~&lt;color=red&gt;大雨转雷暴雨&lt;/color&gt;;420808~13~100~&lt;color=purple&gt;雷暴雨&lt;/color&gt;</v>
      </c>
      <c r="Q180" s="59">
        <v>0</v>
      </c>
      <c r="R180" s="51">
        <v>16204</v>
      </c>
      <c r="S180" s="59" t="s">
        <v>687</v>
      </c>
      <c r="T180" s="99" t="str" cm="1">
        <f t="array" ref="T180">_F_get_RS_Shop_pool(D180,C180)</f>
        <v>30111=1728;40113=1080</v>
      </c>
      <c r="U180" s="59" t="s">
        <v>763</v>
      </c>
      <c r="V180" s="93" t="str">
        <f t="shared" si="150"/>
        <v>42080005</v>
      </c>
      <c r="W180" s="51" cm="1">
        <f t="array" ref="W180">_xlfn.SWITCH(D180,0,"","初始",1,"普通",INT(LOG(C180,8.2))+2,"最终",2,1)</f>
        <v>1</v>
      </c>
      <c r="X180" s="91" t="str" cm="1">
        <f t="array" ref="X180">_F_get_RS_MG_pool($D180,$C180,$AA180:$AL180)</f>
        <v>420850~1~50~&lt;color=purple&gt;渊齿巨鱼&lt;/color&gt;;420851~1~50~&lt;color=purple&gt;缠绕水藻&lt;/color&gt;;420852~1~50~&lt;color=purple&gt;金鱼之王&lt;/color&gt;</v>
      </c>
      <c r="Y180" s="43" t="str">
        <f t="shared" si="135"/>
        <v>Correct</v>
      </c>
      <c r="Z180" s="73" t="str" cm="1">
        <f t="array" ref="Z180">_xlfn.TEXTJOIN("; ",1,_xlfn.MAP(AA180:AL180,_xlfn.LAMBDA(_xlpm._i,_xlfn.XLOOKUP(_xlpm._i,tb_mg[id],tb_mg[备注],"-TBN-"))))</f>
        <v>渊齿巨鱼; 缠绕水藻; 金鱼之王</v>
      </c>
      <c r="AA180" s="58">
        <v>420850</v>
      </c>
      <c r="AB180" s="58">
        <v>420851</v>
      </c>
      <c r="AC180" s="58">
        <v>420852</v>
      </c>
      <c r="AP180" s="5"/>
      <c r="AR180" s="5"/>
    </row>
    <row r="181" spans="1:44">
      <c r="A181" s="5">
        <v>420868</v>
      </c>
      <c r="B181" s="90" t="str" cm="1">
        <f t="array" ref="B181">_F_get_world_name($A181)</f>
        <v>大湖</v>
      </c>
      <c r="C181" s="43">
        <f t="shared" si="144"/>
        <v>18</v>
      </c>
      <c r="D181" s="43" t="str">
        <f>VLOOKUP(MOD(A181,100),tb_scene_id_type[#All],3,1)</f>
        <v>精英</v>
      </c>
      <c r="E181" s="43" t="str">
        <f t="shared" si="145"/>
        <v>8C</v>
      </c>
      <c r="F181" s="43" t="str">
        <f>IFERROR(VLOOKUP(E181,tb_scene_name[],2,0),"")</f>
        <v>流波群山</v>
      </c>
      <c r="G181" s="51" t="str">
        <f t="shared" si="146"/>
        <v>bgm_8c</v>
      </c>
      <c r="H181" s="51" t="str">
        <f t="shared" si="147"/>
        <v>42083</v>
      </c>
      <c r="I181" s="51" t="str">
        <f t="shared" si="130"/>
        <v>scene_8C</v>
      </c>
      <c r="J181" s="51" t="str">
        <f t="shared" si="151"/>
        <v>rs_scene_icon[ui_level_icon_thumbnail_23]</v>
      </c>
      <c r="K181" s="51" t="str">
        <f t="shared" si="148"/>
        <v>42083~2.4875~0.8~3.05</v>
      </c>
      <c r="L181" s="35" t="str">
        <f t="shared" si="149"/>
        <v>42083</v>
      </c>
      <c r="M181" s="35">
        <f t="shared" si="152"/>
        <v>2.4874999999999998</v>
      </c>
      <c r="N181" s="35">
        <v>0.8</v>
      </c>
      <c r="O181" s="35">
        <f t="shared" si="134"/>
        <v>3.0500000000000003</v>
      </c>
      <c r="P181" s="92" t="str" cm="1">
        <f t="array" ref="P181">_F_get_RS_Weather_pool($A181,$C181)</f>
        <v>420808~12~100~&lt;color=red&gt;大雨转雷暴雨&lt;/color&gt;;420808~13~100~&lt;color=purple&gt;雷暴雨&lt;/color&gt;;420808~12~50~&lt;color=red&gt;大雨转雷暴雨&lt;/color&gt;;420808~13~100~&lt;color=purple&gt;雷暴雨&lt;/color&gt;</v>
      </c>
      <c r="Q181" s="59">
        <v>0</v>
      </c>
      <c r="R181" s="51">
        <v>18456</v>
      </c>
      <c r="S181" s="59" t="s">
        <v>687</v>
      </c>
      <c r="T181" s="99" t="str" cm="1">
        <f t="array" ref="T181">_F_get_RS_Shop_pool(D181,C181)</f>
        <v>30111=1728;40113=1080</v>
      </c>
      <c r="U181" s="59" t="s">
        <v>764</v>
      </c>
      <c r="V181" s="93" t="str">
        <f t="shared" si="150"/>
        <v>42080005</v>
      </c>
      <c r="W181" s="51" cm="1">
        <f t="array" ref="W181">_xlfn.SWITCH(D181,0,"","初始",1,"普通",INT(LOG(C181,8.2))+2,"最终",2,1)</f>
        <v>1</v>
      </c>
      <c r="X181" s="91" t="str" cm="1">
        <f t="array" ref="X181">_F_get_RS_MG_pool($D181,$C181,$AA181:$AL181)</f>
        <v>420850~1~50~&lt;color=purple&gt;渊齿巨鱼&lt;/color&gt;;420851~1~50~&lt;color=purple&gt;缠绕水藻&lt;/color&gt;;420852~1~50~&lt;color=purple&gt;金鱼之王&lt;/color&gt;</v>
      </c>
      <c r="Y181" s="43" t="str">
        <f t="shared" si="135"/>
        <v>Correct</v>
      </c>
      <c r="Z181" s="73" t="str" cm="1">
        <f t="array" ref="Z181">_xlfn.TEXTJOIN("; ",1,_xlfn.MAP(AA181:AL181,_xlfn.LAMBDA(_xlpm._i,_xlfn.XLOOKUP(_xlpm._i,tb_mg[id],tb_mg[备注],"-TBN-"))))</f>
        <v>渊齿巨鱼; 缠绕水藻; 金鱼之王</v>
      </c>
      <c r="AA181" s="58">
        <v>420850</v>
      </c>
      <c r="AB181" s="58">
        <v>420851</v>
      </c>
      <c r="AC181" s="58">
        <v>420852</v>
      </c>
      <c r="AP181" s="5"/>
      <c r="AR181" s="5"/>
    </row>
    <row r="182" spans="1:44">
      <c r="A182" s="5">
        <v>420869</v>
      </c>
      <c r="B182" s="90" t="str" cm="1">
        <f t="array" ref="B182">_F_get_world_name($A182)</f>
        <v>大湖</v>
      </c>
      <c r="C182" s="43">
        <f t="shared" si="144"/>
        <v>19</v>
      </c>
      <c r="D182" s="43" t="str">
        <f>VLOOKUP(MOD(A182,100),tb_scene_id_type[#All],3,1)</f>
        <v>精英</v>
      </c>
      <c r="E182" s="43" t="str">
        <f t="shared" si="145"/>
        <v>8C</v>
      </c>
      <c r="F182" s="43" t="str">
        <f>IFERROR(VLOOKUP(E182,tb_scene_name[],2,0),"")</f>
        <v>流波群山</v>
      </c>
      <c r="G182" s="51" t="str">
        <f t="shared" si="146"/>
        <v>bgm_8c</v>
      </c>
      <c r="H182" s="51" t="str">
        <f t="shared" si="147"/>
        <v>42083</v>
      </c>
      <c r="I182" s="51" t="str">
        <f t="shared" si="130"/>
        <v>scene_8C</v>
      </c>
      <c r="J182" s="51" t="str">
        <f t="shared" si="151"/>
        <v>rs_scene_icon[ui_level_icon_thumbnail_23]</v>
      </c>
      <c r="K182" s="51" t="str">
        <f t="shared" si="148"/>
        <v>42083~2.525~0.8~3.1</v>
      </c>
      <c r="L182" s="35" t="str">
        <f t="shared" si="149"/>
        <v>42083</v>
      </c>
      <c r="M182" s="35">
        <f t="shared" si="152"/>
        <v>2.5249999999999999</v>
      </c>
      <c r="N182" s="35">
        <v>0.8</v>
      </c>
      <c r="O182" s="35">
        <f t="shared" si="134"/>
        <v>3.1</v>
      </c>
      <c r="P182" s="92" t="str" cm="1">
        <f t="array" ref="P182">_F_get_RS_Weather_pool($A182,$C182)</f>
        <v>420808~12~50~&lt;color=red&gt;大雨转雷暴雨&lt;/color&gt;;420808~13~100~&lt;color=purple&gt;雷暴雨&lt;/color&gt;;420809~13~100~&lt;color=purple&gt;雷暴雨&lt;/color&gt;</v>
      </c>
      <c r="Q182" s="59">
        <v>0</v>
      </c>
      <c r="R182" s="51">
        <v>20929</v>
      </c>
      <c r="S182" s="59" t="s">
        <v>687</v>
      </c>
      <c r="T182" s="99" t="str" cm="1">
        <f t="array" ref="T182">_F_get_RS_Shop_pool(D182,C182)</f>
        <v>40113=1080</v>
      </c>
      <c r="U182" s="59" t="s">
        <v>765</v>
      </c>
      <c r="V182" s="93" t="str">
        <f t="shared" si="150"/>
        <v>42080005</v>
      </c>
      <c r="W182" s="51" cm="1">
        <f t="array" ref="W182">_xlfn.SWITCH(D182,0,"","初始",1,"普通",INT(LOG(C182,8.2))+2,"最终",2,1)</f>
        <v>1</v>
      </c>
      <c r="X182" s="91" t="str" cm="1">
        <f t="array" ref="X182">_F_get_RS_MG_pool($D182,$C182,$AA182:$AL182)</f>
        <v>420850~1~50~&lt;color=purple&gt;渊齿巨鱼&lt;/color&gt;;420851~1~50~&lt;color=purple&gt;缠绕水藻&lt;/color&gt;;420852~1~50~&lt;color=purple&gt;金鱼之王&lt;/color&gt;</v>
      </c>
      <c r="Y182" s="43" t="str">
        <f t="shared" si="135"/>
        <v>Correct</v>
      </c>
      <c r="Z182" s="73" t="str" cm="1">
        <f t="array" ref="Z182">_xlfn.TEXTJOIN("; ",1,_xlfn.MAP(AA182:AL182,_xlfn.LAMBDA(_xlpm._i,_xlfn.XLOOKUP(_xlpm._i,tb_mg[id],tb_mg[备注],"-TBN-"))))</f>
        <v>渊齿巨鱼; 缠绕水藻; 金鱼之王</v>
      </c>
      <c r="AA182" s="58">
        <v>420850</v>
      </c>
      <c r="AB182" s="58">
        <v>420851</v>
      </c>
      <c r="AC182" s="58">
        <v>420852</v>
      </c>
      <c r="AP182" s="5"/>
      <c r="AR182" s="5"/>
    </row>
    <row r="183" spans="1:44">
      <c r="B183" s="5"/>
      <c r="I183" s="51"/>
      <c r="J183" s="51"/>
      <c r="Q183" s="59"/>
      <c r="R183" s="59"/>
      <c r="V183" s="51"/>
      <c r="W183" s="51" t="str" cm="1">
        <f t="array" ref="W183">_xlfn.SWITCH(D183,0,"","初始",1,"普通",INT(LOG(C183,8.2))+2,"最终",2,1)</f>
        <v/>
      </c>
      <c r="X183" s="51"/>
      <c r="Y183" s="43" t="str">
        <f t="shared" si="135"/>
        <v/>
      </c>
      <c r="Z183" s="73" t="str" cm="1">
        <f t="array" ref="Z183">_xlfn.TEXTJOIN("; ",1,_xlfn.MAP(AA183:AL183,_xlfn.LAMBDA(_xlpm._i,_xlfn.XLOOKUP(_xlpm._i,tb_mg[id],tb_mg[备注],"-TBN-"))))</f>
        <v/>
      </c>
    </row>
    <row r="184" spans="1:44">
      <c r="A184" s="5">
        <v>420899</v>
      </c>
      <c r="B184" s="90" t="str" cm="1">
        <f t="array" ref="B184">_F_get_world_name($A184)</f>
        <v>大湖</v>
      </c>
      <c r="C184" s="43">
        <f t="shared" ref="C184" si="153">IF(MOD(A184,100)&gt;90,20,MOD(A184,50))</f>
        <v>20</v>
      </c>
      <c r="D184" s="43" t="str">
        <f>VLOOKUP(MOD(A184,100),tb_scene_id_type[#All],3,1)</f>
        <v>最终</v>
      </c>
      <c r="E184" s="43" t="str">
        <f t="shared" ref="E184" si="154">MID(A184,4,1)&amp;CHAR(INT((C184-1)/7+1)+64)</f>
        <v>8C</v>
      </c>
      <c r="F184" s="43" t="str">
        <f>IFERROR(VLOOKUP(E184,tb_scene_name[],2,0),"")</f>
        <v>流波群山</v>
      </c>
      <c r="G184" s="51" t="str">
        <f t="shared" ref="G184" si="155">"bgm_"&amp;LOWER(E184)</f>
        <v>bgm_8c</v>
      </c>
      <c r="H184" s="51" t="str">
        <f t="shared" ref="H184" si="156">420&amp;LEFT(E184,1)&amp;_xlfn.UNICODE(RIGHT(E184,1))-64</f>
        <v>42083</v>
      </c>
      <c r="I184" s="51" t="str">
        <f t="shared" si="130"/>
        <v>scene_8C</v>
      </c>
      <c r="J184" s="51" t="str">
        <f t="shared" si="151"/>
        <v>rs_scene_icon[ui_level_icon_thumbnail_23]</v>
      </c>
      <c r="K184" s="51" t="str">
        <f t="shared" ref="K184" si="157">_xlfn.TEXTJOIN("~",1,L184:O184)</f>
        <v>42083~2.5625~0.8~3.15</v>
      </c>
      <c r="L184" s="35" t="str">
        <f t="shared" ref="L184" si="158">H184</f>
        <v>42083</v>
      </c>
      <c r="M184" s="35">
        <f t="shared" ref="M184" si="159">N184+(O184-N184)*0.75</f>
        <v>2.5625000000000004</v>
      </c>
      <c r="N184" s="35">
        <v>0.8</v>
      </c>
      <c r="O184" s="35">
        <f t="shared" si="134"/>
        <v>3.1500000000000004</v>
      </c>
      <c r="P184" s="92" t="str" cm="1">
        <f t="array" ref="P184">_F_get_RS_Weather_pool($A184,$C184)</f>
        <v>420809~13~100~&lt;color=purple&gt;雷暴雨&lt;/color&gt;;420809~13~50~&lt;color=purple&gt;雷暴雨&lt;/color&gt;</v>
      </c>
      <c r="Q184" s="59">
        <v>0</v>
      </c>
      <c r="R184" s="51">
        <v>23618</v>
      </c>
      <c r="S184" s="59" t="s">
        <v>780</v>
      </c>
      <c r="T184" s="99" t="str" cm="1">
        <f t="array" ref="T184">_F_get_RS_Shop_pool(D184,C184)</f>
        <v/>
      </c>
      <c r="U184" s="59"/>
      <c r="V184" s="93" t="str">
        <f>4208000&amp;INT((C184-1)/4+1)</f>
        <v>42080005</v>
      </c>
      <c r="W184" s="51" cm="1">
        <f t="array" ref="W184">_xlfn.SWITCH(D184,0,"","初始",1,"普通",INT(LOG(C184,8.2))+2,"最终",2,1)</f>
        <v>2</v>
      </c>
      <c r="X184" s="91" t="str" cm="1">
        <f t="array" ref="X184">_F_get_RS_MG_pool($D184,$C184,$AA184:$AL184)</f>
        <v>420850~1~75~&lt;color=purple&gt;渊齿巨鱼&lt;/color&gt;;420851~1~75~&lt;color=purple&gt;缠绕水藻&lt;/color&gt;;420852~1~75~&lt;color=purple&gt;金鱼之王&lt;/color&gt;</v>
      </c>
      <c r="Y184" s="43" t="str">
        <f t="shared" si="135"/>
        <v>Correct</v>
      </c>
      <c r="Z184" s="73" t="str" cm="1">
        <f t="array" ref="Z184">_xlfn.TEXTJOIN("; ",1,_xlfn.MAP(AA184:AL184,_xlfn.LAMBDA(_xlpm._i,_xlfn.XLOOKUP(_xlpm._i,tb_mg[id],tb_mg[备注],"-TBN-"))))</f>
        <v>渊齿巨鱼; 缠绕水藻; 金鱼之王</v>
      </c>
      <c r="AA184" s="58">
        <v>420850</v>
      </c>
      <c r="AB184" s="58">
        <v>420851</v>
      </c>
      <c r="AC184" s="58">
        <v>420852</v>
      </c>
      <c r="AP184" s="5"/>
      <c r="AR184" s="5"/>
    </row>
    <row r="187" spans="1:44" s="81" customFormat="1">
      <c r="B187" s="87" t="s">
        <v>612</v>
      </c>
      <c r="C187" s="82"/>
      <c r="D187" s="82"/>
      <c r="E187" s="82"/>
      <c r="F187" s="82"/>
      <c r="G187" s="83"/>
      <c r="H187" s="83"/>
      <c r="J187" s="83"/>
      <c r="L187" s="84"/>
      <c r="M187" s="84"/>
      <c r="N187" s="84"/>
      <c r="O187" s="84"/>
      <c r="Y187" s="82"/>
      <c r="Z187" s="85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P187" s="84"/>
      <c r="AR187" s="84"/>
    </row>
    <row r="190" spans="1:44">
      <c r="A190" s="5">
        <v>429101</v>
      </c>
      <c r="B190" s="43" t="s">
        <v>43</v>
      </c>
      <c r="C190" s="43">
        <v>2</v>
      </c>
      <c r="D190" s="43" t="s">
        <v>589</v>
      </c>
      <c r="E190" s="43" t="s">
        <v>46</v>
      </c>
      <c r="F190" s="43" t="s">
        <v>482</v>
      </c>
      <c r="G190" s="51" t="s">
        <v>557</v>
      </c>
      <c r="H190" s="51" t="str">
        <f t="shared" ref="H190:H193" si="160">420&amp;LEFT(E190,1)&amp;_xlfn.UNICODE(RIGHT(E190,1))-64</f>
        <v>42011</v>
      </c>
      <c r="I190" s="51" t="str">
        <f t="shared" ref="I190:I193" si="161">"scene_"&amp;$E190</f>
        <v>scene_1A</v>
      </c>
      <c r="J190" s="51" t="str">
        <f t="shared" ref="J190:J193" si="162">_xlfn.LET(_xlpm._id,(LEFT($E190,1)-1)*3+_xlfn.UNICODE(RIGHT($E190,1))-65,
_xlfn.CONCAT("rs_scene_icon[ui_level_icon_thumbnail_",_xlpm._id,"]"))</f>
        <v>rs_scene_icon[ui_level_icon_thumbnail_0]</v>
      </c>
      <c r="K190" s="51" t="s">
        <v>558</v>
      </c>
      <c r="L190" s="35" t="str">
        <f t="shared" ref="L190:L193" si="163">H190</f>
        <v>42011</v>
      </c>
      <c r="M190" s="35">
        <v>1.85</v>
      </c>
      <c r="N190" s="35">
        <v>0.8</v>
      </c>
      <c r="O190" s="35">
        <v>2.2000000000000002</v>
      </c>
      <c r="Q190" s="59">
        <v>1000</v>
      </c>
      <c r="R190" s="51">
        <f>_xlfn.XLOOKUP(C190,tb_enemy_mod[scene_index],tb_enemy_mod[hp_mod],1000)</f>
        <v>1000</v>
      </c>
      <c r="S190" s="59" t="s">
        <v>580</v>
      </c>
      <c r="T190" s="99" t="str" cm="1">
        <f t="array" ref="T190">_F_get_RS_Shop_pool(D190,C190)</f>
        <v>20005=32256;30007=20160</v>
      </c>
      <c r="U190" s="59" t="s">
        <v>582</v>
      </c>
      <c r="V190" s="51"/>
      <c r="W190" s="51">
        <v>1</v>
      </c>
      <c r="X190" s="51" t="str" cm="1">
        <f t="array" ref="X190">_xlfn.LET(_xlpm._mg_len_coef,_xlfn.XLOOKUP($D190,tb_scene_type[类型],tb_scene_type[长度倍率],1)+$C190*_xlfn.XLOOKUP($D190,tb_scene_type[类型],tb_scene_type[场景序数加成],1),
_xlfn.TEXTJOIN(";",1,
    _xlfn.MAP($AA190:$AL190,_xlfn.LAMBDA(_xlpm.x,
        _xlfn.LET(_xlpm._not_null,_xlpm.x&lt;&gt;"",
            _xlpm._mg_len,MROUND(_xlfn.XLOOKUP(_xlpm.x,tb_mg[id],tb_mg[base_len],300)*_xlpm._mg_len_coef,5),
            _xlpm._ui_text,"~"&amp;_xlfn.XLOOKUP(_xlpm.x,tb_mg[id],tb_mg[选路ui文本],""),
            IF(_xlpm._not_null,_xlfn.TEXTJOIN("~",1,_xlpm.x,1,_xlpm._mg_len,)&amp;_xlpm._ui_text,""))))))</f>
        <v>420103~1~450~</v>
      </c>
      <c r="Y190" s="43" t="s">
        <v>559</v>
      </c>
      <c r="Z190" s="73" t="str" cm="1">
        <f t="array" ref="Z190">_xlfn.TEXTJOIN("; ",1,_xlfn.MAP(AA190:AL190,_xlfn.LAMBDA(_xlpm._i,_xlfn.XLOOKUP(_xlpm._i,tb_mg[id],tb_mg[备注],"-TBN-"))))</f>
        <v>-TBN-</v>
      </c>
      <c r="AA190" s="57">
        <v>420103</v>
      </c>
    </row>
    <row r="191" spans="1:44">
      <c r="A191" s="5">
        <v>429401</v>
      </c>
      <c r="B191" s="43" t="s">
        <v>510</v>
      </c>
      <c r="C191" s="43">
        <v>2</v>
      </c>
      <c r="D191" s="43" t="s">
        <v>589</v>
      </c>
      <c r="E191" s="43" t="s">
        <v>60</v>
      </c>
      <c r="F191" s="43" t="s">
        <v>491</v>
      </c>
      <c r="G191" s="51" t="s">
        <v>560</v>
      </c>
      <c r="H191" s="51" t="str">
        <f t="shared" si="160"/>
        <v>42041</v>
      </c>
      <c r="I191" s="51" t="str">
        <f t="shared" si="161"/>
        <v>scene_4A</v>
      </c>
      <c r="J191" s="51" t="str">
        <f t="shared" si="162"/>
        <v>rs_scene_icon[ui_level_icon_thumbnail_9]</v>
      </c>
      <c r="K191" s="51" t="s">
        <v>561</v>
      </c>
      <c r="L191" s="35" t="str">
        <f t="shared" si="163"/>
        <v>42041</v>
      </c>
      <c r="M191" s="35">
        <v>1.85</v>
      </c>
      <c r="N191" s="35">
        <v>0.8</v>
      </c>
      <c r="O191" s="35">
        <v>2.2000000000000002</v>
      </c>
      <c r="Q191" s="59">
        <v>1000</v>
      </c>
      <c r="R191" s="51">
        <f>_xlfn.XLOOKUP(C191,tb_enemy_mod[scene_index],tb_enemy_mod[hp_mod],1000)</f>
        <v>1000</v>
      </c>
      <c r="S191" s="59" t="s">
        <v>580</v>
      </c>
      <c r="T191" s="99" t="str" cm="1">
        <f t="array" ref="T191">_F_get_RS_Shop_pool(D191,C191)</f>
        <v>20005=32256;30007=20160</v>
      </c>
      <c r="U191" s="59" t="s">
        <v>582</v>
      </c>
      <c r="V191" s="51"/>
      <c r="W191" s="51">
        <v>1</v>
      </c>
      <c r="X191" s="51" t="str" cm="1">
        <f t="array" ref="X191">_xlfn.LET(_xlpm._mg_len_coef,_xlfn.XLOOKUP($D191,tb_scene_type[类型],tb_scene_type[长度倍率],1)+$C191*_xlfn.XLOOKUP($D191,tb_scene_type[类型],tb_scene_type[场景序数加成],1),
_xlfn.TEXTJOIN(";",1,
    _xlfn.MAP($AA191:$AL191,_xlfn.LAMBDA(_xlpm.x,
        _xlfn.LET(_xlpm._not_null,_xlpm.x&lt;&gt;"",
            _xlpm._mg_len,MROUND(_xlfn.XLOOKUP(_xlpm.x,tb_mg[id],tb_mg[base_len],300)*_xlpm._mg_len_coef,5),
            _xlpm._ui_text,"~"&amp;_xlfn.XLOOKUP(_xlpm.x,tb_mg[id],tb_mg[选路ui文本],""),
            IF(_xlpm._not_null,_xlfn.TEXTJOIN("~",1,_xlpm.x,1,_xlpm._mg_len,)&amp;_xlpm._ui_text,""))))))</f>
        <v>420401~1~450~</v>
      </c>
      <c r="Y191" s="43" t="s">
        <v>559</v>
      </c>
      <c r="Z191" s="73" t="str" cm="1">
        <f t="array" ref="Z191">_xlfn.TEXTJOIN("; ",1,_xlfn.MAP(AA191:AL191,_xlfn.LAMBDA(_xlpm._i,_xlfn.XLOOKUP(_xlpm._i,tb_mg[id],tb_mg[备注],"-TBN-"))))</f>
        <v>鬼狰幽浮</v>
      </c>
      <c r="AA191" s="57">
        <v>420401</v>
      </c>
      <c r="AP191" s="5"/>
      <c r="AR191" s="5"/>
    </row>
    <row r="192" spans="1:44">
      <c r="A192" s="5">
        <v>429701</v>
      </c>
      <c r="B192" s="43" t="s">
        <v>511</v>
      </c>
      <c r="C192" s="43">
        <v>2</v>
      </c>
      <c r="D192" s="43" t="s">
        <v>589</v>
      </c>
      <c r="E192" s="43" t="s">
        <v>72</v>
      </c>
      <c r="F192" s="43" t="s">
        <v>500</v>
      </c>
      <c r="G192" s="51" t="s">
        <v>562</v>
      </c>
      <c r="H192" s="51" t="str">
        <f t="shared" si="160"/>
        <v>42071</v>
      </c>
      <c r="I192" s="51" t="str">
        <f t="shared" si="161"/>
        <v>scene_7A</v>
      </c>
      <c r="J192" s="51" t="str">
        <f t="shared" si="162"/>
        <v>rs_scene_icon[ui_level_icon_thumbnail_18]</v>
      </c>
      <c r="K192" s="51" t="s">
        <v>563</v>
      </c>
      <c r="L192" s="35" t="str">
        <f t="shared" si="163"/>
        <v>42071</v>
      </c>
      <c r="M192" s="35">
        <v>1.85</v>
      </c>
      <c r="N192" s="35">
        <v>0.8</v>
      </c>
      <c r="O192" s="35">
        <v>2.2000000000000002</v>
      </c>
      <c r="Q192" s="59">
        <v>1000</v>
      </c>
      <c r="R192" s="51">
        <f>_xlfn.XLOOKUP(C192,tb_enemy_mod[scene_index],tb_enemy_mod[hp_mod],1000)</f>
        <v>1000</v>
      </c>
      <c r="S192" s="59" t="s">
        <v>580</v>
      </c>
      <c r="T192" s="99" t="str" cm="1">
        <f t="array" ref="T192">_F_get_RS_Shop_pool(D192,C192)</f>
        <v>20005=32256;30007=20160</v>
      </c>
      <c r="U192" s="59" t="s">
        <v>582</v>
      </c>
      <c r="V192" s="51"/>
      <c r="W192" s="51">
        <v>1</v>
      </c>
      <c r="X192" s="51" t="str" cm="1">
        <f t="array" ref="X192">_xlfn.LET(_xlpm._mg_len_coef,_xlfn.XLOOKUP($D192,tb_scene_type[类型],tb_scene_type[长度倍率],1)+$C192*_xlfn.XLOOKUP($D192,tb_scene_type[类型],tb_scene_type[场景序数加成],1),
_xlfn.TEXTJOIN(";",1,
    _xlfn.MAP($AA192:$AL192,_xlfn.LAMBDA(_xlpm.x,
        _xlfn.LET(_xlpm._not_null,_xlpm.x&lt;&gt;"",
            _xlpm._mg_len,MROUND(_xlfn.XLOOKUP(_xlpm.x,tb_mg[id],tb_mg[base_len],300)*_xlpm._mg_len_coef,5),
            _xlpm._ui_text,"~"&amp;_xlfn.XLOOKUP(_xlpm.x,tb_mg[id],tb_mg[选路ui文本],""),
            IF(_xlpm._not_null,_xlfn.TEXTJOIN("~",1,_xlpm.x,1,_xlpm._mg_len,)&amp;_xlpm._ui_text,""))))))</f>
        <v>420714~1~450~</v>
      </c>
      <c r="Y192" s="43" t="s">
        <v>559</v>
      </c>
      <c r="Z192" s="73" t="str" cm="1">
        <f t="array" ref="Z192">_xlfn.TEXTJOIN("; ",1,_xlfn.MAP(AA192:AL192,_xlfn.LAMBDA(_xlpm._i,_xlfn.XLOOKUP(_xlpm._i,tb_mg[id],tb_mg[备注],"-TBN-"))))</f>
        <v>涂涂鸟群</v>
      </c>
      <c r="AA192" s="57">
        <v>420714</v>
      </c>
      <c r="AP192" s="5"/>
      <c r="AR192" s="5"/>
    </row>
    <row r="193" spans="1:44">
      <c r="A193" s="5">
        <v>429801</v>
      </c>
      <c r="B193" s="43" t="s">
        <v>47</v>
      </c>
      <c r="C193" s="43">
        <v>9</v>
      </c>
      <c r="D193" s="43" t="s">
        <v>589</v>
      </c>
      <c r="E193" s="43" t="s">
        <v>48</v>
      </c>
      <c r="F193" s="43" t="s">
        <v>36</v>
      </c>
      <c r="G193" s="51" t="s">
        <v>564</v>
      </c>
      <c r="H193" s="51" t="str">
        <f t="shared" si="160"/>
        <v>42081</v>
      </c>
      <c r="I193" s="51" t="str">
        <f t="shared" si="161"/>
        <v>scene_8A</v>
      </c>
      <c r="J193" s="51" t="str">
        <f t="shared" si="162"/>
        <v>rs_scene_icon[ui_level_icon_thumbnail_21]</v>
      </c>
      <c r="K193" s="51" t="s">
        <v>565</v>
      </c>
      <c r="L193" s="35" t="str">
        <f t="shared" si="163"/>
        <v>42081</v>
      </c>
      <c r="M193" s="35">
        <v>1.85</v>
      </c>
      <c r="N193" s="35">
        <v>0.8</v>
      </c>
      <c r="O193" s="35">
        <v>2.2000000000000002</v>
      </c>
      <c r="Q193" s="59">
        <v>1000</v>
      </c>
      <c r="R193" s="51">
        <f>_xlfn.XLOOKUP(C193,tb_enemy_mod[scene_index],tb_enemy_mod[hp_mod],1000)</f>
        <v>3816</v>
      </c>
      <c r="S193" s="59" t="s">
        <v>580</v>
      </c>
      <c r="T193" s="99" t="str" cm="1">
        <f t="array" ref="T193">_F_get_RS_Shop_pool(D193,C193)</f>
        <v>20101=13824;30111=1728;30103=8640;40113=1080</v>
      </c>
      <c r="U193" s="59" t="s">
        <v>582</v>
      </c>
      <c r="V193" s="51"/>
      <c r="W193" s="51">
        <v>1</v>
      </c>
      <c r="X193" s="51" t="str" cm="1">
        <f t="array" ref="X193">_xlfn.LET(_xlpm._mg_len_coef,_xlfn.XLOOKUP($D193,tb_scene_type[类型],tb_scene_type[长度倍率],1)+$C193*_xlfn.XLOOKUP($D193,tb_scene_type[类型],tb_scene_type[场景序数加成],1),
_xlfn.TEXTJOIN(";",1,
    _xlfn.MAP($AA193:$AL193,_xlfn.LAMBDA(_xlpm.x,
        _xlfn.LET(_xlpm._not_null,_xlpm.x&lt;&gt;"",
            _xlpm._mg_len,MROUND(_xlfn.XLOOKUP(_xlpm.x,tb_mg[id],tb_mg[base_len],300)*_xlpm._mg_len_coef,5),
            _xlpm._ui_text,"~"&amp;_xlfn.XLOOKUP(_xlpm.x,tb_mg[id],tb_mg[选路ui文本],""),
            IF(_xlpm._not_null,_xlfn.TEXTJOIN("~",1,_xlpm.x,1,_xlpm._mg_len,)&amp;_xlpm._ui_text,""))))))</f>
        <v>42080001~1~975~</v>
      </c>
      <c r="Y193" s="43" t="s">
        <v>559</v>
      </c>
      <c r="Z193" s="73" t="str" cm="1">
        <f t="array" ref="Z193">_xlfn.TEXTJOIN("; ",1,_xlfn.MAP(AA193:AL193,_xlfn.LAMBDA(_xlpm._i,_xlfn.XLOOKUP(_xlpm._i,tb_mg[id],tb_mg[备注],"-TBN-"))))</f>
        <v>-TBN-</v>
      </c>
      <c r="AA193" s="57">
        <v>42080001</v>
      </c>
      <c r="AP193" s="5"/>
      <c r="AR193" s="5"/>
    </row>
    <row r="194" spans="1:44">
      <c r="V194" s="51"/>
      <c r="X194" s="51"/>
    </row>
    <row r="195" spans="1:44">
      <c r="V195" s="51"/>
      <c r="X195" s="51"/>
    </row>
    <row r="196" spans="1:44">
      <c r="V196" s="51"/>
      <c r="X196" s="51"/>
    </row>
    <row r="197" spans="1:44">
      <c r="V197" s="51"/>
      <c r="X197" s="51"/>
    </row>
  </sheetData>
  <phoneticPr fontId="25" type="noConversion"/>
  <conditionalFormatting sqref="Y1:Z1048576">
    <cfRule type="cellIs" dxfId="21" priority="1" operator="equal">
      <formula>"Error"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5A4C-8BB9-44AD-BDB5-7096EB545375}">
  <sheetPr>
    <tabColor rgb="FF7030A0"/>
  </sheetPr>
  <dimension ref="A3:AC39"/>
  <sheetViews>
    <sheetView workbookViewId="0">
      <selection activeCell="I38" sqref="I38"/>
    </sheetView>
  </sheetViews>
  <sheetFormatPr defaultColWidth="12.5" defaultRowHeight="14.25"/>
  <cols>
    <col min="1" max="9" width="12.5" style="5"/>
    <col min="10" max="10" width="15.125" style="5" bestFit="1" customWidth="1"/>
    <col min="11" max="11" width="15.125" style="5" customWidth="1"/>
    <col min="12" max="29" width="6.75" style="5" customWidth="1"/>
    <col min="30" max="16384" width="12.5" style="5"/>
  </cols>
  <sheetData>
    <row r="3" spans="1:29">
      <c r="A3" s="59" t="s">
        <v>555</v>
      </c>
      <c r="B3" s="59" t="s">
        <v>554</v>
      </c>
      <c r="C3" s="59" t="s">
        <v>556</v>
      </c>
      <c r="F3" s="59" t="s">
        <v>540</v>
      </c>
      <c r="G3" s="59" t="s">
        <v>538</v>
      </c>
      <c r="H3" s="59" t="s">
        <v>541</v>
      </c>
      <c r="I3" s="59" t="s">
        <v>539</v>
      </c>
      <c r="J3" s="59" t="s">
        <v>623</v>
      </c>
      <c r="K3" s="59" t="s">
        <v>721</v>
      </c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spans="1:29">
      <c r="A4" s="59" t="s">
        <v>522</v>
      </c>
      <c r="B4" s="5">
        <v>1</v>
      </c>
      <c r="C4" s="5">
        <v>0</v>
      </c>
      <c r="D4" s="44" t="s">
        <v>588</v>
      </c>
      <c r="F4" s="5">
        <v>420401</v>
      </c>
      <c r="G4" s="59" t="s">
        <v>510</v>
      </c>
      <c r="H4" s="59" t="s">
        <v>572</v>
      </c>
      <c r="I4" s="5">
        <v>300</v>
      </c>
      <c r="J4" s="59"/>
      <c r="K4" s="59"/>
    </row>
    <row r="5" spans="1:29">
      <c r="A5" s="59" t="s">
        <v>523</v>
      </c>
      <c r="B5" s="5">
        <v>1</v>
      </c>
      <c r="C5" s="5">
        <v>0.01</v>
      </c>
      <c r="F5" s="5">
        <v>420402</v>
      </c>
      <c r="G5" s="59" t="s">
        <v>510</v>
      </c>
      <c r="H5" s="59" t="s">
        <v>574</v>
      </c>
      <c r="I5" s="5">
        <v>300</v>
      </c>
      <c r="J5" s="59"/>
      <c r="K5" s="59"/>
    </row>
    <row r="6" spans="1:29">
      <c r="A6" s="59" t="s">
        <v>524</v>
      </c>
      <c r="B6" s="5">
        <v>1</v>
      </c>
      <c r="C6" s="5">
        <v>0</v>
      </c>
      <c r="F6" s="5">
        <v>420403</v>
      </c>
      <c r="G6" s="59" t="s">
        <v>510</v>
      </c>
      <c r="H6" s="59" t="s">
        <v>573</v>
      </c>
      <c r="I6" s="5">
        <v>300</v>
      </c>
      <c r="J6" s="59"/>
      <c r="K6" s="59"/>
    </row>
    <row r="7" spans="1:29">
      <c r="A7" s="59" t="s">
        <v>525</v>
      </c>
      <c r="B7" s="5">
        <v>1.5</v>
      </c>
      <c r="C7" s="5">
        <v>0</v>
      </c>
      <c r="F7" s="5">
        <v>420404</v>
      </c>
      <c r="G7" s="59" t="s">
        <v>510</v>
      </c>
      <c r="H7" s="59" t="s">
        <v>575</v>
      </c>
      <c r="I7" s="5">
        <v>300</v>
      </c>
      <c r="J7" s="59"/>
      <c r="K7" s="59"/>
    </row>
    <row r="8" spans="1:29">
      <c r="A8" s="59" t="s">
        <v>589</v>
      </c>
      <c r="B8" s="5">
        <v>1</v>
      </c>
      <c r="C8" s="5">
        <v>0.25</v>
      </c>
      <c r="G8" s="59"/>
      <c r="H8" s="59"/>
    </row>
    <row r="9" spans="1:29">
      <c r="A9" s="59" t="s">
        <v>611</v>
      </c>
      <c r="B9" s="5">
        <v>1</v>
      </c>
      <c r="C9" s="5">
        <v>0</v>
      </c>
      <c r="G9" s="59"/>
      <c r="H9" s="59"/>
    </row>
    <row r="10" spans="1:29">
      <c r="A10" s="59"/>
      <c r="F10" s="5">
        <v>420701</v>
      </c>
      <c r="G10" s="59" t="s">
        <v>511</v>
      </c>
      <c r="H10" s="59" t="s">
        <v>566</v>
      </c>
      <c r="I10" s="5">
        <v>300</v>
      </c>
      <c r="J10" s="59"/>
      <c r="K10" s="59"/>
    </row>
    <row r="11" spans="1:29">
      <c r="F11" s="5">
        <v>420702</v>
      </c>
      <c r="G11" s="59" t="s">
        <v>511</v>
      </c>
      <c r="H11" s="59" t="s">
        <v>567</v>
      </c>
      <c r="I11" s="5">
        <v>300</v>
      </c>
      <c r="J11" s="59"/>
      <c r="K11" s="59"/>
    </row>
    <row r="12" spans="1:29">
      <c r="F12" s="5">
        <v>420703</v>
      </c>
      <c r="G12" s="59" t="s">
        <v>511</v>
      </c>
      <c r="H12" s="59" t="s">
        <v>568</v>
      </c>
      <c r="I12" s="5">
        <v>300</v>
      </c>
      <c r="J12" s="59"/>
      <c r="K12" s="59"/>
    </row>
    <row r="13" spans="1:29">
      <c r="F13" s="5">
        <v>420712</v>
      </c>
      <c r="G13" s="59" t="s">
        <v>511</v>
      </c>
      <c r="H13" s="59" t="s">
        <v>569</v>
      </c>
      <c r="I13" s="5">
        <v>300</v>
      </c>
      <c r="J13" s="59"/>
      <c r="K13" s="59"/>
    </row>
    <row r="14" spans="1:29">
      <c r="A14" s="79" t="s">
        <v>681</v>
      </c>
      <c r="F14" s="5">
        <v>420714</v>
      </c>
      <c r="G14" s="59" t="s">
        <v>511</v>
      </c>
      <c r="H14" s="59" t="s">
        <v>571</v>
      </c>
      <c r="I14" s="5">
        <v>300</v>
      </c>
      <c r="J14" s="59"/>
      <c r="K14" s="59"/>
    </row>
    <row r="15" spans="1:29">
      <c r="A15" s="59" t="s">
        <v>679</v>
      </c>
      <c r="B15" s="59" t="s">
        <v>680</v>
      </c>
      <c r="G15" s="59"/>
      <c r="H15" s="59"/>
    </row>
    <row r="16" spans="1:29">
      <c r="A16" s="5">
        <v>1</v>
      </c>
      <c r="B16" s="5">
        <v>1000</v>
      </c>
      <c r="G16" s="59"/>
      <c r="H16" s="59"/>
    </row>
    <row r="17" spans="1:11">
      <c r="A17" s="5">
        <v>2</v>
      </c>
      <c r="B17" s="5">
        <v>1000</v>
      </c>
      <c r="G17" s="59"/>
      <c r="H17" s="59"/>
    </row>
    <row r="18" spans="1:11">
      <c r="A18" s="5">
        <v>3</v>
      </c>
      <c r="B18" s="5">
        <v>1201</v>
      </c>
      <c r="F18" s="5">
        <v>420800</v>
      </c>
      <c r="G18" s="59" t="s">
        <v>537</v>
      </c>
      <c r="H18" s="59" t="s">
        <v>618</v>
      </c>
      <c r="I18" s="60">
        <v>170</v>
      </c>
    </row>
    <row r="19" spans="1:11">
      <c r="A19" s="5">
        <v>4</v>
      </c>
      <c r="B19" s="5">
        <v>1343</v>
      </c>
      <c r="F19" s="5">
        <v>420801</v>
      </c>
      <c r="G19" s="59" t="s">
        <v>537</v>
      </c>
      <c r="H19" s="59" t="s">
        <v>542</v>
      </c>
      <c r="I19" s="5">
        <v>300</v>
      </c>
      <c r="J19" s="59" t="s">
        <v>627</v>
      </c>
      <c r="K19" s="59" t="s">
        <v>722</v>
      </c>
    </row>
    <row r="20" spans="1:11">
      <c r="A20" s="5">
        <v>5</v>
      </c>
      <c r="B20" s="5">
        <v>1558</v>
      </c>
      <c r="F20" s="5">
        <v>420802</v>
      </c>
      <c r="G20" s="59" t="s">
        <v>537</v>
      </c>
      <c r="H20" s="59" t="s">
        <v>543</v>
      </c>
      <c r="I20" s="5">
        <v>300</v>
      </c>
      <c r="J20" s="59" t="s">
        <v>624</v>
      </c>
      <c r="K20" s="59" t="s">
        <v>722</v>
      </c>
    </row>
    <row r="21" spans="1:11">
      <c r="A21" s="5">
        <v>6</v>
      </c>
      <c r="B21" s="5">
        <v>1885</v>
      </c>
      <c r="F21" s="5">
        <v>420803</v>
      </c>
      <c r="G21" s="59" t="s">
        <v>537</v>
      </c>
      <c r="H21" s="59" t="s">
        <v>544</v>
      </c>
      <c r="I21" s="60">
        <v>250</v>
      </c>
      <c r="J21" s="59" t="s">
        <v>730</v>
      </c>
      <c r="K21" s="59" t="s">
        <v>718</v>
      </c>
    </row>
    <row r="22" spans="1:11">
      <c r="A22" s="5">
        <v>7</v>
      </c>
      <c r="B22" s="5">
        <v>2351</v>
      </c>
      <c r="F22" s="5">
        <v>42080301</v>
      </c>
      <c r="G22" s="59" t="s">
        <v>537</v>
      </c>
      <c r="H22" s="59" t="s">
        <v>728</v>
      </c>
      <c r="I22" s="5">
        <v>300</v>
      </c>
      <c r="J22" s="59" t="s">
        <v>729</v>
      </c>
      <c r="K22" s="59" t="s">
        <v>716</v>
      </c>
    </row>
    <row r="23" spans="1:11">
      <c r="A23" s="5">
        <v>8</v>
      </c>
      <c r="B23" s="5">
        <v>2987</v>
      </c>
      <c r="F23" s="5">
        <v>420804</v>
      </c>
      <c r="G23" s="59" t="s">
        <v>537</v>
      </c>
      <c r="H23" s="59" t="s">
        <v>726</v>
      </c>
      <c r="I23" s="5">
        <v>300</v>
      </c>
      <c r="J23" s="59" t="s">
        <v>727</v>
      </c>
      <c r="K23" s="59" t="s">
        <v>716</v>
      </c>
    </row>
    <row r="24" spans="1:11">
      <c r="A24" s="5">
        <v>9</v>
      </c>
      <c r="B24" s="5">
        <v>3816</v>
      </c>
      <c r="F24" s="5">
        <v>420805</v>
      </c>
      <c r="G24" s="59" t="s">
        <v>537</v>
      </c>
      <c r="H24" s="59" t="s">
        <v>725</v>
      </c>
      <c r="I24" s="5">
        <v>300</v>
      </c>
      <c r="J24" s="59" t="s">
        <v>723</v>
      </c>
      <c r="K24" s="59" t="s">
        <v>722</v>
      </c>
    </row>
    <row r="25" spans="1:11">
      <c r="A25" s="5">
        <v>10</v>
      </c>
      <c r="B25" s="5">
        <v>4872</v>
      </c>
      <c r="F25" s="5">
        <v>420806</v>
      </c>
      <c r="G25" s="59" t="s">
        <v>537</v>
      </c>
      <c r="H25" s="59" t="s">
        <v>682</v>
      </c>
      <c r="I25" s="5">
        <v>300</v>
      </c>
      <c r="J25" s="59" t="s">
        <v>683</v>
      </c>
      <c r="K25" s="59"/>
    </row>
    <row r="26" spans="1:11">
      <c r="A26" s="5">
        <v>11</v>
      </c>
      <c r="B26" s="5">
        <v>6190</v>
      </c>
      <c r="F26" s="5">
        <v>420811</v>
      </c>
      <c r="G26" s="59" t="s">
        <v>537</v>
      </c>
      <c r="H26" s="59" t="s">
        <v>545</v>
      </c>
      <c r="I26" s="5">
        <v>300</v>
      </c>
      <c r="J26" s="59" t="s">
        <v>629</v>
      </c>
      <c r="K26" s="59" t="s">
        <v>716</v>
      </c>
    </row>
    <row r="27" spans="1:11">
      <c r="A27" s="5">
        <v>12</v>
      </c>
      <c r="B27" s="5">
        <v>7790</v>
      </c>
      <c r="F27" s="5">
        <v>420813</v>
      </c>
      <c r="G27" s="59" t="s">
        <v>537</v>
      </c>
      <c r="H27" s="59" t="s">
        <v>546</v>
      </c>
      <c r="I27" s="5">
        <v>300</v>
      </c>
      <c r="J27" s="59" t="s">
        <v>724</v>
      </c>
      <c r="K27" s="59" t="s">
        <v>718</v>
      </c>
    </row>
    <row r="28" spans="1:11">
      <c r="A28" s="5">
        <v>13</v>
      </c>
      <c r="B28" s="5">
        <v>9715</v>
      </c>
      <c r="F28" s="5">
        <v>420815</v>
      </c>
      <c r="G28" s="59" t="s">
        <v>537</v>
      </c>
      <c r="H28" s="59" t="s">
        <v>547</v>
      </c>
      <c r="I28" s="5">
        <v>300</v>
      </c>
      <c r="J28" s="59" t="s">
        <v>630</v>
      </c>
      <c r="K28" s="59"/>
    </row>
    <row r="29" spans="1:11">
      <c r="A29" s="5">
        <v>14</v>
      </c>
      <c r="B29" s="5">
        <v>12006</v>
      </c>
      <c r="F29" s="5">
        <v>420821</v>
      </c>
      <c r="G29" s="59" t="s">
        <v>537</v>
      </c>
      <c r="H29" s="59" t="s">
        <v>548</v>
      </c>
      <c r="I29" s="5">
        <v>300</v>
      </c>
      <c r="J29" s="5" t="s">
        <v>625</v>
      </c>
    </row>
    <row r="30" spans="1:11">
      <c r="A30" s="5">
        <v>15</v>
      </c>
      <c r="B30" s="5">
        <v>14684</v>
      </c>
      <c r="F30" s="5">
        <v>420822</v>
      </c>
      <c r="G30" s="59" t="s">
        <v>537</v>
      </c>
      <c r="H30" s="59" t="s">
        <v>549</v>
      </c>
      <c r="I30" s="5">
        <v>300</v>
      </c>
      <c r="J30" s="5" t="s">
        <v>626</v>
      </c>
      <c r="K30" s="59" t="s">
        <v>715</v>
      </c>
    </row>
    <row r="31" spans="1:11">
      <c r="A31" s="5">
        <v>16</v>
      </c>
      <c r="B31" s="5">
        <v>17796</v>
      </c>
      <c r="F31" s="5">
        <v>42082211</v>
      </c>
      <c r="G31" s="59" t="s">
        <v>537</v>
      </c>
      <c r="H31" s="59" t="s">
        <v>586</v>
      </c>
      <c r="I31" s="5">
        <v>300</v>
      </c>
      <c r="J31" s="59" t="s">
        <v>628</v>
      </c>
      <c r="K31" s="59" t="s">
        <v>715</v>
      </c>
    </row>
    <row r="32" spans="1:11">
      <c r="A32" s="5">
        <v>17</v>
      </c>
      <c r="B32" s="5">
        <v>21370</v>
      </c>
      <c r="F32" s="5">
        <v>420823</v>
      </c>
      <c r="G32" s="59" t="s">
        <v>537</v>
      </c>
      <c r="H32" s="59" t="s">
        <v>550</v>
      </c>
      <c r="I32" s="5">
        <v>300</v>
      </c>
      <c r="J32" s="59" t="s">
        <v>631</v>
      </c>
      <c r="K32" s="59"/>
    </row>
    <row r="33" spans="1:11">
      <c r="A33" s="5">
        <v>18</v>
      </c>
      <c r="B33" s="5">
        <v>25426</v>
      </c>
      <c r="F33" s="5">
        <v>420850</v>
      </c>
      <c r="G33" s="59" t="s">
        <v>537</v>
      </c>
      <c r="H33" s="59" t="s">
        <v>553</v>
      </c>
      <c r="I33" s="60">
        <v>50</v>
      </c>
      <c r="J33" s="59" t="s">
        <v>553</v>
      </c>
      <c r="K33" s="59" t="s">
        <v>719</v>
      </c>
    </row>
    <row r="34" spans="1:11">
      <c r="A34" s="5">
        <v>19</v>
      </c>
      <c r="B34" s="5">
        <v>30031</v>
      </c>
      <c r="F34" s="5">
        <v>420851</v>
      </c>
      <c r="G34" s="59" t="s">
        <v>537</v>
      </c>
      <c r="H34" s="59" t="s">
        <v>551</v>
      </c>
      <c r="I34" s="60">
        <v>50</v>
      </c>
      <c r="J34" s="59" t="s">
        <v>551</v>
      </c>
      <c r="K34" s="59" t="s">
        <v>719</v>
      </c>
    </row>
    <row r="35" spans="1:11">
      <c r="A35" s="5">
        <v>20</v>
      </c>
      <c r="B35" s="5">
        <v>35205</v>
      </c>
      <c r="F35" s="5">
        <v>420852</v>
      </c>
      <c r="G35" s="59" t="s">
        <v>537</v>
      </c>
      <c r="H35" s="59" t="s">
        <v>552</v>
      </c>
      <c r="I35" s="60">
        <v>50</v>
      </c>
      <c r="J35" s="59" t="s">
        <v>552</v>
      </c>
      <c r="K35" s="59" t="s">
        <v>719</v>
      </c>
    </row>
    <row r="36" spans="1:11">
      <c r="G36" s="59"/>
      <c r="H36" s="59"/>
    </row>
    <row r="37" spans="1:11">
      <c r="G37" s="59"/>
      <c r="H37" s="59"/>
    </row>
    <row r="38" spans="1:11">
      <c r="G38" s="59"/>
      <c r="H38" s="59"/>
    </row>
    <row r="39" spans="1:11">
      <c r="G39" s="59"/>
      <c r="H39" s="59"/>
    </row>
  </sheetData>
  <phoneticPr fontId="25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080A-8C82-4100-85BB-1C2EF7E39EF3}">
  <sheetPr>
    <tabColor rgb="FF7030A0"/>
  </sheetPr>
  <dimension ref="A3:Y37"/>
  <sheetViews>
    <sheetView workbookViewId="0">
      <selection activeCell="V19" sqref="V19"/>
    </sheetView>
  </sheetViews>
  <sheetFormatPr defaultColWidth="12.5" defaultRowHeight="14.25"/>
  <cols>
    <col min="1" max="10" width="12.5" style="5"/>
    <col min="11" max="15" width="12.5" style="5" customWidth="1"/>
    <col min="16" max="16384" width="12.5" style="5"/>
  </cols>
  <sheetData>
    <row r="3" spans="1:25">
      <c r="A3" s="79" t="s">
        <v>673</v>
      </c>
    </row>
    <row r="4" spans="1:25">
      <c r="A4" s="79" t="s">
        <v>597</v>
      </c>
      <c r="K4" s="59"/>
    </row>
    <row r="5" spans="1:25">
      <c r="A5" s="59" t="s">
        <v>600</v>
      </c>
      <c r="B5" s="59" t="s">
        <v>587</v>
      </c>
      <c r="C5" s="59" t="s">
        <v>720</v>
      </c>
      <c r="K5" s="59"/>
    </row>
    <row r="6" spans="1:25">
      <c r="A6" s="59" t="s">
        <v>590</v>
      </c>
      <c r="B6" s="5">
        <v>0</v>
      </c>
      <c r="C6" s="59" t="s">
        <v>717</v>
      </c>
      <c r="K6" s="59"/>
    </row>
    <row r="7" spans="1:25">
      <c r="A7" s="59" t="s">
        <v>591</v>
      </c>
      <c r="B7" s="5">
        <v>10</v>
      </c>
      <c r="C7" s="59" t="s">
        <v>717</v>
      </c>
      <c r="K7" s="59"/>
      <c r="S7" s="59"/>
    </row>
    <row r="8" spans="1:25">
      <c r="A8" s="59" t="s">
        <v>592</v>
      </c>
      <c r="B8" s="5">
        <v>11</v>
      </c>
      <c r="C8" s="59" t="s">
        <v>718</v>
      </c>
      <c r="K8" s="59"/>
      <c r="R8" s="59"/>
      <c r="S8" s="59"/>
    </row>
    <row r="9" spans="1:25">
      <c r="A9" s="59" t="s">
        <v>593</v>
      </c>
      <c r="B9" s="5">
        <v>12</v>
      </c>
      <c r="C9" s="59" t="s">
        <v>715</v>
      </c>
      <c r="R9" s="59"/>
    </row>
    <row r="10" spans="1:25">
      <c r="A10" s="59" t="s">
        <v>594</v>
      </c>
      <c r="B10" s="5">
        <v>13</v>
      </c>
      <c r="C10" s="59" t="s">
        <v>719</v>
      </c>
    </row>
    <row r="11" spans="1:25">
      <c r="K11" s="59"/>
    </row>
    <row r="12" spans="1:25">
      <c r="K12" s="59"/>
    </row>
    <row r="13" spans="1:25">
      <c r="J13" s="79" t="s">
        <v>674</v>
      </c>
      <c r="K13" s="59"/>
    </row>
    <row r="14" spans="1:25">
      <c r="A14" s="79" t="s">
        <v>672</v>
      </c>
      <c r="J14" s="79" t="s">
        <v>666</v>
      </c>
    </row>
    <row r="15" spans="1:25">
      <c r="A15" s="79" t="s">
        <v>598</v>
      </c>
      <c r="J15" s="59" t="s">
        <v>667</v>
      </c>
      <c r="K15" s="59" t="s">
        <v>638</v>
      </c>
      <c r="L15" s="59" t="s">
        <v>639</v>
      </c>
      <c r="M15" s="59" t="s">
        <v>640</v>
      </c>
      <c r="N15" s="59" t="s">
        <v>641</v>
      </c>
      <c r="O15" s="59" t="s">
        <v>642</v>
      </c>
      <c r="P15" s="59" t="s">
        <v>705</v>
      </c>
      <c r="Q15" s="59" t="s">
        <v>706</v>
      </c>
      <c r="R15" s="59" t="s">
        <v>707</v>
      </c>
      <c r="S15" s="59" t="s">
        <v>708</v>
      </c>
      <c r="T15" s="59" t="s">
        <v>709</v>
      </c>
      <c r="U15" s="59" t="s">
        <v>710</v>
      </c>
      <c r="V15" s="59" t="s">
        <v>711</v>
      </c>
      <c r="W15" s="59" t="s">
        <v>712</v>
      </c>
      <c r="X15" s="59" t="s">
        <v>713</v>
      </c>
      <c r="Y15" s="59" t="s">
        <v>714</v>
      </c>
    </row>
    <row r="16" spans="1:25">
      <c r="A16" s="59" t="s">
        <v>599</v>
      </c>
      <c r="B16" s="59" t="s">
        <v>595</v>
      </c>
      <c r="C16" s="59" t="s">
        <v>601</v>
      </c>
      <c r="D16" s="59" t="s">
        <v>590</v>
      </c>
      <c r="E16" s="59" t="s">
        <v>591</v>
      </c>
      <c r="F16" s="59" t="s">
        <v>592</v>
      </c>
      <c r="G16" s="59" t="s">
        <v>593</v>
      </c>
      <c r="H16" s="59" t="s">
        <v>594</v>
      </c>
      <c r="J16" s="80" t="s">
        <v>602</v>
      </c>
      <c r="K16" s="59" t="str" cm="1">
        <f t="array" ref="K16">_xlfn.LET(_xlpm._text,tb_weather_info_08[[#This Row],[0_raw_text]],
_xlpm._color,tb_weather_info_08[[#This Row],[0_color]],
_xlfn.IFS(_xlpm._text="","",_xlpm._color="",_xlpm._text,TRUE,_xlfn.CONCAT("&lt;color=",_xlpm._color,"&gt;",_xlpm._text,"&lt;/color&gt;")))</f>
        <v>&lt;color=grey&gt;晴空万里&lt;/color&gt;</v>
      </c>
      <c r="L16" s="59" t="str" cm="1">
        <f t="array" ref="L16">_xlfn.LET(_xlpm._text,tb_weather_info_08[[#This Row],[10_raw_text]],
_xlpm._color,tb_weather_info_08[[#This Row],[10_color]],
_xlfn.IFS(_xlpm._text="","",_xlpm._color="",_xlpm._text,TRUE,_xlfn.CONCAT("&lt;color=",_xlpm._color,"&gt;",_xlpm._text,"&lt;/color&gt;")))</f>
        <v/>
      </c>
      <c r="M16" s="59" t="str" cm="1">
        <f t="array" ref="M16">_xlfn.LET(_xlpm._text,tb_weather_info_08[[#This Row],[11_raw_text]],
_xlpm._color,tb_weather_info_08[[#This Row],[11_color]],
_xlfn.IFS(_xlpm._text="","",_xlpm._color="",_xlpm._text,TRUE,_xlfn.CONCAT("&lt;color=",_xlpm._color,"&gt;",_xlpm._text,"&lt;/color&gt;")))</f>
        <v/>
      </c>
      <c r="N16" s="59" t="str" cm="1">
        <f t="array" ref="N16">_xlfn.LET(_xlpm._text,tb_weather_info_08[[#This Row],[12_raw_text]],
_xlpm._color,tb_weather_info_08[[#This Row],[12_color]],
_xlfn.IFS(_xlpm._text="","",_xlpm._color="",_xlpm._text,TRUE,_xlfn.CONCAT("&lt;color=",_xlpm._color,"&gt;",_xlpm._text,"&lt;/color&gt;")))</f>
        <v/>
      </c>
      <c r="O16" s="59" t="str" cm="1">
        <f t="array" ref="O16">_xlfn.LET(_xlpm._text,tb_weather_info_08[[#This Row],[13_raw_text]],
_xlpm._color,tb_weather_info_08[[#This Row],[13_color]],
_xlfn.IFS(_xlpm._text="","",_xlpm._color="",_xlpm._text,TRUE,_xlfn.CONCAT("&lt;color=",_xlpm._color,"&gt;",_xlpm._text,"&lt;/color&gt;")))</f>
        <v/>
      </c>
      <c r="P16" s="59" t="s">
        <v>651</v>
      </c>
      <c r="Q16" s="78"/>
      <c r="R16" s="78"/>
      <c r="S16" s="78"/>
      <c r="T16" s="78"/>
      <c r="U16" s="59" t="s">
        <v>717</v>
      </c>
      <c r="V16" s="59"/>
      <c r="W16" s="59"/>
      <c r="X16" s="59"/>
      <c r="Y16" s="59"/>
    </row>
    <row r="17" spans="1:25">
      <c r="A17" s="5">
        <v>1</v>
      </c>
      <c r="B17" s="59" t="s">
        <v>596</v>
      </c>
      <c r="C17" s="80" t="s">
        <v>602</v>
      </c>
      <c r="D17" s="77">
        <v>100</v>
      </c>
      <c r="E17" s="78"/>
      <c r="F17" s="78"/>
      <c r="G17" s="78"/>
      <c r="H17" s="78"/>
      <c r="J17" s="80" t="s">
        <v>643</v>
      </c>
      <c r="K17" s="59" t="str" cm="1">
        <f t="array" ref="K17">_xlfn.LET(_xlpm._text,tb_weather_info_08[[#This Row],[0_raw_text]],
_xlpm._color,tb_weather_info_08[[#This Row],[0_color]],
_xlfn.IFS(_xlpm._text="","",_xlpm._color="",_xlpm._text,TRUE,_xlfn.CONCAT("&lt;color=",_xlpm._color,"&gt;",_xlpm._text,"&lt;/color&gt;")))</f>
        <v>&lt;color=grey&gt;晴转阴&lt;/color&gt;</v>
      </c>
      <c r="L17" s="59" t="str" cm="1">
        <f t="array" ref="L17">_xlfn.LET(_xlpm._text,tb_weather_info_08[[#This Row],[10_raw_text]],
_xlpm._color,tb_weather_info_08[[#This Row],[10_color]],
_xlfn.IFS(_xlpm._text="","",_xlpm._color="",_xlpm._text,TRUE,_xlfn.CONCAT("&lt;color=",_xlpm._color,"&gt;",_xlpm._text,"&lt;/color&gt;")))</f>
        <v>&lt;color=grey&gt;阴&lt;/color&gt;</v>
      </c>
      <c r="M17" s="59" t="str" cm="1">
        <f t="array" ref="M17">_xlfn.LET(_xlpm._text,tb_weather_info_08[[#This Row],[11_raw_text]],
_xlpm._color,tb_weather_info_08[[#This Row],[11_color]],
_xlfn.IFS(_xlpm._text="","",_xlpm._color="",_xlpm._text,TRUE,_xlfn.CONCAT("&lt;color=",_xlpm._color,"&gt;",_xlpm._text,"&lt;/color&gt;")))</f>
        <v/>
      </c>
      <c r="N17" s="59" t="str" cm="1">
        <f t="array" ref="N17">_xlfn.LET(_xlpm._text,tb_weather_info_08[[#This Row],[12_raw_text]],
_xlpm._color,tb_weather_info_08[[#This Row],[12_color]],
_xlfn.IFS(_xlpm._text="","",_xlpm._color="",_xlpm._text,TRUE,_xlfn.CONCAT("&lt;color=",_xlpm._color,"&gt;",_xlpm._text,"&lt;/color&gt;")))</f>
        <v/>
      </c>
      <c r="O17" s="59" t="str" cm="1">
        <f t="array" ref="O17">_xlfn.LET(_xlpm._text,tb_weather_info_08[[#This Row],[13_raw_text]],
_xlpm._color,tb_weather_info_08[[#This Row],[13_color]],
_xlfn.IFS(_xlpm._text="","",_xlpm._color="",_xlpm._text,TRUE,_xlfn.CONCAT("&lt;color=",_xlpm._color,"&gt;",_xlpm._text,"&lt;/color&gt;")))</f>
        <v/>
      </c>
      <c r="P17" s="59" t="s">
        <v>652</v>
      </c>
      <c r="Q17" s="59" t="s">
        <v>653</v>
      </c>
      <c r="R17" s="78"/>
      <c r="S17" s="78"/>
      <c r="T17" s="78"/>
      <c r="U17" s="59" t="s">
        <v>717</v>
      </c>
      <c r="V17" s="59" t="s">
        <v>717</v>
      </c>
      <c r="W17" s="59"/>
      <c r="X17" s="59"/>
      <c r="Y17" s="59"/>
    </row>
    <row r="18" spans="1:25">
      <c r="A18" s="5">
        <v>2</v>
      </c>
      <c r="B18" s="5" t="str">
        <f>_xlfn.TEXTJOIN(",",1,_xlfn.SEQUENCE(2,1,A18,1))</f>
        <v>2,3</v>
      </c>
      <c r="C18" s="89" t="s">
        <v>603</v>
      </c>
      <c r="D18" s="77">
        <v>100</v>
      </c>
      <c r="E18" s="77">
        <v>0</v>
      </c>
      <c r="F18" s="78"/>
      <c r="G18" s="78"/>
      <c r="H18" s="78"/>
      <c r="J18" s="80" t="s">
        <v>644</v>
      </c>
      <c r="K18" s="59" t="str" cm="1">
        <f t="array" ref="K18">_xlfn.LET(_xlpm._text,tb_weather_info_08[[#This Row],[0_raw_text]],
_xlpm._color,tb_weather_info_08[[#This Row],[0_color]],
_xlfn.IFS(_xlpm._text="","",_xlpm._color="",_xlpm._text,TRUE,_xlfn.CONCAT("&lt;color=",_xlpm._color,"&gt;",_xlpm._text,"&lt;/color&gt;")))</f>
        <v>&lt;color=#999900&gt;晴转小雨&lt;/color&gt;</v>
      </c>
      <c r="L18" s="59" t="str" cm="1">
        <f t="array" ref="L18">_xlfn.LET(_xlpm._text,tb_weather_info_08[[#This Row],[10_raw_text]],
_xlpm._color,tb_weather_info_08[[#This Row],[10_color]],
_xlfn.IFS(_xlpm._text="","",_xlpm._color="",_xlpm._text,TRUE,_xlfn.CONCAT("&lt;color=",_xlpm._color,"&gt;",_xlpm._text,"&lt;/color&gt;")))</f>
        <v>&lt;color=#999900&gt;阴转小雨&lt;/color&gt;</v>
      </c>
      <c r="M18" s="59" t="str" cm="1">
        <f t="array" ref="M18">_xlfn.LET(_xlpm._text,tb_weather_info_08[[#This Row],[11_raw_text]],
_xlpm._color,tb_weather_info_08[[#This Row],[11_color]],
_xlfn.IFS(_xlpm._text="","",_xlpm._color="",_xlpm._text,TRUE,_xlfn.CONCAT("&lt;color=",_xlpm._color,"&gt;",_xlpm._text,"&lt;/color&gt;")))</f>
        <v>&lt;color=#999900&gt;小雨&lt;/color&gt;</v>
      </c>
      <c r="N18" s="59" t="str" cm="1">
        <f t="array" ref="N18">_xlfn.LET(_xlpm._text,tb_weather_info_08[[#This Row],[12_raw_text]],
_xlpm._color,tb_weather_info_08[[#This Row],[12_color]],
_xlfn.IFS(_xlpm._text="","",_xlpm._color="",_xlpm._text,TRUE,_xlfn.CONCAT("&lt;color=",_xlpm._color,"&gt;",_xlpm._text,"&lt;/color&gt;")))</f>
        <v/>
      </c>
      <c r="O18" s="59" t="str" cm="1">
        <f t="array" ref="O18">_xlfn.LET(_xlpm._text,tb_weather_info_08[[#This Row],[13_raw_text]],
_xlpm._color,tb_weather_info_08[[#This Row],[13_color]],
_xlfn.IFS(_xlpm._text="","",_xlpm._color="",_xlpm._text,TRUE,_xlfn.CONCAT("&lt;color=",_xlpm._color,"&gt;",_xlpm._text,"&lt;/color&gt;")))</f>
        <v/>
      </c>
      <c r="P18" s="59" t="s">
        <v>654</v>
      </c>
      <c r="Q18" s="59" t="s">
        <v>655</v>
      </c>
      <c r="R18" s="59" t="s">
        <v>656</v>
      </c>
      <c r="S18" s="78"/>
      <c r="T18" s="78"/>
      <c r="U18" s="59" t="s">
        <v>718</v>
      </c>
      <c r="V18" s="59" t="s">
        <v>718</v>
      </c>
      <c r="W18" s="59" t="s">
        <v>718</v>
      </c>
      <c r="X18" s="59"/>
      <c r="Y18" s="59"/>
    </row>
    <row r="19" spans="1:25">
      <c r="A19" s="5">
        <v>3</v>
      </c>
      <c r="B19" s="5" t="str">
        <f t="shared" ref="B19:B35" si="0">_xlfn.TEXTJOIN(",",1,_xlfn.SEQUENCE(2,1,A19,1))</f>
        <v>3,4</v>
      </c>
      <c r="C19" s="89" t="s">
        <v>603</v>
      </c>
      <c r="D19" s="77">
        <v>100</v>
      </c>
      <c r="E19" s="77">
        <v>50</v>
      </c>
      <c r="F19" s="78"/>
      <c r="G19" s="78"/>
      <c r="H19" s="78"/>
      <c r="J19" s="80" t="s">
        <v>645</v>
      </c>
      <c r="K19" s="59" t="str" cm="1">
        <f t="array" ref="K19">_xlfn.LET(_xlpm._text,tb_weather_info_08[[#This Row],[0_raw_text]],
_xlpm._color,tb_weather_info_08[[#This Row],[0_color]],
_xlfn.IFS(_xlpm._text="","",_xlpm._color="",_xlpm._text,TRUE,_xlfn.CONCAT("&lt;color=",_xlpm._color,"&gt;",_xlpm._text,"&lt;/color&gt;")))</f>
        <v>&lt;color=orange&gt;晴转大雨&lt;/color&gt;</v>
      </c>
      <c r="L19" s="59" t="str" cm="1">
        <f t="array" ref="L19">_xlfn.LET(_xlpm._text,tb_weather_info_08[[#This Row],[10_raw_text]],
_xlpm._color,tb_weather_info_08[[#This Row],[10_color]],
_xlfn.IFS(_xlpm._text="","",_xlpm._color="",_xlpm._text,TRUE,_xlfn.CONCAT("&lt;color=",_xlpm._color,"&gt;",_xlpm._text,"&lt;/color&gt;")))</f>
        <v>&lt;color=orange&gt;阴转大雨&lt;/color&gt;</v>
      </c>
      <c r="M19" s="59" t="str" cm="1">
        <f t="array" ref="M19">_xlfn.LET(_xlpm._text,tb_weather_info_08[[#This Row],[11_raw_text]],
_xlpm._color,tb_weather_info_08[[#This Row],[11_color]],
_xlfn.IFS(_xlpm._text="","",_xlpm._color="",_xlpm._text,TRUE,_xlfn.CONCAT("&lt;color=",_xlpm._color,"&gt;",_xlpm._text,"&lt;/color&gt;")))</f>
        <v>&lt;color=orange&gt;小雨渐大&lt;/color&gt;</v>
      </c>
      <c r="N19" s="59" t="str" cm="1">
        <f t="array" ref="N19">_xlfn.LET(_xlpm._text,tb_weather_info_08[[#This Row],[12_raw_text]],
_xlpm._color,tb_weather_info_08[[#This Row],[12_color]],
_xlfn.IFS(_xlpm._text="","",_xlpm._color="",_xlpm._text,TRUE,_xlfn.CONCAT("&lt;color=",_xlpm._color,"&gt;",_xlpm._text,"&lt;/color&gt;")))</f>
        <v>&lt;color=orange&gt;大雨倾盆&lt;/color&gt;</v>
      </c>
      <c r="O19" s="59" t="str" cm="1">
        <f t="array" ref="O19">_xlfn.LET(_xlpm._text,tb_weather_info_08[[#This Row],[13_raw_text]],
_xlpm._color,tb_weather_info_08[[#This Row],[13_color]],
_xlfn.IFS(_xlpm._text="","",_xlpm._color="",_xlpm._text,TRUE,_xlfn.CONCAT("&lt;color=",_xlpm._color,"&gt;",_xlpm._text,"&lt;/color&gt;")))</f>
        <v/>
      </c>
      <c r="P19" s="59" t="s">
        <v>657</v>
      </c>
      <c r="Q19" s="59" t="s">
        <v>658</v>
      </c>
      <c r="R19" s="59" t="s">
        <v>659</v>
      </c>
      <c r="S19" s="59" t="s">
        <v>660</v>
      </c>
      <c r="T19" s="78"/>
      <c r="U19" s="59" t="s">
        <v>716</v>
      </c>
      <c r="V19" s="59" t="s">
        <v>716</v>
      </c>
      <c r="W19" s="59" t="s">
        <v>716</v>
      </c>
      <c r="X19" s="59" t="s">
        <v>716</v>
      </c>
      <c r="Y19" s="59"/>
    </row>
    <row r="20" spans="1:25">
      <c r="A20" s="5">
        <v>4</v>
      </c>
      <c r="B20" s="5" t="str">
        <f t="shared" si="0"/>
        <v>4,5</v>
      </c>
      <c r="C20" s="80" t="s">
        <v>604</v>
      </c>
      <c r="D20" s="77">
        <v>100</v>
      </c>
      <c r="E20" s="77">
        <v>50</v>
      </c>
      <c r="F20" s="77">
        <v>0</v>
      </c>
      <c r="G20" s="78"/>
      <c r="H20" s="78"/>
      <c r="J20" s="80" t="s">
        <v>646</v>
      </c>
      <c r="K20" s="59" t="str" cm="1">
        <f t="array" ref="K20">_xlfn.LET(_xlpm._text,tb_weather_info_08[[#This Row],[0_raw_text]],
_xlpm._color,tb_weather_info_08[[#This Row],[0_color]],
_xlfn.IFS(_xlpm._text="","",_xlpm._color="",_xlpm._text,TRUE,_xlfn.CONCAT("&lt;color=",_xlpm._color,"&gt;",_xlpm._text,"&lt;/color&gt;")))</f>
        <v>&lt;color=red&gt;晴转雷暴雨&lt;/color&gt;</v>
      </c>
      <c r="L20" s="59" t="str" cm="1">
        <f t="array" ref="L20">_xlfn.LET(_xlpm._text,tb_weather_info_08[[#This Row],[10_raw_text]],
_xlpm._color,tb_weather_info_08[[#This Row],[10_color]],
_xlfn.IFS(_xlpm._text="","",_xlpm._color="",_xlpm._text,TRUE,_xlfn.CONCAT("&lt;color=",_xlpm._color,"&gt;",_xlpm._text,"&lt;/color&gt;")))</f>
        <v>&lt;color=red&gt;阴转雷暴雨&lt;/color&gt;</v>
      </c>
      <c r="M20" s="59" t="str" cm="1">
        <f t="array" ref="M20">_xlfn.LET(_xlpm._text,tb_weather_info_08[[#This Row],[11_raw_text]],
_xlpm._color,tb_weather_info_08[[#This Row],[11_color]],
_xlfn.IFS(_xlpm._text="","",_xlpm._color="",_xlpm._text,TRUE,_xlfn.CONCAT("&lt;color=",_xlpm._color,"&gt;",_xlpm._text,"&lt;/color&gt;")))</f>
        <v>&lt;color=red&gt;小雨转雷暴雨&lt;/color&gt;</v>
      </c>
      <c r="N20" s="59" t="str" cm="1">
        <f t="array" ref="N20">_xlfn.LET(_xlpm._text,tb_weather_info_08[[#This Row],[12_raw_text]],
_xlpm._color,tb_weather_info_08[[#This Row],[12_color]],
_xlfn.IFS(_xlpm._text="","",_xlpm._color="",_xlpm._text,TRUE,_xlfn.CONCAT("&lt;color=",_xlpm._color,"&gt;",_xlpm._text,"&lt;/color&gt;")))</f>
        <v>&lt;color=red&gt;大雨转雷暴雨&lt;/color&gt;</v>
      </c>
      <c r="O20" s="59" t="str" cm="1">
        <f t="array" ref="O20">_xlfn.LET(_xlpm._text,tb_weather_info_08[[#This Row],[13_raw_text]],
_xlpm._color,tb_weather_info_08[[#This Row],[13_color]],
_xlfn.IFS(_xlpm._text="","",_xlpm._color="",_xlpm._text,TRUE,_xlfn.CONCAT("&lt;color=",_xlpm._color,"&gt;",_xlpm._text,"&lt;/color&gt;")))</f>
        <v>&lt;color=purple&gt;雷暴雨&lt;/color&gt;</v>
      </c>
      <c r="P20" s="59" t="s">
        <v>661</v>
      </c>
      <c r="Q20" s="59" t="s">
        <v>662</v>
      </c>
      <c r="R20" s="59" t="s">
        <v>665</v>
      </c>
      <c r="S20" s="59" t="s">
        <v>663</v>
      </c>
      <c r="T20" s="59" t="s">
        <v>664</v>
      </c>
      <c r="U20" s="59" t="s">
        <v>715</v>
      </c>
      <c r="V20" s="59" t="s">
        <v>715</v>
      </c>
      <c r="W20" s="59" t="s">
        <v>715</v>
      </c>
      <c r="X20" s="59" t="s">
        <v>715</v>
      </c>
      <c r="Y20" s="59" t="s">
        <v>719</v>
      </c>
    </row>
    <row r="21" spans="1:25">
      <c r="A21" s="5">
        <v>5</v>
      </c>
      <c r="B21" s="5" t="str">
        <f t="shared" si="0"/>
        <v>5,6</v>
      </c>
      <c r="C21" s="80" t="s">
        <v>604</v>
      </c>
      <c r="D21" s="77">
        <v>100</v>
      </c>
      <c r="E21" s="77">
        <v>50</v>
      </c>
      <c r="F21" s="77">
        <v>50</v>
      </c>
      <c r="G21" s="78"/>
      <c r="H21" s="78"/>
      <c r="J21" s="80" t="s">
        <v>647</v>
      </c>
      <c r="K21" s="59" t="str" cm="1">
        <f t="array" ref="K21">_xlfn.LET(_xlpm._text,tb_weather_info_08[[#This Row],[0_raw_text]],
_xlpm._color,tb_weather_info_08[[#This Row],[0_color]],
_xlfn.IFS(_xlpm._text="","",_xlpm._color="",_xlpm._text,TRUE,_xlfn.CONCAT("&lt;color=",_xlpm._color,"&gt;",_xlpm._text,"&lt;/color&gt;")))</f>
        <v/>
      </c>
      <c r="L21" s="59" t="str" cm="1">
        <f t="array" ref="L21">_xlfn.LET(_xlpm._text,tb_weather_info_08[[#This Row],[10_raw_text]],
_xlpm._color,tb_weather_info_08[[#This Row],[10_color]],
_xlfn.IFS(_xlpm._text="","",_xlpm._color="",_xlpm._text,TRUE,_xlfn.CONCAT("&lt;color=",_xlpm._color,"&gt;",_xlpm._text,"&lt;/color&gt;")))</f>
        <v>&lt;color=red&gt;阴转雷暴雨&lt;/color&gt;</v>
      </c>
      <c r="M21" s="59" t="str" cm="1">
        <f t="array" ref="M21">_xlfn.LET(_xlpm._text,tb_weather_info_08[[#This Row],[11_raw_text]],
_xlpm._color,tb_weather_info_08[[#This Row],[11_color]],
_xlfn.IFS(_xlpm._text="","",_xlpm._color="",_xlpm._text,TRUE,_xlfn.CONCAT("&lt;color=",_xlpm._color,"&gt;",_xlpm._text,"&lt;/color&gt;")))</f>
        <v>&lt;color=red&gt;小雨转雷暴雨&lt;/color&gt;</v>
      </c>
      <c r="N21" s="59" t="str" cm="1">
        <f t="array" ref="N21">_xlfn.LET(_xlpm._text,tb_weather_info_08[[#This Row],[12_raw_text]],
_xlpm._color,tb_weather_info_08[[#This Row],[12_color]],
_xlfn.IFS(_xlpm._text="","",_xlpm._color="",_xlpm._text,TRUE,_xlfn.CONCAT("&lt;color=",_xlpm._color,"&gt;",_xlpm._text,"&lt;/color&gt;")))</f>
        <v>&lt;color=red&gt;大雨转雷暴雨&lt;/color&gt;</v>
      </c>
      <c r="O21" s="59" t="str" cm="1">
        <f t="array" ref="O21">_xlfn.LET(_xlpm._text,tb_weather_info_08[[#This Row],[13_raw_text]],
_xlpm._color,tb_weather_info_08[[#This Row],[13_color]],
_xlfn.IFS(_xlpm._text="","",_xlpm._color="",_xlpm._text,TRUE,_xlfn.CONCAT("&lt;color=",_xlpm._color,"&gt;",_xlpm._text,"&lt;/color&gt;")))</f>
        <v>&lt;color=purple&gt;雷暴雨&lt;/color&gt;</v>
      </c>
      <c r="P21" s="78"/>
      <c r="Q21" s="59" t="s">
        <v>662</v>
      </c>
      <c r="R21" s="59" t="s">
        <v>665</v>
      </c>
      <c r="S21" s="59" t="s">
        <v>663</v>
      </c>
      <c r="T21" s="59" t="s">
        <v>664</v>
      </c>
      <c r="U21" s="59"/>
      <c r="V21" s="59" t="s">
        <v>715</v>
      </c>
      <c r="W21" s="59" t="s">
        <v>715</v>
      </c>
      <c r="X21" s="59" t="s">
        <v>715</v>
      </c>
      <c r="Y21" s="59" t="s">
        <v>719</v>
      </c>
    </row>
    <row r="22" spans="1:25">
      <c r="A22" s="5">
        <v>6</v>
      </c>
      <c r="B22" s="5" t="str">
        <f t="shared" si="0"/>
        <v>6,7</v>
      </c>
      <c r="C22" s="89" t="s">
        <v>605</v>
      </c>
      <c r="D22" s="77">
        <v>100</v>
      </c>
      <c r="E22" s="77">
        <v>50</v>
      </c>
      <c r="F22" s="77">
        <v>50</v>
      </c>
      <c r="G22" s="77">
        <v>0</v>
      </c>
      <c r="H22" s="78"/>
      <c r="J22" s="80" t="s">
        <v>648</v>
      </c>
      <c r="K22" s="59" t="str" cm="1">
        <f t="array" ref="K22">_xlfn.LET(_xlpm._text,tb_weather_info_08[[#This Row],[0_raw_text]],
_xlpm._color,tb_weather_info_08[[#This Row],[0_color]],
_xlfn.IFS(_xlpm._text="","",_xlpm._color="",_xlpm._text,TRUE,_xlfn.CONCAT("&lt;color=",_xlpm._color,"&gt;",_xlpm._text,"&lt;/color&gt;")))</f>
        <v/>
      </c>
      <c r="L22" s="59" t="str" cm="1">
        <f t="array" ref="L22">_xlfn.LET(_xlpm._text,tb_weather_info_08[[#This Row],[10_raw_text]],
_xlpm._color,tb_weather_info_08[[#This Row],[10_color]],
_xlfn.IFS(_xlpm._text="","",_xlpm._color="",_xlpm._text,TRUE,_xlfn.CONCAT("&lt;color=",_xlpm._color,"&gt;",_xlpm._text,"&lt;/color&gt;")))</f>
        <v/>
      </c>
      <c r="M22" s="59" t="str" cm="1">
        <f t="array" ref="M22">_xlfn.LET(_xlpm._text,tb_weather_info_08[[#This Row],[11_raw_text]],
_xlpm._color,tb_weather_info_08[[#This Row],[11_color]],
_xlfn.IFS(_xlpm._text="","",_xlpm._color="",_xlpm._text,TRUE,_xlfn.CONCAT("&lt;color=",_xlpm._color,"&gt;",_xlpm._text,"&lt;/color&gt;")))</f>
        <v>&lt;color=red&gt;小雨转雷暴雨&lt;/color&gt;</v>
      </c>
      <c r="N22" s="59" t="str" cm="1">
        <f t="array" ref="N22">_xlfn.LET(_xlpm._text,tb_weather_info_08[[#This Row],[12_raw_text]],
_xlpm._color,tb_weather_info_08[[#This Row],[12_color]],
_xlfn.IFS(_xlpm._text="","",_xlpm._color="",_xlpm._text,TRUE,_xlfn.CONCAT("&lt;color=",_xlpm._color,"&gt;",_xlpm._text,"&lt;/color&gt;")))</f>
        <v>&lt;color=red&gt;大雨转雷暴雨&lt;/color&gt;</v>
      </c>
      <c r="O22" s="59" t="str" cm="1">
        <f t="array" ref="O22">_xlfn.LET(_xlpm._text,tb_weather_info_08[[#This Row],[13_raw_text]],
_xlpm._color,tb_weather_info_08[[#This Row],[13_color]],
_xlfn.IFS(_xlpm._text="","",_xlpm._color="",_xlpm._text,TRUE,_xlfn.CONCAT("&lt;color=",_xlpm._color,"&gt;",_xlpm._text,"&lt;/color&gt;")))</f>
        <v>&lt;color=purple&gt;雷暴雨&lt;/color&gt;</v>
      </c>
      <c r="P22" s="78"/>
      <c r="Q22" s="78"/>
      <c r="R22" s="59" t="s">
        <v>665</v>
      </c>
      <c r="S22" s="59" t="s">
        <v>663</v>
      </c>
      <c r="T22" s="59" t="s">
        <v>664</v>
      </c>
      <c r="U22" s="59"/>
      <c r="V22" s="59"/>
      <c r="W22" s="59" t="s">
        <v>715</v>
      </c>
      <c r="X22" s="59" t="s">
        <v>715</v>
      </c>
      <c r="Y22" s="59" t="s">
        <v>719</v>
      </c>
    </row>
    <row r="23" spans="1:25">
      <c r="A23" s="5">
        <v>7</v>
      </c>
      <c r="B23" s="5" t="str">
        <f t="shared" si="0"/>
        <v>7,8</v>
      </c>
      <c r="C23" s="89" t="s">
        <v>605</v>
      </c>
      <c r="D23" s="77">
        <v>100</v>
      </c>
      <c r="E23" s="77">
        <v>50</v>
      </c>
      <c r="F23" s="77">
        <v>50</v>
      </c>
      <c r="G23" s="77">
        <v>50</v>
      </c>
      <c r="H23" s="78"/>
      <c r="J23" s="80" t="s">
        <v>649</v>
      </c>
      <c r="K23" s="59" t="str" cm="1">
        <f t="array" ref="K23">_xlfn.LET(_xlpm._text,tb_weather_info_08[[#This Row],[0_raw_text]],
_xlpm._color,tb_weather_info_08[[#This Row],[0_color]],
_xlfn.IFS(_xlpm._text="","",_xlpm._color="",_xlpm._text,TRUE,_xlfn.CONCAT("&lt;color=",_xlpm._color,"&gt;",_xlpm._text,"&lt;/color&gt;")))</f>
        <v/>
      </c>
      <c r="L23" s="59" t="str" cm="1">
        <f t="array" ref="L23">_xlfn.LET(_xlpm._text,tb_weather_info_08[[#This Row],[10_raw_text]],
_xlpm._color,tb_weather_info_08[[#This Row],[10_color]],
_xlfn.IFS(_xlpm._text="","",_xlpm._color="",_xlpm._text,TRUE,_xlfn.CONCAT("&lt;color=",_xlpm._color,"&gt;",_xlpm._text,"&lt;/color&gt;")))</f>
        <v/>
      </c>
      <c r="M23" s="59" t="str" cm="1">
        <f t="array" ref="M23">_xlfn.LET(_xlpm._text,tb_weather_info_08[[#This Row],[11_raw_text]],
_xlpm._color,tb_weather_info_08[[#This Row],[11_color]],
_xlfn.IFS(_xlpm._text="","",_xlpm._color="",_xlpm._text,TRUE,_xlfn.CONCAT("&lt;color=",_xlpm._color,"&gt;",_xlpm._text,"&lt;/color&gt;")))</f>
        <v/>
      </c>
      <c r="N23" s="59" t="str" cm="1">
        <f t="array" ref="N23">_xlfn.LET(_xlpm._text,tb_weather_info_08[[#This Row],[12_raw_text]],
_xlpm._color,tb_weather_info_08[[#This Row],[12_color]],
_xlfn.IFS(_xlpm._text="","",_xlpm._color="",_xlpm._text,TRUE,_xlfn.CONCAT("&lt;color=",_xlpm._color,"&gt;",_xlpm._text,"&lt;/color&gt;")))</f>
        <v>&lt;color=red&gt;大雨转雷暴雨&lt;/color&gt;</v>
      </c>
      <c r="O23" s="59" t="str" cm="1">
        <f t="array" ref="O23">_xlfn.LET(_xlpm._text,tb_weather_info_08[[#This Row],[13_raw_text]],
_xlpm._color,tb_weather_info_08[[#This Row],[13_color]],
_xlfn.IFS(_xlpm._text="","",_xlpm._color="",_xlpm._text,TRUE,_xlfn.CONCAT("&lt;color=",_xlpm._color,"&gt;",_xlpm._text,"&lt;/color&gt;")))</f>
        <v>&lt;color=purple&gt;雷暴雨&lt;/color&gt;</v>
      </c>
      <c r="P23" s="78"/>
      <c r="Q23" s="78"/>
      <c r="R23" s="78"/>
      <c r="S23" s="59" t="s">
        <v>663</v>
      </c>
      <c r="T23" s="59" t="s">
        <v>664</v>
      </c>
      <c r="U23" s="59"/>
      <c r="V23" s="59"/>
      <c r="W23" s="59"/>
      <c r="X23" s="59" t="s">
        <v>715</v>
      </c>
      <c r="Y23" s="59" t="s">
        <v>719</v>
      </c>
    </row>
    <row r="24" spans="1:25">
      <c r="A24" s="5">
        <v>8</v>
      </c>
      <c r="B24" s="5" t="str">
        <f t="shared" si="0"/>
        <v>8,9</v>
      </c>
      <c r="C24" s="80" t="s">
        <v>606</v>
      </c>
      <c r="D24" s="77">
        <v>100</v>
      </c>
      <c r="E24" s="77">
        <v>50</v>
      </c>
      <c r="F24" s="77">
        <v>50</v>
      </c>
      <c r="G24" s="77">
        <v>50</v>
      </c>
      <c r="H24" s="77">
        <v>0</v>
      </c>
      <c r="J24" s="80" t="s">
        <v>650</v>
      </c>
      <c r="K24" s="59" t="str" cm="1">
        <f t="array" ref="K24">_xlfn.LET(_xlpm._text,tb_weather_info_08[[#This Row],[0_raw_text]],
_xlpm._color,tb_weather_info_08[[#This Row],[0_color]],
_xlfn.IFS(_xlpm._text="","",_xlpm._color="",_xlpm._text,TRUE,_xlfn.CONCAT("&lt;color=",_xlpm._color,"&gt;",_xlpm._text,"&lt;/color&gt;")))</f>
        <v/>
      </c>
      <c r="L24" s="59" t="str" cm="1">
        <f t="array" ref="L24">_xlfn.LET(_xlpm._text,tb_weather_info_08[[#This Row],[10_raw_text]],
_xlpm._color,tb_weather_info_08[[#This Row],[10_color]],
_xlfn.IFS(_xlpm._text="","",_xlpm._color="",_xlpm._text,TRUE,_xlfn.CONCAT("&lt;color=",_xlpm._color,"&gt;",_xlpm._text,"&lt;/color&gt;")))</f>
        <v/>
      </c>
      <c r="M24" s="59" t="str" cm="1">
        <f t="array" ref="M24">_xlfn.LET(_xlpm._text,tb_weather_info_08[[#This Row],[11_raw_text]],
_xlpm._color,tb_weather_info_08[[#This Row],[11_color]],
_xlfn.IFS(_xlpm._text="","",_xlpm._color="",_xlpm._text,TRUE,_xlfn.CONCAT("&lt;color=",_xlpm._color,"&gt;",_xlpm._text,"&lt;/color&gt;")))</f>
        <v/>
      </c>
      <c r="N24" s="59" t="str" cm="1">
        <f t="array" ref="N24">_xlfn.LET(_xlpm._text,tb_weather_info_08[[#This Row],[12_raw_text]],
_xlpm._color,tb_weather_info_08[[#This Row],[12_color]],
_xlfn.IFS(_xlpm._text="","",_xlpm._color="",_xlpm._text,TRUE,_xlfn.CONCAT("&lt;color=",_xlpm._color,"&gt;",_xlpm._text,"&lt;/color&gt;")))</f>
        <v/>
      </c>
      <c r="O24" s="59" t="str" cm="1">
        <f t="array" ref="O24">_xlfn.LET(_xlpm._text,tb_weather_info_08[[#This Row],[13_raw_text]],
_xlpm._color,tb_weather_info_08[[#This Row],[13_color]],
_xlfn.IFS(_xlpm._text="","",_xlpm._color="",_xlpm._text,TRUE,_xlfn.CONCAT("&lt;color=",_xlpm._color,"&gt;",_xlpm._text,"&lt;/color&gt;")))</f>
        <v>&lt;color=purple&gt;雷暴雨&lt;/color&gt;</v>
      </c>
      <c r="P24" s="78"/>
      <c r="Q24" s="78"/>
      <c r="R24" s="78"/>
      <c r="S24" s="78"/>
      <c r="T24" s="59" t="s">
        <v>664</v>
      </c>
      <c r="U24" s="59"/>
      <c r="V24" s="59"/>
      <c r="W24" s="59"/>
      <c r="X24" s="59"/>
      <c r="Y24" s="59" t="s">
        <v>719</v>
      </c>
    </row>
    <row r="25" spans="1:25">
      <c r="A25" s="5">
        <v>9</v>
      </c>
      <c r="B25" s="5" t="str">
        <f t="shared" si="0"/>
        <v>9,10</v>
      </c>
      <c r="C25" s="80" t="s">
        <v>606</v>
      </c>
      <c r="D25" s="77">
        <v>50</v>
      </c>
      <c r="E25" s="77">
        <v>50</v>
      </c>
      <c r="F25" s="77">
        <v>50</v>
      </c>
      <c r="G25" s="77">
        <v>50</v>
      </c>
      <c r="H25" s="77">
        <v>0</v>
      </c>
    </row>
    <row r="26" spans="1:25">
      <c r="A26" s="5">
        <v>10</v>
      </c>
      <c r="B26" s="5" t="str">
        <f t="shared" si="0"/>
        <v>10,11</v>
      </c>
      <c r="C26" s="80" t="s">
        <v>606</v>
      </c>
      <c r="D26" s="77">
        <v>50</v>
      </c>
      <c r="E26" s="77">
        <v>50</v>
      </c>
      <c r="F26" s="77">
        <v>50</v>
      </c>
      <c r="G26" s="77">
        <v>50</v>
      </c>
      <c r="H26" s="77">
        <v>50</v>
      </c>
    </row>
    <row r="27" spans="1:25">
      <c r="A27" s="5">
        <v>11</v>
      </c>
      <c r="B27" s="5" t="str">
        <f t="shared" si="0"/>
        <v>11,12</v>
      </c>
      <c r="C27" s="80" t="s">
        <v>606</v>
      </c>
      <c r="D27" s="77">
        <v>50</v>
      </c>
      <c r="E27" s="77">
        <v>100</v>
      </c>
      <c r="F27" s="77">
        <v>100</v>
      </c>
      <c r="G27" s="77">
        <v>100</v>
      </c>
      <c r="H27" s="77">
        <v>100</v>
      </c>
    </row>
    <row r="28" spans="1:25">
      <c r="A28" s="5">
        <v>12</v>
      </c>
      <c r="B28" s="5" t="str">
        <f t="shared" si="0"/>
        <v>12,13</v>
      </c>
      <c r="C28" s="80" t="s">
        <v>606</v>
      </c>
      <c r="D28" s="77">
        <v>50</v>
      </c>
      <c r="E28" s="77">
        <v>50</v>
      </c>
      <c r="F28" s="77">
        <v>100</v>
      </c>
      <c r="G28" s="77">
        <v>100</v>
      </c>
      <c r="H28" s="77">
        <v>100</v>
      </c>
    </row>
    <row r="29" spans="1:25">
      <c r="A29" s="5">
        <v>13</v>
      </c>
      <c r="B29" s="5" t="str">
        <f t="shared" si="0"/>
        <v>13,14</v>
      </c>
      <c r="C29" s="89" t="s">
        <v>607</v>
      </c>
      <c r="D29" s="78"/>
      <c r="E29" s="77">
        <v>50</v>
      </c>
      <c r="F29" s="77">
        <v>50</v>
      </c>
      <c r="G29" s="77">
        <v>100</v>
      </c>
      <c r="H29" s="77">
        <v>100</v>
      </c>
    </row>
    <row r="30" spans="1:25">
      <c r="A30" s="5">
        <v>14</v>
      </c>
      <c r="B30" s="5" t="str">
        <f t="shared" si="0"/>
        <v>14,15</v>
      </c>
      <c r="C30" s="89" t="s">
        <v>607</v>
      </c>
      <c r="D30" s="78"/>
      <c r="E30" s="77">
        <v>0</v>
      </c>
      <c r="F30" s="77">
        <v>50</v>
      </c>
      <c r="G30" s="77">
        <v>100</v>
      </c>
      <c r="H30" s="77">
        <v>100</v>
      </c>
    </row>
    <row r="31" spans="1:25">
      <c r="A31" s="5">
        <v>15</v>
      </c>
      <c r="B31" s="5" t="str">
        <f t="shared" si="0"/>
        <v>15,16</v>
      </c>
      <c r="C31" s="80" t="s">
        <v>608</v>
      </c>
      <c r="D31" s="78"/>
      <c r="E31" s="78"/>
      <c r="F31" s="77">
        <v>50</v>
      </c>
      <c r="G31" s="77">
        <v>100</v>
      </c>
      <c r="H31" s="77">
        <v>100</v>
      </c>
    </row>
    <row r="32" spans="1:25">
      <c r="A32" s="5">
        <v>16</v>
      </c>
      <c r="B32" s="5" t="str">
        <f t="shared" si="0"/>
        <v>16,17</v>
      </c>
      <c r="C32" s="80" t="s">
        <v>608</v>
      </c>
      <c r="D32" s="78"/>
      <c r="E32" s="78"/>
      <c r="F32" s="77">
        <v>0</v>
      </c>
      <c r="G32" s="77">
        <v>100</v>
      </c>
      <c r="H32" s="77">
        <v>100</v>
      </c>
    </row>
    <row r="33" spans="1:8">
      <c r="A33" s="5">
        <v>17</v>
      </c>
      <c r="B33" s="5" t="str">
        <f t="shared" si="0"/>
        <v>17,18</v>
      </c>
      <c r="C33" s="89" t="s">
        <v>609</v>
      </c>
      <c r="D33" s="78"/>
      <c r="E33" s="78"/>
      <c r="F33" s="78"/>
      <c r="G33" s="77">
        <v>100</v>
      </c>
      <c r="H33" s="77">
        <v>100</v>
      </c>
    </row>
    <row r="34" spans="1:8">
      <c r="A34" s="5">
        <v>18</v>
      </c>
      <c r="B34" s="5" t="str">
        <f t="shared" si="0"/>
        <v>18,19</v>
      </c>
      <c r="C34" s="89" t="s">
        <v>609</v>
      </c>
      <c r="D34" s="78"/>
      <c r="E34" s="78"/>
      <c r="F34" s="78"/>
      <c r="G34" s="77">
        <v>50</v>
      </c>
      <c r="H34" s="77">
        <v>100</v>
      </c>
    </row>
    <row r="35" spans="1:8">
      <c r="A35" s="5">
        <v>19</v>
      </c>
      <c r="B35" s="5" t="str">
        <f t="shared" si="0"/>
        <v>19,20</v>
      </c>
      <c r="C35" s="80" t="s">
        <v>610</v>
      </c>
      <c r="D35" s="78"/>
      <c r="E35" s="78"/>
      <c r="F35" s="78"/>
      <c r="G35" s="78"/>
      <c r="H35" s="77">
        <v>100</v>
      </c>
    </row>
    <row r="36" spans="1:8">
      <c r="A36" s="5">
        <v>20</v>
      </c>
      <c r="B36" s="5">
        <v>20</v>
      </c>
      <c r="C36" s="80" t="s">
        <v>610</v>
      </c>
      <c r="D36" s="78"/>
      <c r="E36" s="78"/>
      <c r="F36" s="78"/>
      <c r="G36" s="78"/>
      <c r="H36" s="77">
        <v>50</v>
      </c>
    </row>
    <row r="37" spans="1:8">
      <c r="B37" s="59"/>
      <c r="C37" s="59"/>
    </row>
  </sheetData>
  <phoneticPr fontId="25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2"/>
  <sheetViews>
    <sheetView workbookViewId="0">
      <pane xSplit="3" ySplit="4" topLeftCell="D128" activePane="bottomRight" state="frozen"/>
      <selection pane="topRight"/>
      <selection pane="bottomLeft"/>
      <selection pane="bottomRight" activeCell="L27" sqref="L27"/>
    </sheetView>
  </sheetViews>
  <sheetFormatPr defaultColWidth="9.125" defaultRowHeight="14.25"/>
  <cols>
    <col min="1" max="1" width="10.25" style="25" customWidth="1"/>
    <col min="2" max="2" width="8.5" style="5" customWidth="1"/>
    <col min="3" max="3" width="17.25" style="26" customWidth="1"/>
    <col min="4" max="4" width="9" style="26" customWidth="1"/>
    <col min="5" max="5" width="3.625" style="26" customWidth="1"/>
    <col min="6" max="6" width="2" style="26" customWidth="1"/>
    <col min="7" max="7" width="11" style="25" customWidth="1"/>
    <col min="8" max="8" width="8.875" style="27" customWidth="1"/>
    <col min="9" max="9" width="4.25" style="27" customWidth="1"/>
    <col min="10" max="10" width="50.125" style="28" customWidth="1"/>
    <col min="11" max="11" width="33.375" style="29" customWidth="1"/>
    <col min="12" max="12" width="13" style="5" customWidth="1"/>
    <col min="13" max="13" width="11.375" style="5" customWidth="1"/>
    <col min="14" max="15" width="10.125" style="5" customWidth="1"/>
    <col min="16" max="17" width="12.75" style="5" customWidth="1"/>
    <col min="18" max="18" width="17.25" style="5" customWidth="1"/>
    <col min="19" max="19" width="35" style="30" customWidth="1"/>
    <col min="20" max="28" width="9.125" style="5"/>
    <col min="29" max="16384" width="9.125" style="23"/>
  </cols>
  <sheetData>
    <row r="1" spans="1:28">
      <c r="A1" s="23" t="s">
        <v>75</v>
      </c>
      <c r="C1" s="5"/>
      <c r="G1" s="5"/>
      <c r="H1" s="26"/>
      <c r="I1" s="26"/>
      <c r="J1" s="23"/>
      <c r="K1" s="5"/>
    </row>
    <row r="2" spans="1:28" s="2" customFormat="1">
      <c r="A2" s="2" t="s">
        <v>76</v>
      </c>
      <c r="B2" s="2" t="s">
        <v>77</v>
      </c>
      <c r="D2" s="31"/>
      <c r="E2" s="31"/>
      <c r="F2" s="31"/>
      <c r="G2" s="2" t="s">
        <v>78</v>
      </c>
      <c r="H2" s="31"/>
      <c r="I2" s="31"/>
      <c r="J2" s="2" t="s">
        <v>79</v>
      </c>
      <c r="L2" s="2" t="s">
        <v>80</v>
      </c>
      <c r="M2" s="2" t="s">
        <v>81</v>
      </c>
      <c r="N2" s="2" t="s">
        <v>82</v>
      </c>
      <c r="O2" s="2" t="s">
        <v>83</v>
      </c>
      <c r="P2" s="2" t="s">
        <v>84</v>
      </c>
      <c r="Q2" s="2" t="s">
        <v>85</v>
      </c>
      <c r="R2" s="2" t="s">
        <v>86</v>
      </c>
      <c r="S2" s="2" t="s">
        <v>87</v>
      </c>
    </row>
    <row r="3" spans="1:28" s="11" customFormat="1">
      <c r="A3" s="11" t="s">
        <v>9</v>
      </c>
      <c r="B3" s="11" t="s">
        <v>9</v>
      </c>
      <c r="D3" s="32"/>
      <c r="E3" s="32"/>
      <c r="F3" s="32"/>
      <c r="G3" s="11" t="s">
        <v>88</v>
      </c>
      <c r="H3" s="32"/>
      <c r="I3" s="32"/>
      <c r="J3" s="11" t="s">
        <v>89</v>
      </c>
      <c r="L3" s="11" t="s">
        <v>90</v>
      </c>
      <c r="M3" s="11" t="s">
        <v>88</v>
      </c>
      <c r="N3" s="11" t="s">
        <v>91</v>
      </c>
      <c r="O3" s="11" t="s">
        <v>91</v>
      </c>
      <c r="P3" s="11" t="s">
        <v>88</v>
      </c>
      <c r="Q3" s="11" t="s">
        <v>88</v>
      </c>
      <c r="R3" s="11" t="s">
        <v>88</v>
      </c>
      <c r="S3" s="11" t="s">
        <v>92</v>
      </c>
    </row>
    <row r="4" spans="1:28" s="4" customFormat="1" ht="51.75" customHeight="1">
      <c r="A4" s="33" t="s">
        <v>93</v>
      </c>
      <c r="B4" s="14" t="s">
        <v>94</v>
      </c>
      <c r="C4" s="13" t="s">
        <v>15</v>
      </c>
      <c r="D4" s="14" t="s">
        <v>95</v>
      </c>
      <c r="E4" s="14" t="s">
        <v>96</v>
      </c>
      <c r="F4" s="14" t="s">
        <v>97</v>
      </c>
      <c r="G4" s="4" t="s">
        <v>98</v>
      </c>
      <c r="H4" s="14" t="s">
        <v>99</v>
      </c>
      <c r="I4" s="14" t="s">
        <v>100</v>
      </c>
      <c r="J4" s="4" t="s">
        <v>101</v>
      </c>
      <c r="K4" s="19" t="s">
        <v>102</v>
      </c>
      <c r="L4" s="4" t="s">
        <v>103</v>
      </c>
      <c r="M4" s="4" t="s">
        <v>104</v>
      </c>
      <c r="N4" s="19" t="s">
        <v>105</v>
      </c>
      <c r="O4" s="19" t="s">
        <v>106</v>
      </c>
      <c r="P4" s="19" t="s">
        <v>107</v>
      </c>
      <c r="Q4" s="19" t="s">
        <v>108</v>
      </c>
      <c r="R4" s="4" t="s">
        <v>109</v>
      </c>
      <c r="S4" s="33" t="s">
        <v>110</v>
      </c>
      <c r="T4" s="19" t="s">
        <v>111</v>
      </c>
      <c r="U4" s="19" t="s">
        <v>112</v>
      </c>
      <c r="V4" s="19" t="s">
        <v>113</v>
      </c>
      <c r="W4" s="19" t="s">
        <v>114</v>
      </c>
      <c r="X4" s="19" t="s">
        <v>115</v>
      </c>
      <c r="Y4" s="19" t="s">
        <v>116</v>
      </c>
      <c r="Z4" s="19" t="s">
        <v>117</v>
      </c>
      <c r="AA4" s="19" t="s">
        <v>118</v>
      </c>
      <c r="AB4" s="19" t="s">
        <v>119</v>
      </c>
    </row>
    <row r="5" spans="1:28">
      <c r="A5" s="25">
        <v>16</v>
      </c>
      <c r="B5" s="5">
        <v>2</v>
      </c>
      <c r="C5" s="34" t="s">
        <v>120</v>
      </c>
      <c r="D5" s="34">
        <v>1</v>
      </c>
      <c r="E5" s="34"/>
      <c r="F5" s="34"/>
      <c r="G5" s="25">
        <v>11</v>
      </c>
      <c r="H5" s="27" t="s">
        <v>121</v>
      </c>
      <c r="I5" s="27" t="s">
        <v>122</v>
      </c>
      <c r="J5" s="35" t="str" cm="1">
        <f t="array" ref="J5">IFERROR(_xlfn.TEXTJOIN(";",1,IF(D5,_xlfn.MAKEARRAY(D5,1,_xlfn.LAMBDA(_xlpm.x,_xlpm.y,K5&amp;"-"&amp;TEXT(_xlpm.x,"00"))),_xlfn.MAP(_xlfn.TEXTSPLIT(E5,{";","；"},,1),_xlfn.LAMBDA(_xlpm.x,K5&amp;"-"&amp;TEXT(_xlpm.x,"00"))))),"")</f>
        <v>ft-winter-11-rnd-grass-01</v>
      </c>
      <c r="K5" s="29" t="str">
        <f>_xlfn.TEXTJOIN("-",1,H5:I5,G5,IF(L5="FixedDistance","fixed","rnd"),C5)</f>
        <v>ft-winter-11-rnd-grass</v>
      </c>
      <c r="L5" s="5" t="s">
        <v>123</v>
      </c>
      <c r="N5" s="5" t="s">
        <v>124</v>
      </c>
      <c r="P5" s="5">
        <f>IF($L5="RndPosition",_xlfn.FORECAST.LINEAR(LN($G5),{0.7;0.98},{1.6094379124341;8.51719319141624}),"")</f>
        <v>0.73195945021007258</v>
      </c>
      <c r="Q5" s="5">
        <f>IF($L5="RndPosition",_xlfn.FORECAST.LINEAR(LN($G5),{0.92;0.2},{1.6094379124341;8.51719319141624}),"")</f>
        <v>0.83781855660267057</v>
      </c>
      <c r="S5" s="30" t="str" cm="1">
        <f t="array" ref="S5">IF(L5="RndPosition",_xlfn.TEXTJOIN(";",1,_xlfn.IFS(ISBLANK(T5:AB5),"",T5:AB5,TRUE,TRUE,FALSE)),"")</f>
        <v/>
      </c>
    </row>
    <row r="6" spans="1:28">
      <c r="A6" s="25">
        <v>16</v>
      </c>
      <c r="B6" s="5">
        <v>3</v>
      </c>
      <c r="C6" s="34" t="s">
        <v>125</v>
      </c>
      <c r="D6" s="34">
        <v>1</v>
      </c>
      <c r="E6" s="34"/>
      <c r="F6" s="34"/>
      <c r="G6" s="25">
        <v>24</v>
      </c>
      <c r="H6" s="27" t="s">
        <v>121</v>
      </c>
      <c r="I6" s="27" t="s">
        <v>122</v>
      </c>
      <c r="J6" s="35" t="str" cm="1">
        <f t="array" ref="J6">IFERROR(_xlfn.TEXTJOIN(";",1,IF(D6,_xlfn.MAKEARRAY(D6,1,_xlfn.LAMBDA(_xlpm.x,_xlpm.y,K6&amp;"-"&amp;TEXT(_xlpm.x,"00"))),_xlfn.MAP(_xlfn.TEXTSPLIT(E6,{";","；"},,1),_xlfn.LAMBDA(_xlpm.x,K6&amp;"-"&amp;TEXT(_xlpm.x,"00"))))),"")</f>
        <v>ft-winter-24-fixed-atm-01</v>
      </c>
      <c r="K6" s="29" t="str">
        <f t="shared" ref="K6:K18" si="0">_xlfn.TEXTJOIN("-",1,H6:I6,G6,IF(L6="FixedDistance","fixed","rnd"),C6)</f>
        <v>ft-winter-24-fixed-atm</v>
      </c>
      <c r="L6" s="5" t="s">
        <v>126</v>
      </c>
      <c r="M6" s="5">
        <v>25.6</v>
      </c>
      <c r="P6" s="5" t="str">
        <f>IF($L6="RndPosition",_xlfn.FORECAST.LINEAR(LN($G6),{0.7;0.98},{1.6094379124341;8.51719319141624}),"")</f>
        <v/>
      </c>
      <c r="Q6" s="5" t="str">
        <f>IF($L6="RndPosition",_xlfn.FORECAST.LINEAR(LN($G6),{0.92;0.2},{1.6094379124341;8.51719319141624}),"")</f>
        <v/>
      </c>
      <c r="S6" s="30" t="str" cm="1">
        <f t="array" ref="S6">IF(L6="RndPosition",_xlfn.TEXTJOIN(";",1,_xlfn.IFS(ISBLANK(T6:AB6),"",T6:AB6,TRUE,TRUE,FALSE)),"")</f>
        <v/>
      </c>
    </row>
    <row r="7" spans="1:28">
      <c r="A7" s="25">
        <v>16</v>
      </c>
      <c r="B7" s="5">
        <v>4</v>
      </c>
      <c r="C7" s="34" t="s">
        <v>127</v>
      </c>
      <c r="D7" s="34">
        <v>1</v>
      </c>
      <c r="E7" s="34"/>
      <c r="F7" s="34"/>
      <c r="G7" s="25">
        <v>60</v>
      </c>
      <c r="H7" s="27" t="s">
        <v>121</v>
      </c>
      <c r="I7" s="27" t="s">
        <v>122</v>
      </c>
      <c r="J7" s="35" t="str" cm="1">
        <f t="array" ref="J7">IFERROR(_xlfn.TEXTJOIN(";",1,IF(D7,_xlfn.MAKEARRAY(D7,1,_xlfn.LAMBDA(_xlpm.x,_xlpm.y,K7&amp;"-"&amp;TEXT(_xlpm.x,"00"))),_xlfn.MAP(_xlfn.TEXTSPLIT(E7,{";","；"},,1),_xlfn.LAMBDA(_xlpm.x,K7&amp;"-"&amp;TEXT(_xlpm.x,"00"))))),"")</f>
        <v>ft-winter-60-fixed-ground-01</v>
      </c>
      <c r="K7" s="29" t="str">
        <f t="shared" si="0"/>
        <v>ft-winter-60-fixed-ground</v>
      </c>
      <c r="L7" s="5" t="s">
        <v>126</v>
      </c>
      <c r="M7" s="5">
        <v>25.6</v>
      </c>
      <c r="P7" s="5" t="str">
        <f>IF($L7="RndPosition",_xlfn.FORECAST.LINEAR(LN($G7),{0.7;0.98},{1.6094379124341;8.51719319141624}),"")</f>
        <v/>
      </c>
      <c r="Q7" s="5" t="str">
        <f>IF($L7="RndPosition",_xlfn.FORECAST.LINEAR(LN($G7),{0.92;0.2},{1.6094379124341;8.51719319141624}),"")</f>
        <v/>
      </c>
      <c r="S7" s="30" t="str" cm="1">
        <f t="array" ref="S7">IF(L7="RndPosition",_xlfn.TEXTJOIN(";",1,_xlfn.IFS(ISBLANK(T7:AB7),"",T7:AB7,TRUE,TRUE,FALSE)),"")</f>
        <v/>
      </c>
    </row>
    <row r="8" spans="1:28">
      <c r="A8" s="25">
        <v>16</v>
      </c>
      <c r="B8" s="5">
        <v>5</v>
      </c>
      <c r="C8" s="34" t="s">
        <v>128</v>
      </c>
      <c r="D8" s="34">
        <v>1</v>
      </c>
      <c r="E8" s="34"/>
      <c r="F8" s="34"/>
      <c r="G8" s="25">
        <v>61</v>
      </c>
      <c r="H8" s="27" t="s">
        <v>121</v>
      </c>
      <c r="I8" s="27" t="s">
        <v>122</v>
      </c>
      <c r="J8" s="35" t="str" cm="1">
        <f t="array" ref="J8">IFERROR(_xlfn.TEXTJOIN(";",1,IF(D8,_xlfn.MAKEARRAY(D8,1,_xlfn.LAMBDA(_xlpm.x,_xlpm.y,K8&amp;"-"&amp;TEXT(_xlpm.x,"00"))),_xlfn.MAP(_xlfn.TEXTSPLIT(E8,{";","；"},,1),_xlfn.LAMBDA(_xlpm.x,K8&amp;"-"&amp;TEXT(_xlpm.x,"00"))))),"")</f>
        <v>ft-winter-61-rnd-tree-01</v>
      </c>
      <c r="K8" s="29" t="str">
        <f t="shared" si="0"/>
        <v>ft-winter-61-rnd-tree</v>
      </c>
      <c r="L8" s="5" t="s">
        <v>123</v>
      </c>
      <c r="N8" s="5" t="s">
        <v>124</v>
      </c>
      <c r="P8" s="5">
        <f>IF($L8="RndPosition",_xlfn.FORECAST.LINEAR(LN($G8),{0.7;0.98},{1.6094379124341;8.51719319141624}),"")</f>
        <v>0.80139358419630979</v>
      </c>
      <c r="Q8" s="5">
        <f>IF($L8="RndPosition",_xlfn.FORECAST.LINEAR(LN($G8),{0.92;0.2},{1.6094379124341;8.51719319141624}),"")</f>
        <v>0.6592736406380606</v>
      </c>
      <c r="S8" s="30" t="str" cm="1">
        <f t="array" ref="S8">IF(L8="RndPosition",_xlfn.TEXTJOIN(";",1,_xlfn.IFS(ISBLANK(T8:AB8),"",T8:AB8,TRUE,TRUE,FALSE)),"")</f>
        <v/>
      </c>
    </row>
    <row r="9" spans="1:28">
      <c r="A9" s="25">
        <v>16</v>
      </c>
      <c r="B9" s="5">
        <v>6</v>
      </c>
      <c r="C9" s="34" t="s">
        <v>127</v>
      </c>
      <c r="D9" s="34">
        <v>1</v>
      </c>
      <c r="E9" s="34"/>
      <c r="F9" s="34"/>
      <c r="G9" s="25">
        <v>100</v>
      </c>
      <c r="H9" s="27" t="s">
        <v>121</v>
      </c>
      <c r="I9" s="27" t="s">
        <v>122</v>
      </c>
      <c r="J9" s="35" t="str" cm="1">
        <f t="array" ref="J9">IFERROR(_xlfn.TEXTJOIN(";",1,IF(D9,_xlfn.MAKEARRAY(D9,1,_xlfn.LAMBDA(_xlpm.x,_xlpm.y,K9&amp;"-"&amp;TEXT(_xlpm.x,"00"))),_xlfn.MAP(_xlfn.TEXTSPLIT(E9,{";","；"},,1),_xlfn.LAMBDA(_xlpm.x,K9&amp;"-"&amp;TEXT(_xlpm.x,"00"))))),"")</f>
        <v>ft-winter-100-fixed-ground-01</v>
      </c>
      <c r="K9" s="29" t="str">
        <f t="shared" si="0"/>
        <v>ft-winter-100-fixed-ground</v>
      </c>
      <c r="L9" s="5" t="s">
        <v>126</v>
      </c>
      <c r="M9" s="5">
        <v>25.6</v>
      </c>
      <c r="P9" s="5" t="str">
        <f>IF($L9="RndPosition",_xlfn.FORECAST.LINEAR(LN($G9),{0.7;0.98},{1.6094379124341;8.51719319141624}),"")</f>
        <v/>
      </c>
      <c r="Q9" s="5" t="str">
        <f>IF($L9="RndPosition",_xlfn.FORECAST.LINEAR(LN($G9),{0.92;0.2},{1.6094379124341;8.51719319141624}),"")</f>
        <v/>
      </c>
      <c r="S9" s="30" t="str" cm="1">
        <f t="array" ref="S9">IF(L9="RndPosition",_xlfn.TEXTJOIN(";",1,_xlfn.IFS(ISBLANK(T9:AB9),"",T9:AB9,TRUE,TRUE,FALSE)),"")</f>
        <v/>
      </c>
    </row>
    <row r="10" spans="1:28">
      <c r="A10" s="25">
        <v>16</v>
      </c>
      <c r="B10" s="5">
        <v>7</v>
      </c>
      <c r="C10" s="34" t="s">
        <v>128</v>
      </c>
      <c r="D10" s="34">
        <v>2</v>
      </c>
      <c r="E10" s="34"/>
      <c r="F10" s="34"/>
      <c r="G10" s="25">
        <v>101</v>
      </c>
      <c r="H10" s="27" t="s">
        <v>121</v>
      </c>
      <c r="I10" s="27" t="s">
        <v>122</v>
      </c>
      <c r="J10" s="35" t="str" cm="1">
        <f t="array" ref="J10">IFERROR(_xlfn.TEXTJOIN(";",1,IF(D10,_xlfn.MAKEARRAY(D10,1,_xlfn.LAMBDA(_xlpm.x,_xlpm.y,K10&amp;"-"&amp;TEXT(_xlpm.x,"00"))),_xlfn.MAP(_xlfn.TEXTSPLIT(E10,{";","；"},,1),_xlfn.LAMBDA(_xlpm.x,K10&amp;"-"&amp;TEXT(_xlpm.x,"00"))))),"")</f>
        <v>ft-winter-101-rnd-tree-01;ft-winter-101-rnd-tree-02</v>
      </c>
      <c r="K10" s="29" t="str">
        <f t="shared" si="0"/>
        <v>ft-winter-101-rnd-tree</v>
      </c>
      <c r="L10" s="5" t="s">
        <v>123</v>
      </c>
      <c r="N10" s="5" t="s">
        <v>124</v>
      </c>
      <c r="P10" s="5">
        <f>IF($L10="RndPosition",_xlfn.FORECAST.LINEAR(LN($G10),{0.7;0.98},{1.6094379124341;8.51719319141624}),"")</f>
        <v>0.82183279448168478</v>
      </c>
      <c r="Q10" s="5">
        <f>IF($L10="RndPosition",_xlfn.FORECAST.LINEAR(LN($G10),{0.92;0.2},{1.6094379124341;8.51719319141624}),"")</f>
        <v>0.60671567133281046</v>
      </c>
      <c r="S10" s="30" t="str" cm="1">
        <f t="array" ref="S10">IF(L10="RndPosition",_xlfn.TEXTJOIN(";",1,_xlfn.IFS(ISBLANK(T10:AB10),"",T10:AB10,TRUE,TRUE,FALSE)),"")</f>
        <v/>
      </c>
    </row>
    <row r="11" spans="1:28">
      <c r="A11" s="25">
        <v>16</v>
      </c>
      <c r="B11" s="5">
        <v>8</v>
      </c>
      <c r="C11" s="34" t="s">
        <v>125</v>
      </c>
      <c r="D11" s="34">
        <v>1</v>
      </c>
      <c r="E11" s="34"/>
      <c r="F11" s="34"/>
      <c r="G11" s="25">
        <v>139</v>
      </c>
      <c r="H11" s="27" t="s">
        <v>121</v>
      </c>
      <c r="I11" s="27" t="s">
        <v>122</v>
      </c>
      <c r="J11" s="35" t="str" cm="1">
        <f t="array" ref="J11">IFERROR(_xlfn.TEXTJOIN(";",1,IF(D11,_xlfn.MAKEARRAY(D11,1,_xlfn.LAMBDA(_xlpm.x,_xlpm.y,K11&amp;"-"&amp;TEXT(_xlpm.x,"00"))),_xlfn.MAP(_xlfn.TEXTSPLIT(E11,{";","；"},,1),_xlfn.LAMBDA(_xlpm.x,K11&amp;"-"&amp;TEXT(_xlpm.x,"00"))))),"")</f>
        <v>ft-winter-139-fixed-atm-01</v>
      </c>
      <c r="K11" s="29" t="str">
        <f t="shared" si="0"/>
        <v>ft-winter-139-fixed-atm</v>
      </c>
      <c r="L11" s="5" t="s">
        <v>126</v>
      </c>
      <c r="M11" s="5">
        <v>25.6</v>
      </c>
      <c r="P11" s="5" t="str">
        <f>IF($L11="RndPosition",_xlfn.FORECAST.LINEAR(LN($G11),{0.7;0.98},{1.6094379124341;8.51719319141624}),"")</f>
        <v/>
      </c>
      <c r="Q11" s="5" t="str">
        <f>IF($L11="RndPosition",_xlfn.FORECAST.LINEAR(LN($G11),{0.92;0.2},{1.6094379124341;8.51719319141624}),"")</f>
        <v/>
      </c>
      <c r="S11" s="30" t="str" cm="1">
        <f t="array" ref="S11">IF(L11="RndPosition",_xlfn.TEXTJOIN(";",1,_xlfn.IFS(ISBLANK(T11:AB11),"",T11:AB11,TRUE,TRUE,FALSE)),"")</f>
        <v/>
      </c>
    </row>
    <row r="12" spans="1:28">
      <c r="A12" s="25">
        <v>16</v>
      </c>
      <c r="B12" s="5">
        <v>9</v>
      </c>
      <c r="C12" s="34" t="s">
        <v>127</v>
      </c>
      <c r="D12" s="34">
        <v>1</v>
      </c>
      <c r="E12" s="34"/>
      <c r="F12" s="34"/>
      <c r="G12" s="25">
        <v>140</v>
      </c>
      <c r="H12" s="27" t="s">
        <v>121</v>
      </c>
      <c r="I12" s="27" t="s">
        <v>122</v>
      </c>
      <c r="J12" s="35" t="str" cm="1">
        <f t="array" ref="J12">IFERROR(_xlfn.TEXTJOIN(";",1,IF(D12,_xlfn.MAKEARRAY(D12,1,_xlfn.LAMBDA(_xlpm.x,_xlpm.y,K12&amp;"-"&amp;TEXT(_xlpm.x,"00"))),_xlfn.MAP(_xlfn.TEXTSPLIT(E12,{";","；"},,1),_xlfn.LAMBDA(_xlpm.x,K12&amp;"-"&amp;TEXT(_xlpm.x,"00"))))),"")</f>
        <v>ft-winter-140-fixed-ground-01</v>
      </c>
      <c r="K12" s="29" t="str">
        <f t="shared" si="0"/>
        <v>ft-winter-140-fixed-ground</v>
      </c>
      <c r="L12" s="5" t="s">
        <v>126</v>
      </c>
      <c r="M12" s="5">
        <v>25.6</v>
      </c>
      <c r="P12" s="5" t="str">
        <f>IF($L12="RndPosition",_xlfn.FORECAST.LINEAR(LN($G12),{0.7;0.98},{1.6094379124341;8.51719319141624}),"")</f>
        <v/>
      </c>
      <c r="Q12" s="5" t="str">
        <f>IF($L12="RndPosition",_xlfn.FORECAST.LINEAR(LN($G12),{0.92;0.2},{1.6094379124341;8.51719319141624}),"")</f>
        <v/>
      </c>
      <c r="S12" s="30" t="str" cm="1">
        <f t="array" ref="S12">IF(L12="RndPosition",_xlfn.TEXTJOIN(";",1,_xlfn.IFS(ISBLANK(T12:AB12),"",T12:AB12,TRUE,TRUE,FALSE)),"")</f>
        <v/>
      </c>
    </row>
    <row r="13" spans="1:28">
      <c r="A13" s="25">
        <v>16</v>
      </c>
      <c r="B13" s="5">
        <v>10</v>
      </c>
      <c r="C13" s="34" t="s">
        <v>128</v>
      </c>
      <c r="D13" s="34">
        <v>2</v>
      </c>
      <c r="E13" s="34"/>
      <c r="F13" s="34"/>
      <c r="G13" s="25">
        <v>141</v>
      </c>
      <c r="H13" s="27" t="s">
        <v>121</v>
      </c>
      <c r="I13" s="27" t="s">
        <v>122</v>
      </c>
      <c r="J13" s="35" t="str" cm="1">
        <f t="array" ref="J13">IFERROR(_xlfn.TEXTJOIN(";",1,IF(D13,_xlfn.MAKEARRAY(D13,1,_xlfn.LAMBDA(_xlpm.x,_xlpm.y,K13&amp;"-"&amp;TEXT(_xlpm.x,"00"))),_xlfn.MAP(_xlfn.TEXTSPLIT(E13,{";","；"},,1),_xlfn.LAMBDA(_xlpm.x,K13&amp;"-"&amp;TEXT(_xlpm.x,"00"))))),"")</f>
        <v>ft-winter-141-rnd-tree-01;ft-winter-141-rnd-tree-02</v>
      </c>
      <c r="K13" s="29" t="str">
        <f t="shared" si="0"/>
        <v>ft-winter-141-rnd-tree</v>
      </c>
      <c r="L13" s="5" t="s">
        <v>123</v>
      </c>
      <c r="N13" s="5" t="s">
        <v>124</v>
      </c>
      <c r="P13" s="5">
        <f>IF($L13="RndPosition",_xlfn.FORECAST.LINEAR(LN($G13),{0.7;0.98},{1.6094379124341;8.51719319141624}),"")</f>
        <v>0.83535658344314023</v>
      </c>
      <c r="Q13" s="5">
        <f>IF($L13="RndPosition",_xlfn.FORECAST.LINEAR(LN($G13),{0.92;0.2},{1.6094379124341;8.51719319141624}),"")</f>
        <v>0.57194021400335349</v>
      </c>
      <c r="S13" s="30" t="str" cm="1">
        <f t="array" ref="S13">IF(L13="RndPosition",_xlfn.TEXTJOIN(";",1,_xlfn.IFS(ISBLANK(T13:AB13),"",T13:AB13,TRUE,TRUE,FALSE)),"")</f>
        <v/>
      </c>
    </row>
    <row r="14" spans="1:28">
      <c r="A14" s="25">
        <v>16</v>
      </c>
      <c r="B14" s="5">
        <v>11</v>
      </c>
      <c r="C14" s="34" t="s">
        <v>129</v>
      </c>
      <c r="D14" s="34">
        <v>1</v>
      </c>
      <c r="E14" s="34"/>
      <c r="F14" s="34"/>
      <c r="G14" s="25">
        <v>450</v>
      </c>
      <c r="H14" s="27" t="s">
        <v>121</v>
      </c>
      <c r="I14" s="27" t="s">
        <v>122</v>
      </c>
      <c r="J14" s="35" t="str" cm="1">
        <f t="array" ref="J14">IFERROR(_xlfn.TEXTJOIN(";",1,IF(D14,_xlfn.MAKEARRAY(D14,1,_xlfn.LAMBDA(_xlpm.x,_xlpm.y,K14&amp;"-"&amp;TEXT(_xlpm.x,"00"))),_xlfn.MAP(_xlfn.TEXTSPLIT(E14,{";","；"},,1),_xlfn.LAMBDA(_xlpm.x,K14&amp;"-"&amp;TEXT(_xlpm.x,"00"))))),"")</f>
        <v>ft-winter-450-rnd-architecture-01</v>
      </c>
      <c r="K14" s="29" t="str">
        <f t="shared" si="0"/>
        <v>ft-winter-450-rnd-architecture</v>
      </c>
      <c r="L14" s="5" t="s">
        <v>123</v>
      </c>
      <c r="N14" s="5" t="s">
        <v>124</v>
      </c>
      <c r="P14" s="5">
        <f>IF($L14="RndPosition",_xlfn.FORECAST.LINEAR(LN($G14),{0.7;0.98},{1.6094379124341;8.51719319141624}),"")</f>
        <v>0.88239596754767025</v>
      </c>
      <c r="Q14" s="5">
        <f>IF($L14="RndPosition",_xlfn.FORECAST.LINEAR(LN($G14),{0.92;0.2},{1.6094379124341;8.51719319141624}),"")</f>
        <v>0.45098179773456226</v>
      </c>
      <c r="S14" s="30" t="str" cm="1">
        <f t="array" ref="S14">IF(L14="RndPosition",_xlfn.TEXTJOIN(";",1,_xlfn.IFS(ISBLANK(T14:AB14),"",T14:AB14,TRUE,TRUE,FALSE)),"")</f>
        <v/>
      </c>
    </row>
    <row r="15" spans="1:28">
      <c r="A15" s="25">
        <v>16</v>
      </c>
      <c r="B15" s="5">
        <v>12</v>
      </c>
      <c r="C15" s="34" t="s">
        <v>130</v>
      </c>
      <c r="D15" s="34">
        <v>1</v>
      </c>
      <c r="E15" s="34"/>
      <c r="F15" s="34"/>
      <c r="G15" s="25">
        <v>700</v>
      </c>
      <c r="H15" s="27" t="s">
        <v>121</v>
      </c>
      <c r="I15" s="27" t="s">
        <v>122</v>
      </c>
      <c r="J15" s="35" t="str" cm="1">
        <f t="array" ref="J15">IFERROR(_xlfn.TEXTJOIN(";",1,IF(D15,_xlfn.MAKEARRAY(D15,1,_xlfn.LAMBDA(_xlpm.x,_xlpm.y,K15&amp;"-"&amp;TEXT(_xlpm.x,"00"))),_xlfn.MAP(_xlfn.TEXTSPLIT(E15,{";","；"},,1),_xlfn.LAMBDA(_xlpm.x,K15&amp;"-"&amp;TEXT(_xlpm.x,"00"))))),"")</f>
        <v>ft-winter-700-fixed-mountain-01</v>
      </c>
      <c r="K15" s="29" t="str">
        <f t="shared" si="0"/>
        <v>ft-winter-700-fixed-mountain</v>
      </c>
      <c r="L15" s="5" t="s">
        <v>126</v>
      </c>
      <c r="M15" s="5">
        <v>25.6</v>
      </c>
      <c r="P15" s="5" t="str">
        <f>IF($L15="RndPosition",_xlfn.FORECAST.LINEAR(LN($G15),{0.7;0.98},{1.6094379124341;8.51719319141624}),"")</f>
        <v/>
      </c>
      <c r="Q15" s="5" t="str">
        <f>IF($L15="RndPosition",_xlfn.FORECAST.LINEAR(LN($G15),{0.92;0.2},{1.6094379124341;8.51719319141624}),"")</f>
        <v/>
      </c>
      <c r="S15" s="30" t="str" cm="1">
        <f t="array" ref="S15">IF(L15="RndPosition",_xlfn.TEXTJOIN(";",1,_xlfn.IFS(ISBLANK(T15:AB15),"",T15:AB15,TRUE,TRUE,FALSE)),"")</f>
        <v/>
      </c>
    </row>
    <row r="16" spans="1:28">
      <c r="A16" s="25">
        <v>16</v>
      </c>
      <c r="B16" s="5">
        <v>13</v>
      </c>
      <c r="C16" s="34" t="s">
        <v>130</v>
      </c>
      <c r="D16" s="34">
        <v>1</v>
      </c>
      <c r="E16" s="34"/>
      <c r="F16" s="34"/>
      <c r="G16" s="25">
        <v>900</v>
      </c>
      <c r="H16" s="27" t="s">
        <v>121</v>
      </c>
      <c r="I16" s="27" t="s">
        <v>122</v>
      </c>
      <c r="J16" s="35" t="str" cm="1">
        <f t="array" ref="J16">IFERROR(_xlfn.TEXTJOIN(";",1,IF(D16,_xlfn.MAKEARRAY(D16,1,_xlfn.LAMBDA(_xlpm.x,_xlpm.y,K16&amp;"-"&amp;TEXT(_xlpm.x,"00"))),_xlfn.MAP(_xlfn.TEXTSPLIT(E16,{";","；"},,1),_xlfn.LAMBDA(_xlpm.x,K16&amp;"-"&amp;TEXT(_xlpm.x,"00"))))),"")</f>
        <v>ft-winter-900-fixed-mountain-01</v>
      </c>
      <c r="K16" s="29" t="str">
        <f t="shared" si="0"/>
        <v>ft-winter-900-fixed-mountain</v>
      </c>
      <c r="L16" s="5" t="s">
        <v>126</v>
      </c>
      <c r="M16" s="5">
        <v>25.6</v>
      </c>
      <c r="P16" s="5" t="str">
        <f>IF($L16="RndPosition",_xlfn.FORECAST.LINEAR(LN($G16),{0.7;0.98},{1.6094379124341;8.51719319141624}),"")</f>
        <v/>
      </c>
      <c r="Q16" s="5" t="str">
        <f>IF($L16="RndPosition",_xlfn.FORECAST.LINEAR(LN($G16),{0.92;0.2},{1.6094379124341;8.51719319141624}),"")</f>
        <v/>
      </c>
      <c r="S16" s="30" t="str" cm="1">
        <f t="array" ref="S16">IF(L16="RndPosition",_xlfn.TEXTJOIN(";",1,_xlfn.IFS(ISBLANK(T16:AB16),"",T16:AB16,TRUE,TRUE,FALSE)),"")</f>
        <v/>
      </c>
    </row>
    <row r="17" spans="1:19">
      <c r="A17" s="25">
        <v>16</v>
      </c>
      <c r="B17" s="5">
        <v>14</v>
      </c>
      <c r="C17" s="34" t="s">
        <v>131</v>
      </c>
      <c r="D17" s="34">
        <v>3</v>
      </c>
      <c r="E17" s="34"/>
      <c r="F17" s="34"/>
      <c r="G17" s="25">
        <v>2000</v>
      </c>
      <c r="H17" s="27" t="s">
        <v>121</v>
      </c>
      <c r="I17" s="27" t="s">
        <v>122</v>
      </c>
      <c r="J17" s="35" t="str" cm="1">
        <f t="array" ref="J17">IFERROR(_xlfn.TEXTJOIN(";",1,IF(D17,_xlfn.MAKEARRAY(D17,1,_xlfn.LAMBDA(_xlpm.x,_xlpm.y,K17&amp;"-"&amp;TEXT(_xlpm.x,"00"))),_xlfn.MAP(_xlfn.TEXTSPLIT(E17,{";","；"},,1),_xlfn.LAMBDA(_xlpm.x,K17&amp;"-"&amp;TEXT(_xlpm.x,"00"))))),"")</f>
        <v>ft-winter-2000-rnd-cloud-01;ft-winter-2000-rnd-cloud-02;ft-winter-2000-rnd-cloud-03</v>
      </c>
      <c r="K17" s="29" t="str">
        <f t="shared" si="0"/>
        <v>ft-winter-2000-rnd-cloud</v>
      </c>
      <c r="L17" s="5" t="s">
        <v>123</v>
      </c>
      <c r="N17" s="5" t="s">
        <v>124</v>
      </c>
      <c r="P17" s="5">
        <f>IF($L17="RndPosition",_xlfn.FORECAST.LINEAR(LN($G17),{0.7;0.98},{1.6094379124341;8.51719319141624}),"")</f>
        <v>0.94285893252394304</v>
      </c>
      <c r="Q17" s="5">
        <f>IF($L17="RndPosition",_xlfn.FORECAST.LINEAR(LN($G17),{0.92;0.2},{1.6094379124341;8.51719319141624}),"")</f>
        <v>0.29550560208128929</v>
      </c>
      <c r="S17" s="30" t="str" cm="1">
        <f t="array" ref="S17">IF(L17="RndPosition",_xlfn.TEXTJOIN(";",1,_xlfn.IFS(ISBLANK(T17:AB17),"",T17:AB17,TRUE,TRUE,FALSE)),"")</f>
        <v/>
      </c>
    </row>
    <row r="18" spans="1:19">
      <c r="A18" s="25">
        <v>16</v>
      </c>
      <c r="B18" s="5">
        <v>15</v>
      </c>
      <c r="C18" s="34" t="s">
        <v>132</v>
      </c>
      <c r="D18" s="34">
        <v>1</v>
      </c>
      <c r="E18" s="34"/>
      <c r="F18" s="34"/>
      <c r="G18" s="25">
        <v>5000</v>
      </c>
      <c r="H18" s="27" t="s">
        <v>121</v>
      </c>
      <c r="I18" s="27" t="s">
        <v>122</v>
      </c>
      <c r="J18" s="35" t="str" cm="1">
        <f t="array" ref="J18">IFERROR(_xlfn.TEXTJOIN(";",1,IF(D18,_xlfn.MAKEARRAY(D18,1,_xlfn.LAMBDA(_xlpm.x,_xlpm.y,K18&amp;"-"&amp;TEXT(_xlpm.x,"00"))),_xlfn.MAP(_xlfn.TEXTSPLIT(E18,{";","；"},,1),_xlfn.LAMBDA(_xlpm.x,K18&amp;"-"&amp;TEXT(_xlpm.x,"00"))))),"")</f>
        <v>ft-winter-5000-fixed-sky-01</v>
      </c>
      <c r="K18" s="29" t="str">
        <f t="shared" si="0"/>
        <v>ft-winter-5000-fixed-sky</v>
      </c>
      <c r="L18" s="5" t="s">
        <v>126</v>
      </c>
      <c r="M18" s="5">
        <v>25.6</v>
      </c>
      <c r="P18" s="5" t="str">
        <f>IF($L18="RndPosition",_xlfn.FORECAST.LINEAR(LN($G18),{0.7;0.98},{1.6094379124341;8.51719319141624}),"")</f>
        <v/>
      </c>
      <c r="Q18" s="5" t="str">
        <f>IF($L18="RndPosition",_xlfn.FORECAST.LINEAR(LN($G18),{0.92;0.2},{1.6094379124341;8.51719319141624}),"")</f>
        <v/>
      </c>
      <c r="S18" s="30" t="str" cm="1">
        <f t="array" ref="S18">IF(L18="RndPosition",_xlfn.TEXTJOIN(";",1,_xlfn.IFS(ISBLANK(T18:AB18),"",T18:AB18,TRUE,TRUE,FALSE)),"")</f>
        <v/>
      </c>
    </row>
    <row r="19" spans="1:19">
      <c r="C19" s="34"/>
      <c r="D19" s="34"/>
      <c r="E19" s="34"/>
      <c r="F19" s="34"/>
      <c r="J19" s="35"/>
    </row>
    <row r="20" spans="1:19">
      <c r="C20" s="34"/>
      <c r="D20" s="34"/>
      <c r="E20" s="34"/>
      <c r="F20" s="34"/>
      <c r="J20" s="35"/>
    </row>
    <row r="21" spans="1:19">
      <c r="A21" s="35">
        <v>42011</v>
      </c>
      <c r="B21" s="5">
        <v>1</v>
      </c>
      <c r="C21" s="34" t="s">
        <v>133</v>
      </c>
      <c r="D21" s="34">
        <v>1</v>
      </c>
      <c r="E21" s="34"/>
      <c r="F21" s="34"/>
      <c r="G21" s="25">
        <v>15</v>
      </c>
      <c r="H21" s="27" t="s">
        <v>134</v>
      </c>
      <c r="J21" s="35" t="str" cm="1">
        <f t="array" ref="J21">IFERROR(_xlfn.TEXTJOIN(";",1,IF(D21,_xlfn.MAKEARRAY(D21,1,_xlfn.LAMBDA(_xlpm.x,_xlpm.y,K21&amp;"-"&amp;TEXT(_xlpm.x,"00"))),_xlfn.MAP(_xlfn.TEXTSPLIT(E21,{";","；"},,1),_xlfn.LAMBDA(_xlpm.x,K21&amp;"-"&amp;TEXT(_xlpm.x,"00"))))),"")</f>
        <v>1a-15-rnd-obj-01</v>
      </c>
      <c r="K21" s="29" t="str">
        <f>_xlfn.TEXTJOIN("-",1,H21:I21,G21,IF(L21="FixedDistance","fixed","rnd"),C21)</f>
        <v>1a-15-rnd-obj</v>
      </c>
      <c r="L21" s="5" t="s">
        <v>123</v>
      </c>
      <c r="N21" s="5" t="s">
        <v>135</v>
      </c>
    </row>
    <row r="22" spans="1:19">
      <c r="A22" s="35">
        <v>42011</v>
      </c>
      <c r="B22" s="5">
        <v>2</v>
      </c>
      <c r="C22" s="34" t="s">
        <v>136</v>
      </c>
      <c r="D22" s="34">
        <v>3</v>
      </c>
      <c r="E22" s="34"/>
      <c r="F22" s="34"/>
      <c r="G22" s="25">
        <v>20</v>
      </c>
      <c r="H22" s="27" t="s">
        <v>134</v>
      </c>
      <c r="J22" s="35" t="str" cm="1">
        <f t="array" ref="J22">IFERROR(_xlfn.TEXTJOIN(";",1,IF(D22,_xlfn.MAKEARRAY(D22,1,_xlfn.LAMBDA(_xlpm.x,_xlpm.y,K22&amp;"-"&amp;TEXT(_xlpm.x,"00"))),_xlfn.MAP(_xlfn.TEXTSPLIT(E22,{";","；"},,1),_xlfn.LAMBDA(_xlpm.x,K22&amp;"-"&amp;TEXT(_xlpm.x,"00"))))),"")</f>
        <v>1a-20-rnd-stone-01;1a-20-rnd-stone-02;1a-20-rnd-stone-03</v>
      </c>
      <c r="K22" s="29" t="str">
        <f t="shared" ref="K22:K51" si="1">_xlfn.TEXTJOIN("-",1,H22:I22,G22,IF(L22="FixedDistance","fixed","rnd"),C22)</f>
        <v>1a-20-rnd-stone</v>
      </c>
      <c r="L22" s="5" t="s">
        <v>123</v>
      </c>
      <c r="N22" s="5" t="s">
        <v>137</v>
      </c>
    </row>
    <row r="23" spans="1:19">
      <c r="A23" s="35">
        <v>42011</v>
      </c>
      <c r="B23" s="5">
        <v>3</v>
      </c>
      <c r="C23" s="34" t="s">
        <v>125</v>
      </c>
      <c r="D23" s="34">
        <v>1</v>
      </c>
      <c r="E23" s="34"/>
      <c r="F23" s="34"/>
      <c r="G23" s="25">
        <v>22</v>
      </c>
      <c r="H23" s="27" t="s">
        <v>134</v>
      </c>
      <c r="J23" s="35" t="str" cm="1">
        <f t="array" ref="J23">IFERROR(_xlfn.TEXTJOIN(";",1,IF(D23,_xlfn.MAKEARRAY(D23,1,_xlfn.LAMBDA(_xlpm.x,_xlpm.y,K23&amp;"-"&amp;TEXT(_xlpm.x,"00"))),_xlfn.MAP(_xlfn.TEXTSPLIT(E23,{";","；"},,1),_xlfn.LAMBDA(_xlpm.x,K23&amp;"-"&amp;TEXT(_xlpm.x,"00"))))),"")</f>
        <v>1a-22-fixed-atm-01</v>
      </c>
      <c r="K23" s="29" t="str">
        <f t="shared" si="1"/>
        <v>1a-22-fixed-atm</v>
      </c>
      <c r="L23" s="5" t="s">
        <v>126</v>
      </c>
      <c r="M23" s="5">
        <v>25.6</v>
      </c>
    </row>
    <row r="24" spans="1:19">
      <c r="A24" s="35">
        <v>42011</v>
      </c>
      <c r="B24" s="5">
        <v>4</v>
      </c>
      <c r="C24" s="34" t="s">
        <v>136</v>
      </c>
      <c r="D24" s="34">
        <v>6</v>
      </c>
      <c r="E24" s="34"/>
      <c r="F24" s="34"/>
      <c r="G24" s="25">
        <v>35</v>
      </c>
      <c r="H24" s="27" t="s">
        <v>134</v>
      </c>
      <c r="J24" s="35" t="str" cm="1">
        <f t="array" ref="J24">IFERROR(_xlfn.TEXTJOIN(";",1,IF(D24,_xlfn.MAKEARRAY(D24,1,_xlfn.LAMBDA(_xlpm.x,_xlpm.y,K24&amp;"-"&amp;TEXT(_xlpm.x,"00"))),_xlfn.MAP(_xlfn.TEXTSPLIT(E24,{";","；"},,1),_xlfn.LAMBDA(_xlpm.x,K24&amp;"-"&amp;TEXT(_xlpm.x,"00"))))),"")</f>
        <v>1a-35-rnd-stone-01;1a-35-rnd-stone-02;1a-35-rnd-stone-03;1a-35-rnd-stone-04;1a-35-rnd-stone-05;1a-35-rnd-stone-06</v>
      </c>
      <c r="K24" s="29" t="str">
        <f t="shared" si="1"/>
        <v>1a-35-rnd-stone</v>
      </c>
      <c r="L24" s="5" t="s">
        <v>123</v>
      </c>
      <c r="N24" s="5" t="s">
        <v>138</v>
      </c>
    </row>
    <row r="25" spans="1:19">
      <c r="A25" s="35">
        <v>42011</v>
      </c>
      <c r="B25" s="5">
        <v>5</v>
      </c>
      <c r="C25" s="34" t="s">
        <v>136</v>
      </c>
      <c r="D25" s="34">
        <v>3</v>
      </c>
      <c r="E25" s="34"/>
      <c r="F25" s="34"/>
      <c r="G25" s="25">
        <v>43</v>
      </c>
      <c r="H25" s="27" t="s">
        <v>134</v>
      </c>
      <c r="J25" s="35" t="str" cm="1">
        <f t="array" ref="J25">IFERROR(_xlfn.TEXTJOIN(";",1,IF(D25,_xlfn.MAKEARRAY(D25,1,_xlfn.LAMBDA(_xlpm.x,_xlpm.y,K25&amp;"-"&amp;TEXT(_xlpm.x,"00"))),_xlfn.MAP(_xlfn.TEXTSPLIT(E25,{";","；"},,1),_xlfn.LAMBDA(_xlpm.x,K25&amp;"-"&amp;TEXT(_xlpm.x,"00"))))),"")</f>
        <v>1a-43-rnd-stone-01;1a-43-rnd-stone-02;1a-43-rnd-stone-03</v>
      </c>
      <c r="K25" s="29" t="str">
        <f t="shared" si="1"/>
        <v>1a-43-rnd-stone</v>
      </c>
      <c r="L25" s="5" t="s">
        <v>123</v>
      </c>
      <c r="N25" s="5" t="s">
        <v>139</v>
      </c>
    </row>
    <row r="26" spans="1:19">
      <c r="A26" s="35">
        <v>42011</v>
      </c>
      <c r="B26" s="5">
        <v>6</v>
      </c>
      <c r="C26" s="5" t="s">
        <v>125</v>
      </c>
      <c r="D26" s="5">
        <v>1</v>
      </c>
      <c r="E26" s="5"/>
      <c r="F26" s="5"/>
      <c r="G26" s="25">
        <v>50</v>
      </c>
      <c r="H26" s="27" t="s">
        <v>134</v>
      </c>
      <c r="I26" s="36"/>
      <c r="J26" s="35" t="str" cm="1">
        <f t="array" ref="J26">IFERROR(_xlfn.TEXTJOIN(";",1,IF(D26,_xlfn.MAKEARRAY(D26,1,_xlfn.LAMBDA(_xlpm.x,_xlpm.y,K26&amp;"-"&amp;TEXT(_xlpm.x,"00"))),_xlfn.MAP(_xlfn.TEXTSPLIT(E26,{";","；"},,1),_xlfn.LAMBDA(_xlpm.x,K26&amp;"-"&amp;TEXT(_xlpm.x,"00"))))),"")</f>
        <v>1a-50-fixed-atm-01</v>
      </c>
      <c r="K26" s="29" t="str">
        <f t="shared" si="1"/>
        <v>1a-50-fixed-atm</v>
      </c>
      <c r="L26" s="5" t="s">
        <v>126</v>
      </c>
      <c r="M26" s="5">
        <v>25.6</v>
      </c>
    </row>
    <row r="27" spans="1:19">
      <c r="A27" s="35">
        <v>42011</v>
      </c>
      <c r="B27" s="5">
        <v>7</v>
      </c>
      <c r="C27" s="34" t="s">
        <v>136</v>
      </c>
      <c r="D27" s="34">
        <v>4</v>
      </c>
      <c r="E27" s="34"/>
      <c r="F27" s="34"/>
      <c r="G27" s="25">
        <v>80</v>
      </c>
      <c r="H27" s="27" t="s">
        <v>134</v>
      </c>
      <c r="J27" s="35" t="str" cm="1">
        <f t="array" ref="J27">IFERROR(_xlfn.TEXTJOIN(";",1,IF(D27,_xlfn.MAKEARRAY(D27,1,_xlfn.LAMBDA(_xlpm.x,_xlpm.y,K27&amp;"-"&amp;TEXT(_xlpm.x,"00"))),_xlfn.MAP(_xlfn.TEXTSPLIT(E27,{";","；"},,1),_xlfn.LAMBDA(_xlpm.x,K27&amp;"-"&amp;TEXT(_xlpm.x,"00"))))),"")</f>
        <v>1a-80-rnd-stone-01;1a-80-rnd-stone-02;1a-80-rnd-stone-03;1a-80-rnd-stone-04</v>
      </c>
      <c r="K27" s="29" t="str">
        <f t="shared" si="1"/>
        <v>1a-80-rnd-stone</v>
      </c>
      <c r="L27" s="5" t="s">
        <v>123</v>
      </c>
      <c r="N27" s="5" t="s">
        <v>140</v>
      </c>
    </row>
    <row r="28" spans="1:19">
      <c r="A28" s="35">
        <v>42011</v>
      </c>
      <c r="B28" s="5">
        <v>8</v>
      </c>
      <c r="C28" s="34" t="s">
        <v>136</v>
      </c>
      <c r="D28" s="34">
        <v>2</v>
      </c>
      <c r="E28" s="34"/>
      <c r="F28" s="34"/>
      <c r="G28" s="25">
        <v>110</v>
      </c>
      <c r="H28" s="27" t="s">
        <v>134</v>
      </c>
      <c r="J28" s="35" t="str" cm="1">
        <f t="array" ref="J28">IFERROR(_xlfn.TEXTJOIN(";",1,IF(D28,_xlfn.MAKEARRAY(D28,1,_xlfn.LAMBDA(_xlpm.x,_xlpm.y,K28&amp;"-"&amp;TEXT(_xlpm.x,"00"))),_xlfn.MAP(_xlfn.TEXTSPLIT(E28,{";","；"},,1),_xlfn.LAMBDA(_xlpm.x,K28&amp;"-"&amp;TEXT(_xlpm.x,"00"))))),"")</f>
        <v>1a-110-rnd-stone-01;1a-110-rnd-stone-02</v>
      </c>
      <c r="K28" s="29" t="str">
        <f t="shared" si="1"/>
        <v>1a-110-rnd-stone</v>
      </c>
      <c r="L28" s="5" t="s">
        <v>123</v>
      </c>
      <c r="N28" s="5" t="s">
        <v>141</v>
      </c>
    </row>
    <row r="29" spans="1:19">
      <c r="A29" s="35">
        <v>42011</v>
      </c>
      <c r="B29" s="5">
        <v>9</v>
      </c>
      <c r="C29" s="34" t="s">
        <v>136</v>
      </c>
      <c r="D29" s="34">
        <v>2</v>
      </c>
      <c r="E29" s="34"/>
      <c r="F29" s="34"/>
      <c r="G29" s="25">
        <v>130</v>
      </c>
      <c r="H29" s="27" t="s">
        <v>134</v>
      </c>
      <c r="J29" s="35" t="str" cm="1">
        <f t="array" ref="J29">IFERROR(_xlfn.TEXTJOIN(";",1,IF(D29,_xlfn.MAKEARRAY(D29,1,_xlfn.LAMBDA(_xlpm.x,_xlpm.y,K29&amp;"-"&amp;TEXT(_xlpm.x,"00"))),_xlfn.MAP(_xlfn.TEXTSPLIT(E29,{";","；"},,1),_xlfn.LAMBDA(_xlpm.x,K29&amp;"-"&amp;TEXT(_xlpm.x,"00"))))),"")</f>
        <v>1a-130-rnd-stone-01;1a-130-rnd-stone-02</v>
      </c>
      <c r="K29" s="29" t="str">
        <f t="shared" si="1"/>
        <v>1a-130-rnd-stone</v>
      </c>
      <c r="L29" s="5" t="s">
        <v>123</v>
      </c>
      <c r="N29" s="5" t="s">
        <v>139</v>
      </c>
    </row>
    <row r="30" spans="1:19">
      <c r="A30" s="35">
        <v>42011</v>
      </c>
      <c r="B30" s="5">
        <v>10</v>
      </c>
      <c r="C30" s="34" t="s">
        <v>136</v>
      </c>
      <c r="D30" s="34">
        <v>3</v>
      </c>
      <c r="E30" s="34"/>
      <c r="F30" s="34"/>
      <c r="G30" s="25">
        <v>160</v>
      </c>
      <c r="H30" s="27" t="s">
        <v>134</v>
      </c>
      <c r="J30" s="35" t="str" cm="1">
        <f t="array" ref="J30">IFERROR(_xlfn.TEXTJOIN(";",1,IF(D30,_xlfn.MAKEARRAY(D30,1,_xlfn.LAMBDA(_xlpm.x,_xlpm.y,K30&amp;"-"&amp;TEXT(_xlpm.x,"00"))),_xlfn.MAP(_xlfn.TEXTSPLIT(E30,{";","；"},,1),_xlfn.LAMBDA(_xlpm.x,K30&amp;"-"&amp;TEXT(_xlpm.x,"00"))))),"")</f>
        <v>1a-160-rnd-stone-01;1a-160-rnd-stone-02;1a-160-rnd-stone-03</v>
      </c>
      <c r="K30" s="29" t="str">
        <f t="shared" si="1"/>
        <v>1a-160-rnd-stone</v>
      </c>
      <c r="L30" s="5" t="s">
        <v>123</v>
      </c>
      <c r="N30" s="5" t="s">
        <v>142</v>
      </c>
    </row>
    <row r="31" spans="1:19">
      <c r="A31" s="35">
        <v>42011</v>
      </c>
      <c r="B31" s="5">
        <v>11</v>
      </c>
      <c r="C31" s="34" t="s">
        <v>125</v>
      </c>
      <c r="D31" s="34">
        <v>1</v>
      </c>
      <c r="E31" s="34"/>
      <c r="F31" s="34"/>
      <c r="G31" s="25">
        <v>162</v>
      </c>
      <c r="H31" s="27" t="s">
        <v>134</v>
      </c>
      <c r="J31" s="35" t="str" cm="1">
        <f t="array" ref="J31">IFERROR(_xlfn.TEXTJOIN(";",1,IF(D31,_xlfn.MAKEARRAY(D31,1,_xlfn.LAMBDA(_xlpm.x,_xlpm.y,K31&amp;"-"&amp;TEXT(_xlpm.x,"00"))),_xlfn.MAP(_xlfn.TEXTSPLIT(E31,{";","；"},,1),_xlfn.LAMBDA(_xlpm.x,K31&amp;"-"&amp;TEXT(_xlpm.x,"00"))))),"")</f>
        <v>1a-162-fixed-atm-01</v>
      </c>
      <c r="K31" s="29" t="str">
        <f t="shared" si="1"/>
        <v>1a-162-fixed-atm</v>
      </c>
      <c r="L31" s="5" t="s">
        <v>126</v>
      </c>
      <c r="M31" s="5">
        <v>25.6</v>
      </c>
    </row>
    <row r="32" spans="1:19">
      <c r="A32" s="35">
        <v>42011</v>
      </c>
      <c r="B32" s="5">
        <v>12</v>
      </c>
      <c r="C32" s="5" t="s">
        <v>136</v>
      </c>
      <c r="D32" s="5">
        <v>3</v>
      </c>
      <c r="E32" s="5"/>
      <c r="F32" s="5"/>
      <c r="G32" s="25">
        <v>190</v>
      </c>
      <c r="H32" s="27" t="s">
        <v>134</v>
      </c>
      <c r="I32" s="36"/>
      <c r="J32" s="35" t="str" cm="1">
        <f t="array" ref="J32">IFERROR(_xlfn.TEXTJOIN(";",1,IF(D32,_xlfn.MAKEARRAY(D32,1,_xlfn.LAMBDA(_xlpm.x,_xlpm.y,K32&amp;"-"&amp;TEXT(_xlpm.x,"00"))),_xlfn.MAP(_xlfn.TEXTSPLIT(E32,{";","；"},,1),_xlfn.LAMBDA(_xlpm.x,K32&amp;"-"&amp;TEXT(_xlpm.x,"00"))))),"")</f>
        <v>1a-190-rnd-stone-01;1a-190-rnd-stone-02;1a-190-rnd-stone-03</v>
      </c>
      <c r="K32" s="29" t="str">
        <f t="shared" si="1"/>
        <v>1a-190-rnd-stone</v>
      </c>
      <c r="L32" s="5" t="s">
        <v>123</v>
      </c>
      <c r="N32" s="5" t="s">
        <v>139</v>
      </c>
    </row>
    <row r="33" spans="1:18">
      <c r="A33" s="35">
        <v>42011</v>
      </c>
      <c r="B33" s="5">
        <v>13</v>
      </c>
      <c r="C33" s="34" t="s">
        <v>131</v>
      </c>
      <c r="D33" s="34">
        <v>1</v>
      </c>
      <c r="E33" s="34"/>
      <c r="F33" s="34"/>
      <c r="G33" s="25">
        <v>228</v>
      </c>
      <c r="H33" s="27" t="s">
        <v>134</v>
      </c>
      <c r="J33" s="35" t="str" cm="1">
        <f t="array" ref="J33">IFERROR(_xlfn.TEXTJOIN(";",1,IF(D33,_xlfn.MAKEARRAY(D33,1,_xlfn.LAMBDA(_xlpm.x,_xlpm.y,K33&amp;"-"&amp;TEXT(_xlpm.x,"00"))),_xlfn.MAP(_xlfn.TEXTSPLIT(E33,{";","；"},,1),_xlfn.LAMBDA(_xlpm.x,K33&amp;"-"&amp;TEXT(_xlpm.x,"00"))))),"")</f>
        <v>1a-228-rnd-cloud-01</v>
      </c>
      <c r="K33" s="29" t="str">
        <f t="shared" si="1"/>
        <v>1a-228-rnd-cloud</v>
      </c>
      <c r="L33" s="5" t="s">
        <v>123</v>
      </c>
      <c r="N33" s="5" t="s">
        <v>143</v>
      </c>
      <c r="O33" s="5" t="s">
        <v>144</v>
      </c>
    </row>
    <row r="34" spans="1:18">
      <c r="A34" s="35">
        <v>42011</v>
      </c>
      <c r="B34" s="5">
        <v>14</v>
      </c>
      <c r="C34" s="34" t="s">
        <v>125</v>
      </c>
      <c r="D34" s="34">
        <v>1</v>
      </c>
      <c r="E34" s="34"/>
      <c r="F34" s="34"/>
      <c r="G34" s="25">
        <v>230</v>
      </c>
      <c r="H34" s="27" t="s">
        <v>134</v>
      </c>
      <c r="J34" s="35" t="str" cm="1">
        <f t="array" ref="J34">IFERROR(_xlfn.TEXTJOIN(";",1,IF(D34,_xlfn.MAKEARRAY(D34,1,_xlfn.LAMBDA(_xlpm.x,_xlpm.y,K34&amp;"-"&amp;TEXT(_xlpm.x,"00"))),_xlfn.MAP(_xlfn.TEXTSPLIT(E34,{";","；"},,1),_xlfn.LAMBDA(_xlpm.x,K34&amp;"-"&amp;TEXT(_xlpm.x,"00"))))),"")</f>
        <v>1a-230-fixed-atm-01</v>
      </c>
      <c r="K34" s="29" t="str">
        <f t="shared" si="1"/>
        <v>1a-230-fixed-atm</v>
      </c>
      <c r="L34" s="5" t="s">
        <v>126</v>
      </c>
      <c r="M34" s="5">
        <v>25.6</v>
      </c>
    </row>
    <row r="35" spans="1:18">
      <c r="A35" s="35">
        <v>42011</v>
      </c>
      <c r="B35" s="5">
        <v>15</v>
      </c>
      <c r="C35" s="34" t="s">
        <v>145</v>
      </c>
      <c r="D35" s="34">
        <v>4</v>
      </c>
      <c r="E35" s="34"/>
      <c r="F35" s="34"/>
      <c r="G35" s="25">
        <v>260</v>
      </c>
      <c r="H35" s="27" t="s">
        <v>134</v>
      </c>
      <c r="J35" s="35" t="str" cm="1">
        <f t="array" ref="J35">IFERROR(_xlfn.TEXTJOIN(";",1,IF(D35,_xlfn.MAKEARRAY(D35,1,_xlfn.LAMBDA(_xlpm.x,_xlpm.y,K35&amp;"-"&amp;TEXT(_xlpm.x,"00"))),_xlfn.MAP(_xlfn.TEXTSPLIT(E35,{";","；"},,1),_xlfn.LAMBDA(_xlpm.x,K35&amp;"-"&amp;TEXT(_xlpm.x,"00"))))),"")</f>
        <v>1a-260-rnd-pillar-01;1a-260-rnd-pillar-02;1a-260-rnd-pillar-03;1a-260-rnd-pillar-04</v>
      </c>
      <c r="K35" s="29" t="str">
        <f t="shared" si="1"/>
        <v>1a-260-rnd-pillar</v>
      </c>
      <c r="L35" s="5" t="s">
        <v>123</v>
      </c>
      <c r="N35" s="5" t="s">
        <v>146</v>
      </c>
    </row>
    <row r="36" spans="1:18">
      <c r="A36" s="35">
        <v>42011</v>
      </c>
      <c r="B36" s="5">
        <v>16</v>
      </c>
      <c r="C36" s="34" t="s">
        <v>136</v>
      </c>
      <c r="D36" s="34">
        <v>2</v>
      </c>
      <c r="E36" s="34"/>
      <c r="F36" s="34"/>
      <c r="G36" s="25">
        <v>300</v>
      </c>
      <c r="H36" s="27" t="s">
        <v>134</v>
      </c>
      <c r="J36" s="35" t="str" cm="1">
        <f t="array" ref="J36">IFERROR(_xlfn.TEXTJOIN(";",1,IF(D36,_xlfn.MAKEARRAY(D36,1,_xlfn.LAMBDA(_xlpm.x,_xlpm.y,K36&amp;"-"&amp;TEXT(_xlpm.x,"00"))),_xlfn.MAP(_xlfn.TEXTSPLIT(E36,{";","；"},,1),_xlfn.LAMBDA(_xlpm.x,K36&amp;"-"&amp;TEXT(_xlpm.x,"00"))))),"")</f>
        <v>1a-300-rnd-stone-01;1a-300-rnd-stone-02</v>
      </c>
      <c r="K36" s="29" t="str">
        <f t="shared" si="1"/>
        <v>1a-300-rnd-stone</v>
      </c>
      <c r="L36" s="5" t="s">
        <v>123</v>
      </c>
      <c r="N36" s="5" t="s">
        <v>147</v>
      </c>
    </row>
    <row r="37" spans="1:18">
      <c r="A37" s="35">
        <v>42011</v>
      </c>
      <c r="B37" s="5">
        <v>17</v>
      </c>
      <c r="C37" s="34" t="s">
        <v>131</v>
      </c>
      <c r="D37" s="34">
        <v>2</v>
      </c>
      <c r="E37" s="34"/>
      <c r="F37" s="34"/>
      <c r="G37" s="25">
        <v>305</v>
      </c>
      <c r="H37" s="27" t="s">
        <v>134</v>
      </c>
      <c r="J37" s="35" t="str" cm="1">
        <f t="array" ref="J37">IFERROR(_xlfn.TEXTJOIN(";",1,IF(D37,_xlfn.MAKEARRAY(D37,1,_xlfn.LAMBDA(_xlpm.x,_xlpm.y,K37&amp;"-"&amp;TEXT(_xlpm.x,"00"))),_xlfn.MAP(_xlfn.TEXTSPLIT(E37,{";","；"},,1),_xlfn.LAMBDA(_xlpm.x,K37&amp;"-"&amp;TEXT(_xlpm.x,"00"))))),"")</f>
        <v>1a-305-rnd-cloud-01;1a-305-rnd-cloud-02</v>
      </c>
      <c r="K37" s="29" t="str">
        <f t="shared" si="1"/>
        <v>1a-305-rnd-cloud</v>
      </c>
      <c r="L37" s="5" t="s">
        <v>123</v>
      </c>
      <c r="N37" s="5" t="s">
        <v>148</v>
      </c>
      <c r="O37" s="5" t="s">
        <v>149</v>
      </c>
    </row>
    <row r="38" spans="1:18">
      <c r="A38" s="35">
        <v>42011</v>
      </c>
      <c r="B38" s="5">
        <v>18</v>
      </c>
      <c r="C38" s="34" t="s">
        <v>131</v>
      </c>
      <c r="D38" s="34">
        <v>3</v>
      </c>
      <c r="E38" s="34"/>
      <c r="F38" s="34"/>
      <c r="G38" s="25">
        <v>330</v>
      </c>
      <c r="H38" s="27" t="s">
        <v>134</v>
      </c>
      <c r="J38" s="35" t="str" cm="1">
        <f t="array" ref="J38">IFERROR(_xlfn.TEXTJOIN(";",1,IF(D38,_xlfn.MAKEARRAY(D38,1,_xlfn.LAMBDA(_xlpm.x,_xlpm.y,K38&amp;"-"&amp;TEXT(_xlpm.x,"00"))),_xlfn.MAP(_xlfn.TEXTSPLIT(E38,{";","；"},,1),_xlfn.LAMBDA(_xlpm.x,K38&amp;"-"&amp;TEXT(_xlpm.x,"00"))))),"")</f>
        <v>1a-330-rnd-cloud-01;1a-330-rnd-cloud-02;1a-330-rnd-cloud-03</v>
      </c>
      <c r="K38" s="29" t="str">
        <f t="shared" si="1"/>
        <v>1a-330-rnd-cloud</v>
      </c>
      <c r="L38" s="5" t="s">
        <v>123</v>
      </c>
      <c r="N38" s="5" t="s">
        <v>150</v>
      </c>
      <c r="O38" s="5" t="s">
        <v>144</v>
      </c>
      <c r="R38" s="5">
        <v>30</v>
      </c>
    </row>
    <row r="39" spans="1:18">
      <c r="A39" s="35">
        <v>42011</v>
      </c>
      <c r="B39" s="5">
        <v>19</v>
      </c>
      <c r="C39" s="34" t="s">
        <v>136</v>
      </c>
      <c r="D39" s="34">
        <v>2</v>
      </c>
      <c r="E39" s="34"/>
      <c r="F39" s="34"/>
      <c r="G39" s="25">
        <v>350</v>
      </c>
      <c r="H39" s="27" t="s">
        <v>134</v>
      </c>
      <c r="J39" s="35" t="str" cm="1">
        <f t="array" ref="J39">IFERROR(_xlfn.TEXTJOIN(";",1,IF(D39,_xlfn.MAKEARRAY(D39,1,_xlfn.LAMBDA(_xlpm.x,_xlpm.y,K39&amp;"-"&amp;TEXT(_xlpm.x,"00"))),_xlfn.MAP(_xlfn.TEXTSPLIT(E39,{";","；"},,1),_xlfn.LAMBDA(_xlpm.x,K39&amp;"-"&amp;TEXT(_xlpm.x,"00"))))),"")</f>
        <v>1a-350-rnd-stone-01;1a-350-rnd-stone-02</v>
      </c>
      <c r="K39" s="29" t="str">
        <f t="shared" si="1"/>
        <v>1a-350-rnd-stone</v>
      </c>
      <c r="L39" s="5" t="s">
        <v>123</v>
      </c>
      <c r="N39" s="5" t="s">
        <v>151</v>
      </c>
      <c r="R39" s="5">
        <v>35</v>
      </c>
    </row>
    <row r="40" spans="1:18">
      <c r="A40" s="35">
        <v>42011</v>
      </c>
      <c r="B40" s="5">
        <v>20</v>
      </c>
      <c r="C40" s="34" t="s">
        <v>125</v>
      </c>
      <c r="D40" s="34">
        <v>1</v>
      </c>
      <c r="E40" s="34"/>
      <c r="F40" s="34"/>
      <c r="G40" s="25">
        <v>398</v>
      </c>
      <c r="H40" s="27" t="s">
        <v>134</v>
      </c>
      <c r="J40" s="35" t="str" cm="1">
        <f t="array" ref="J40">IFERROR(_xlfn.TEXTJOIN(";",1,IF(D40,_xlfn.MAKEARRAY(D40,1,_xlfn.LAMBDA(_xlpm.x,_xlpm.y,K40&amp;"-"&amp;TEXT(_xlpm.x,"00"))),_xlfn.MAP(_xlfn.TEXTSPLIT(E40,{";","；"},,1),_xlfn.LAMBDA(_xlpm.x,K40&amp;"-"&amp;TEXT(_xlpm.x,"00"))))),"")</f>
        <v>1a-398-fixed-atm-01</v>
      </c>
      <c r="K40" s="29" t="str">
        <f t="shared" si="1"/>
        <v>1a-398-fixed-atm</v>
      </c>
      <c r="L40" s="5" t="s">
        <v>126</v>
      </c>
      <c r="M40" s="5">
        <v>25.6</v>
      </c>
    </row>
    <row r="41" spans="1:18">
      <c r="A41" s="35">
        <v>42011</v>
      </c>
      <c r="B41" s="5">
        <v>21</v>
      </c>
      <c r="C41" s="34" t="s">
        <v>136</v>
      </c>
      <c r="D41" s="34">
        <v>2</v>
      </c>
      <c r="E41" s="34"/>
      <c r="F41" s="34"/>
      <c r="G41" s="25">
        <v>400</v>
      </c>
      <c r="H41" s="27" t="s">
        <v>134</v>
      </c>
      <c r="J41" s="35" t="str" cm="1">
        <f t="array" ref="J41">IFERROR(_xlfn.TEXTJOIN(";",1,IF(D41,_xlfn.MAKEARRAY(D41,1,_xlfn.LAMBDA(_xlpm.x,_xlpm.y,K41&amp;"-"&amp;TEXT(_xlpm.x,"00"))),_xlfn.MAP(_xlfn.TEXTSPLIT(E41,{";","；"},,1),_xlfn.LAMBDA(_xlpm.x,K41&amp;"-"&amp;TEXT(_xlpm.x,"00"))))),"")</f>
        <v>1a-400-rnd-stone-01;1a-400-rnd-stone-02</v>
      </c>
      <c r="K41" s="29" t="str">
        <f t="shared" si="1"/>
        <v>1a-400-rnd-stone</v>
      </c>
      <c r="L41" s="5" t="s">
        <v>123</v>
      </c>
      <c r="N41" s="5" t="s">
        <v>140</v>
      </c>
      <c r="R41" s="5">
        <v>36</v>
      </c>
    </row>
    <row r="42" spans="1:18">
      <c r="A42" s="35">
        <v>42011</v>
      </c>
      <c r="B42" s="5">
        <v>22</v>
      </c>
      <c r="C42" s="34" t="s">
        <v>136</v>
      </c>
      <c r="D42" s="34">
        <v>1</v>
      </c>
      <c r="E42" s="34"/>
      <c r="F42" s="34"/>
      <c r="G42" s="25">
        <v>420</v>
      </c>
      <c r="H42" s="27" t="s">
        <v>134</v>
      </c>
      <c r="J42" s="35" t="str" cm="1">
        <f t="array" ref="J42">IFERROR(_xlfn.TEXTJOIN(";",1,IF(D42,_xlfn.MAKEARRAY(D42,1,_xlfn.LAMBDA(_xlpm.x,_xlpm.y,K42&amp;"-"&amp;TEXT(_xlpm.x,"00"))),_xlfn.MAP(_xlfn.TEXTSPLIT(E42,{";","；"},,1),_xlfn.LAMBDA(_xlpm.x,K42&amp;"-"&amp;TEXT(_xlpm.x,"00"))))),"")</f>
        <v>1a-420-rnd-stone-01</v>
      </c>
      <c r="K42" s="29" t="str">
        <f t="shared" si="1"/>
        <v>1a-420-rnd-stone</v>
      </c>
      <c r="L42" s="5" t="s">
        <v>123</v>
      </c>
      <c r="N42" s="5" t="s">
        <v>152</v>
      </c>
    </row>
    <row r="43" spans="1:18">
      <c r="A43" s="35">
        <v>42011</v>
      </c>
      <c r="B43" s="5">
        <v>23</v>
      </c>
      <c r="C43" s="34" t="s">
        <v>136</v>
      </c>
      <c r="D43" s="34">
        <v>2</v>
      </c>
      <c r="E43" s="34"/>
      <c r="F43" s="34"/>
      <c r="G43" s="25">
        <v>440</v>
      </c>
      <c r="H43" s="27" t="s">
        <v>134</v>
      </c>
      <c r="J43" s="35" t="str" cm="1">
        <f t="array" ref="J43">IFERROR(_xlfn.TEXTJOIN(";",1,IF(D43,_xlfn.MAKEARRAY(D43,1,_xlfn.LAMBDA(_xlpm.x,_xlpm.y,K43&amp;"-"&amp;TEXT(_xlpm.x,"00"))),_xlfn.MAP(_xlfn.TEXTSPLIT(E43,{";","；"},,1),_xlfn.LAMBDA(_xlpm.x,K43&amp;"-"&amp;TEXT(_xlpm.x,"00"))))),"")</f>
        <v>1a-440-rnd-stone-01;1a-440-rnd-stone-02</v>
      </c>
      <c r="K43" s="29" t="str">
        <f t="shared" si="1"/>
        <v>1a-440-rnd-stone</v>
      </c>
      <c r="L43" s="5" t="s">
        <v>123</v>
      </c>
      <c r="N43" s="5" t="s">
        <v>153</v>
      </c>
      <c r="R43" s="5">
        <v>40</v>
      </c>
    </row>
    <row r="44" spans="1:18">
      <c r="A44" s="35">
        <v>42011</v>
      </c>
      <c r="B44" s="5">
        <v>24</v>
      </c>
      <c r="C44" s="34" t="s">
        <v>125</v>
      </c>
      <c r="D44" s="34">
        <v>1</v>
      </c>
      <c r="E44" s="34"/>
      <c r="F44" s="34"/>
      <c r="G44" s="25">
        <v>500</v>
      </c>
      <c r="H44" s="27" t="s">
        <v>134</v>
      </c>
      <c r="J44" s="35" t="str" cm="1">
        <f t="array" ref="J44">IFERROR(_xlfn.TEXTJOIN(";",1,IF(D44,_xlfn.MAKEARRAY(D44,1,_xlfn.LAMBDA(_xlpm.x,_xlpm.y,K44&amp;"-"&amp;TEXT(_xlpm.x,"00"))),_xlfn.MAP(_xlfn.TEXTSPLIT(E44,{";","；"},,1),_xlfn.LAMBDA(_xlpm.x,K44&amp;"-"&amp;TEXT(_xlpm.x,"00"))))),"")</f>
        <v>1a-500-fixed-atm-01</v>
      </c>
      <c r="K44" s="29" t="str">
        <f t="shared" si="1"/>
        <v>1a-500-fixed-atm</v>
      </c>
      <c r="L44" s="5" t="s">
        <v>126</v>
      </c>
      <c r="M44" s="5">
        <v>25.6</v>
      </c>
    </row>
    <row r="45" spans="1:18">
      <c r="A45" s="35">
        <v>42011</v>
      </c>
      <c r="B45" s="5">
        <v>25</v>
      </c>
      <c r="C45" s="34" t="s">
        <v>130</v>
      </c>
      <c r="D45" s="34">
        <v>2</v>
      </c>
      <c r="E45" s="34"/>
      <c r="F45" s="34"/>
      <c r="G45" s="25">
        <v>560</v>
      </c>
      <c r="H45" s="27" t="s">
        <v>134</v>
      </c>
      <c r="J45" s="35" t="str" cm="1">
        <f t="array" ref="J45">IFERROR(_xlfn.TEXTJOIN(";",1,IF(D45,_xlfn.MAKEARRAY(D45,1,_xlfn.LAMBDA(_xlpm.x,_xlpm.y,K45&amp;"-"&amp;TEXT(_xlpm.x,"00"))),_xlfn.MAP(_xlfn.TEXTSPLIT(E45,{";","；"},,1),_xlfn.LAMBDA(_xlpm.x,K45&amp;"-"&amp;TEXT(_xlpm.x,"00"))))),"")</f>
        <v>1a-560-rnd-mountain-01;1a-560-rnd-mountain-02</v>
      </c>
      <c r="K45" s="29" t="str">
        <f t="shared" si="1"/>
        <v>1a-560-rnd-mountain</v>
      </c>
      <c r="L45" s="5" t="s">
        <v>123</v>
      </c>
      <c r="N45" s="5" t="s">
        <v>151</v>
      </c>
      <c r="R45" s="5">
        <v>30</v>
      </c>
    </row>
    <row r="46" spans="1:18">
      <c r="A46" s="35">
        <v>42011</v>
      </c>
      <c r="B46" s="5">
        <v>26</v>
      </c>
      <c r="C46" s="34" t="s">
        <v>136</v>
      </c>
      <c r="D46" s="34">
        <v>2</v>
      </c>
      <c r="E46" s="34"/>
      <c r="F46" s="34"/>
      <c r="G46" s="25">
        <v>580</v>
      </c>
      <c r="H46" s="27" t="s">
        <v>134</v>
      </c>
      <c r="J46" s="35" t="str" cm="1">
        <f t="array" ref="J46">IFERROR(_xlfn.TEXTJOIN(";",1,IF(D46,_xlfn.MAKEARRAY(D46,1,_xlfn.LAMBDA(_xlpm.x,_xlpm.y,K46&amp;"-"&amp;TEXT(_xlpm.x,"00"))),_xlfn.MAP(_xlfn.TEXTSPLIT(E46,{";","；"},,1),_xlfn.LAMBDA(_xlpm.x,K46&amp;"-"&amp;TEXT(_xlpm.x,"00"))))),"")</f>
        <v>1a-580-rnd-stone-01;1a-580-rnd-stone-02</v>
      </c>
      <c r="K46" s="29" t="str">
        <f t="shared" si="1"/>
        <v>1a-580-rnd-stone</v>
      </c>
      <c r="L46" s="5" t="s">
        <v>123</v>
      </c>
      <c r="N46" s="5" t="s">
        <v>148</v>
      </c>
    </row>
    <row r="47" spans="1:18">
      <c r="A47" s="35">
        <v>42011</v>
      </c>
      <c r="B47" s="5">
        <v>27</v>
      </c>
      <c r="C47" s="34" t="s">
        <v>125</v>
      </c>
      <c r="D47" s="34">
        <v>1</v>
      </c>
      <c r="E47" s="34"/>
      <c r="F47" s="34"/>
      <c r="G47" s="25">
        <v>600</v>
      </c>
      <c r="H47" s="27" t="s">
        <v>134</v>
      </c>
      <c r="J47" s="35" t="str" cm="1">
        <f t="array" ref="J47">IFERROR(_xlfn.TEXTJOIN(";",1,IF(D47,_xlfn.MAKEARRAY(D47,1,_xlfn.LAMBDA(_xlpm.x,_xlpm.y,K47&amp;"-"&amp;TEXT(_xlpm.x,"00"))),_xlfn.MAP(_xlfn.TEXTSPLIT(E47,{";","；"},,1),_xlfn.LAMBDA(_xlpm.x,K47&amp;"-"&amp;TEXT(_xlpm.x,"00"))))),"")</f>
        <v>1a-600-fixed-atm-01</v>
      </c>
      <c r="K47" s="29" t="str">
        <f t="shared" si="1"/>
        <v>1a-600-fixed-atm</v>
      </c>
      <c r="L47" s="5" t="s">
        <v>126</v>
      </c>
      <c r="M47" s="5">
        <v>25.6</v>
      </c>
    </row>
    <row r="48" spans="1:18">
      <c r="A48" s="35">
        <v>42011</v>
      </c>
      <c r="B48" s="5">
        <v>28</v>
      </c>
      <c r="C48" s="34" t="s">
        <v>136</v>
      </c>
      <c r="D48" s="34">
        <v>2</v>
      </c>
      <c r="E48" s="34"/>
      <c r="F48" s="34"/>
      <c r="G48" s="25">
        <v>700</v>
      </c>
      <c r="H48" s="27" t="s">
        <v>134</v>
      </c>
      <c r="J48" s="35" t="str" cm="1">
        <f t="array" ref="J48">IFERROR(_xlfn.TEXTJOIN(";",1,IF(D48,_xlfn.MAKEARRAY(D48,1,_xlfn.LAMBDA(_xlpm.x,_xlpm.y,K48&amp;"-"&amp;TEXT(_xlpm.x,"00"))),_xlfn.MAP(_xlfn.TEXTSPLIT(E48,{";","；"},,1),_xlfn.LAMBDA(_xlpm.x,K48&amp;"-"&amp;TEXT(_xlpm.x,"00"))))),"")</f>
        <v>1a-700-rnd-stone-01;1a-700-rnd-stone-02</v>
      </c>
      <c r="K48" s="29" t="str">
        <f t="shared" si="1"/>
        <v>1a-700-rnd-stone</v>
      </c>
      <c r="L48" s="5" t="s">
        <v>123</v>
      </c>
      <c r="N48" s="5" t="s">
        <v>154</v>
      </c>
    </row>
    <row r="49" spans="1:15">
      <c r="A49" s="35">
        <v>42011</v>
      </c>
      <c r="B49" s="5">
        <v>29</v>
      </c>
      <c r="C49" s="34" t="s">
        <v>145</v>
      </c>
      <c r="D49" s="34">
        <v>5</v>
      </c>
      <c r="E49" s="34"/>
      <c r="F49" s="34"/>
      <c r="G49" s="25">
        <v>800</v>
      </c>
      <c r="H49" s="27" t="s">
        <v>134</v>
      </c>
      <c r="J49" s="35" t="str" cm="1">
        <f t="array" ref="J49">IFERROR(_xlfn.TEXTJOIN(";",1,IF(D49,_xlfn.MAKEARRAY(D49,1,_xlfn.LAMBDA(_xlpm.x,_xlpm.y,K49&amp;"-"&amp;TEXT(_xlpm.x,"00"))),_xlfn.MAP(_xlfn.TEXTSPLIT(E49,{";","；"},,1),_xlfn.LAMBDA(_xlpm.x,K49&amp;"-"&amp;TEXT(_xlpm.x,"00"))))),"")</f>
        <v>1a-800-rnd-pillar-01;1a-800-rnd-pillar-02;1a-800-rnd-pillar-03;1a-800-rnd-pillar-04;1a-800-rnd-pillar-05</v>
      </c>
      <c r="K49" s="29" t="str">
        <f t="shared" si="1"/>
        <v>1a-800-rnd-pillar</v>
      </c>
      <c r="L49" s="5" t="s">
        <v>123</v>
      </c>
      <c r="N49" s="5" t="s">
        <v>154</v>
      </c>
    </row>
    <row r="50" spans="1:15">
      <c r="A50" s="35">
        <v>42011</v>
      </c>
      <c r="B50" s="5">
        <v>30</v>
      </c>
      <c r="C50" s="34" t="s">
        <v>125</v>
      </c>
      <c r="D50" s="34">
        <v>1</v>
      </c>
      <c r="E50" s="34"/>
      <c r="F50" s="34"/>
      <c r="G50" s="25">
        <v>900</v>
      </c>
      <c r="H50" s="27" t="s">
        <v>134</v>
      </c>
      <c r="J50" s="35" t="str" cm="1">
        <f t="array" ref="J50">IFERROR(_xlfn.TEXTJOIN(";",1,IF(D50,_xlfn.MAKEARRAY(D50,1,_xlfn.LAMBDA(_xlpm.x,_xlpm.y,K50&amp;"-"&amp;TEXT(_xlpm.x,"00"))),_xlfn.MAP(_xlfn.TEXTSPLIT(E50,{";","；"},,1),_xlfn.LAMBDA(_xlpm.x,K50&amp;"-"&amp;TEXT(_xlpm.x,"00"))))),"")</f>
        <v>1a-900-fixed-atm-01</v>
      </c>
      <c r="K50" s="29" t="str">
        <f t="shared" si="1"/>
        <v>1a-900-fixed-atm</v>
      </c>
      <c r="L50" s="5" t="s">
        <v>126</v>
      </c>
      <c r="M50" s="5">
        <v>25.6</v>
      </c>
    </row>
    <row r="51" spans="1:15">
      <c r="A51" s="35">
        <v>42011</v>
      </c>
      <c r="B51" s="5">
        <v>31</v>
      </c>
      <c r="C51" s="34" t="s">
        <v>132</v>
      </c>
      <c r="D51" s="34">
        <v>1</v>
      </c>
      <c r="E51" s="34"/>
      <c r="F51" s="34"/>
      <c r="G51" s="25">
        <v>1000</v>
      </c>
      <c r="H51" s="27" t="s">
        <v>134</v>
      </c>
      <c r="J51" s="35" t="str" cm="1">
        <f t="array" ref="J51">IFERROR(_xlfn.TEXTJOIN(";",1,IF(D51,_xlfn.MAKEARRAY(D51,1,_xlfn.LAMBDA(_xlpm.x,_xlpm.y,K51&amp;"-"&amp;TEXT(_xlpm.x,"00"))),_xlfn.MAP(_xlfn.TEXTSPLIT(E51,{";","；"},,1),_xlfn.LAMBDA(_xlpm.x,K51&amp;"-"&amp;TEXT(_xlpm.x,"00"))))),"")</f>
        <v>1a-1000-fixed-sky-01</v>
      </c>
      <c r="K51" s="29" t="str">
        <f t="shared" si="1"/>
        <v>1a-1000-fixed-sky</v>
      </c>
      <c r="L51" s="5" t="s">
        <v>126</v>
      </c>
      <c r="M51" s="5">
        <v>25.6</v>
      </c>
    </row>
    <row r="52" spans="1:15">
      <c r="C52" s="34"/>
      <c r="D52" s="34"/>
      <c r="E52" s="34"/>
      <c r="F52" s="34"/>
      <c r="J52" s="35"/>
    </row>
    <row r="53" spans="1:15">
      <c r="A53" s="35">
        <v>42012</v>
      </c>
      <c r="B53" s="5">
        <v>1</v>
      </c>
      <c r="C53" s="34" t="s">
        <v>155</v>
      </c>
      <c r="D53" s="34">
        <v>9</v>
      </c>
      <c r="E53" s="34"/>
      <c r="F53" s="34"/>
      <c r="G53" s="25">
        <v>8</v>
      </c>
      <c r="H53" s="27" t="s">
        <v>156</v>
      </c>
      <c r="J53" s="35" t="str" cm="1">
        <f t="array" ref="J53">IFERROR(_xlfn.TEXTJOIN(";",1,IF(D53,_xlfn.MAKEARRAY(D53,1,_xlfn.LAMBDA(_xlpm.x,_xlpm.y,K53&amp;"-"&amp;TEXT(_xlpm.x,"00"))),_xlfn.MAP(_xlfn.TEXTSPLIT(E53,{";","；"},,1),_xlfn.LAMBDA(_xlpm.x,K53&amp;"-"&amp;TEXT(_xlpm.x,"00"))))),"")</f>
        <v>1b-8-rnd-front-01;1b-8-rnd-front-02;1b-8-rnd-front-03;1b-8-rnd-front-04;1b-8-rnd-front-05;1b-8-rnd-front-06;1b-8-rnd-front-07;1b-8-rnd-front-08;1b-8-rnd-front-09</v>
      </c>
      <c r="K53" s="29" t="str">
        <f>_xlfn.TEXTJOIN("-",1,H53:I53,G53,IF(L53="FixedDistance","fixed","rnd"),C53)</f>
        <v>1b-8-rnd-front</v>
      </c>
      <c r="L53" s="5" t="s">
        <v>123</v>
      </c>
      <c r="N53" s="5" t="s">
        <v>124</v>
      </c>
    </row>
    <row r="54" spans="1:15">
      <c r="A54" s="35">
        <v>42012</v>
      </c>
      <c r="B54" s="5">
        <v>2</v>
      </c>
      <c r="C54" s="34" t="s">
        <v>136</v>
      </c>
      <c r="D54" s="34">
        <v>4</v>
      </c>
      <c r="E54" s="34"/>
      <c r="F54" s="34"/>
      <c r="G54" s="25">
        <v>13</v>
      </c>
      <c r="H54" s="27" t="s">
        <v>156</v>
      </c>
      <c r="J54" s="35" t="str" cm="1">
        <f t="array" ref="J54">IFERROR(_xlfn.TEXTJOIN(";",1,IF(D54,_xlfn.MAKEARRAY(D54,1,_xlfn.LAMBDA(_xlpm.x,_xlpm.y,K54&amp;"-"&amp;TEXT(_xlpm.x,"00"))),_xlfn.MAP(_xlfn.TEXTSPLIT(E54,{";","；"},,1),_xlfn.LAMBDA(_xlpm.x,K54&amp;"-"&amp;TEXT(_xlpm.x,"00"))))),"")</f>
        <v>1b-13-rnd-stone-01;1b-13-rnd-stone-02;1b-13-rnd-stone-03;1b-13-rnd-stone-04</v>
      </c>
      <c r="K54" s="29" t="str">
        <f t="shared" ref="K54:K91" si="2">_xlfn.TEXTJOIN("-",1,H54:I54,G54,IF(L54="FixedDistance","fixed","rnd"),C54)</f>
        <v>1b-13-rnd-stone</v>
      </c>
      <c r="L54" s="5" t="s">
        <v>123</v>
      </c>
      <c r="N54" s="5" t="s">
        <v>157</v>
      </c>
    </row>
    <row r="55" spans="1:15">
      <c r="A55" s="35">
        <v>42012</v>
      </c>
      <c r="B55" s="5">
        <v>3</v>
      </c>
      <c r="C55" s="34" t="s">
        <v>158</v>
      </c>
      <c r="D55" s="34">
        <v>2</v>
      </c>
      <c r="E55" s="34"/>
      <c r="F55" s="34"/>
      <c r="G55" s="25">
        <v>14</v>
      </c>
      <c r="H55" s="27" t="s">
        <v>156</v>
      </c>
      <c r="J55" s="35" t="str" cm="1">
        <f t="array" ref="J55">IFERROR(_xlfn.TEXTJOIN(";",1,IF(D55,_xlfn.MAKEARRAY(D55,1,_xlfn.LAMBDA(_xlpm.x,_xlpm.y,K55&amp;"-"&amp;TEXT(_xlpm.x,"00"))),_xlfn.MAP(_xlfn.TEXTSPLIT(E55,{";","；"},,1),_xlfn.LAMBDA(_xlpm.x,K55&amp;"-"&amp;TEXT(_xlpm.x,"00"))))),"")</f>
        <v>1b-14-rnd-branch-01;1b-14-rnd-branch-02</v>
      </c>
      <c r="K55" s="29" t="str">
        <f t="shared" si="2"/>
        <v>1b-14-rnd-branch</v>
      </c>
      <c r="L55" s="5" t="s">
        <v>123</v>
      </c>
      <c r="N55" s="5" t="s">
        <v>141</v>
      </c>
    </row>
    <row r="56" spans="1:15">
      <c r="A56" s="35">
        <v>42012</v>
      </c>
      <c r="B56" s="5">
        <v>4</v>
      </c>
      <c r="C56" s="34" t="s">
        <v>125</v>
      </c>
      <c r="D56" s="34">
        <v>1</v>
      </c>
      <c r="E56" s="34"/>
      <c r="F56" s="34"/>
      <c r="G56" s="25">
        <v>15</v>
      </c>
      <c r="H56" s="27" t="s">
        <v>156</v>
      </c>
      <c r="J56" s="35" t="str" cm="1">
        <f t="array" ref="J56">IFERROR(_xlfn.TEXTJOIN(";",1,IF(D56,_xlfn.MAKEARRAY(D56,1,_xlfn.LAMBDA(_xlpm.x,_xlpm.y,K56&amp;"-"&amp;TEXT(_xlpm.x,"00"))),_xlfn.MAP(_xlfn.TEXTSPLIT(E56,{";","；"},,1),_xlfn.LAMBDA(_xlpm.x,K56&amp;"-"&amp;TEXT(_xlpm.x,"00"))))),"")</f>
        <v>1b-15-fixed-atm-01</v>
      </c>
      <c r="K56" s="29" t="str">
        <f t="shared" si="2"/>
        <v>1b-15-fixed-atm</v>
      </c>
      <c r="L56" s="5" t="s">
        <v>126</v>
      </c>
      <c r="M56" s="5">
        <v>25.6</v>
      </c>
    </row>
    <row r="57" spans="1:15">
      <c r="A57" s="35">
        <v>42012</v>
      </c>
      <c r="B57" s="5">
        <v>5</v>
      </c>
      <c r="C57" s="34" t="s">
        <v>158</v>
      </c>
      <c r="D57" s="34">
        <v>5</v>
      </c>
      <c r="E57" s="34"/>
      <c r="F57" s="34"/>
      <c r="G57" s="25">
        <v>17</v>
      </c>
      <c r="H57" s="27" t="s">
        <v>156</v>
      </c>
      <c r="J57" s="35" t="str" cm="1">
        <f t="array" ref="J57">IFERROR(_xlfn.TEXTJOIN(";",1,IF(D57,_xlfn.MAKEARRAY(D57,1,_xlfn.LAMBDA(_xlpm.x,_xlpm.y,K57&amp;"-"&amp;TEXT(_xlpm.x,"00"))),_xlfn.MAP(_xlfn.TEXTSPLIT(E57,{";","；"},,1),_xlfn.LAMBDA(_xlpm.x,K57&amp;"-"&amp;TEXT(_xlpm.x,"00"))))),"")</f>
        <v>1b-17-rnd-branch-01;1b-17-rnd-branch-02;1b-17-rnd-branch-03;1b-17-rnd-branch-04;1b-17-rnd-branch-05</v>
      </c>
      <c r="K57" s="29" t="str">
        <f t="shared" si="2"/>
        <v>1b-17-rnd-branch</v>
      </c>
      <c r="L57" s="5" t="s">
        <v>123</v>
      </c>
      <c r="N57" s="5" t="s">
        <v>159</v>
      </c>
    </row>
    <row r="58" spans="1:15">
      <c r="A58" s="35">
        <v>42012</v>
      </c>
      <c r="B58" s="5">
        <v>6</v>
      </c>
      <c r="C58" s="34" t="s">
        <v>136</v>
      </c>
      <c r="D58" s="34">
        <v>6</v>
      </c>
      <c r="E58" s="34"/>
      <c r="F58" s="34"/>
      <c r="G58" s="25">
        <v>20</v>
      </c>
      <c r="H58" s="27" t="s">
        <v>156</v>
      </c>
      <c r="J58" s="35" t="str" cm="1">
        <f t="array" ref="J58">IFERROR(_xlfn.TEXTJOIN(";",1,IF(D58,_xlfn.MAKEARRAY(D58,1,_xlfn.LAMBDA(_xlpm.x,_xlpm.y,K58&amp;"-"&amp;TEXT(_xlpm.x,"00"))),_xlfn.MAP(_xlfn.TEXTSPLIT(E58,{";","；"},,1),_xlfn.LAMBDA(_xlpm.x,K58&amp;"-"&amp;TEXT(_xlpm.x,"00"))))),"")</f>
        <v>1b-20-rnd-stone-01;1b-20-rnd-stone-02;1b-20-rnd-stone-03;1b-20-rnd-stone-04;1b-20-rnd-stone-05;1b-20-rnd-stone-06</v>
      </c>
      <c r="K58" s="29" t="str">
        <f t="shared" si="2"/>
        <v>1b-20-rnd-stone</v>
      </c>
      <c r="L58" s="5" t="s">
        <v>123</v>
      </c>
      <c r="N58" s="5" t="s">
        <v>154</v>
      </c>
    </row>
    <row r="59" spans="1:15">
      <c r="A59" s="35">
        <v>42012</v>
      </c>
      <c r="B59" s="5">
        <v>7</v>
      </c>
      <c r="C59" s="34" t="s">
        <v>160</v>
      </c>
      <c r="D59" s="34">
        <v>6</v>
      </c>
      <c r="E59" s="34"/>
      <c r="F59" s="34"/>
      <c r="G59" s="25">
        <v>30</v>
      </c>
      <c r="H59" s="27" t="s">
        <v>156</v>
      </c>
      <c r="J59" s="35" t="str" cm="1">
        <f t="array" ref="J59">IFERROR(_xlfn.TEXTJOIN(";",1,IF(D59,_xlfn.MAKEARRAY(D59,1,_xlfn.LAMBDA(_xlpm.x,_xlpm.y,K59&amp;"-"&amp;TEXT(_xlpm.x,"00"))),_xlfn.MAP(_xlfn.TEXTSPLIT(E59,{";","；"},,1),_xlfn.LAMBDA(_xlpm.x,K59&amp;"-"&amp;TEXT(_xlpm.x,"00"))))),"")</f>
        <v>1b-30-rnd-statu-01;1b-30-rnd-statu-02;1b-30-rnd-statu-03;1b-30-rnd-statu-04;1b-30-rnd-statu-05;1b-30-rnd-statu-06</v>
      </c>
      <c r="K59" s="29" t="str">
        <f t="shared" si="2"/>
        <v>1b-30-rnd-statu</v>
      </c>
      <c r="L59" s="5" t="s">
        <v>123</v>
      </c>
      <c r="N59" s="5" t="s">
        <v>161</v>
      </c>
    </row>
    <row r="60" spans="1:15">
      <c r="A60" s="35">
        <v>42012</v>
      </c>
      <c r="B60" s="5">
        <v>8</v>
      </c>
      <c r="C60" s="34" t="s">
        <v>131</v>
      </c>
      <c r="D60" s="34">
        <v>9</v>
      </c>
      <c r="E60" s="34"/>
      <c r="F60" s="34"/>
      <c r="G60" s="25">
        <v>32</v>
      </c>
      <c r="H60" s="27" t="s">
        <v>156</v>
      </c>
      <c r="J60" s="35" t="str" cm="1">
        <f t="array" ref="J60">IFERROR(_xlfn.TEXTJOIN(";",1,IF(D60,_xlfn.MAKEARRAY(D60,1,_xlfn.LAMBDA(_xlpm.x,_xlpm.y,K60&amp;"-"&amp;TEXT(_xlpm.x,"00"))),_xlfn.MAP(_xlfn.TEXTSPLIT(E60,{";","；"},,1),_xlfn.LAMBDA(_xlpm.x,K60&amp;"-"&amp;TEXT(_xlpm.x,"00"))))),"")</f>
        <v>1b-32-rnd-cloud-01;1b-32-rnd-cloud-02;1b-32-rnd-cloud-03;1b-32-rnd-cloud-04;1b-32-rnd-cloud-05;1b-32-rnd-cloud-06;1b-32-rnd-cloud-07;1b-32-rnd-cloud-08;1b-32-rnd-cloud-09</v>
      </c>
      <c r="K60" s="29" t="str">
        <f t="shared" si="2"/>
        <v>1b-32-rnd-cloud</v>
      </c>
      <c r="L60" s="5" t="s">
        <v>123</v>
      </c>
      <c r="N60" s="5" t="s">
        <v>162</v>
      </c>
      <c r="O60" s="5" t="s">
        <v>144</v>
      </c>
    </row>
    <row r="61" spans="1:15">
      <c r="A61" s="35">
        <v>42012</v>
      </c>
      <c r="B61" s="5">
        <v>9</v>
      </c>
      <c r="C61" s="34" t="s">
        <v>158</v>
      </c>
      <c r="D61" s="34">
        <v>4</v>
      </c>
      <c r="E61" s="34"/>
      <c r="F61" s="34"/>
      <c r="G61" s="25">
        <v>35</v>
      </c>
      <c r="H61" s="27" t="s">
        <v>156</v>
      </c>
      <c r="J61" s="35" t="str" cm="1">
        <f t="array" ref="J61">IFERROR(_xlfn.TEXTJOIN(";",1,IF(D61,_xlfn.MAKEARRAY(D61,1,_xlfn.LAMBDA(_xlpm.x,_xlpm.y,K61&amp;"-"&amp;TEXT(_xlpm.x,"00"))),_xlfn.MAP(_xlfn.TEXTSPLIT(E61,{";","；"},,1),_xlfn.LAMBDA(_xlpm.x,K61&amp;"-"&amp;TEXT(_xlpm.x,"00"))))),"")</f>
        <v>1b-35-rnd-branch-01;1b-35-rnd-branch-02;1b-35-rnd-branch-03;1b-35-rnd-branch-04</v>
      </c>
      <c r="K61" s="29" t="str">
        <f t="shared" si="2"/>
        <v>1b-35-rnd-branch</v>
      </c>
      <c r="L61" s="5" t="s">
        <v>123</v>
      </c>
      <c r="N61" s="5" t="s">
        <v>141</v>
      </c>
    </row>
    <row r="62" spans="1:15">
      <c r="A62" s="35">
        <v>42012</v>
      </c>
      <c r="B62" s="5">
        <v>10</v>
      </c>
      <c r="C62" s="34" t="s">
        <v>128</v>
      </c>
      <c r="D62" s="34">
        <v>3</v>
      </c>
      <c r="E62" s="34"/>
      <c r="F62" s="34"/>
      <c r="G62" s="25">
        <v>40</v>
      </c>
      <c r="H62" s="27" t="s">
        <v>156</v>
      </c>
      <c r="J62" s="35" t="str" cm="1">
        <f t="array" ref="J62">IFERROR(_xlfn.TEXTJOIN(";",1,IF(D62,_xlfn.MAKEARRAY(D62,1,_xlfn.LAMBDA(_xlpm.x,_xlpm.y,K62&amp;"-"&amp;TEXT(_xlpm.x,"00"))),_xlfn.MAP(_xlfn.TEXTSPLIT(E62,{";","；"},,1),_xlfn.LAMBDA(_xlpm.x,K62&amp;"-"&amp;TEXT(_xlpm.x,"00"))))),"")</f>
        <v>1b-40-rnd-tree-01;1b-40-rnd-tree-02;1b-40-rnd-tree-03</v>
      </c>
      <c r="K62" s="29" t="str">
        <f t="shared" si="2"/>
        <v>1b-40-rnd-tree</v>
      </c>
      <c r="L62" s="5" t="s">
        <v>123</v>
      </c>
      <c r="N62" s="5" t="s">
        <v>152</v>
      </c>
    </row>
    <row r="63" spans="1:15">
      <c r="A63" s="35">
        <v>42012</v>
      </c>
      <c r="B63" s="5">
        <v>11</v>
      </c>
      <c r="C63" s="34" t="s">
        <v>125</v>
      </c>
      <c r="D63" s="34">
        <v>1</v>
      </c>
      <c r="E63" s="34"/>
      <c r="F63" s="34"/>
      <c r="G63" s="25">
        <v>41</v>
      </c>
      <c r="H63" s="27" t="s">
        <v>156</v>
      </c>
      <c r="J63" s="35" t="str" cm="1">
        <f t="array" ref="J63">IFERROR(_xlfn.TEXTJOIN(";",1,IF(D63,_xlfn.MAKEARRAY(D63,1,_xlfn.LAMBDA(_xlpm.x,_xlpm.y,K63&amp;"-"&amp;TEXT(_xlpm.x,"00"))),_xlfn.MAP(_xlfn.TEXTSPLIT(E63,{";","；"},,1),_xlfn.LAMBDA(_xlpm.x,K63&amp;"-"&amp;TEXT(_xlpm.x,"00"))))),"")</f>
        <v>1b-41-fixed-atm-01</v>
      </c>
      <c r="K63" s="29" t="str">
        <f t="shared" si="2"/>
        <v>1b-41-fixed-atm</v>
      </c>
      <c r="L63" s="5" t="s">
        <v>126</v>
      </c>
      <c r="M63" s="5">
        <v>25.6</v>
      </c>
    </row>
    <row r="64" spans="1:15">
      <c r="A64" s="35">
        <v>42012</v>
      </c>
      <c r="B64" s="5">
        <v>12</v>
      </c>
      <c r="C64" s="34" t="s">
        <v>136</v>
      </c>
      <c r="D64" s="34">
        <v>3</v>
      </c>
      <c r="E64" s="34"/>
      <c r="F64" s="34"/>
      <c r="G64" s="25">
        <v>45</v>
      </c>
      <c r="H64" s="27" t="s">
        <v>156</v>
      </c>
      <c r="J64" s="35" t="str" cm="1">
        <f t="array" ref="J64">IFERROR(_xlfn.TEXTJOIN(";",1,IF(D64,_xlfn.MAKEARRAY(D64,1,_xlfn.LAMBDA(_xlpm.x,_xlpm.y,K64&amp;"-"&amp;TEXT(_xlpm.x,"00"))),_xlfn.MAP(_xlfn.TEXTSPLIT(E64,{";","；"},,1),_xlfn.LAMBDA(_xlpm.x,K64&amp;"-"&amp;TEXT(_xlpm.x,"00"))))),"")</f>
        <v>1b-45-rnd-stone-01;1b-45-rnd-stone-02;1b-45-rnd-stone-03</v>
      </c>
      <c r="K64" s="29" t="str">
        <f t="shared" si="2"/>
        <v>1b-45-rnd-stone</v>
      </c>
      <c r="L64" s="5" t="s">
        <v>123</v>
      </c>
      <c r="N64" s="5" t="s">
        <v>163</v>
      </c>
    </row>
    <row r="65" spans="1:15">
      <c r="A65" s="35">
        <v>42012</v>
      </c>
      <c r="B65" s="5">
        <v>13</v>
      </c>
      <c r="C65" s="34" t="s">
        <v>160</v>
      </c>
      <c r="D65" s="34">
        <v>6</v>
      </c>
      <c r="E65" s="34"/>
      <c r="F65" s="34"/>
      <c r="G65" s="25">
        <v>53</v>
      </c>
      <c r="H65" s="27" t="s">
        <v>156</v>
      </c>
      <c r="J65" s="35" t="str" cm="1">
        <f t="array" ref="J65">IFERROR(_xlfn.TEXTJOIN(";",1,IF(D65,_xlfn.MAKEARRAY(D65,1,_xlfn.LAMBDA(_xlpm.x,_xlpm.y,K65&amp;"-"&amp;TEXT(_xlpm.x,"00"))),_xlfn.MAP(_xlfn.TEXTSPLIT(E65,{";","；"},,1),_xlfn.LAMBDA(_xlpm.x,K65&amp;"-"&amp;TEXT(_xlpm.x,"00"))))),"")</f>
        <v>1b-53-rnd-statu-01;1b-53-rnd-statu-02;1b-53-rnd-statu-03;1b-53-rnd-statu-04;1b-53-rnd-statu-05;1b-53-rnd-statu-06</v>
      </c>
      <c r="K65" s="29" t="str">
        <f t="shared" si="2"/>
        <v>1b-53-rnd-statu</v>
      </c>
      <c r="L65" s="5" t="s">
        <v>123</v>
      </c>
      <c r="N65" s="5" t="s">
        <v>141</v>
      </c>
    </row>
    <row r="66" spans="1:15">
      <c r="A66" s="35">
        <v>42012</v>
      </c>
      <c r="B66" s="5">
        <v>14</v>
      </c>
      <c r="C66" s="34" t="s">
        <v>131</v>
      </c>
      <c r="D66" s="34">
        <v>1</v>
      </c>
      <c r="E66" s="34"/>
      <c r="F66" s="34"/>
      <c r="G66" s="25">
        <v>60</v>
      </c>
      <c r="H66" s="27" t="s">
        <v>156</v>
      </c>
      <c r="J66" s="35" t="str" cm="1">
        <f t="array" ref="J66">IFERROR(_xlfn.TEXTJOIN(";",1,IF(D66,_xlfn.MAKEARRAY(D66,1,_xlfn.LAMBDA(_xlpm.x,_xlpm.y,K66&amp;"-"&amp;TEXT(_xlpm.x,"00"))),_xlfn.MAP(_xlfn.TEXTSPLIT(E66,{";","；"},,1),_xlfn.LAMBDA(_xlpm.x,K66&amp;"-"&amp;TEXT(_xlpm.x,"00"))))),"")</f>
        <v>1b-60-rnd-cloud-01</v>
      </c>
      <c r="K66" s="29" t="str">
        <f t="shared" si="2"/>
        <v>1b-60-rnd-cloud</v>
      </c>
      <c r="L66" s="5" t="s">
        <v>123</v>
      </c>
      <c r="N66" s="5" t="s">
        <v>157</v>
      </c>
      <c r="O66" s="5" t="s">
        <v>164</v>
      </c>
    </row>
    <row r="67" spans="1:15">
      <c r="A67" s="35">
        <v>42012</v>
      </c>
      <c r="B67" s="5">
        <v>15</v>
      </c>
      <c r="C67" s="34" t="s">
        <v>125</v>
      </c>
      <c r="D67" s="34">
        <v>1</v>
      </c>
      <c r="E67" s="34"/>
      <c r="F67" s="34"/>
      <c r="G67" s="25">
        <v>64</v>
      </c>
      <c r="H67" s="27" t="s">
        <v>156</v>
      </c>
      <c r="J67" s="35" t="str" cm="1">
        <f t="array" ref="J67">IFERROR(_xlfn.TEXTJOIN(";",1,IF(D67,_xlfn.MAKEARRAY(D67,1,_xlfn.LAMBDA(_xlpm.x,_xlpm.y,K67&amp;"-"&amp;TEXT(_xlpm.x,"00"))),_xlfn.MAP(_xlfn.TEXTSPLIT(E67,{";","；"},,1),_xlfn.LAMBDA(_xlpm.x,K67&amp;"-"&amp;TEXT(_xlpm.x,"00"))))),"")</f>
        <v>1b-64-fixed-atm-01</v>
      </c>
      <c r="K67" s="29" t="str">
        <f t="shared" ref="K67" si="3">_xlfn.TEXTJOIN("-",1,H67:I67,G67,IF(L67="FixedDistance","fixed","rnd"),C67)</f>
        <v>1b-64-fixed-atm</v>
      </c>
      <c r="L67" s="5" t="s">
        <v>126</v>
      </c>
      <c r="M67" s="5">
        <v>25.6</v>
      </c>
    </row>
    <row r="68" spans="1:15">
      <c r="A68" s="35">
        <v>42012</v>
      </c>
      <c r="B68" s="5">
        <v>16</v>
      </c>
      <c r="C68" s="34" t="s">
        <v>136</v>
      </c>
      <c r="D68" s="34">
        <v>3</v>
      </c>
      <c r="E68" s="34"/>
      <c r="F68" s="34"/>
      <c r="G68" s="25">
        <v>65</v>
      </c>
      <c r="H68" s="27" t="s">
        <v>156</v>
      </c>
      <c r="J68" s="35" t="str" cm="1">
        <f t="array" ref="J68">IFERROR(_xlfn.TEXTJOIN(";",1,IF(D68,_xlfn.MAKEARRAY(D68,1,_xlfn.LAMBDA(_xlpm.x,_xlpm.y,K68&amp;"-"&amp;TEXT(_xlpm.x,"00"))),_xlfn.MAP(_xlfn.TEXTSPLIT(E68,{";","；"},,1),_xlfn.LAMBDA(_xlpm.x,K68&amp;"-"&amp;TEXT(_xlpm.x,"00"))))),"")</f>
        <v>1b-65-rnd-stone-01;1b-65-rnd-stone-02;1b-65-rnd-stone-03</v>
      </c>
      <c r="K68" s="29" t="str">
        <f t="shared" si="2"/>
        <v>1b-65-rnd-stone</v>
      </c>
      <c r="L68" s="5" t="s">
        <v>123</v>
      </c>
      <c r="N68" s="5" t="s">
        <v>141</v>
      </c>
    </row>
    <row r="69" spans="1:15">
      <c r="A69" s="35">
        <v>42012</v>
      </c>
      <c r="B69" s="5">
        <v>17</v>
      </c>
      <c r="C69" s="34" t="s">
        <v>165</v>
      </c>
      <c r="D69" s="34">
        <v>1</v>
      </c>
      <c r="E69" s="34"/>
      <c r="F69" s="34"/>
      <c r="G69" s="25">
        <v>70</v>
      </c>
      <c r="H69" s="27" t="s">
        <v>156</v>
      </c>
      <c r="J69" s="35" t="str" cm="1">
        <f t="array" ref="J69">IFERROR(_xlfn.TEXTJOIN(";",1,IF(D69,_xlfn.MAKEARRAY(D69,1,_xlfn.LAMBDA(_xlpm.x,_xlpm.y,K69&amp;"-"&amp;TEXT(_xlpm.x,"00"))),_xlfn.MAP(_xlfn.TEXTSPLIT(E69,{";","；"},,1),_xlfn.LAMBDA(_xlpm.x,K69&amp;"-"&amp;TEXT(_xlpm.x,"00"))))),"")</f>
        <v>1b-70-rnd-light-01</v>
      </c>
      <c r="K69" s="29" t="str">
        <f t="shared" si="2"/>
        <v>1b-70-rnd-light</v>
      </c>
      <c r="L69" s="5" t="s">
        <v>123</v>
      </c>
      <c r="N69" s="5" t="s">
        <v>153</v>
      </c>
    </row>
    <row r="70" spans="1:15">
      <c r="A70" s="35">
        <v>42012</v>
      </c>
      <c r="B70" s="5">
        <v>18</v>
      </c>
      <c r="C70" s="34" t="s">
        <v>158</v>
      </c>
      <c r="D70" s="34">
        <v>5</v>
      </c>
      <c r="E70" s="34"/>
      <c r="F70" s="34"/>
      <c r="G70" s="25">
        <v>80</v>
      </c>
      <c r="H70" s="27" t="s">
        <v>156</v>
      </c>
      <c r="J70" s="35" t="str" cm="1">
        <f t="array" ref="J70">IFERROR(_xlfn.TEXTJOIN(";",1,IF(D70,_xlfn.MAKEARRAY(D70,1,_xlfn.LAMBDA(_xlpm.x,_xlpm.y,K70&amp;"-"&amp;TEXT(_xlpm.x,"00"))),_xlfn.MAP(_xlfn.TEXTSPLIT(E70,{";","；"},,1),_xlfn.LAMBDA(_xlpm.x,K70&amp;"-"&amp;TEXT(_xlpm.x,"00"))))),"")</f>
        <v>1b-80-rnd-branch-01;1b-80-rnd-branch-02;1b-80-rnd-branch-03;1b-80-rnd-branch-04;1b-80-rnd-branch-05</v>
      </c>
      <c r="K70" s="29" t="str">
        <f t="shared" si="2"/>
        <v>1b-80-rnd-branch</v>
      </c>
      <c r="L70" s="5" t="s">
        <v>123</v>
      </c>
      <c r="N70" s="5" t="s">
        <v>166</v>
      </c>
    </row>
    <row r="71" spans="1:15">
      <c r="A71" s="35">
        <v>42012</v>
      </c>
      <c r="B71" s="5">
        <v>19</v>
      </c>
      <c r="C71" s="34" t="s">
        <v>136</v>
      </c>
      <c r="D71" s="34">
        <v>3</v>
      </c>
      <c r="E71" s="34"/>
      <c r="F71" s="34"/>
      <c r="G71" s="25">
        <v>84</v>
      </c>
      <c r="H71" s="27" t="s">
        <v>156</v>
      </c>
      <c r="J71" s="35" t="str" cm="1">
        <f t="array" ref="J71">IFERROR(_xlfn.TEXTJOIN(";",1,IF(D71,_xlfn.MAKEARRAY(D71,1,_xlfn.LAMBDA(_xlpm.x,_xlpm.y,K71&amp;"-"&amp;TEXT(_xlpm.x,"00"))),_xlfn.MAP(_xlfn.TEXTSPLIT(E71,{";","；"},,1),_xlfn.LAMBDA(_xlpm.x,K71&amp;"-"&amp;TEXT(_xlpm.x,"00"))))),"")</f>
        <v>1b-84-rnd-stone-01;1b-84-rnd-stone-02;1b-84-rnd-stone-03</v>
      </c>
      <c r="K71" s="29" t="str">
        <f t="shared" si="2"/>
        <v>1b-84-rnd-stone</v>
      </c>
      <c r="L71" s="5" t="s">
        <v>123</v>
      </c>
      <c r="N71" s="5" t="s">
        <v>141</v>
      </c>
    </row>
    <row r="72" spans="1:15">
      <c r="A72" s="35">
        <v>42012</v>
      </c>
      <c r="B72" s="5">
        <v>20</v>
      </c>
      <c r="C72" s="34" t="s">
        <v>136</v>
      </c>
      <c r="D72" s="34">
        <v>3</v>
      </c>
      <c r="E72" s="34"/>
      <c r="F72" s="34"/>
      <c r="G72" s="25">
        <v>100</v>
      </c>
      <c r="H72" s="27" t="s">
        <v>156</v>
      </c>
      <c r="J72" s="35" t="str" cm="1">
        <f t="array" ref="J72">IFERROR(_xlfn.TEXTJOIN(";",1,IF(D72,_xlfn.MAKEARRAY(D72,1,_xlfn.LAMBDA(_xlpm.x,_xlpm.y,K72&amp;"-"&amp;TEXT(_xlpm.x,"00"))),_xlfn.MAP(_xlfn.TEXTSPLIT(E72,{";","；"},,1),_xlfn.LAMBDA(_xlpm.x,K72&amp;"-"&amp;TEXT(_xlpm.x,"00"))))),"")</f>
        <v>1b-100-rnd-stone-01;1b-100-rnd-stone-02;1b-100-rnd-stone-03</v>
      </c>
      <c r="K72" s="29" t="str">
        <f t="shared" si="2"/>
        <v>1b-100-rnd-stone</v>
      </c>
      <c r="L72" s="5" t="s">
        <v>123</v>
      </c>
      <c r="N72" s="5" t="s">
        <v>140</v>
      </c>
    </row>
    <row r="73" spans="1:15">
      <c r="A73" s="35">
        <v>42012</v>
      </c>
      <c r="B73" s="5">
        <v>21</v>
      </c>
      <c r="C73" s="34" t="s">
        <v>125</v>
      </c>
      <c r="D73" s="34">
        <v>1</v>
      </c>
      <c r="E73" s="34"/>
      <c r="F73" s="34"/>
      <c r="G73" s="25">
        <v>105</v>
      </c>
      <c r="H73" s="27" t="s">
        <v>156</v>
      </c>
      <c r="J73" s="35" t="str" cm="1">
        <f t="array" ref="J73">IFERROR(_xlfn.TEXTJOIN(";",1,IF(D73,_xlfn.MAKEARRAY(D73,1,_xlfn.LAMBDA(_xlpm.x,_xlpm.y,K73&amp;"-"&amp;TEXT(_xlpm.x,"00"))),_xlfn.MAP(_xlfn.TEXTSPLIT(E73,{";","；"},,1),_xlfn.LAMBDA(_xlpm.x,K73&amp;"-"&amp;TEXT(_xlpm.x,"00"))))),"")</f>
        <v>1b-105-fixed-atm-01</v>
      </c>
      <c r="K73" s="29" t="str">
        <f t="shared" ref="K73" si="4">_xlfn.TEXTJOIN("-",1,H73:I73,G73,IF(L73="FixedDistance","fixed","rnd"),C73)</f>
        <v>1b-105-fixed-atm</v>
      </c>
      <c r="L73" s="5" t="s">
        <v>126</v>
      </c>
      <c r="M73" s="5">
        <v>25.6</v>
      </c>
    </row>
    <row r="74" spans="1:15">
      <c r="A74" s="35">
        <v>42012</v>
      </c>
      <c r="B74" s="5">
        <v>22</v>
      </c>
      <c r="C74" s="34" t="s">
        <v>158</v>
      </c>
      <c r="D74" s="34">
        <v>3</v>
      </c>
      <c r="E74" s="34"/>
      <c r="F74" s="34"/>
      <c r="G74" s="25">
        <v>110</v>
      </c>
      <c r="H74" s="27" t="s">
        <v>156</v>
      </c>
      <c r="J74" s="35" t="str" cm="1">
        <f t="array" ref="J74">IFERROR(_xlfn.TEXTJOIN(";",1,IF(D74,_xlfn.MAKEARRAY(D74,1,_xlfn.LAMBDA(_xlpm.x,_xlpm.y,K74&amp;"-"&amp;TEXT(_xlpm.x,"00"))),_xlfn.MAP(_xlfn.TEXTSPLIT(E74,{";","；"},,1),_xlfn.LAMBDA(_xlpm.x,K74&amp;"-"&amp;TEXT(_xlpm.x,"00"))))),"")</f>
        <v>1b-110-rnd-branch-01;1b-110-rnd-branch-02;1b-110-rnd-branch-03</v>
      </c>
      <c r="K74" s="29" t="str">
        <f t="shared" si="2"/>
        <v>1b-110-rnd-branch</v>
      </c>
      <c r="L74" s="5" t="s">
        <v>123</v>
      </c>
      <c r="N74" s="5" t="s">
        <v>141</v>
      </c>
    </row>
    <row r="75" spans="1:15">
      <c r="A75" s="35">
        <v>42012</v>
      </c>
      <c r="B75" s="5">
        <v>23</v>
      </c>
      <c r="C75" s="34" t="s">
        <v>136</v>
      </c>
      <c r="D75" s="34">
        <v>2</v>
      </c>
      <c r="E75" s="34"/>
      <c r="F75" s="34"/>
      <c r="G75" s="25">
        <v>130</v>
      </c>
      <c r="H75" s="27" t="s">
        <v>156</v>
      </c>
      <c r="J75" s="35" t="str" cm="1">
        <f t="array" ref="J75">IFERROR(_xlfn.TEXTJOIN(";",1,IF(D75,_xlfn.MAKEARRAY(D75,1,_xlfn.LAMBDA(_xlpm.x,_xlpm.y,K75&amp;"-"&amp;TEXT(_xlpm.x,"00"))),_xlfn.MAP(_xlfn.TEXTSPLIT(E75,{";","；"},,1),_xlfn.LAMBDA(_xlpm.x,K75&amp;"-"&amp;TEXT(_xlpm.x,"00"))))),"")</f>
        <v>1b-130-rnd-stone-01;1b-130-rnd-stone-02</v>
      </c>
      <c r="K75" s="29" t="str">
        <f t="shared" si="2"/>
        <v>1b-130-rnd-stone</v>
      </c>
      <c r="L75" s="5" t="s">
        <v>123</v>
      </c>
      <c r="N75" s="5" t="s">
        <v>141</v>
      </c>
    </row>
    <row r="76" spans="1:15">
      <c r="A76" s="35">
        <v>42012</v>
      </c>
      <c r="B76" s="5">
        <v>24</v>
      </c>
      <c r="C76" s="34" t="s">
        <v>160</v>
      </c>
      <c r="D76" s="34">
        <v>3</v>
      </c>
      <c r="E76" s="34"/>
      <c r="F76" s="34"/>
      <c r="G76" s="25">
        <v>155</v>
      </c>
      <c r="H76" s="27" t="s">
        <v>156</v>
      </c>
      <c r="J76" s="35" t="str" cm="1">
        <f t="array" ref="J76">IFERROR(_xlfn.TEXTJOIN(";",1,IF(D76,_xlfn.MAKEARRAY(D76,1,_xlfn.LAMBDA(_xlpm.x,_xlpm.y,K76&amp;"-"&amp;TEXT(_xlpm.x,"00"))),_xlfn.MAP(_xlfn.TEXTSPLIT(E76,{";","；"},,1),_xlfn.LAMBDA(_xlpm.x,K76&amp;"-"&amp;TEXT(_xlpm.x,"00"))))),"")</f>
        <v>1b-155-rnd-statu-01;1b-155-rnd-statu-02;1b-155-rnd-statu-03</v>
      </c>
      <c r="K76" s="29" t="str">
        <f t="shared" si="2"/>
        <v>1b-155-rnd-statu</v>
      </c>
      <c r="L76" s="5" t="s">
        <v>123</v>
      </c>
      <c r="N76" s="5" t="s">
        <v>141</v>
      </c>
    </row>
    <row r="77" spans="1:15">
      <c r="A77" s="35">
        <v>42012</v>
      </c>
      <c r="B77" s="5">
        <v>25</v>
      </c>
      <c r="C77" s="34" t="s">
        <v>131</v>
      </c>
      <c r="D77" s="34">
        <v>1</v>
      </c>
      <c r="E77" s="34"/>
      <c r="F77" s="34"/>
      <c r="G77" s="25">
        <v>160</v>
      </c>
      <c r="H77" s="27" t="s">
        <v>156</v>
      </c>
      <c r="J77" s="35" t="str" cm="1">
        <f t="array" ref="J77">IFERROR(_xlfn.TEXTJOIN(";",1,IF(D77,_xlfn.MAKEARRAY(D77,1,_xlfn.LAMBDA(_xlpm.x,_xlpm.y,K77&amp;"-"&amp;TEXT(_xlpm.x,"00"))),_xlfn.MAP(_xlfn.TEXTSPLIT(E77,{";","；"},,1),_xlfn.LAMBDA(_xlpm.x,K77&amp;"-"&amp;TEXT(_xlpm.x,"00"))))),"")</f>
        <v>1b-160-rnd-cloud-01</v>
      </c>
      <c r="K77" s="29" t="str">
        <f t="shared" si="2"/>
        <v>1b-160-rnd-cloud</v>
      </c>
      <c r="L77" s="5" t="s">
        <v>123</v>
      </c>
      <c r="N77" s="5" t="s">
        <v>148</v>
      </c>
      <c r="O77" s="5" t="s">
        <v>144</v>
      </c>
    </row>
    <row r="78" spans="1:15">
      <c r="A78" s="35">
        <v>42012</v>
      </c>
      <c r="B78" s="5">
        <v>26</v>
      </c>
      <c r="C78" s="34" t="s">
        <v>165</v>
      </c>
      <c r="D78" s="34">
        <v>1</v>
      </c>
      <c r="E78" s="34"/>
      <c r="F78" s="34"/>
      <c r="G78" s="25">
        <v>180</v>
      </c>
      <c r="H78" s="27" t="s">
        <v>156</v>
      </c>
      <c r="J78" s="35" t="str" cm="1">
        <f t="array" ref="J78">IFERROR(_xlfn.TEXTJOIN(";",1,IF(D78,_xlfn.MAKEARRAY(D78,1,_xlfn.LAMBDA(_xlpm.x,_xlpm.y,K78&amp;"-"&amp;TEXT(_xlpm.x,"00"))),_xlfn.MAP(_xlfn.TEXTSPLIT(E78,{";","；"},,1),_xlfn.LAMBDA(_xlpm.x,K78&amp;"-"&amp;TEXT(_xlpm.x,"00"))))),"")</f>
        <v>1b-180-rnd-light-01</v>
      </c>
      <c r="K78" s="29" t="str">
        <f t="shared" si="2"/>
        <v>1b-180-rnd-light</v>
      </c>
      <c r="L78" s="5" t="s">
        <v>123</v>
      </c>
      <c r="N78" s="5" t="s">
        <v>140</v>
      </c>
    </row>
    <row r="79" spans="1:15">
      <c r="A79" s="35">
        <v>42012</v>
      </c>
      <c r="B79" s="5">
        <v>27</v>
      </c>
      <c r="C79" s="34" t="s">
        <v>128</v>
      </c>
      <c r="D79" s="34">
        <v>3</v>
      </c>
      <c r="E79" s="34"/>
      <c r="F79" s="34"/>
      <c r="G79" s="25">
        <v>182</v>
      </c>
      <c r="H79" s="27" t="s">
        <v>156</v>
      </c>
      <c r="J79" s="35" t="str" cm="1">
        <f t="array" ref="J79">IFERROR(_xlfn.TEXTJOIN(";",1,IF(D79,_xlfn.MAKEARRAY(D79,1,_xlfn.LAMBDA(_xlpm.x,_xlpm.y,K79&amp;"-"&amp;TEXT(_xlpm.x,"00"))),_xlfn.MAP(_xlfn.TEXTSPLIT(E79,{";","；"},,1),_xlfn.LAMBDA(_xlpm.x,K79&amp;"-"&amp;TEXT(_xlpm.x,"00"))))),"")</f>
        <v>1b-182-rnd-tree-01;1b-182-rnd-tree-02;1b-182-rnd-tree-03</v>
      </c>
      <c r="K79" s="29" t="str">
        <f t="shared" si="2"/>
        <v>1b-182-rnd-tree</v>
      </c>
      <c r="L79" s="5" t="s">
        <v>123</v>
      </c>
      <c r="N79" s="5" t="s">
        <v>141</v>
      </c>
    </row>
    <row r="80" spans="1:15">
      <c r="A80" s="35">
        <v>42012</v>
      </c>
      <c r="B80" s="5">
        <v>28</v>
      </c>
      <c r="C80" s="34" t="s">
        <v>160</v>
      </c>
      <c r="D80" s="34">
        <v>4</v>
      </c>
      <c r="E80" s="34"/>
      <c r="F80" s="34"/>
      <c r="G80" s="25">
        <v>220</v>
      </c>
      <c r="H80" s="27" t="s">
        <v>156</v>
      </c>
      <c r="J80" s="35" t="str" cm="1">
        <f t="array" ref="J80">IFERROR(_xlfn.TEXTJOIN(";",1,IF(D80,_xlfn.MAKEARRAY(D80,1,_xlfn.LAMBDA(_xlpm.x,_xlpm.y,K80&amp;"-"&amp;TEXT(_xlpm.x,"00"))),_xlfn.MAP(_xlfn.TEXTSPLIT(E80,{";","；"},,1),_xlfn.LAMBDA(_xlpm.x,K80&amp;"-"&amp;TEXT(_xlpm.x,"00"))))),"")</f>
        <v>1b-220-rnd-statu-01;1b-220-rnd-statu-02;1b-220-rnd-statu-03;1b-220-rnd-statu-04</v>
      </c>
      <c r="K80" s="29" t="str">
        <f t="shared" si="2"/>
        <v>1b-220-rnd-statu</v>
      </c>
      <c r="L80" s="5" t="s">
        <v>123</v>
      </c>
      <c r="N80" s="5" t="s">
        <v>141</v>
      </c>
    </row>
    <row r="81" spans="1:19">
      <c r="A81" s="35">
        <v>42012</v>
      </c>
      <c r="B81" s="5">
        <v>29</v>
      </c>
      <c r="C81" s="34" t="s">
        <v>136</v>
      </c>
      <c r="D81" s="34">
        <v>2</v>
      </c>
      <c r="E81" s="34"/>
      <c r="F81" s="34"/>
      <c r="G81" s="25">
        <v>240</v>
      </c>
      <c r="H81" s="27" t="s">
        <v>156</v>
      </c>
      <c r="J81" s="35" t="str" cm="1">
        <f t="array" ref="J81">IFERROR(_xlfn.TEXTJOIN(";",1,IF(D81,_xlfn.MAKEARRAY(D81,1,_xlfn.LAMBDA(_xlpm.x,_xlpm.y,K81&amp;"-"&amp;TEXT(_xlpm.x,"00"))),_xlfn.MAP(_xlfn.TEXTSPLIT(E81,{";","；"},,1),_xlfn.LAMBDA(_xlpm.x,K81&amp;"-"&amp;TEXT(_xlpm.x,"00"))))),"")</f>
        <v>1b-240-rnd-stone-01;1b-240-rnd-stone-02</v>
      </c>
      <c r="K81" s="29" t="str">
        <f t="shared" si="2"/>
        <v>1b-240-rnd-stone</v>
      </c>
      <c r="L81" s="5" t="s">
        <v>123</v>
      </c>
      <c r="N81" s="5" t="s">
        <v>141</v>
      </c>
    </row>
    <row r="82" spans="1:19">
      <c r="A82" s="35">
        <v>42012</v>
      </c>
      <c r="B82" s="5">
        <v>30</v>
      </c>
      <c r="C82" s="34" t="s">
        <v>131</v>
      </c>
      <c r="D82" s="34">
        <v>2</v>
      </c>
      <c r="E82" s="34"/>
      <c r="F82" s="34"/>
      <c r="G82" s="25">
        <v>256</v>
      </c>
      <c r="H82" s="27" t="s">
        <v>156</v>
      </c>
      <c r="J82" s="35" t="str" cm="1">
        <f t="array" ref="J82">IFERROR(_xlfn.TEXTJOIN(";",1,IF(D82,_xlfn.MAKEARRAY(D82,1,_xlfn.LAMBDA(_xlpm.x,_xlpm.y,K82&amp;"-"&amp;TEXT(_xlpm.x,"00"))),_xlfn.MAP(_xlfn.TEXTSPLIT(E82,{";","；"},,1),_xlfn.LAMBDA(_xlpm.x,K82&amp;"-"&amp;TEXT(_xlpm.x,"00"))))),"")</f>
        <v>1b-256-rnd-cloud-01;1b-256-rnd-cloud-02</v>
      </c>
      <c r="K82" s="29" t="str">
        <f t="shared" si="2"/>
        <v>1b-256-rnd-cloud</v>
      </c>
      <c r="L82" s="5" t="s">
        <v>123</v>
      </c>
      <c r="N82" s="5" t="s">
        <v>141</v>
      </c>
      <c r="O82" s="5" t="s">
        <v>167</v>
      </c>
    </row>
    <row r="83" spans="1:19">
      <c r="A83" s="35">
        <v>42012</v>
      </c>
      <c r="B83" s="5">
        <v>31</v>
      </c>
      <c r="C83" s="34" t="s">
        <v>136</v>
      </c>
      <c r="D83" s="34">
        <v>9</v>
      </c>
      <c r="E83" s="34"/>
      <c r="F83" s="34"/>
      <c r="G83" s="25">
        <v>285</v>
      </c>
      <c r="H83" s="27" t="s">
        <v>156</v>
      </c>
      <c r="J83" s="35" t="str" cm="1">
        <f t="array" ref="J83">IFERROR(_xlfn.TEXTJOIN(";",1,IF(D83,_xlfn.MAKEARRAY(D83,1,_xlfn.LAMBDA(_xlpm.x,_xlpm.y,K83&amp;"-"&amp;TEXT(_xlpm.x,"00"))),_xlfn.MAP(_xlfn.TEXTSPLIT(E83,{";","；"},,1),_xlfn.LAMBDA(_xlpm.x,K83&amp;"-"&amp;TEXT(_xlpm.x,"00"))))),"")</f>
        <v>1b-285-rnd-stone-01;1b-285-rnd-stone-02;1b-285-rnd-stone-03;1b-285-rnd-stone-04;1b-285-rnd-stone-05;1b-285-rnd-stone-06;1b-285-rnd-stone-07;1b-285-rnd-stone-08;1b-285-rnd-stone-09</v>
      </c>
      <c r="K83" s="29" t="str">
        <f t="shared" si="2"/>
        <v>1b-285-rnd-stone</v>
      </c>
      <c r="L83" s="5" t="s">
        <v>123</v>
      </c>
      <c r="N83" s="5" t="s">
        <v>141</v>
      </c>
    </row>
    <row r="84" spans="1:19">
      <c r="A84" s="35">
        <v>42012</v>
      </c>
      <c r="B84" s="5">
        <v>32</v>
      </c>
      <c r="C84" s="34" t="s">
        <v>125</v>
      </c>
      <c r="D84" s="34">
        <v>1</v>
      </c>
      <c r="E84" s="34"/>
      <c r="F84" s="34"/>
      <c r="G84" s="25">
        <v>289</v>
      </c>
      <c r="H84" s="27" t="s">
        <v>156</v>
      </c>
      <c r="J84" s="35" t="str" cm="1">
        <f t="array" ref="J84">IFERROR(_xlfn.TEXTJOIN(";",1,IF(D84,_xlfn.MAKEARRAY(D84,1,_xlfn.LAMBDA(_xlpm.x,_xlpm.y,K84&amp;"-"&amp;TEXT(_xlpm.x,"00"))),_xlfn.MAP(_xlfn.TEXTSPLIT(E84,{";","；"},,1),_xlfn.LAMBDA(_xlpm.x,K84&amp;"-"&amp;TEXT(_xlpm.x,"00"))))),"")</f>
        <v>1b-289-fixed-atm-01</v>
      </c>
      <c r="K84" s="29" t="str">
        <f t="shared" si="2"/>
        <v>1b-289-fixed-atm</v>
      </c>
      <c r="L84" s="5" t="s">
        <v>126</v>
      </c>
      <c r="M84" s="5">
        <v>25.6</v>
      </c>
    </row>
    <row r="85" spans="1:19">
      <c r="A85" s="35">
        <v>42012</v>
      </c>
      <c r="B85" s="5">
        <v>33</v>
      </c>
      <c r="C85" s="34" t="s">
        <v>136</v>
      </c>
      <c r="D85" s="34">
        <v>1</v>
      </c>
      <c r="E85" s="34"/>
      <c r="F85" s="34"/>
      <c r="G85" s="25">
        <v>300</v>
      </c>
      <c r="H85" s="27" t="s">
        <v>156</v>
      </c>
      <c r="J85" s="35" t="str" cm="1">
        <f t="array" ref="J85">IFERROR(_xlfn.TEXTJOIN(";",1,IF(D85,_xlfn.MAKEARRAY(D85,1,_xlfn.LAMBDA(_xlpm.x,_xlpm.y,K85&amp;"-"&amp;TEXT(_xlpm.x,"00"))),_xlfn.MAP(_xlfn.TEXTSPLIT(E85,{";","；"},,1),_xlfn.LAMBDA(_xlpm.x,K85&amp;"-"&amp;TEXT(_xlpm.x,"00"))))),"")</f>
        <v>1b-300-fixed-stone-01</v>
      </c>
      <c r="K85" s="29" t="str">
        <f t="shared" si="2"/>
        <v>1b-300-fixed-stone</v>
      </c>
      <c r="L85" s="5" t="s">
        <v>126</v>
      </c>
      <c r="M85" s="5">
        <v>28.84</v>
      </c>
    </row>
    <row r="86" spans="1:19">
      <c r="A86" s="35">
        <v>42012</v>
      </c>
      <c r="B86" s="5">
        <v>34</v>
      </c>
      <c r="C86" s="34" t="s">
        <v>136</v>
      </c>
      <c r="D86" s="34">
        <v>1</v>
      </c>
      <c r="E86" s="34"/>
      <c r="F86" s="34"/>
      <c r="G86" s="25">
        <v>400</v>
      </c>
      <c r="H86" s="27" t="s">
        <v>156</v>
      </c>
      <c r="J86" s="35" t="str" cm="1">
        <f t="array" ref="J86">IFERROR(_xlfn.TEXTJOIN(";",1,IF(D86,_xlfn.MAKEARRAY(D86,1,_xlfn.LAMBDA(_xlpm.x,_xlpm.y,K86&amp;"-"&amp;TEXT(_xlpm.x,"00"))),_xlfn.MAP(_xlfn.TEXTSPLIT(E86,{";","；"},,1),_xlfn.LAMBDA(_xlpm.x,K86&amp;"-"&amp;TEXT(_xlpm.x,"00"))))),"")</f>
        <v>1b-400-fixed-stone-01</v>
      </c>
      <c r="K86" s="29" t="str">
        <f t="shared" si="2"/>
        <v>1b-400-fixed-stone</v>
      </c>
      <c r="L86" s="5" t="s">
        <v>126</v>
      </c>
      <c r="M86" s="5">
        <v>25.6</v>
      </c>
    </row>
    <row r="87" spans="1:19">
      <c r="A87" s="35">
        <v>42012</v>
      </c>
      <c r="B87" s="5">
        <v>35</v>
      </c>
      <c r="C87" s="34" t="s">
        <v>165</v>
      </c>
      <c r="D87" s="34">
        <v>1</v>
      </c>
      <c r="E87" s="34"/>
      <c r="F87" s="34"/>
      <c r="G87" s="25">
        <v>405</v>
      </c>
      <c r="H87" s="27" t="s">
        <v>156</v>
      </c>
      <c r="J87" s="35" t="str" cm="1">
        <f t="array" ref="J87">IFERROR(_xlfn.TEXTJOIN(";",1,IF(D87,_xlfn.MAKEARRAY(D87,1,_xlfn.LAMBDA(_xlpm.x,_xlpm.y,K87&amp;"-"&amp;TEXT(_xlpm.x,"00"))),_xlfn.MAP(_xlfn.TEXTSPLIT(E87,{";","；"},,1),_xlfn.LAMBDA(_xlpm.x,K87&amp;"-"&amp;TEXT(_xlpm.x,"00"))))),"")</f>
        <v>1b-405-rnd-light-01</v>
      </c>
      <c r="K87" s="29" t="str">
        <f t="shared" si="2"/>
        <v>1b-405-rnd-light</v>
      </c>
      <c r="L87" s="5" t="s">
        <v>123</v>
      </c>
      <c r="N87" s="5" t="s">
        <v>140</v>
      </c>
    </row>
    <row r="88" spans="1:19">
      <c r="A88" s="35">
        <v>42012</v>
      </c>
      <c r="B88" s="5">
        <v>36</v>
      </c>
      <c r="C88" s="34" t="s">
        <v>125</v>
      </c>
      <c r="D88" s="34">
        <v>1</v>
      </c>
      <c r="E88" s="34"/>
      <c r="F88" s="34"/>
      <c r="G88" s="25">
        <v>410</v>
      </c>
      <c r="H88" s="27" t="s">
        <v>156</v>
      </c>
      <c r="J88" s="35" t="str" cm="1">
        <f t="array" ref="J88">IFERROR(_xlfn.TEXTJOIN(";",1,IF(D88,_xlfn.MAKEARRAY(D88,1,_xlfn.LAMBDA(_xlpm.x,_xlpm.y,K88&amp;"-"&amp;TEXT(_xlpm.x,"00"))),_xlfn.MAP(_xlfn.TEXTSPLIT(E88,{";","；"},,1),_xlfn.LAMBDA(_xlpm.x,K88&amp;"-"&amp;TEXT(_xlpm.x,"00"))))),"")</f>
        <v>1b-410-fixed-atm-01</v>
      </c>
      <c r="K88" s="29" t="str">
        <f t="shared" si="2"/>
        <v>1b-410-fixed-atm</v>
      </c>
      <c r="L88" s="5" t="s">
        <v>126</v>
      </c>
      <c r="M88" s="5">
        <v>25.6</v>
      </c>
      <c r="S88" s="30" t="str" cm="1">
        <f t="array" ref="S88">IF(L88="RndPosition",_xlfn.TEXTJOIN(";",1,_xlfn.IFS(ISBLANK(T88:AB88),"",T88:AB88,TRUE,TRUE,FALSE)),"")</f>
        <v/>
      </c>
    </row>
    <row r="89" spans="1:19">
      <c r="A89" s="35">
        <v>42012</v>
      </c>
      <c r="B89" s="5">
        <v>37</v>
      </c>
      <c r="C89" s="34" t="s">
        <v>136</v>
      </c>
      <c r="D89" s="34">
        <v>1</v>
      </c>
      <c r="E89" s="34"/>
      <c r="F89" s="34"/>
      <c r="G89" s="25">
        <v>600</v>
      </c>
      <c r="H89" s="27" t="s">
        <v>156</v>
      </c>
      <c r="J89" s="35" t="str" cm="1">
        <f t="array" ref="J89">IFERROR(_xlfn.TEXTJOIN(";",1,IF(D89,_xlfn.MAKEARRAY(D89,1,_xlfn.LAMBDA(_xlpm.x,_xlpm.y,K89&amp;"-"&amp;TEXT(_xlpm.x,"00"))),_xlfn.MAP(_xlfn.TEXTSPLIT(E89,{";","；"},,1),_xlfn.LAMBDA(_xlpm.x,K89&amp;"-"&amp;TEXT(_xlpm.x,"00"))))),"")</f>
        <v>1b-600-fixed-stone-01</v>
      </c>
      <c r="K89" s="29" t="str">
        <f t="shared" si="2"/>
        <v>1b-600-fixed-stone</v>
      </c>
      <c r="L89" s="5" t="s">
        <v>126</v>
      </c>
      <c r="M89" s="5">
        <v>23.16</v>
      </c>
      <c r="S89" s="30" t="str" cm="1">
        <f t="array" ref="S89">IF(L89="RndPosition",_xlfn.TEXTJOIN(";",1,_xlfn.IFS(ISBLANK(T89:AB89),"",T89:AB89,TRUE,TRUE,FALSE)),"")</f>
        <v/>
      </c>
    </row>
    <row r="90" spans="1:19">
      <c r="A90" s="35">
        <v>42012</v>
      </c>
      <c r="B90" s="5">
        <v>38</v>
      </c>
      <c r="C90" s="34" t="s">
        <v>136</v>
      </c>
      <c r="D90" s="34">
        <v>1</v>
      </c>
      <c r="E90" s="34"/>
      <c r="F90" s="34"/>
      <c r="G90" s="25">
        <v>800</v>
      </c>
      <c r="H90" s="27" t="s">
        <v>156</v>
      </c>
      <c r="J90" s="35" t="str" cm="1">
        <f t="array" ref="J90">IFERROR(_xlfn.TEXTJOIN(";",1,IF(D90,_xlfn.MAKEARRAY(D90,1,_xlfn.LAMBDA(_xlpm.x,_xlpm.y,K90&amp;"-"&amp;TEXT(_xlpm.x,"00"))),_xlfn.MAP(_xlfn.TEXTSPLIT(E90,{";","；"},,1),_xlfn.LAMBDA(_xlpm.x,K90&amp;"-"&amp;TEXT(_xlpm.x,"00"))))),"")</f>
        <v>1b-800-fixed-stone-01</v>
      </c>
      <c r="K90" s="29" t="str">
        <f t="shared" si="2"/>
        <v>1b-800-fixed-stone</v>
      </c>
      <c r="L90" s="5" t="s">
        <v>126</v>
      </c>
      <c r="M90" s="5">
        <v>25.6</v>
      </c>
      <c r="S90" s="30" t="str" cm="1">
        <f t="array" ref="S90">IF(L90="RndPosition",_xlfn.TEXTJOIN(";",1,_xlfn.IFS(ISBLANK(T90:AB90),"",T90:AB90,TRUE,TRUE,FALSE)),"")</f>
        <v/>
      </c>
    </row>
    <row r="91" spans="1:19">
      <c r="A91" s="35">
        <v>42012</v>
      </c>
      <c r="B91" s="5">
        <v>39</v>
      </c>
      <c r="C91" s="5" t="s">
        <v>132</v>
      </c>
      <c r="D91" s="5">
        <v>1</v>
      </c>
      <c r="E91" s="5"/>
      <c r="F91" s="5"/>
      <c r="G91" s="25">
        <v>1000</v>
      </c>
      <c r="H91" s="27" t="s">
        <v>156</v>
      </c>
      <c r="J91" s="35" t="str" cm="1">
        <f t="array" ref="J91">IFERROR(_xlfn.TEXTJOIN(";",1,IF(D91,_xlfn.MAKEARRAY(D91,1,_xlfn.LAMBDA(_xlpm.x,_xlpm.y,K91&amp;"-"&amp;TEXT(_xlpm.x,"00"))),_xlfn.MAP(_xlfn.TEXTSPLIT(E91,{";","；"},,1),_xlfn.LAMBDA(_xlpm.x,K91&amp;"-"&amp;TEXT(_xlpm.x,"00"))))),"")</f>
        <v>1b-1000-fixed-sky-01</v>
      </c>
      <c r="K91" s="29" t="str">
        <f t="shared" si="2"/>
        <v>1b-1000-fixed-sky</v>
      </c>
      <c r="L91" s="5" t="s">
        <v>126</v>
      </c>
      <c r="M91" s="5">
        <v>25.6</v>
      </c>
      <c r="S91" s="30" t="str" cm="1">
        <f t="array" ref="S91">IF(L91="RndPosition",_xlfn.TEXTJOIN(";",1,_xlfn.IFS(ISBLANK(T91:AB91),"",T91:AB91,TRUE,TRUE,FALSE)),"")</f>
        <v/>
      </c>
    </row>
    <row r="92" spans="1:19">
      <c r="C92" s="34"/>
      <c r="D92" s="34"/>
      <c r="E92" s="34"/>
      <c r="F92" s="34"/>
      <c r="J92" s="35"/>
    </row>
    <row r="93" spans="1:19">
      <c r="A93" s="35">
        <v>42013</v>
      </c>
      <c r="B93" s="5">
        <v>1</v>
      </c>
      <c r="C93" s="34" t="s">
        <v>168</v>
      </c>
      <c r="D93" s="34">
        <v>1</v>
      </c>
      <c r="E93" s="34"/>
      <c r="F93" s="34"/>
      <c r="G93" s="25">
        <v>7</v>
      </c>
      <c r="H93" s="27" t="s">
        <v>169</v>
      </c>
      <c r="J93" s="35" t="str" cm="1">
        <f t="array" ref="J93">IFERROR(_xlfn.TEXTJOIN(";",1,IF(D93,_xlfn.MAKEARRAY(D93,1,_xlfn.LAMBDA(_xlpm.x,_xlpm.y,K93&amp;"-"&amp;TEXT(_xlpm.x,"00"))),_xlfn.MAP(_xlfn.TEXTSPLIT(E93,{";","；"},,1),_xlfn.LAMBDA(_xlpm.x,K93&amp;"-"&amp;TEXT(_xlpm.x,"00"))))),"")</f>
        <v>1c-7-rnd-archi-01</v>
      </c>
      <c r="K93" s="29" t="str">
        <f>_xlfn.TEXTJOIN("-",1,H93:I93,G93,IF(L93="FixedDistance","fixed","rnd"),C93)</f>
        <v>1c-7-rnd-archi</v>
      </c>
      <c r="L93" s="5" t="s">
        <v>123</v>
      </c>
      <c r="N93" s="5" t="s">
        <v>170</v>
      </c>
    </row>
    <row r="94" spans="1:19">
      <c r="A94" s="35">
        <v>42013</v>
      </c>
      <c r="B94" s="5">
        <v>2</v>
      </c>
      <c r="C94" s="34" t="s">
        <v>155</v>
      </c>
      <c r="D94" s="34">
        <v>4</v>
      </c>
      <c r="E94" s="34"/>
      <c r="F94" s="34"/>
      <c r="G94" s="25">
        <v>8</v>
      </c>
      <c r="H94" s="27" t="s">
        <v>169</v>
      </c>
      <c r="J94" s="35" t="str" cm="1">
        <f t="array" ref="J94">IFERROR(_xlfn.TEXTJOIN(";",1,IF(D94,_xlfn.MAKEARRAY(D94,1,_xlfn.LAMBDA(_xlpm.x,_xlpm.y,K94&amp;"-"&amp;TEXT(_xlpm.x,"00"))),_xlfn.MAP(_xlfn.TEXTSPLIT(E94,{";","；"},,1),_xlfn.LAMBDA(_xlpm.x,K94&amp;"-"&amp;TEXT(_xlpm.x,"00"))))),"")</f>
        <v>1c-8-rnd-front-01;1c-8-rnd-front-02;1c-8-rnd-front-03;1c-8-rnd-front-04</v>
      </c>
      <c r="K94" s="29" t="str">
        <f t="shared" ref="K94:K128" si="5">_xlfn.TEXTJOIN("-",1,H94:I94,G94,IF(L94="FixedDistance","fixed","rnd"),C94)</f>
        <v>1c-8-rnd-front</v>
      </c>
      <c r="L94" s="5" t="s">
        <v>123</v>
      </c>
      <c r="N94" s="5" t="s">
        <v>142</v>
      </c>
    </row>
    <row r="95" spans="1:19">
      <c r="A95" s="35">
        <v>42013</v>
      </c>
      <c r="B95" s="5">
        <v>3</v>
      </c>
      <c r="C95" s="34" t="s">
        <v>125</v>
      </c>
      <c r="D95" s="34">
        <v>1</v>
      </c>
      <c r="E95" s="34"/>
      <c r="F95" s="34"/>
      <c r="G95" s="25">
        <v>12</v>
      </c>
      <c r="H95" s="27" t="s">
        <v>169</v>
      </c>
      <c r="J95" s="35" t="str" cm="1">
        <f t="array" ref="J95">IFERROR(_xlfn.TEXTJOIN(";",1,IF(D95,_xlfn.MAKEARRAY(D95,1,_xlfn.LAMBDA(_xlpm.x,_xlpm.y,K95&amp;"-"&amp;TEXT(_xlpm.x,"00"))),_xlfn.MAP(_xlfn.TEXTSPLIT(E95,{";","；"},,1),_xlfn.LAMBDA(_xlpm.x,K95&amp;"-"&amp;TEXT(_xlpm.x,"00"))))),"")</f>
        <v>1c-12-fixed-atm-01</v>
      </c>
      <c r="K95" s="29" t="str">
        <f t="shared" si="5"/>
        <v>1c-12-fixed-atm</v>
      </c>
      <c r="L95" s="5" t="s">
        <v>126</v>
      </c>
      <c r="M95" s="5">
        <v>25.6</v>
      </c>
    </row>
    <row r="96" spans="1:19">
      <c r="A96" s="35">
        <v>42013</v>
      </c>
      <c r="B96" s="5">
        <v>4</v>
      </c>
      <c r="C96" s="34" t="s">
        <v>171</v>
      </c>
      <c r="D96" s="34">
        <v>5</v>
      </c>
      <c r="E96" s="34"/>
      <c r="F96" s="34"/>
      <c r="G96" s="25">
        <v>14</v>
      </c>
      <c r="H96" s="27" t="s">
        <v>169</v>
      </c>
      <c r="J96" s="35" t="str" cm="1">
        <f t="array" ref="J96">IFERROR(_xlfn.TEXTJOIN(";",1,IF(D96,_xlfn.MAKEARRAY(D96,1,_xlfn.LAMBDA(_xlpm.x,_xlpm.y,K96&amp;"-"&amp;TEXT(_xlpm.x,"00"))),_xlfn.MAP(_xlfn.TEXTSPLIT(E96,{";","；"},,1),_xlfn.LAMBDA(_xlpm.x,K96&amp;"-"&amp;TEXT(_xlpm.x,"00"))))),"")</f>
        <v>1c-14-rnd-railing-01;1c-14-rnd-railing-02;1c-14-rnd-railing-03;1c-14-rnd-railing-04;1c-14-rnd-railing-05</v>
      </c>
      <c r="K96" s="29" t="str">
        <f t="shared" si="5"/>
        <v>1c-14-rnd-railing</v>
      </c>
      <c r="L96" s="5" t="s">
        <v>123</v>
      </c>
      <c r="N96" s="5" t="s">
        <v>154</v>
      </c>
    </row>
    <row r="97" spans="1:18">
      <c r="A97" s="35">
        <v>42013</v>
      </c>
      <c r="B97" s="5">
        <v>5</v>
      </c>
      <c r="C97" s="34" t="s">
        <v>168</v>
      </c>
      <c r="D97" s="34">
        <v>4</v>
      </c>
      <c r="E97" s="34"/>
      <c r="F97" s="34"/>
      <c r="G97" s="25">
        <v>20</v>
      </c>
      <c r="H97" s="27" t="s">
        <v>169</v>
      </c>
      <c r="J97" s="35" t="str" cm="1">
        <f t="array" ref="J97">IFERROR(_xlfn.TEXTJOIN(";",1,IF(D97,_xlfn.MAKEARRAY(D97,1,_xlfn.LAMBDA(_xlpm.x,_xlpm.y,K97&amp;"-"&amp;TEXT(_xlpm.x,"00"))),_xlfn.MAP(_xlfn.TEXTSPLIT(E97,{";","；"},,1),_xlfn.LAMBDA(_xlpm.x,K97&amp;"-"&amp;TEXT(_xlpm.x,"00"))))),"")</f>
        <v>1c-20-rnd-archi-01;1c-20-rnd-archi-02;1c-20-rnd-archi-03;1c-20-rnd-archi-04</v>
      </c>
      <c r="K97" s="29" t="str">
        <f t="shared" si="5"/>
        <v>1c-20-rnd-archi</v>
      </c>
      <c r="L97" s="5" t="s">
        <v>123</v>
      </c>
      <c r="N97" s="5" t="s">
        <v>172</v>
      </c>
    </row>
    <row r="98" spans="1:18">
      <c r="A98" s="35">
        <v>42013</v>
      </c>
      <c r="B98" s="5">
        <v>6</v>
      </c>
      <c r="C98" s="34" t="s">
        <v>168</v>
      </c>
      <c r="D98" s="34">
        <v>7</v>
      </c>
      <c r="E98" s="34"/>
      <c r="F98" s="34"/>
      <c r="G98" s="25">
        <v>30</v>
      </c>
      <c r="H98" s="27" t="s">
        <v>169</v>
      </c>
      <c r="J98" s="35" t="str" cm="1">
        <f t="array" ref="J98">IFERROR(_xlfn.TEXTJOIN(";",1,IF(D98,_xlfn.MAKEARRAY(D98,1,_xlfn.LAMBDA(_xlpm.x,_xlpm.y,K98&amp;"-"&amp;TEXT(_xlpm.x,"00"))),_xlfn.MAP(_xlfn.TEXTSPLIT(E98,{";","；"},,1),_xlfn.LAMBDA(_xlpm.x,K98&amp;"-"&amp;TEXT(_xlpm.x,"00"))))),"")</f>
        <v>1c-30-rnd-archi-01;1c-30-rnd-archi-02;1c-30-rnd-archi-03;1c-30-rnd-archi-04;1c-30-rnd-archi-05;1c-30-rnd-archi-06;1c-30-rnd-archi-07</v>
      </c>
      <c r="K98" s="29" t="str">
        <f t="shared" si="5"/>
        <v>1c-30-rnd-archi</v>
      </c>
      <c r="L98" s="5" t="s">
        <v>123</v>
      </c>
      <c r="N98" s="5" t="s">
        <v>162</v>
      </c>
    </row>
    <row r="99" spans="1:18">
      <c r="A99" s="35">
        <v>42013</v>
      </c>
      <c r="B99" s="5">
        <v>7</v>
      </c>
      <c r="C99" s="34" t="s">
        <v>145</v>
      </c>
      <c r="D99" s="34">
        <v>4</v>
      </c>
      <c r="E99" s="34"/>
      <c r="F99" s="34"/>
      <c r="G99" s="25">
        <v>40</v>
      </c>
      <c r="H99" s="27" t="s">
        <v>169</v>
      </c>
      <c r="J99" s="35" t="str" cm="1">
        <f t="array" ref="J99">IFERROR(_xlfn.TEXTJOIN(";",1,IF(D99,_xlfn.MAKEARRAY(D99,1,_xlfn.LAMBDA(_xlpm.x,_xlpm.y,K99&amp;"-"&amp;TEXT(_xlpm.x,"00"))),_xlfn.MAP(_xlfn.TEXTSPLIT(E99,{";","；"},,1),_xlfn.LAMBDA(_xlpm.x,K99&amp;"-"&amp;TEXT(_xlpm.x,"00"))))),"")</f>
        <v>1c-40-rnd-pillar-01;1c-40-rnd-pillar-02;1c-40-rnd-pillar-03;1c-40-rnd-pillar-04</v>
      </c>
      <c r="K99" s="29" t="str">
        <f t="shared" si="5"/>
        <v>1c-40-rnd-pillar</v>
      </c>
      <c r="L99" s="5" t="s">
        <v>123</v>
      </c>
      <c r="N99" s="5" t="s">
        <v>141</v>
      </c>
    </row>
    <row r="100" spans="1:18">
      <c r="A100" s="35">
        <v>42013</v>
      </c>
      <c r="B100" s="5">
        <v>8</v>
      </c>
      <c r="C100" s="34" t="s">
        <v>160</v>
      </c>
      <c r="D100" s="34">
        <v>6</v>
      </c>
      <c r="E100" s="34"/>
      <c r="F100" s="34"/>
      <c r="G100" s="25">
        <v>60</v>
      </c>
      <c r="H100" s="27" t="s">
        <v>169</v>
      </c>
      <c r="J100" s="35" t="str" cm="1">
        <f t="array" ref="J100">IFERROR(_xlfn.TEXTJOIN(";",1,IF(D100,_xlfn.MAKEARRAY(D100,1,_xlfn.LAMBDA(_xlpm.x,_xlpm.y,K100&amp;"-"&amp;TEXT(_xlpm.x,"00"))),_xlfn.MAP(_xlfn.TEXTSPLIT(E100,{";","；"},,1),_xlfn.LAMBDA(_xlpm.x,K100&amp;"-"&amp;TEXT(_xlpm.x,"00"))))),"")</f>
        <v>1c-60-rnd-statu-01;1c-60-rnd-statu-02;1c-60-rnd-statu-03;1c-60-rnd-statu-04;1c-60-rnd-statu-05;1c-60-rnd-statu-06</v>
      </c>
      <c r="K100" s="29" t="str">
        <f t="shared" si="5"/>
        <v>1c-60-rnd-statu</v>
      </c>
      <c r="L100" s="5" t="s">
        <v>123</v>
      </c>
      <c r="N100" s="5" t="s">
        <v>154</v>
      </c>
    </row>
    <row r="101" spans="1:18">
      <c r="A101" s="35">
        <v>42013</v>
      </c>
      <c r="B101" s="5">
        <v>9</v>
      </c>
      <c r="C101" s="34" t="s">
        <v>168</v>
      </c>
      <c r="D101" s="34">
        <v>6</v>
      </c>
      <c r="E101" s="34"/>
      <c r="F101" s="34"/>
      <c r="G101" s="25">
        <v>70</v>
      </c>
      <c r="H101" s="27" t="s">
        <v>169</v>
      </c>
      <c r="J101" s="35" t="str" cm="1">
        <f t="array" ref="J101">IFERROR(_xlfn.TEXTJOIN(";",1,IF(D101,_xlfn.MAKEARRAY(D101,1,_xlfn.LAMBDA(_xlpm.x,_xlpm.y,K101&amp;"-"&amp;TEXT(_xlpm.x,"00"))),_xlfn.MAP(_xlfn.TEXTSPLIT(E101,{";","；"},,1),_xlfn.LAMBDA(_xlpm.x,K101&amp;"-"&amp;TEXT(_xlpm.x,"00"))))),"")</f>
        <v>1c-70-rnd-archi-01;1c-70-rnd-archi-02;1c-70-rnd-archi-03;1c-70-rnd-archi-04;1c-70-rnd-archi-05;1c-70-rnd-archi-06</v>
      </c>
      <c r="K101" s="29" t="str">
        <f t="shared" si="5"/>
        <v>1c-70-rnd-archi</v>
      </c>
      <c r="L101" s="5" t="s">
        <v>123</v>
      </c>
      <c r="N101" s="5" t="s">
        <v>173</v>
      </c>
    </row>
    <row r="102" spans="1:18">
      <c r="A102" s="35">
        <v>42013</v>
      </c>
      <c r="B102" s="5">
        <v>10</v>
      </c>
      <c r="C102" s="34" t="s">
        <v>131</v>
      </c>
      <c r="D102" s="34">
        <v>3</v>
      </c>
      <c r="E102" s="34"/>
      <c r="F102" s="34"/>
      <c r="G102" s="25">
        <v>80</v>
      </c>
      <c r="H102" s="27" t="s">
        <v>169</v>
      </c>
      <c r="J102" s="35" t="str" cm="1">
        <f t="array" ref="J102">IFERROR(_xlfn.TEXTJOIN(";",1,IF(D102,_xlfn.MAKEARRAY(D102,1,_xlfn.LAMBDA(_xlpm.x,_xlpm.y,K102&amp;"-"&amp;TEXT(_xlpm.x,"00"))),_xlfn.MAP(_xlfn.TEXTSPLIT(E102,{";","；"},,1),_xlfn.LAMBDA(_xlpm.x,K102&amp;"-"&amp;TEXT(_xlpm.x,"00"))))),"")</f>
        <v>1c-80-rnd-cloud-01;1c-80-rnd-cloud-02;1c-80-rnd-cloud-03</v>
      </c>
      <c r="K102" s="29" t="str">
        <f t="shared" si="5"/>
        <v>1c-80-rnd-cloud</v>
      </c>
      <c r="L102" s="5" t="s">
        <v>123</v>
      </c>
      <c r="N102" s="5" t="s">
        <v>154</v>
      </c>
    </row>
    <row r="103" spans="1:18">
      <c r="A103" s="35">
        <v>42013</v>
      </c>
      <c r="B103" s="5">
        <v>11</v>
      </c>
      <c r="C103" s="34" t="s">
        <v>168</v>
      </c>
      <c r="D103" s="34">
        <v>7</v>
      </c>
      <c r="E103" s="34"/>
      <c r="F103" s="34"/>
      <c r="G103" s="25">
        <v>110</v>
      </c>
      <c r="H103" s="27" t="s">
        <v>169</v>
      </c>
      <c r="J103" s="35" t="str" cm="1">
        <f t="array" ref="J103">IFERROR(_xlfn.TEXTJOIN(";",1,IF(D103,_xlfn.MAKEARRAY(D103,1,_xlfn.LAMBDA(_xlpm.x,_xlpm.y,K103&amp;"-"&amp;TEXT(_xlpm.x,"00"))),_xlfn.MAP(_xlfn.TEXTSPLIT(E103,{";","；"},,1),_xlfn.LAMBDA(_xlpm.x,K103&amp;"-"&amp;TEXT(_xlpm.x,"00"))))),"")</f>
        <v>1c-110-rnd-archi-01;1c-110-rnd-archi-02;1c-110-rnd-archi-03;1c-110-rnd-archi-04;1c-110-rnd-archi-05;1c-110-rnd-archi-06;1c-110-rnd-archi-07</v>
      </c>
      <c r="K103" s="29" t="str">
        <f t="shared" si="5"/>
        <v>1c-110-rnd-archi</v>
      </c>
      <c r="L103" s="5" t="s">
        <v>123</v>
      </c>
      <c r="N103" s="5" t="s">
        <v>174</v>
      </c>
    </row>
    <row r="104" spans="1:18">
      <c r="A104" s="35">
        <v>42013</v>
      </c>
      <c r="B104" s="5">
        <v>12</v>
      </c>
      <c r="C104" s="34" t="s">
        <v>125</v>
      </c>
      <c r="D104" s="34">
        <v>1</v>
      </c>
      <c r="E104" s="34"/>
      <c r="F104" s="34"/>
      <c r="G104" s="25">
        <v>113</v>
      </c>
      <c r="H104" s="27" t="s">
        <v>169</v>
      </c>
      <c r="J104" s="35" t="str" cm="1">
        <f t="array" ref="J104">IFERROR(_xlfn.TEXTJOIN(";",1,IF(D104,_xlfn.MAKEARRAY(D104,1,_xlfn.LAMBDA(_xlpm.x,_xlpm.y,K104&amp;"-"&amp;TEXT(_xlpm.x,"00"))),_xlfn.MAP(_xlfn.TEXTSPLIT(E104,{";","；"},,1),_xlfn.LAMBDA(_xlpm.x,K104&amp;"-"&amp;TEXT(_xlpm.x,"00"))))),"")</f>
        <v>1c-113-fixed-atm-01</v>
      </c>
      <c r="K104" s="29" t="str">
        <f t="shared" si="5"/>
        <v>1c-113-fixed-atm</v>
      </c>
      <c r="L104" s="5" t="s">
        <v>126</v>
      </c>
      <c r="M104" s="5">
        <v>25.6</v>
      </c>
    </row>
    <row r="105" spans="1:18">
      <c r="A105" s="35">
        <v>42013</v>
      </c>
      <c r="B105" s="5">
        <v>13</v>
      </c>
      <c r="C105" s="34" t="s">
        <v>175</v>
      </c>
      <c r="D105" s="34">
        <v>5</v>
      </c>
      <c r="E105" s="34"/>
      <c r="F105" s="34"/>
      <c r="G105" s="25">
        <v>120</v>
      </c>
      <c r="H105" s="27" t="s">
        <v>169</v>
      </c>
      <c r="J105" s="35" t="str" cm="1">
        <f t="array" ref="J105">IFERROR(_xlfn.TEXTJOIN(";",1,IF(D105,_xlfn.MAKEARRAY(D105,1,_xlfn.LAMBDA(_xlpm.x,_xlpm.y,K105&amp;"-"&amp;TEXT(_xlpm.x,"00"))),_xlfn.MAP(_xlfn.TEXTSPLIT(E105,{";","；"},,1),_xlfn.LAMBDA(_xlpm.x,K105&amp;"-"&amp;TEXT(_xlpm.x,"00"))))),"")</f>
        <v>1c-120-rnd-wall-01;1c-120-rnd-wall-02;1c-120-rnd-wall-03;1c-120-rnd-wall-04;1c-120-rnd-wall-05</v>
      </c>
      <c r="K105" s="29" t="str">
        <f t="shared" si="5"/>
        <v>1c-120-rnd-wall</v>
      </c>
      <c r="L105" s="5" t="s">
        <v>123</v>
      </c>
      <c r="N105" s="5" t="s">
        <v>176</v>
      </c>
    </row>
    <row r="106" spans="1:18">
      <c r="A106" s="35">
        <v>42013</v>
      </c>
      <c r="B106" s="5">
        <v>14</v>
      </c>
      <c r="C106" s="34" t="s">
        <v>160</v>
      </c>
      <c r="D106" s="34">
        <v>2</v>
      </c>
      <c r="E106" s="34"/>
      <c r="F106" s="34"/>
      <c r="G106" s="25">
        <v>144</v>
      </c>
      <c r="H106" s="27" t="s">
        <v>169</v>
      </c>
      <c r="J106" s="35" t="str" cm="1">
        <f t="array" ref="J106">IFERROR(_xlfn.TEXTJOIN(";",1,IF(D106,_xlfn.MAKEARRAY(D106,1,_xlfn.LAMBDA(_xlpm.x,_xlpm.y,K106&amp;"-"&amp;TEXT(_xlpm.x,"00"))),_xlfn.MAP(_xlfn.TEXTSPLIT(E106,{";","；"},,1),_xlfn.LAMBDA(_xlpm.x,K106&amp;"-"&amp;TEXT(_xlpm.x,"00"))))),"")</f>
        <v>1c-144-rnd-statu-01;1c-144-rnd-statu-02</v>
      </c>
      <c r="K106" s="29" t="str">
        <f t="shared" si="5"/>
        <v>1c-144-rnd-statu</v>
      </c>
      <c r="L106" s="5" t="s">
        <v>123</v>
      </c>
      <c r="N106" s="5" t="s">
        <v>154</v>
      </c>
    </row>
    <row r="107" spans="1:18">
      <c r="A107" s="35">
        <v>42013</v>
      </c>
      <c r="B107" s="5">
        <v>15</v>
      </c>
      <c r="C107" s="34" t="s">
        <v>125</v>
      </c>
      <c r="D107" s="34">
        <v>1</v>
      </c>
      <c r="E107" s="34"/>
      <c r="F107" s="34"/>
      <c r="G107" s="25">
        <v>148</v>
      </c>
      <c r="H107" s="27" t="s">
        <v>169</v>
      </c>
      <c r="J107" s="35" t="str" cm="1">
        <f t="array" ref="J107">IFERROR(_xlfn.TEXTJOIN(";",1,IF(D107,_xlfn.MAKEARRAY(D107,1,_xlfn.LAMBDA(_xlpm.x,_xlpm.y,K107&amp;"-"&amp;TEXT(_xlpm.x,"00"))),_xlfn.MAP(_xlfn.TEXTSPLIT(E107,{";","；"},,1),_xlfn.LAMBDA(_xlpm.x,K107&amp;"-"&amp;TEXT(_xlpm.x,"00"))))),"")</f>
        <v>1c-148-fixed-atm-01</v>
      </c>
      <c r="K107" s="29" t="str">
        <f t="shared" si="5"/>
        <v>1c-148-fixed-atm</v>
      </c>
      <c r="L107" s="5" t="s">
        <v>126</v>
      </c>
      <c r="M107" s="5">
        <v>25.6</v>
      </c>
    </row>
    <row r="108" spans="1:18">
      <c r="A108" s="35">
        <v>42013</v>
      </c>
      <c r="B108" s="5">
        <v>16</v>
      </c>
      <c r="C108" s="34" t="s">
        <v>145</v>
      </c>
      <c r="D108" s="34">
        <v>4</v>
      </c>
      <c r="E108" s="34"/>
      <c r="F108" s="34"/>
      <c r="G108" s="25">
        <v>150</v>
      </c>
      <c r="H108" s="27" t="s">
        <v>169</v>
      </c>
      <c r="J108" s="35" t="str" cm="1">
        <f t="array" ref="J108">IFERROR(_xlfn.TEXTJOIN(";",1,IF(D108,_xlfn.MAKEARRAY(D108,1,_xlfn.LAMBDA(_xlpm.x,_xlpm.y,K108&amp;"-"&amp;TEXT(_xlpm.x,"00"))),_xlfn.MAP(_xlfn.TEXTSPLIT(E108,{";","；"},,1),_xlfn.LAMBDA(_xlpm.x,K108&amp;"-"&amp;TEXT(_xlpm.x,"00"))))),"")</f>
        <v>1c-150-rnd-pillar-01;1c-150-rnd-pillar-02;1c-150-rnd-pillar-03;1c-150-rnd-pillar-04</v>
      </c>
      <c r="K108" s="29" t="str">
        <f t="shared" si="5"/>
        <v>1c-150-rnd-pillar</v>
      </c>
      <c r="L108" s="5" t="s">
        <v>123</v>
      </c>
      <c r="N108" s="5" t="s">
        <v>154</v>
      </c>
    </row>
    <row r="109" spans="1:18">
      <c r="A109" s="35">
        <v>42013</v>
      </c>
      <c r="B109" s="5">
        <v>17</v>
      </c>
      <c r="C109" s="34" t="s">
        <v>131</v>
      </c>
      <c r="D109" s="34">
        <v>1</v>
      </c>
      <c r="E109" s="34"/>
      <c r="F109" s="34"/>
      <c r="G109" s="25">
        <v>160</v>
      </c>
      <c r="H109" s="27" t="s">
        <v>169</v>
      </c>
      <c r="J109" s="35" t="str" cm="1">
        <f t="array" ref="J109">IFERROR(_xlfn.TEXTJOIN(";",1,IF(D109,_xlfn.MAKEARRAY(D109,1,_xlfn.LAMBDA(_xlpm.x,_xlpm.y,K109&amp;"-"&amp;TEXT(_xlpm.x,"00"))),_xlfn.MAP(_xlfn.TEXTSPLIT(E109,{";","；"},,1),_xlfn.LAMBDA(_xlpm.x,K109&amp;"-"&amp;TEXT(_xlpm.x,"00"))))),"")</f>
        <v>1c-160-rnd-cloud-01</v>
      </c>
      <c r="K109" s="29" t="str">
        <f t="shared" si="5"/>
        <v>1c-160-rnd-cloud</v>
      </c>
      <c r="L109" s="5" t="s">
        <v>123</v>
      </c>
      <c r="N109" s="5" t="s">
        <v>177</v>
      </c>
      <c r="R109" s="5">
        <v>55</v>
      </c>
    </row>
    <row r="110" spans="1:18">
      <c r="A110" s="35">
        <v>42013</v>
      </c>
      <c r="B110" s="5">
        <v>18</v>
      </c>
      <c r="C110" s="34" t="s">
        <v>178</v>
      </c>
      <c r="D110" s="34">
        <v>1</v>
      </c>
      <c r="E110" s="34"/>
      <c r="F110" s="34"/>
      <c r="G110" s="25">
        <v>200</v>
      </c>
      <c r="H110" s="27" t="s">
        <v>169</v>
      </c>
      <c r="J110" s="35" t="str" cm="1">
        <f t="array" ref="J110">IFERROR(_xlfn.TEXTJOIN(";",1,IF(D110,_xlfn.MAKEARRAY(D110,1,_xlfn.LAMBDA(_xlpm.x,_xlpm.y,K110&amp;"-"&amp;TEXT(_xlpm.x,"00"))),_xlfn.MAP(_xlfn.TEXTSPLIT(E110,{";","；"},,1),_xlfn.LAMBDA(_xlpm.x,K110&amp;"-"&amp;TEXT(_xlpm.x,"00"))))),"")</f>
        <v>1c-200-fixed-road-01</v>
      </c>
      <c r="K110" s="29" t="str">
        <f t="shared" si="5"/>
        <v>1c-200-fixed-road</v>
      </c>
      <c r="L110" s="5" t="s">
        <v>126</v>
      </c>
      <c r="M110" s="5">
        <v>19.28</v>
      </c>
    </row>
    <row r="111" spans="1:18">
      <c r="A111" s="35">
        <v>42013</v>
      </c>
      <c r="B111" s="5">
        <v>19</v>
      </c>
      <c r="C111" s="34" t="s">
        <v>168</v>
      </c>
      <c r="D111" s="34">
        <v>1</v>
      </c>
      <c r="E111" s="34"/>
      <c r="F111" s="34"/>
      <c r="G111" s="25">
        <v>205</v>
      </c>
      <c r="H111" s="27" t="s">
        <v>169</v>
      </c>
      <c r="J111" s="35" t="str" cm="1">
        <f t="array" ref="J111">IFERROR(_xlfn.TEXTJOIN(";",1,IF(D111,_xlfn.MAKEARRAY(D111,1,_xlfn.LAMBDA(_xlpm.x,_xlpm.y,K111&amp;"-"&amp;TEXT(_xlpm.x,"00"))),_xlfn.MAP(_xlfn.TEXTSPLIT(E111,{";","；"},,1),_xlfn.LAMBDA(_xlpm.x,K111&amp;"-"&amp;TEXT(_xlpm.x,"00"))))),"")</f>
        <v>1c-205-rnd-archi-01</v>
      </c>
      <c r="K111" s="29" t="str">
        <f t="shared" si="5"/>
        <v>1c-205-rnd-archi</v>
      </c>
      <c r="L111" s="5" t="s">
        <v>123</v>
      </c>
      <c r="N111" s="5" t="s">
        <v>177</v>
      </c>
    </row>
    <row r="112" spans="1:18">
      <c r="A112" s="35">
        <v>42013</v>
      </c>
      <c r="B112" s="5">
        <v>20</v>
      </c>
      <c r="C112" s="34" t="s">
        <v>125</v>
      </c>
      <c r="D112" s="34">
        <v>1</v>
      </c>
      <c r="E112" s="34"/>
      <c r="F112" s="34"/>
      <c r="G112" s="25">
        <v>230</v>
      </c>
      <c r="H112" s="27" t="s">
        <v>169</v>
      </c>
      <c r="J112" s="35" t="str" cm="1">
        <f t="array" ref="J112">IFERROR(_xlfn.TEXTJOIN(";",1,IF(D112,_xlfn.MAKEARRAY(D112,1,_xlfn.LAMBDA(_xlpm.x,_xlpm.y,K112&amp;"-"&amp;TEXT(_xlpm.x,"00"))),_xlfn.MAP(_xlfn.TEXTSPLIT(E112,{";","；"},,1),_xlfn.LAMBDA(_xlpm.x,K112&amp;"-"&amp;TEXT(_xlpm.x,"00"))))),"")</f>
        <v>1c-230-fixed-atm-01</v>
      </c>
      <c r="K112" s="29" t="str">
        <f t="shared" si="5"/>
        <v>1c-230-fixed-atm</v>
      </c>
      <c r="L112" s="5" t="s">
        <v>126</v>
      </c>
      <c r="M112" s="5">
        <v>25.6</v>
      </c>
    </row>
    <row r="113" spans="1:19">
      <c r="A113" s="35">
        <v>42013</v>
      </c>
      <c r="B113" s="5">
        <v>21</v>
      </c>
      <c r="C113" s="34" t="s">
        <v>145</v>
      </c>
      <c r="D113" s="34">
        <v>1</v>
      </c>
      <c r="E113" s="34"/>
      <c r="F113" s="34"/>
      <c r="G113" s="25">
        <v>300</v>
      </c>
      <c r="H113" s="27" t="s">
        <v>169</v>
      </c>
      <c r="J113" s="35" t="str" cm="1">
        <f t="array" ref="J113">IFERROR(_xlfn.TEXTJOIN(";",1,IF(D113,_xlfn.MAKEARRAY(D113,1,_xlfn.LAMBDA(_xlpm.x,_xlpm.y,K113&amp;"-"&amp;TEXT(_xlpm.x,"00"))),_xlfn.MAP(_xlfn.TEXTSPLIT(E113,{";","；"},,1),_xlfn.LAMBDA(_xlpm.x,K113&amp;"-"&amp;TEXT(_xlpm.x,"00"))))),"")</f>
        <v>1c-300-rnd-pillar-01</v>
      </c>
      <c r="K113" s="29" t="str">
        <f t="shared" si="5"/>
        <v>1c-300-rnd-pillar</v>
      </c>
      <c r="L113" s="5" t="s">
        <v>123</v>
      </c>
      <c r="N113" s="5" t="s">
        <v>176</v>
      </c>
    </row>
    <row r="114" spans="1:19">
      <c r="A114" s="35">
        <v>42013</v>
      </c>
      <c r="B114" s="5">
        <v>22</v>
      </c>
      <c r="C114" s="34" t="s">
        <v>168</v>
      </c>
      <c r="D114" s="34">
        <v>2</v>
      </c>
      <c r="E114" s="34"/>
      <c r="F114" s="34"/>
      <c r="G114" s="25">
        <v>320</v>
      </c>
      <c r="H114" s="27" t="s">
        <v>169</v>
      </c>
      <c r="J114" s="35" t="str" cm="1">
        <f t="array" ref="J114">IFERROR(_xlfn.TEXTJOIN(";",1,IF(D114,_xlfn.MAKEARRAY(D114,1,_xlfn.LAMBDA(_xlpm.x,_xlpm.y,K114&amp;"-"&amp;TEXT(_xlpm.x,"00"))),_xlfn.MAP(_xlfn.TEXTSPLIT(E114,{";","；"},,1),_xlfn.LAMBDA(_xlpm.x,K114&amp;"-"&amp;TEXT(_xlpm.x,"00"))))),"")</f>
        <v>1c-320-rnd-archi-01;1c-320-rnd-archi-02</v>
      </c>
      <c r="K114" s="29" t="str">
        <f t="shared" si="5"/>
        <v>1c-320-rnd-archi</v>
      </c>
      <c r="L114" s="5" t="s">
        <v>123</v>
      </c>
      <c r="N114" s="5" t="s">
        <v>177</v>
      </c>
    </row>
    <row r="115" spans="1:19">
      <c r="A115" s="35">
        <v>42013</v>
      </c>
      <c r="B115" s="5">
        <v>23</v>
      </c>
      <c r="C115" s="34" t="s">
        <v>130</v>
      </c>
      <c r="D115" s="34">
        <v>3</v>
      </c>
      <c r="E115" s="34"/>
      <c r="F115" s="34"/>
      <c r="G115" s="25">
        <v>360</v>
      </c>
      <c r="H115" s="27" t="s">
        <v>169</v>
      </c>
      <c r="J115" s="35" t="str" cm="1">
        <f t="array" ref="J115">IFERROR(_xlfn.TEXTJOIN(";",1,IF(D115,_xlfn.MAKEARRAY(D115,1,_xlfn.LAMBDA(_xlpm.x,_xlpm.y,K115&amp;"-"&amp;TEXT(_xlpm.x,"00"))),_xlfn.MAP(_xlfn.TEXTSPLIT(E115,{";","；"},,1),_xlfn.LAMBDA(_xlpm.x,K115&amp;"-"&amp;TEXT(_xlpm.x,"00"))))),"")</f>
        <v>1c-360-rnd-mountain-01;1c-360-rnd-mountain-02;1c-360-rnd-mountain-03</v>
      </c>
      <c r="K115" s="29" t="str">
        <f t="shared" si="5"/>
        <v>1c-360-rnd-mountain</v>
      </c>
      <c r="L115" s="5" t="s">
        <v>123</v>
      </c>
      <c r="N115" s="5" t="s">
        <v>177</v>
      </c>
    </row>
    <row r="116" spans="1:19">
      <c r="A116" s="35">
        <v>42013</v>
      </c>
      <c r="B116" s="5">
        <v>24</v>
      </c>
      <c r="C116" s="34" t="s">
        <v>145</v>
      </c>
      <c r="D116" s="34">
        <v>3</v>
      </c>
      <c r="E116" s="34"/>
      <c r="F116" s="34"/>
      <c r="G116" s="25">
        <v>388</v>
      </c>
      <c r="H116" s="27" t="s">
        <v>169</v>
      </c>
      <c r="J116" s="35" t="str" cm="1">
        <f t="array" ref="J116">IFERROR(_xlfn.TEXTJOIN(";",1,IF(D116,_xlfn.MAKEARRAY(D116,1,_xlfn.LAMBDA(_xlpm.x,_xlpm.y,K116&amp;"-"&amp;TEXT(_xlpm.x,"00"))),_xlfn.MAP(_xlfn.TEXTSPLIT(E116,{";","；"},,1),_xlfn.LAMBDA(_xlpm.x,K116&amp;"-"&amp;TEXT(_xlpm.x,"00"))))),"")</f>
        <v>1c-388-rnd-pillar-01;1c-388-rnd-pillar-02;1c-388-rnd-pillar-03</v>
      </c>
      <c r="K116" s="29" t="str">
        <f t="shared" si="5"/>
        <v>1c-388-rnd-pillar</v>
      </c>
      <c r="L116" s="5" t="s">
        <v>123</v>
      </c>
      <c r="N116" s="5" t="s">
        <v>176</v>
      </c>
      <c r="R116" s="5">
        <v>30</v>
      </c>
    </row>
    <row r="117" spans="1:19">
      <c r="A117" s="35">
        <v>42013</v>
      </c>
      <c r="B117" s="5">
        <v>25</v>
      </c>
      <c r="C117" s="34" t="s">
        <v>175</v>
      </c>
      <c r="D117" s="34">
        <v>3</v>
      </c>
      <c r="E117" s="34"/>
      <c r="F117" s="34"/>
      <c r="G117" s="25">
        <v>402</v>
      </c>
      <c r="H117" s="27" t="s">
        <v>169</v>
      </c>
      <c r="J117" s="35" t="str" cm="1">
        <f t="array" ref="J117">IFERROR(_xlfn.TEXTJOIN(";",1,IF(D117,_xlfn.MAKEARRAY(D117,1,_xlfn.LAMBDA(_xlpm.x,_xlpm.y,K117&amp;"-"&amp;TEXT(_xlpm.x,"00"))),_xlfn.MAP(_xlfn.TEXTSPLIT(E117,{";","；"},,1),_xlfn.LAMBDA(_xlpm.x,K117&amp;"-"&amp;TEXT(_xlpm.x,"00"))))),"")</f>
        <v>1c-402-rnd-wall-01;1c-402-rnd-wall-02;1c-402-rnd-wall-03</v>
      </c>
      <c r="K117" s="29" t="str">
        <f t="shared" si="5"/>
        <v>1c-402-rnd-wall</v>
      </c>
      <c r="L117" s="5" t="s">
        <v>123</v>
      </c>
      <c r="N117" s="5" t="s">
        <v>179</v>
      </c>
    </row>
    <row r="118" spans="1:19">
      <c r="A118" s="35">
        <v>42013</v>
      </c>
      <c r="B118" s="5">
        <v>26</v>
      </c>
      <c r="C118" s="34" t="s">
        <v>125</v>
      </c>
      <c r="D118" s="34">
        <v>1</v>
      </c>
      <c r="E118" s="34"/>
      <c r="F118" s="34"/>
      <c r="G118" s="25">
        <v>450</v>
      </c>
      <c r="H118" s="27" t="s">
        <v>169</v>
      </c>
      <c r="J118" s="35" t="str" cm="1">
        <f t="array" ref="J118">IFERROR(_xlfn.TEXTJOIN(";",1,IF(D118,_xlfn.MAKEARRAY(D118,1,_xlfn.LAMBDA(_xlpm.x,_xlpm.y,K118&amp;"-"&amp;TEXT(_xlpm.x,"00"))),_xlfn.MAP(_xlfn.TEXTSPLIT(E118,{";","；"},,1),_xlfn.LAMBDA(_xlpm.x,K118&amp;"-"&amp;TEXT(_xlpm.x,"00"))))),"")</f>
        <v>1c-450-fixed-atm-01</v>
      </c>
      <c r="K118" s="29" t="str">
        <f t="shared" si="5"/>
        <v>1c-450-fixed-atm</v>
      </c>
      <c r="L118" s="5" t="s">
        <v>126</v>
      </c>
      <c r="M118" s="5">
        <v>25.6</v>
      </c>
    </row>
    <row r="119" spans="1:19">
      <c r="A119" s="35">
        <v>42013</v>
      </c>
      <c r="B119" s="5">
        <v>27</v>
      </c>
      <c r="C119" s="34" t="s">
        <v>178</v>
      </c>
      <c r="D119" s="34">
        <v>1</v>
      </c>
      <c r="E119" s="34"/>
      <c r="F119" s="34"/>
      <c r="G119" s="25">
        <v>460</v>
      </c>
      <c r="H119" s="27" t="s">
        <v>169</v>
      </c>
      <c r="J119" s="35" t="str" cm="1">
        <f t="array" ref="J119">IFERROR(_xlfn.TEXTJOIN(";",1,IF(D119,_xlfn.MAKEARRAY(D119,1,_xlfn.LAMBDA(_xlpm.x,_xlpm.y,K119&amp;"-"&amp;TEXT(_xlpm.x,"00"))),_xlfn.MAP(_xlfn.TEXTSPLIT(E119,{";","；"},,1),_xlfn.LAMBDA(_xlpm.x,K119&amp;"-"&amp;TEXT(_xlpm.x,"00"))))),"")</f>
        <v>1c-460-fixed-road-01</v>
      </c>
      <c r="K119" s="29" t="str">
        <f t="shared" si="5"/>
        <v>1c-460-fixed-road</v>
      </c>
      <c r="L119" s="5" t="s">
        <v>126</v>
      </c>
      <c r="M119" s="5">
        <v>19.28</v>
      </c>
    </row>
    <row r="120" spans="1:19">
      <c r="A120" s="35">
        <v>42013</v>
      </c>
      <c r="B120" s="5">
        <v>28</v>
      </c>
      <c r="C120" s="34" t="s">
        <v>180</v>
      </c>
      <c r="D120" s="34">
        <v>5</v>
      </c>
      <c r="E120" s="34"/>
      <c r="F120" s="34"/>
      <c r="G120" s="25">
        <v>500</v>
      </c>
      <c r="H120" s="27" t="s">
        <v>169</v>
      </c>
      <c r="J120" s="35" t="str" cm="1">
        <f t="array" ref="J120">IFERROR(_xlfn.TEXTJOIN(";",1,IF(D120,_xlfn.MAKEARRAY(D120,1,_xlfn.LAMBDA(_xlpm.x,_xlpm.y,K120&amp;"-"&amp;TEXT(_xlpm.x,"00"))),_xlfn.MAP(_xlfn.TEXTSPLIT(E120,{";","；"},,1),_xlfn.LAMBDA(_xlpm.x,K120&amp;"-"&amp;TEXT(_xlpm.x,"00"))))),"")</f>
        <v>1c-500-rnd-slope-01;1c-500-rnd-slope-02;1c-500-rnd-slope-03;1c-500-rnd-slope-04;1c-500-rnd-slope-05</v>
      </c>
      <c r="K120" s="29" t="str">
        <f t="shared" si="5"/>
        <v>1c-500-rnd-slope</v>
      </c>
      <c r="L120" s="5" t="s">
        <v>123</v>
      </c>
      <c r="N120" s="5" t="s">
        <v>138</v>
      </c>
      <c r="R120" s="5">
        <v>42</v>
      </c>
    </row>
    <row r="121" spans="1:19">
      <c r="A121" s="35">
        <v>42013</v>
      </c>
      <c r="B121" s="5">
        <v>29</v>
      </c>
      <c r="C121" s="34" t="s">
        <v>145</v>
      </c>
      <c r="D121" s="34">
        <v>5</v>
      </c>
      <c r="E121" s="34"/>
      <c r="F121" s="34"/>
      <c r="G121" s="25">
        <v>502</v>
      </c>
      <c r="H121" s="27" t="s">
        <v>169</v>
      </c>
      <c r="J121" s="35" t="str" cm="1">
        <f t="array" ref="J121">IFERROR(_xlfn.TEXTJOIN(";",1,IF(D121,_xlfn.MAKEARRAY(D121,1,_xlfn.LAMBDA(_xlpm.x,_xlpm.y,K121&amp;"-"&amp;TEXT(_xlpm.x,"00"))),_xlfn.MAP(_xlfn.TEXTSPLIT(E121,{";","；"},,1),_xlfn.LAMBDA(_xlpm.x,K121&amp;"-"&amp;TEXT(_xlpm.x,"00"))))),"")</f>
        <v>1c-502-rnd-pillar-01;1c-502-rnd-pillar-02;1c-502-rnd-pillar-03;1c-502-rnd-pillar-04;1c-502-rnd-pillar-05</v>
      </c>
      <c r="K121" s="29" t="str">
        <f t="shared" si="5"/>
        <v>1c-502-rnd-pillar</v>
      </c>
      <c r="L121" s="5" t="s">
        <v>123</v>
      </c>
      <c r="N121" s="5" t="s">
        <v>177</v>
      </c>
    </row>
    <row r="122" spans="1:19">
      <c r="A122" s="35">
        <v>42013</v>
      </c>
      <c r="B122" s="5">
        <v>30</v>
      </c>
      <c r="C122" s="34" t="s">
        <v>136</v>
      </c>
      <c r="D122" s="34">
        <v>1</v>
      </c>
      <c r="E122" s="34"/>
      <c r="F122" s="34"/>
      <c r="G122" s="25">
        <v>600</v>
      </c>
      <c r="H122" s="27" t="s">
        <v>169</v>
      </c>
      <c r="J122" s="35" t="str" cm="1">
        <f t="array" ref="J122">IFERROR(_xlfn.TEXTJOIN(";",1,IF(D122,_xlfn.MAKEARRAY(D122,1,_xlfn.LAMBDA(_xlpm.x,_xlpm.y,K122&amp;"-"&amp;TEXT(_xlpm.x,"00"))),_xlfn.MAP(_xlfn.TEXTSPLIT(E122,{";","；"},,1),_xlfn.LAMBDA(_xlpm.x,K122&amp;"-"&amp;TEXT(_xlpm.x,"00"))))),"")</f>
        <v>1c-600-fixed-stone-01</v>
      </c>
      <c r="K122" s="29" t="str">
        <f t="shared" si="5"/>
        <v>1c-600-fixed-stone</v>
      </c>
      <c r="L122" s="5" t="s">
        <v>126</v>
      </c>
      <c r="M122" s="5">
        <v>22.8</v>
      </c>
    </row>
    <row r="123" spans="1:19">
      <c r="A123" s="35">
        <v>42013</v>
      </c>
      <c r="B123" s="5">
        <v>31</v>
      </c>
      <c r="C123" s="34" t="s">
        <v>125</v>
      </c>
      <c r="D123" s="34">
        <v>1</v>
      </c>
      <c r="E123" s="34"/>
      <c r="F123" s="34"/>
      <c r="G123" s="25">
        <v>610</v>
      </c>
      <c r="H123" s="27" t="s">
        <v>169</v>
      </c>
      <c r="J123" s="35" t="str" cm="1">
        <f t="array" ref="J123">IFERROR(_xlfn.TEXTJOIN(";",1,IF(D123,_xlfn.MAKEARRAY(D123,1,_xlfn.LAMBDA(_xlpm.x,_xlpm.y,K123&amp;"-"&amp;TEXT(_xlpm.x,"00"))),_xlfn.MAP(_xlfn.TEXTSPLIT(E123,{";","；"},,1),_xlfn.LAMBDA(_xlpm.x,K123&amp;"-"&amp;TEXT(_xlpm.x,"00"))))),"")</f>
        <v>1c-610-fixed-atm-01</v>
      </c>
      <c r="K123" s="29" t="str">
        <f t="shared" si="5"/>
        <v>1c-610-fixed-atm</v>
      </c>
      <c r="L123" s="5" t="s">
        <v>126</v>
      </c>
      <c r="M123" s="5">
        <v>25.6</v>
      </c>
    </row>
    <row r="124" spans="1:19">
      <c r="A124" s="35">
        <v>42013</v>
      </c>
      <c r="B124" s="5">
        <v>32</v>
      </c>
      <c r="C124" s="34" t="s">
        <v>136</v>
      </c>
      <c r="D124" s="34">
        <v>1</v>
      </c>
      <c r="E124" s="34"/>
      <c r="F124" s="34"/>
      <c r="G124" s="25">
        <v>800</v>
      </c>
      <c r="H124" s="27" t="s">
        <v>169</v>
      </c>
      <c r="J124" s="35" t="str" cm="1">
        <f t="array" ref="J124">IFERROR(_xlfn.TEXTJOIN(";",1,IF(D124,_xlfn.MAKEARRAY(D124,1,_xlfn.LAMBDA(_xlpm.x,_xlpm.y,K124&amp;"-"&amp;TEXT(_xlpm.x,"00"))),_xlfn.MAP(_xlfn.TEXTSPLIT(E124,{";","；"},,1),_xlfn.LAMBDA(_xlpm.x,K124&amp;"-"&amp;TEXT(_xlpm.x,"00"))))),"")</f>
        <v>1c-800-fixed-stone-01</v>
      </c>
      <c r="K124" s="29" t="str">
        <f t="shared" si="5"/>
        <v>1c-800-fixed-stone</v>
      </c>
      <c r="L124" s="5" t="s">
        <v>126</v>
      </c>
      <c r="M124" s="5">
        <v>23.52</v>
      </c>
    </row>
    <row r="125" spans="1:19">
      <c r="A125" s="35">
        <v>42013</v>
      </c>
      <c r="B125" s="5">
        <v>33</v>
      </c>
      <c r="C125" s="34" t="s">
        <v>125</v>
      </c>
      <c r="D125" s="34">
        <v>1</v>
      </c>
      <c r="E125" s="34"/>
      <c r="F125" s="34"/>
      <c r="G125" s="25">
        <v>820</v>
      </c>
      <c r="H125" s="27" t="s">
        <v>169</v>
      </c>
      <c r="J125" s="35" t="str" cm="1">
        <f t="array" ref="J125">IFERROR(_xlfn.TEXTJOIN(";",1,IF(D125,_xlfn.MAKEARRAY(D125,1,_xlfn.LAMBDA(_xlpm.x,_xlpm.y,K125&amp;"-"&amp;TEXT(_xlpm.x,"00"))),_xlfn.MAP(_xlfn.TEXTSPLIT(E125,{";","；"},,1),_xlfn.LAMBDA(_xlpm.x,K125&amp;"-"&amp;TEXT(_xlpm.x,"00"))))),"")</f>
        <v>1c-820-fixed-atm-01</v>
      </c>
      <c r="K125" s="29" t="str">
        <f t="shared" si="5"/>
        <v>1c-820-fixed-atm</v>
      </c>
      <c r="L125" s="5" t="s">
        <v>126</v>
      </c>
      <c r="M125" s="5">
        <v>25.6</v>
      </c>
    </row>
    <row r="126" spans="1:19">
      <c r="A126" s="35">
        <v>42013</v>
      </c>
      <c r="B126" s="5">
        <v>34</v>
      </c>
      <c r="C126" s="34" t="s">
        <v>136</v>
      </c>
      <c r="D126" s="34">
        <v>1</v>
      </c>
      <c r="E126" s="34"/>
      <c r="F126" s="34"/>
      <c r="G126" s="25">
        <v>1200</v>
      </c>
      <c r="H126" s="27" t="s">
        <v>169</v>
      </c>
      <c r="J126" s="35" t="str" cm="1">
        <f t="array" ref="J126">IFERROR(_xlfn.TEXTJOIN(";",1,IF(D126,_xlfn.MAKEARRAY(D126,1,_xlfn.LAMBDA(_xlpm.x,_xlpm.y,K126&amp;"-"&amp;TEXT(_xlpm.x,"00"))),_xlfn.MAP(_xlfn.TEXTSPLIT(E126,{";","；"},,1),_xlfn.LAMBDA(_xlpm.x,K126&amp;"-"&amp;TEXT(_xlpm.x,"00"))))),"")</f>
        <v>1c-1200-fixed-stone-01</v>
      </c>
      <c r="K126" s="29" t="str">
        <f t="shared" si="5"/>
        <v>1c-1200-fixed-stone</v>
      </c>
      <c r="L126" s="5" t="s">
        <v>126</v>
      </c>
      <c r="M126" s="5">
        <v>25.6</v>
      </c>
      <c r="S126" s="30" t="str" cm="1">
        <f t="array" ref="S126">IF(L126="RndPosition",_xlfn.TEXTJOIN(";",1,_xlfn.IFS(ISBLANK(T126:AB126),"",T126:AB126,TRUE,TRUE,FALSE)),"")</f>
        <v/>
      </c>
    </row>
    <row r="127" spans="1:19">
      <c r="A127" s="35">
        <v>42013</v>
      </c>
      <c r="B127" s="5">
        <v>35</v>
      </c>
      <c r="C127" s="34" t="s">
        <v>136</v>
      </c>
      <c r="D127" s="34">
        <v>1</v>
      </c>
      <c r="E127" s="34"/>
      <c r="F127" s="34"/>
      <c r="G127" s="25">
        <v>1800</v>
      </c>
      <c r="H127" s="27" t="s">
        <v>169</v>
      </c>
      <c r="J127" s="35" t="str" cm="1">
        <f t="array" ref="J127">IFERROR(_xlfn.TEXTJOIN(";",1,IF(D127,_xlfn.MAKEARRAY(D127,1,_xlfn.LAMBDA(_xlpm.x,_xlpm.y,K127&amp;"-"&amp;TEXT(_xlpm.x,"00"))),_xlfn.MAP(_xlfn.TEXTSPLIT(E127,{";","；"},,1),_xlfn.LAMBDA(_xlpm.x,K127&amp;"-"&amp;TEXT(_xlpm.x,"00"))))),"")</f>
        <v>1c-1800-fixed-stone-01</v>
      </c>
      <c r="K127" s="29" t="str">
        <f t="shared" si="5"/>
        <v>1c-1800-fixed-stone</v>
      </c>
      <c r="L127" s="5" t="s">
        <v>126</v>
      </c>
      <c r="M127" s="5">
        <v>25.6</v>
      </c>
      <c r="S127" s="30" t="str" cm="1">
        <f t="array" ref="S127">IF(L127="RndPosition",_xlfn.TEXTJOIN(";",1,_xlfn.IFS(ISBLANK(T127:AB127),"",T127:AB127,TRUE,TRUE,FALSE)),"")</f>
        <v/>
      </c>
    </row>
    <row r="128" spans="1:19">
      <c r="A128" s="35">
        <v>42013</v>
      </c>
      <c r="B128" s="5">
        <v>36</v>
      </c>
      <c r="C128" s="34" t="s">
        <v>132</v>
      </c>
      <c r="D128" s="34">
        <v>1</v>
      </c>
      <c r="E128" s="34"/>
      <c r="F128" s="34"/>
      <c r="G128" s="25">
        <v>2600</v>
      </c>
      <c r="H128" s="27" t="s">
        <v>169</v>
      </c>
      <c r="J128" s="35" t="str" cm="1">
        <f t="array" ref="J128">IFERROR(_xlfn.TEXTJOIN(";",1,IF(D128,_xlfn.MAKEARRAY(D128,1,_xlfn.LAMBDA(_xlpm.x,_xlpm.y,K128&amp;"-"&amp;TEXT(_xlpm.x,"00"))),_xlfn.MAP(_xlfn.TEXTSPLIT(E128,{";","；"},,1),_xlfn.LAMBDA(_xlpm.x,K128&amp;"-"&amp;TEXT(_xlpm.x,"00"))))),"")</f>
        <v>1c-2600-fixed-sky-01</v>
      </c>
      <c r="K128" s="29" t="str">
        <f t="shared" si="5"/>
        <v>1c-2600-fixed-sky</v>
      </c>
      <c r="L128" s="5" t="s">
        <v>126</v>
      </c>
      <c r="M128" s="5">
        <v>25.6</v>
      </c>
      <c r="S128" s="30" t="str" cm="1">
        <f t="array" ref="S128">IF(L128="RndPosition",_xlfn.TEXTJOIN(";",1,_xlfn.IFS(ISBLANK(T128:AB128),"",T128:AB128,TRUE,TRUE,FALSE)),"")</f>
        <v/>
      </c>
    </row>
    <row r="129" spans="1:19">
      <c r="A129" s="5"/>
      <c r="C129" s="5"/>
      <c r="D129" s="5"/>
      <c r="E129" s="5"/>
      <c r="F129" s="5"/>
      <c r="J129" s="35"/>
    </row>
    <row r="130" spans="1:19">
      <c r="A130" s="35">
        <v>42021</v>
      </c>
      <c r="B130" s="5">
        <v>1</v>
      </c>
      <c r="C130" s="34" t="s">
        <v>181</v>
      </c>
      <c r="D130" s="34">
        <v>2</v>
      </c>
      <c r="E130" s="34"/>
      <c r="F130" s="34"/>
      <c r="G130" s="25">
        <v>25</v>
      </c>
      <c r="H130" s="27" t="s">
        <v>182</v>
      </c>
      <c r="J130" s="35" t="str" cm="1">
        <f t="array" ref="J130">IFERROR(_xlfn.TEXTJOIN(";",1,IF(D130,_xlfn.MAKEARRAY(D130,1,_xlfn.LAMBDA(_xlpm.x,_xlpm.y,K130&amp;"-"&amp;TEXT(_xlpm.x,"00"))),_xlfn.MAP(_xlfn.TEXTSPLIT(E130,{";","；"},,1),_xlfn.LAMBDA(_xlpm.x,K130&amp;"-"&amp;TEXT(_xlpm.x,"00"))))),"")</f>
        <v>2a-25-rnd-gem-01;2a-25-rnd-gem-02</v>
      </c>
      <c r="K130" s="29" t="str">
        <f>_xlfn.TEXTJOIN("-",1,H130:I130,G130,IF(L130="FixedDistance","fixed","rnd"),C130)</f>
        <v>2a-25-rnd-gem</v>
      </c>
      <c r="L130" s="5" t="s">
        <v>123</v>
      </c>
      <c r="N130" s="5" t="s">
        <v>183</v>
      </c>
    </row>
    <row r="131" spans="1:19">
      <c r="A131" s="35">
        <v>42021</v>
      </c>
      <c r="B131" s="5">
        <v>2</v>
      </c>
      <c r="C131" s="34" t="s">
        <v>136</v>
      </c>
      <c r="D131" s="34">
        <v>2</v>
      </c>
      <c r="E131" s="34"/>
      <c r="F131" s="34"/>
      <c r="G131" s="25">
        <v>50</v>
      </c>
      <c r="H131" s="27" t="s">
        <v>182</v>
      </c>
      <c r="J131" s="35" t="str" cm="1">
        <f t="array" ref="J131">IFERROR(_xlfn.TEXTJOIN(";",1,IF(D131,_xlfn.MAKEARRAY(D131,1,_xlfn.LAMBDA(_xlpm.x,_xlpm.y,K131&amp;"-"&amp;TEXT(_xlpm.x,"00"))),_xlfn.MAP(_xlfn.TEXTSPLIT(E131,{";","；"},,1),_xlfn.LAMBDA(_xlpm.x,K131&amp;"-"&amp;TEXT(_xlpm.x,"00"))))),"")</f>
        <v>2a-50-rnd-stone-01;2a-50-rnd-stone-02</v>
      </c>
      <c r="K131" s="29" t="str">
        <f>_xlfn.TEXTJOIN("-",1,H131:I131,G131,IF(L131="FixedDistance","fixed","rnd"),C131)</f>
        <v>2a-50-rnd-stone</v>
      </c>
      <c r="L131" s="5" t="s">
        <v>123</v>
      </c>
      <c r="N131" s="5" t="s">
        <v>141</v>
      </c>
    </row>
    <row r="132" spans="1:19">
      <c r="A132" s="35">
        <v>42021</v>
      </c>
      <c r="B132" s="5">
        <v>3</v>
      </c>
      <c r="C132" s="34" t="s">
        <v>184</v>
      </c>
      <c r="D132" s="34">
        <v>1</v>
      </c>
      <c r="E132" s="34"/>
      <c r="F132" s="34"/>
      <c r="G132" s="25">
        <v>80</v>
      </c>
      <c r="H132" s="27" t="s">
        <v>182</v>
      </c>
      <c r="J132" s="35" t="str" cm="1">
        <f t="array" ref="J132">IFERROR(_xlfn.TEXTJOIN(";",1,IF(D132,_xlfn.MAKEARRAY(D132,1,_xlfn.LAMBDA(_xlpm.x,_xlpm.y,K132&amp;"-"&amp;TEXT(_xlpm.x,"00"))),_xlfn.MAP(_xlfn.TEXTSPLIT(E132,{";","；"},,1),_xlfn.LAMBDA(_xlpm.x,K132&amp;"-"&amp;TEXT(_xlpm.x,"00"))))),"")</f>
        <v>2a-80-rnd-rail-01</v>
      </c>
      <c r="K132" s="29" t="str">
        <f t="shared" ref="K132:K145" si="6">_xlfn.TEXTJOIN("-",1,H132:I132,G132,IF(L132="FixedDistance","fixed","rnd"),C132)</f>
        <v>2a-80-rnd-rail</v>
      </c>
      <c r="L132" s="5" t="s">
        <v>123</v>
      </c>
      <c r="N132" s="5" t="s">
        <v>185</v>
      </c>
      <c r="R132" s="5">
        <v>40</v>
      </c>
    </row>
    <row r="133" spans="1:19">
      <c r="A133" s="35">
        <v>42021</v>
      </c>
      <c r="B133" s="5">
        <v>4</v>
      </c>
      <c r="C133" s="34" t="s">
        <v>186</v>
      </c>
      <c r="D133" s="34">
        <v>1</v>
      </c>
      <c r="E133" s="34"/>
      <c r="F133" s="34"/>
      <c r="G133" s="25">
        <v>120</v>
      </c>
      <c r="H133" s="27" t="s">
        <v>182</v>
      </c>
      <c r="J133" s="35" t="str" cm="1">
        <f t="array" ref="J133">IFERROR(_xlfn.TEXTJOIN(";",1,IF(D133,_xlfn.MAKEARRAY(D133,1,_xlfn.LAMBDA(_xlpm.x,_xlpm.y,K133&amp;"-"&amp;TEXT(_xlpm.x,"00"))),_xlfn.MAP(_xlfn.TEXTSPLIT(E133,{";","；"},,1),_xlfn.LAMBDA(_xlpm.x,K133&amp;"-"&amp;TEXT(_xlpm.x,"00"))))),"")</f>
        <v>2a-120-rnd-stick-01</v>
      </c>
      <c r="K133" s="29" t="str">
        <f t="shared" si="6"/>
        <v>2a-120-rnd-stick</v>
      </c>
      <c r="L133" s="5" t="s">
        <v>123</v>
      </c>
      <c r="N133" s="5" t="s">
        <v>124</v>
      </c>
      <c r="R133" s="5">
        <v>34</v>
      </c>
    </row>
    <row r="134" spans="1:19">
      <c r="A134" s="35">
        <v>42021</v>
      </c>
      <c r="B134" s="5">
        <v>5</v>
      </c>
      <c r="C134" s="34" t="s">
        <v>131</v>
      </c>
      <c r="D134" s="34">
        <v>3</v>
      </c>
      <c r="E134" s="34"/>
      <c r="F134" s="34"/>
      <c r="G134" s="25">
        <v>150</v>
      </c>
      <c r="H134" s="27" t="s">
        <v>182</v>
      </c>
      <c r="J134" s="35" t="str" cm="1">
        <f t="array" ref="J134">IFERROR(_xlfn.TEXTJOIN(";",1,IF(D134,_xlfn.MAKEARRAY(D134,1,_xlfn.LAMBDA(_xlpm.x,_xlpm.y,K134&amp;"-"&amp;TEXT(_xlpm.x,"00"))),_xlfn.MAP(_xlfn.TEXTSPLIT(E134,{";","；"},,1),_xlfn.LAMBDA(_xlpm.x,K134&amp;"-"&amp;TEXT(_xlpm.x,"00"))))),"")</f>
        <v>2a-150-rnd-cloud-01;2a-150-rnd-cloud-02;2a-150-rnd-cloud-03</v>
      </c>
      <c r="K134" s="29" t="str">
        <f t="shared" si="6"/>
        <v>2a-150-rnd-cloud</v>
      </c>
      <c r="L134" s="5" t="s">
        <v>123</v>
      </c>
      <c r="N134" s="5" t="s">
        <v>124</v>
      </c>
    </row>
    <row r="135" spans="1:19">
      <c r="A135" s="35">
        <v>42021</v>
      </c>
      <c r="B135" s="5">
        <v>6</v>
      </c>
      <c r="C135" s="34" t="s">
        <v>136</v>
      </c>
      <c r="D135" s="34">
        <v>2</v>
      </c>
      <c r="E135" s="34"/>
      <c r="F135" s="34"/>
      <c r="G135" s="25">
        <v>188</v>
      </c>
      <c r="H135" s="27" t="s">
        <v>182</v>
      </c>
      <c r="J135" s="35" t="str" cm="1">
        <f t="array" ref="J135">IFERROR(_xlfn.TEXTJOIN(";",1,IF(D135,_xlfn.MAKEARRAY(D135,1,_xlfn.LAMBDA(_xlpm.x,_xlpm.y,K135&amp;"-"&amp;TEXT(_xlpm.x,"00"))),_xlfn.MAP(_xlfn.TEXTSPLIT(E135,{";","；"},,1),_xlfn.LAMBDA(_xlpm.x,K135&amp;"-"&amp;TEXT(_xlpm.x,"00"))))),"")</f>
        <v>2a-188-rnd-stone-01;2a-188-rnd-stone-02</v>
      </c>
      <c r="K135" s="29" t="str">
        <f t="shared" si="6"/>
        <v>2a-188-rnd-stone</v>
      </c>
      <c r="L135" s="5" t="s">
        <v>123</v>
      </c>
      <c r="N135" s="5" t="s">
        <v>124</v>
      </c>
    </row>
    <row r="136" spans="1:19">
      <c r="A136" s="35">
        <v>42021</v>
      </c>
      <c r="B136" s="5">
        <v>7</v>
      </c>
      <c r="C136" s="34" t="s">
        <v>136</v>
      </c>
      <c r="D136" s="34">
        <v>1</v>
      </c>
      <c r="E136" s="34"/>
      <c r="F136" s="34"/>
      <c r="G136" s="25">
        <v>230</v>
      </c>
      <c r="H136" s="27" t="s">
        <v>182</v>
      </c>
      <c r="J136" s="35" t="str" cm="1">
        <f t="array" ref="J136">IFERROR(_xlfn.TEXTJOIN(";",1,IF(D136,_xlfn.MAKEARRAY(D136,1,_xlfn.LAMBDA(_xlpm.x,_xlpm.y,K136&amp;"-"&amp;TEXT(_xlpm.x,"00"))),_xlfn.MAP(_xlfn.TEXTSPLIT(E136,{";","；"},,1),_xlfn.LAMBDA(_xlpm.x,K136&amp;"-"&amp;TEXT(_xlpm.x,"00"))))),"")</f>
        <v>2a-230-rnd-stone-01</v>
      </c>
      <c r="K136" s="29" t="str">
        <f t="shared" si="6"/>
        <v>2a-230-rnd-stone</v>
      </c>
      <c r="L136" s="5" t="s">
        <v>123</v>
      </c>
      <c r="N136" s="5" t="s">
        <v>179</v>
      </c>
      <c r="R136" s="5">
        <v>32</v>
      </c>
    </row>
    <row r="137" spans="1:19">
      <c r="A137" s="35">
        <v>42021</v>
      </c>
      <c r="B137" s="5">
        <v>8</v>
      </c>
      <c r="C137" s="34" t="s">
        <v>125</v>
      </c>
      <c r="D137" s="34">
        <v>1</v>
      </c>
      <c r="E137" s="34"/>
      <c r="F137" s="34"/>
      <c r="G137" s="25">
        <v>318</v>
      </c>
      <c r="H137" s="27" t="s">
        <v>182</v>
      </c>
      <c r="J137" s="35" t="str" cm="1">
        <f t="array" ref="J137">IFERROR(_xlfn.TEXTJOIN(";",1,IF(D137,_xlfn.MAKEARRAY(D137,1,_xlfn.LAMBDA(_xlpm.x,_xlpm.y,K137&amp;"-"&amp;TEXT(_xlpm.x,"00"))),_xlfn.MAP(_xlfn.TEXTSPLIT(E137,{";","；"},,1),_xlfn.LAMBDA(_xlpm.x,K137&amp;"-"&amp;TEXT(_xlpm.x,"00"))))),"")</f>
        <v>2a-318-fixed-atm-01</v>
      </c>
      <c r="K137" s="29" t="str">
        <f t="shared" si="6"/>
        <v>2a-318-fixed-atm</v>
      </c>
      <c r="L137" s="5" t="s">
        <v>126</v>
      </c>
      <c r="M137" s="5">
        <v>25.6</v>
      </c>
    </row>
    <row r="138" spans="1:19">
      <c r="A138" s="35">
        <v>42021</v>
      </c>
      <c r="B138" s="5">
        <v>9</v>
      </c>
      <c r="C138" s="34" t="s">
        <v>168</v>
      </c>
      <c r="D138" s="34">
        <v>2</v>
      </c>
      <c r="E138" s="34"/>
      <c r="F138" s="34"/>
      <c r="G138" s="25">
        <v>420</v>
      </c>
      <c r="H138" s="27" t="s">
        <v>182</v>
      </c>
      <c r="J138" s="35" t="str" cm="1">
        <f t="array" ref="J138">IFERROR(_xlfn.TEXTJOIN(";",1,IF(D138,_xlfn.MAKEARRAY(D138,1,_xlfn.LAMBDA(_xlpm.x,_xlpm.y,K138&amp;"-"&amp;TEXT(_xlpm.x,"00"))),_xlfn.MAP(_xlfn.TEXTSPLIT(E138,{";","；"},,1),_xlfn.LAMBDA(_xlpm.x,K138&amp;"-"&amp;TEXT(_xlpm.x,"00"))))),"")</f>
        <v>2a-420-rnd-archi-01;2a-420-rnd-archi-02</v>
      </c>
      <c r="K138" s="29" t="str">
        <f t="shared" si="6"/>
        <v>2a-420-rnd-archi</v>
      </c>
      <c r="L138" s="5" t="s">
        <v>123</v>
      </c>
      <c r="N138" s="5" t="s">
        <v>124</v>
      </c>
      <c r="R138" s="5">
        <v>32</v>
      </c>
    </row>
    <row r="139" spans="1:19">
      <c r="A139" s="35">
        <v>42021</v>
      </c>
      <c r="B139" s="5">
        <v>10</v>
      </c>
      <c r="C139" s="34" t="s">
        <v>131</v>
      </c>
      <c r="D139" s="34">
        <v>1</v>
      </c>
      <c r="E139" s="34"/>
      <c r="F139" s="34"/>
      <c r="G139" s="25">
        <v>600</v>
      </c>
      <c r="H139" s="27" t="s">
        <v>182</v>
      </c>
      <c r="J139" s="35" t="str" cm="1">
        <f t="array" ref="J139">IFERROR(_xlfn.TEXTJOIN(";",1,IF(D139,_xlfn.MAKEARRAY(D139,1,_xlfn.LAMBDA(_xlpm.x,_xlpm.y,K139&amp;"-"&amp;TEXT(_xlpm.x,"00"))),_xlfn.MAP(_xlfn.TEXTSPLIT(E139,{";","；"},,1),_xlfn.LAMBDA(_xlpm.x,K139&amp;"-"&amp;TEXT(_xlpm.x,"00"))))),"")</f>
        <v>2a-600-fixed-cloud-01</v>
      </c>
      <c r="K139" s="29" t="str">
        <f t="shared" si="6"/>
        <v>2a-600-fixed-cloud</v>
      </c>
      <c r="L139" s="5" t="s">
        <v>126</v>
      </c>
      <c r="M139" s="5">
        <v>51.2</v>
      </c>
    </row>
    <row r="140" spans="1:19">
      <c r="A140" s="35">
        <v>42021</v>
      </c>
      <c r="B140" s="5">
        <v>11</v>
      </c>
      <c r="C140" s="34" t="s">
        <v>168</v>
      </c>
      <c r="D140" s="34">
        <v>1</v>
      </c>
      <c r="E140" s="34"/>
      <c r="F140" s="34"/>
      <c r="G140" s="25">
        <v>700</v>
      </c>
      <c r="H140" s="27" t="s">
        <v>182</v>
      </c>
      <c r="J140" s="35" t="str" cm="1">
        <f t="array" ref="J140">IFERROR(_xlfn.TEXTJOIN(";",1,IF(D140,_xlfn.MAKEARRAY(D140,1,_xlfn.LAMBDA(_xlpm.x,_xlpm.y,K140&amp;"-"&amp;TEXT(_xlpm.x,"00"))),_xlfn.MAP(_xlfn.TEXTSPLIT(E140,{";","；"},,1),_xlfn.LAMBDA(_xlpm.x,K140&amp;"-"&amp;TEXT(_xlpm.x,"00"))))),"")</f>
        <v>2a-700-rnd-archi-01</v>
      </c>
      <c r="K140" s="29" t="str">
        <f t="shared" si="6"/>
        <v>2a-700-rnd-archi</v>
      </c>
      <c r="L140" s="5" t="s">
        <v>123</v>
      </c>
      <c r="N140" s="5" t="s">
        <v>124</v>
      </c>
    </row>
    <row r="141" spans="1:19">
      <c r="A141" s="35">
        <v>42021</v>
      </c>
      <c r="B141" s="5">
        <v>12</v>
      </c>
      <c r="C141" s="34" t="s">
        <v>136</v>
      </c>
      <c r="D141" s="34">
        <v>3</v>
      </c>
      <c r="E141" s="34"/>
      <c r="F141" s="34"/>
      <c r="G141" s="25">
        <v>720</v>
      </c>
      <c r="H141" s="27" t="s">
        <v>182</v>
      </c>
      <c r="J141" s="35" t="str" cm="1">
        <f t="array" ref="J141">IFERROR(_xlfn.TEXTJOIN(";",1,IF(D141,_xlfn.MAKEARRAY(D141,1,_xlfn.LAMBDA(_xlpm.x,_xlpm.y,K141&amp;"-"&amp;TEXT(_xlpm.x,"00"))),_xlfn.MAP(_xlfn.TEXTSPLIT(E141,{";","；"},,1),_xlfn.LAMBDA(_xlpm.x,K141&amp;"-"&amp;TEXT(_xlpm.x,"00"))))),"")</f>
        <v>2a-720-rnd-stone-01;2a-720-rnd-stone-02;2a-720-rnd-stone-03</v>
      </c>
      <c r="K141" s="29" t="str">
        <f t="shared" si="6"/>
        <v>2a-720-rnd-stone</v>
      </c>
      <c r="L141" s="5" t="s">
        <v>123</v>
      </c>
      <c r="N141" s="5" t="s">
        <v>140</v>
      </c>
    </row>
    <row r="142" spans="1:19">
      <c r="A142" s="35">
        <v>42021</v>
      </c>
      <c r="B142" s="5">
        <v>13</v>
      </c>
      <c r="C142" s="34" t="s">
        <v>186</v>
      </c>
      <c r="D142" s="34">
        <v>2</v>
      </c>
      <c r="E142" s="34"/>
      <c r="F142" s="34"/>
      <c r="G142" s="25">
        <v>780</v>
      </c>
      <c r="H142" s="27" t="s">
        <v>182</v>
      </c>
      <c r="J142" s="35" t="str" cm="1">
        <f t="array" ref="J142">IFERROR(_xlfn.TEXTJOIN(";",1,IF(D142,_xlfn.MAKEARRAY(D142,1,_xlfn.LAMBDA(_xlpm.x,_xlpm.y,K142&amp;"-"&amp;TEXT(_xlpm.x,"00"))),_xlfn.MAP(_xlfn.TEXTSPLIT(E142,{";","；"},,1),_xlfn.LAMBDA(_xlpm.x,K142&amp;"-"&amp;TEXT(_xlpm.x,"00"))))),"")</f>
        <v>2a-780-rnd-stick-01;2a-780-rnd-stick-02</v>
      </c>
      <c r="K142" s="29" t="str">
        <f t="shared" si="6"/>
        <v>2a-780-rnd-stick</v>
      </c>
      <c r="L142" s="5" t="s">
        <v>123</v>
      </c>
      <c r="N142" s="5" t="s">
        <v>124</v>
      </c>
      <c r="S142" s="30" t="str" cm="1">
        <f t="array" ref="S142">IF(L142="RndPosition",_xlfn.TEXTJOIN(";",1,_xlfn.IFS(ISBLANK(T142:AB142),"",T142:AB142,TRUE,TRUE,FALSE)),"")</f>
        <v/>
      </c>
    </row>
    <row r="143" spans="1:19">
      <c r="A143" s="35">
        <v>42021</v>
      </c>
      <c r="B143" s="5">
        <v>14</v>
      </c>
      <c r="C143" s="34" t="s">
        <v>131</v>
      </c>
      <c r="D143" s="34">
        <v>2</v>
      </c>
      <c r="E143" s="34"/>
      <c r="F143" s="34"/>
      <c r="G143" s="25">
        <v>880</v>
      </c>
      <c r="H143" s="27" t="s">
        <v>182</v>
      </c>
      <c r="J143" s="35" t="str" cm="1">
        <f t="array" ref="J143">IFERROR(_xlfn.TEXTJOIN(";",1,IF(D143,_xlfn.MAKEARRAY(D143,1,_xlfn.LAMBDA(_xlpm.x,_xlpm.y,K143&amp;"-"&amp;TEXT(_xlpm.x,"00"))),_xlfn.MAP(_xlfn.TEXTSPLIT(E143,{";","；"},,1),_xlfn.LAMBDA(_xlpm.x,K143&amp;"-"&amp;TEXT(_xlpm.x,"00"))))),"")</f>
        <v>2a-880-rnd-cloud-01;2a-880-rnd-cloud-02</v>
      </c>
      <c r="K143" s="29" t="str">
        <f t="shared" si="6"/>
        <v>2a-880-rnd-cloud</v>
      </c>
      <c r="L143" s="5" t="s">
        <v>123</v>
      </c>
      <c r="N143" s="5" t="s">
        <v>124</v>
      </c>
      <c r="R143" s="5">
        <v>38</v>
      </c>
      <c r="S143" s="30" t="str" cm="1">
        <f t="array" ref="S143">IF(L143="RndPosition",_xlfn.TEXTJOIN(";",1,_xlfn.IFS(ISBLANK(T143:AB143),"",T143:AB143,TRUE,TRUE,FALSE)),"")</f>
        <v/>
      </c>
    </row>
    <row r="144" spans="1:19">
      <c r="A144" s="35">
        <v>42021</v>
      </c>
      <c r="B144" s="5">
        <v>15</v>
      </c>
      <c r="C144" s="34" t="s">
        <v>130</v>
      </c>
      <c r="D144" s="34">
        <v>1</v>
      </c>
      <c r="E144" s="34"/>
      <c r="F144" s="34"/>
      <c r="G144" s="25">
        <v>1200</v>
      </c>
      <c r="H144" s="27" t="s">
        <v>182</v>
      </c>
      <c r="J144" s="35" t="str" cm="1">
        <f t="array" ref="J144">IFERROR(_xlfn.TEXTJOIN(";",1,IF(D144,_xlfn.MAKEARRAY(D144,1,_xlfn.LAMBDA(_xlpm.x,_xlpm.y,K144&amp;"-"&amp;TEXT(_xlpm.x,"00"))),_xlfn.MAP(_xlfn.TEXTSPLIT(E144,{";","；"},,1),_xlfn.LAMBDA(_xlpm.x,K144&amp;"-"&amp;TEXT(_xlpm.x,"00"))))),"")</f>
        <v>2a-1200-fixed-mountain-01</v>
      </c>
      <c r="K144" s="29" t="str">
        <f t="shared" si="6"/>
        <v>2a-1200-fixed-mountain</v>
      </c>
      <c r="L144" s="5" t="s">
        <v>126</v>
      </c>
      <c r="M144" s="5">
        <v>61.44</v>
      </c>
      <c r="S144" s="30" t="str" cm="1">
        <f t="array" ref="S144">IF(L144="RndPosition",_xlfn.TEXTJOIN(";",1,_xlfn.IFS(ISBLANK(T144:AB144),"",T144:AB144,TRUE,TRUE,FALSE)),"")</f>
        <v/>
      </c>
    </row>
    <row r="145" spans="1:19">
      <c r="A145" s="35">
        <v>42021</v>
      </c>
      <c r="B145" s="5">
        <v>16</v>
      </c>
      <c r="C145" s="5" t="s">
        <v>132</v>
      </c>
      <c r="D145" s="5">
        <v>1</v>
      </c>
      <c r="E145" s="5"/>
      <c r="F145" s="5"/>
      <c r="G145" s="25">
        <v>2000</v>
      </c>
      <c r="H145" s="27" t="s">
        <v>182</v>
      </c>
      <c r="I145" s="36"/>
      <c r="J145" s="35" t="str" cm="1">
        <f t="array" ref="J145">IFERROR(_xlfn.TEXTJOIN(";",1,IF(D145,_xlfn.MAKEARRAY(D145,1,_xlfn.LAMBDA(_xlpm.x,_xlpm.y,K145&amp;"-"&amp;TEXT(_xlpm.x,"00"))),_xlfn.MAP(_xlfn.TEXTSPLIT(E145,{";","；"},,1),_xlfn.LAMBDA(_xlpm.x,K145&amp;"-"&amp;TEXT(_xlpm.x,"00"))))),"")</f>
        <v>2a-2000-fixed-sky-01</v>
      </c>
      <c r="K145" s="29" t="str">
        <f t="shared" si="6"/>
        <v>2a-2000-fixed-sky</v>
      </c>
      <c r="L145" s="5" t="s">
        <v>126</v>
      </c>
      <c r="M145" s="5">
        <v>25.6</v>
      </c>
      <c r="S145" s="30" t="str" cm="1">
        <f t="array" ref="S145">IF(L145="RndPosition",_xlfn.TEXTJOIN(";",1,_xlfn.IFS(ISBLANK(T145:AB145),"",T145:AB145,TRUE,TRUE,FALSE)),"")</f>
        <v/>
      </c>
    </row>
    <row r="146" spans="1:19">
      <c r="A146" s="5"/>
      <c r="C146" s="34"/>
      <c r="D146" s="34"/>
      <c r="E146" s="34"/>
      <c r="F146" s="34"/>
      <c r="J146" s="35"/>
    </row>
    <row r="147" spans="1:19">
      <c r="A147" s="35">
        <v>42022</v>
      </c>
      <c r="B147" s="5">
        <v>1</v>
      </c>
      <c r="C147" s="34" t="s">
        <v>155</v>
      </c>
      <c r="D147" s="34">
        <v>3</v>
      </c>
      <c r="E147" s="34"/>
      <c r="F147" s="34"/>
      <c r="G147" s="25">
        <v>8</v>
      </c>
      <c r="H147" s="27" t="s">
        <v>187</v>
      </c>
      <c r="J147" s="35" t="str" cm="1">
        <f t="array" ref="J147">IFERROR(_xlfn.TEXTJOIN(";",1,IF(D147,_xlfn.MAKEARRAY(D147,1,_xlfn.LAMBDA(_xlpm.x,_xlpm.y,K147&amp;"-"&amp;TEXT(_xlpm.x,"00"))),_xlfn.MAP(_xlfn.TEXTSPLIT(E147,{";","；"},,1),_xlfn.LAMBDA(_xlpm.x,K147&amp;"-"&amp;TEXT(_xlpm.x,"00"))))),"")</f>
        <v>2b-8-rnd-front-01;2b-8-rnd-front-02;2b-8-rnd-front-03</v>
      </c>
      <c r="K147" s="29" t="str">
        <f>_xlfn.TEXTJOIN("-",1,H147:I147,G147,IF(L147="FixedDistance","fixed","rnd"),C147)</f>
        <v>2b-8-rnd-front</v>
      </c>
      <c r="L147" s="5" t="s">
        <v>123</v>
      </c>
      <c r="N147" s="5" t="s">
        <v>188</v>
      </c>
    </row>
    <row r="148" spans="1:19">
      <c r="A148" s="35">
        <v>42022</v>
      </c>
      <c r="B148" s="5">
        <v>2</v>
      </c>
      <c r="C148" s="34" t="s">
        <v>131</v>
      </c>
      <c r="D148" s="34">
        <v>2</v>
      </c>
      <c r="E148" s="34"/>
      <c r="F148" s="34"/>
      <c r="G148" s="25">
        <v>50</v>
      </c>
      <c r="H148" s="27" t="s">
        <v>187</v>
      </c>
      <c r="J148" s="35" t="str" cm="1">
        <f t="array" ref="J148">IFERROR(_xlfn.TEXTJOIN(";",1,IF(D148,_xlfn.MAKEARRAY(D148,1,_xlfn.LAMBDA(_xlpm.x,_xlpm.y,K148&amp;"-"&amp;TEXT(_xlpm.x,"00"))),_xlfn.MAP(_xlfn.TEXTSPLIT(E148,{";","；"},,1),_xlfn.LAMBDA(_xlpm.x,K148&amp;"-"&amp;TEXT(_xlpm.x,"00"))))),"")</f>
        <v>2b-50-rnd-cloud-01;2b-50-rnd-cloud-02</v>
      </c>
      <c r="K148" s="29" t="str">
        <f>_xlfn.TEXTJOIN("-",1,H148:I148,G148,IF(L148="FixedDistance","fixed","rnd"),C148)</f>
        <v>2b-50-rnd-cloud</v>
      </c>
      <c r="L148" s="5" t="s">
        <v>123</v>
      </c>
      <c r="N148" s="5" t="s">
        <v>157</v>
      </c>
    </row>
    <row r="149" spans="1:19">
      <c r="A149" s="35">
        <v>42022</v>
      </c>
      <c r="B149" s="5">
        <v>3</v>
      </c>
      <c r="C149" s="34" t="s">
        <v>168</v>
      </c>
      <c r="D149" s="34">
        <v>1</v>
      </c>
      <c r="E149" s="34"/>
      <c r="F149" s="34"/>
      <c r="G149" s="25">
        <v>120</v>
      </c>
      <c r="H149" s="27" t="s">
        <v>187</v>
      </c>
      <c r="J149" s="35" t="str" cm="1">
        <f t="array" ref="J149">IFERROR(_xlfn.TEXTJOIN(";",1,IF(D149,_xlfn.MAKEARRAY(D149,1,_xlfn.LAMBDA(_xlpm.x,_xlpm.y,K149&amp;"-"&amp;TEXT(_xlpm.x,"00"))),_xlfn.MAP(_xlfn.TEXTSPLIT(E149,{";","；"},,1),_xlfn.LAMBDA(_xlpm.x,K149&amp;"-"&amp;TEXT(_xlpm.x,"00"))))),"")</f>
        <v>2b-120-rnd-archi-01</v>
      </c>
      <c r="K149" s="29" t="str">
        <f t="shared" ref="K149:K159" si="7">_xlfn.TEXTJOIN("-",1,H149:I149,G149,IF(L149="FixedDistance","fixed","rnd"),C149)</f>
        <v>2b-120-rnd-archi</v>
      </c>
      <c r="L149" s="5" t="s">
        <v>123</v>
      </c>
      <c r="N149" s="5" t="s">
        <v>124</v>
      </c>
    </row>
    <row r="150" spans="1:19">
      <c r="A150" s="35">
        <v>42022</v>
      </c>
      <c r="B150" s="5">
        <v>4</v>
      </c>
      <c r="C150" s="34" t="s">
        <v>131</v>
      </c>
      <c r="D150" s="34">
        <v>1</v>
      </c>
      <c r="E150" s="34"/>
      <c r="F150" s="34"/>
      <c r="G150" s="25">
        <v>200</v>
      </c>
      <c r="H150" s="27" t="s">
        <v>187</v>
      </c>
      <c r="J150" s="35" t="str" cm="1">
        <f t="array" ref="J150">IFERROR(_xlfn.TEXTJOIN(";",1,IF(D150,_xlfn.MAKEARRAY(D150,1,_xlfn.LAMBDA(_xlpm.x,_xlpm.y,K150&amp;"-"&amp;TEXT(_xlpm.x,"00"))),_xlfn.MAP(_xlfn.TEXTSPLIT(E150,{";","；"},,1),_xlfn.LAMBDA(_xlpm.x,K150&amp;"-"&amp;TEXT(_xlpm.x,"00"))))),"")</f>
        <v>2b-200-fixed-cloud-01</v>
      </c>
      <c r="K150" s="29" t="str">
        <f t="shared" si="7"/>
        <v>2b-200-fixed-cloud</v>
      </c>
      <c r="L150" s="5" t="s">
        <v>126</v>
      </c>
      <c r="M150" s="5">
        <v>36.200000000000003</v>
      </c>
    </row>
    <row r="151" spans="1:19">
      <c r="A151" s="35">
        <v>42022</v>
      </c>
      <c r="B151" s="5">
        <v>5</v>
      </c>
      <c r="C151" s="34" t="s">
        <v>189</v>
      </c>
      <c r="D151" s="34">
        <v>1</v>
      </c>
      <c r="E151" s="34"/>
      <c r="F151" s="34"/>
      <c r="G151" s="25">
        <v>420</v>
      </c>
      <c r="H151" s="27" t="s">
        <v>187</v>
      </c>
      <c r="J151" s="35" t="str" cm="1">
        <f t="array" ref="J151">IFERROR(_xlfn.TEXTJOIN(";",1,IF(D151,_xlfn.MAKEARRAY(D151,1,_xlfn.LAMBDA(_xlpm.x,_xlpm.y,K151&amp;"-"&amp;TEXT(_xlpm.x,"00"))),_xlfn.MAP(_xlfn.TEXTSPLIT(E151,{";","；"},,1),_xlfn.LAMBDA(_xlpm.x,K151&amp;"-"&amp;TEXT(_xlpm.x,"00"))))),"")</f>
        <v>2b-420-rnd-whale-01</v>
      </c>
      <c r="K151" s="29" t="str">
        <f t="shared" si="7"/>
        <v>2b-420-rnd-whale</v>
      </c>
      <c r="L151" s="5" t="s">
        <v>123</v>
      </c>
      <c r="N151" s="5" t="s">
        <v>124</v>
      </c>
      <c r="R151" s="5">
        <v>28</v>
      </c>
    </row>
    <row r="152" spans="1:19">
      <c r="A152" s="35">
        <v>42022</v>
      </c>
      <c r="B152" s="5">
        <v>6</v>
      </c>
      <c r="C152" s="34" t="s">
        <v>131</v>
      </c>
      <c r="D152" s="34">
        <v>1</v>
      </c>
      <c r="E152" s="34"/>
      <c r="F152" s="34"/>
      <c r="G152" s="25">
        <v>700</v>
      </c>
      <c r="H152" s="27" t="s">
        <v>187</v>
      </c>
      <c r="J152" s="35" t="str" cm="1">
        <f t="array" ref="J152">IFERROR(_xlfn.TEXTJOIN(";",1,IF(D152,_xlfn.MAKEARRAY(D152,1,_xlfn.LAMBDA(_xlpm.x,_xlpm.y,K152&amp;"-"&amp;TEXT(_xlpm.x,"00"))),_xlfn.MAP(_xlfn.TEXTSPLIT(E152,{";","；"},,1),_xlfn.LAMBDA(_xlpm.x,K152&amp;"-"&amp;TEXT(_xlpm.x,"00"))))),"")</f>
        <v>2b-700-fixed-cloud-01</v>
      </c>
      <c r="K152" s="29" t="str">
        <f t="shared" si="7"/>
        <v>2b-700-fixed-cloud</v>
      </c>
      <c r="L152" s="5" t="s">
        <v>126</v>
      </c>
      <c r="M152" s="5">
        <v>25.6</v>
      </c>
    </row>
    <row r="153" spans="1:19">
      <c r="A153" s="35">
        <v>42022</v>
      </c>
      <c r="B153" s="5">
        <v>7</v>
      </c>
      <c r="C153" s="34" t="s">
        <v>131</v>
      </c>
      <c r="D153" s="34">
        <v>1</v>
      </c>
      <c r="E153" s="34"/>
      <c r="F153" s="34"/>
      <c r="G153" s="25">
        <v>820</v>
      </c>
      <c r="H153" s="27" t="s">
        <v>187</v>
      </c>
      <c r="J153" s="35" t="str" cm="1">
        <f t="array" ref="J153">IFERROR(_xlfn.TEXTJOIN(";",1,IF(D153,_xlfn.MAKEARRAY(D153,1,_xlfn.LAMBDA(_xlpm.x,_xlpm.y,K153&amp;"-"&amp;TEXT(_xlpm.x,"00"))),_xlfn.MAP(_xlfn.TEXTSPLIT(E153,{";","；"},,1),_xlfn.LAMBDA(_xlpm.x,K153&amp;"-"&amp;TEXT(_xlpm.x,"00"))))),"")</f>
        <v>2b-820-rnd-cloud-01</v>
      </c>
      <c r="K153" s="29" t="str">
        <f t="shared" si="7"/>
        <v>2b-820-rnd-cloud</v>
      </c>
      <c r="L153" s="5" t="s">
        <v>123</v>
      </c>
      <c r="N153" s="5" t="s">
        <v>124</v>
      </c>
      <c r="R153" s="5">
        <v>48</v>
      </c>
    </row>
    <row r="154" spans="1:19">
      <c r="A154" s="35">
        <v>42022</v>
      </c>
      <c r="B154" s="5">
        <v>8</v>
      </c>
      <c r="C154" s="34" t="s">
        <v>189</v>
      </c>
      <c r="D154" s="34">
        <v>1</v>
      </c>
      <c r="E154" s="34"/>
      <c r="F154" s="34"/>
      <c r="G154" s="25">
        <v>830</v>
      </c>
      <c r="H154" s="27" t="s">
        <v>187</v>
      </c>
      <c r="J154" s="35" t="str" cm="1">
        <f t="array" ref="J154">IFERROR(_xlfn.TEXTJOIN(";",1,IF(D154,_xlfn.MAKEARRAY(D154,1,_xlfn.LAMBDA(_xlpm.x,_xlpm.y,K154&amp;"-"&amp;TEXT(_xlpm.x,"00"))),_xlfn.MAP(_xlfn.TEXTSPLIT(E154,{";","；"},,1),_xlfn.LAMBDA(_xlpm.x,K154&amp;"-"&amp;TEXT(_xlpm.x,"00"))))),"")</f>
        <v>2b-830-rnd-whale-01</v>
      </c>
      <c r="K154" s="29" t="str">
        <f t="shared" si="7"/>
        <v>2b-830-rnd-whale</v>
      </c>
      <c r="L154" s="5" t="s">
        <v>123</v>
      </c>
      <c r="N154" s="5" t="s">
        <v>124</v>
      </c>
    </row>
    <row r="155" spans="1:19">
      <c r="A155" s="35">
        <v>42022</v>
      </c>
      <c r="B155" s="5">
        <v>9</v>
      </c>
      <c r="C155" s="34" t="s">
        <v>168</v>
      </c>
      <c r="D155" s="34">
        <v>1</v>
      </c>
      <c r="E155" s="34"/>
      <c r="F155" s="34"/>
      <c r="G155" s="25">
        <v>930</v>
      </c>
      <c r="H155" s="27" t="s">
        <v>187</v>
      </c>
      <c r="J155" s="35" t="str" cm="1">
        <f t="array" ref="J155">IFERROR(_xlfn.TEXTJOIN(";",1,IF(D155,_xlfn.MAKEARRAY(D155,1,_xlfn.LAMBDA(_xlpm.x,_xlpm.y,K155&amp;"-"&amp;TEXT(_xlpm.x,"00"))),_xlfn.MAP(_xlfn.TEXTSPLIT(E155,{";","；"},,1),_xlfn.LAMBDA(_xlpm.x,K155&amp;"-"&amp;TEXT(_xlpm.x,"00"))))),"")</f>
        <v>2b-930-rnd-archi-01</v>
      </c>
      <c r="K155" s="29" t="str">
        <f t="shared" si="7"/>
        <v>2b-930-rnd-archi</v>
      </c>
      <c r="L155" s="5" t="s">
        <v>123</v>
      </c>
      <c r="N155" s="5" t="s">
        <v>124</v>
      </c>
    </row>
    <row r="156" spans="1:19">
      <c r="A156" s="35">
        <v>42022</v>
      </c>
      <c r="B156" s="5">
        <v>10</v>
      </c>
      <c r="C156" s="34" t="s">
        <v>190</v>
      </c>
      <c r="D156" s="34">
        <v>1</v>
      </c>
      <c r="E156" s="34"/>
      <c r="F156" s="34"/>
      <c r="G156" s="25">
        <v>1000</v>
      </c>
      <c r="H156" s="27" t="s">
        <v>187</v>
      </c>
      <c r="J156" s="35" t="str" cm="1">
        <f t="array" ref="J156">IFERROR(_xlfn.TEXTJOIN(";",1,IF(D156,_xlfn.MAKEARRAY(D156,1,_xlfn.LAMBDA(_xlpm.x,_xlpm.y,K156&amp;"-"&amp;TEXT(_xlpm.x,"00"))),_xlfn.MAP(_xlfn.TEXTSPLIT(E156,{";","；"},,1),_xlfn.LAMBDA(_xlpm.x,K156&amp;"-"&amp;TEXT(_xlpm.x,"00"))))),"")</f>
        <v>2b-1000-fixed-kumo-01</v>
      </c>
      <c r="K156" s="29" t="str">
        <f t="shared" si="7"/>
        <v>2b-1000-fixed-kumo</v>
      </c>
      <c r="L156" s="5" t="s">
        <v>126</v>
      </c>
      <c r="M156" s="5">
        <v>72</v>
      </c>
    </row>
    <row r="157" spans="1:19">
      <c r="A157" s="35">
        <v>42022</v>
      </c>
      <c r="B157" s="5">
        <v>11</v>
      </c>
      <c r="C157" s="34" t="s">
        <v>131</v>
      </c>
      <c r="D157" s="34">
        <v>1</v>
      </c>
      <c r="E157" s="34"/>
      <c r="F157" s="34"/>
      <c r="G157" s="25">
        <v>1200</v>
      </c>
      <c r="H157" s="27" t="s">
        <v>187</v>
      </c>
      <c r="J157" s="35" t="str" cm="1">
        <f t="array" ref="J157">IFERROR(_xlfn.TEXTJOIN(";",1,IF(D157,_xlfn.MAKEARRAY(D157,1,_xlfn.LAMBDA(_xlpm.x,_xlpm.y,K157&amp;"-"&amp;TEXT(_xlpm.x,"00"))),_xlfn.MAP(_xlfn.TEXTSPLIT(E157,{";","；"},,1),_xlfn.LAMBDA(_xlpm.x,K157&amp;"-"&amp;TEXT(_xlpm.x,"00"))))),"")</f>
        <v>2b-1200-fixed-cloud-01</v>
      </c>
      <c r="K157" s="29" t="str">
        <f t="shared" si="7"/>
        <v>2b-1200-fixed-cloud</v>
      </c>
      <c r="L157" s="5" t="s">
        <v>126</v>
      </c>
      <c r="M157" s="5">
        <v>36</v>
      </c>
    </row>
    <row r="158" spans="1:19">
      <c r="A158" s="35">
        <v>42022</v>
      </c>
      <c r="B158" s="5">
        <v>12</v>
      </c>
      <c r="C158" s="34" t="s">
        <v>125</v>
      </c>
      <c r="D158" s="34">
        <v>1</v>
      </c>
      <c r="E158" s="34"/>
      <c r="F158" s="34"/>
      <c r="G158" s="25">
        <v>1800</v>
      </c>
      <c r="H158" s="27" t="s">
        <v>187</v>
      </c>
      <c r="J158" s="35" t="str" cm="1">
        <f t="array" ref="J158">IFERROR(_xlfn.TEXTJOIN(";",1,IF(D158,_xlfn.MAKEARRAY(D158,1,_xlfn.LAMBDA(_xlpm.x,_xlpm.y,K158&amp;"-"&amp;TEXT(_xlpm.x,"00"))),_xlfn.MAP(_xlfn.TEXTSPLIT(E158,{";","；"},,1),_xlfn.LAMBDA(_xlpm.x,K158&amp;"-"&amp;TEXT(_xlpm.x,"00"))))),"")</f>
        <v>2b-1800-fixed-atm-01</v>
      </c>
      <c r="K158" s="29" t="str">
        <f t="shared" ref="K158" si="8">_xlfn.TEXTJOIN("-",1,H158:I158,G158,IF(L158="FixedDistance","fixed","rnd"),C158)</f>
        <v>2b-1800-fixed-atm</v>
      </c>
      <c r="L158" s="5" t="s">
        <v>126</v>
      </c>
      <c r="M158" s="5">
        <v>25.6</v>
      </c>
    </row>
    <row r="159" spans="1:19">
      <c r="A159" s="35">
        <v>42022</v>
      </c>
      <c r="B159" s="5">
        <v>13</v>
      </c>
      <c r="C159" s="34" t="s">
        <v>131</v>
      </c>
      <c r="D159" s="34">
        <v>1</v>
      </c>
      <c r="E159" s="34"/>
      <c r="F159" s="34"/>
      <c r="G159" s="25">
        <v>2000</v>
      </c>
      <c r="H159" s="27" t="s">
        <v>187</v>
      </c>
      <c r="J159" s="35" t="str" cm="1">
        <f t="array" ref="J159">IFERROR(_xlfn.TEXTJOIN(";",1,IF(D159,_xlfn.MAKEARRAY(D159,1,_xlfn.LAMBDA(_xlpm.x,_xlpm.y,K159&amp;"-"&amp;TEXT(_xlpm.x,"00"))),_xlfn.MAP(_xlfn.TEXTSPLIT(E159,{";","；"},,1),_xlfn.LAMBDA(_xlpm.x,K159&amp;"-"&amp;TEXT(_xlpm.x,"00"))))),"")</f>
        <v>2b-2000-fixed-cloud-01</v>
      </c>
      <c r="K159" s="29" t="str">
        <f t="shared" si="7"/>
        <v>2b-2000-fixed-cloud</v>
      </c>
      <c r="L159" s="5" t="s">
        <v>126</v>
      </c>
      <c r="M159" s="5">
        <v>57.6</v>
      </c>
    </row>
    <row r="160" spans="1:19">
      <c r="A160" s="35">
        <v>42022</v>
      </c>
      <c r="B160" s="5">
        <v>14</v>
      </c>
      <c r="C160" s="34" t="s">
        <v>131</v>
      </c>
      <c r="D160" s="34">
        <v>1</v>
      </c>
      <c r="E160" s="34"/>
      <c r="F160" s="34"/>
      <c r="G160" s="25">
        <v>2200</v>
      </c>
      <c r="H160" s="27" t="s">
        <v>187</v>
      </c>
      <c r="J160" s="35" t="str" cm="1">
        <f t="array" ref="J160">IFERROR(_xlfn.TEXTJOIN(";",1,IF(D160,_xlfn.MAKEARRAY(D160,1,_xlfn.LAMBDA(_xlpm.x,_xlpm.y,K160&amp;"-"&amp;TEXT(_xlpm.x,"00"))),_xlfn.MAP(_xlfn.TEXTSPLIT(E160,{";","；"},,1),_xlfn.LAMBDA(_xlpm.x,K160&amp;"-"&amp;TEXT(_xlpm.x,"00"))))),"")</f>
        <v>2b-2200-rnd-cloud-01</v>
      </c>
      <c r="K160" s="29" t="str">
        <f t="shared" ref="K160:K166" si="9">_xlfn.TEXTJOIN("-",1,H160:I160,G160,IF(L160="FixedDistance","fixed","rnd"),C160)</f>
        <v>2b-2200-rnd-cloud</v>
      </c>
      <c r="L160" s="5" t="s">
        <v>123</v>
      </c>
      <c r="N160" s="5" t="s">
        <v>148</v>
      </c>
    </row>
    <row r="161" spans="1:18">
      <c r="A161" s="35">
        <v>42022</v>
      </c>
      <c r="B161" s="5">
        <v>15</v>
      </c>
      <c r="C161" s="34" t="s">
        <v>131</v>
      </c>
      <c r="D161" s="34">
        <v>1</v>
      </c>
      <c r="E161" s="34"/>
      <c r="F161" s="34"/>
      <c r="G161" s="25">
        <v>2600</v>
      </c>
      <c r="H161" s="27" t="s">
        <v>187</v>
      </c>
      <c r="J161" s="35" t="str" cm="1">
        <f t="array" ref="J161">IFERROR(_xlfn.TEXTJOIN(";",1,IF(D161,_xlfn.MAKEARRAY(D161,1,_xlfn.LAMBDA(_xlpm.x,_xlpm.y,K161&amp;"-"&amp;TEXT(_xlpm.x,"00"))),_xlfn.MAP(_xlfn.TEXTSPLIT(E161,{";","；"},,1),_xlfn.LAMBDA(_xlpm.x,K161&amp;"-"&amp;TEXT(_xlpm.x,"00"))))),"")</f>
        <v>2b-2600-fixed-cloud-01</v>
      </c>
      <c r="K161" s="29" t="str">
        <f t="shared" si="9"/>
        <v>2b-2600-fixed-cloud</v>
      </c>
      <c r="L161" s="5" t="s">
        <v>126</v>
      </c>
      <c r="M161" s="5">
        <v>76.8</v>
      </c>
    </row>
    <row r="162" spans="1:18">
      <c r="A162" s="35">
        <v>42022</v>
      </c>
      <c r="B162" s="5">
        <v>16</v>
      </c>
      <c r="C162" s="34" t="s">
        <v>125</v>
      </c>
      <c r="D162" s="34">
        <v>1</v>
      </c>
      <c r="E162" s="34"/>
      <c r="F162" s="34"/>
      <c r="G162" s="25">
        <v>2630</v>
      </c>
      <c r="H162" s="27" t="s">
        <v>187</v>
      </c>
      <c r="J162" s="35" t="str" cm="1">
        <f t="array" ref="J162">IFERROR(_xlfn.TEXTJOIN(";",1,IF(D162,_xlfn.MAKEARRAY(D162,1,_xlfn.LAMBDA(_xlpm.x,_xlpm.y,K162&amp;"-"&amp;TEXT(_xlpm.x,"00"))),_xlfn.MAP(_xlfn.TEXTSPLIT(E162,{";","；"},,1),_xlfn.LAMBDA(_xlpm.x,K162&amp;"-"&amp;TEXT(_xlpm.x,"00"))))),"")</f>
        <v>2b-2630-fixed-atm-01</v>
      </c>
      <c r="K162" s="29" t="str">
        <f t="shared" si="9"/>
        <v>2b-2630-fixed-atm</v>
      </c>
      <c r="L162" s="5" t="s">
        <v>126</v>
      </c>
      <c r="M162" s="5">
        <v>25.6</v>
      </c>
    </row>
    <row r="163" spans="1:18">
      <c r="A163" s="35">
        <v>42022</v>
      </c>
      <c r="B163" s="5">
        <v>17</v>
      </c>
      <c r="C163" s="34" t="s">
        <v>191</v>
      </c>
      <c r="D163" s="34">
        <v>1</v>
      </c>
      <c r="E163" s="34"/>
      <c r="F163" s="34"/>
      <c r="G163" s="25">
        <v>3000</v>
      </c>
      <c r="H163" s="27" t="s">
        <v>187</v>
      </c>
      <c r="J163" s="35" t="str" cm="1">
        <f t="array" ref="J163">IFERROR(_xlfn.TEXTJOIN(";",1,IF(D163,_xlfn.MAKEARRAY(D163,1,_xlfn.LAMBDA(_xlpm.x,_xlpm.y,K163&amp;"-"&amp;TEXT(_xlpm.x,"00"))),_xlfn.MAP(_xlfn.TEXTSPLIT(E163,{";","；"},,1),_xlfn.LAMBDA(_xlpm.x,K163&amp;"-"&amp;TEXT(_xlpm.x,"00"))))),"")</f>
        <v>2b-3000-fixed-dragon-01</v>
      </c>
      <c r="K163" s="29" t="str">
        <f t="shared" si="9"/>
        <v>2b-3000-fixed-dragon</v>
      </c>
      <c r="L163" s="5" t="s">
        <v>126</v>
      </c>
      <c r="M163" s="5">
        <v>50</v>
      </c>
    </row>
    <row r="164" spans="1:18">
      <c r="A164" s="35">
        <v>42022</v>
      </c>
      <c r="B164" s="5">
        <v>18</v>
      </c>
      <c r="C164" s="34" t="s">
        <v>191</v>
      </c>
      <c r="D164" s="34">
        <v>1</v>
      </c>
      <c r="E164" s="34"/>
      <c r="F164" s="34"/>
      <c r="G164" s="25">
        <v>3100</v>
      </c>
      <c r="H164" s="27" t="s">
        <v>187</v>
      </c>
      <c r="J164" s="35" t="str" cm="1">
        <f t="array" ref="J164">IFERROR(_xlfn.TEXTJOIN(";",1,IF(D164,_xlfn.MAKEARRAY(D164,1,_xlfn.LAMBDA(_xlpm.x,_xlpm.y,K164&amp;"-"&amp;TEXT(_xlpm.x,"00"))),_xlfn.MAP(_xlfn.TEXTSPLIT(E164,{";","；"},,1),_xlfn.LAMBDA(_xlpm.x,K164&amp;"-"&amp;TEXT(_xlpm.x,"00"))))),"")</f>
        <v>2b-3100-rnd-dragon-01</v>
      </c>
      <c r="K164" s="29" t="str">
        <f t="shared" si="9"/>
        <v>2b-3100-rnd-dragon</v>
      </c>
      <c r="L164" s="5" t="s">
        <v>123</v>
      </c>
      <c r="N164" s="5" t="s">
        <v>124</v>
      </c>
    </row>
    <row r="165" spans="1:18">
      <c r="A165" s="35">
        <v>42022</v>
      </c>
      <c r="B165" s="5">
        <v>19</v>
      </c>
      <c r="C165" s="34" t="s">
        <v>131</v>
      </c>
      <c r="D165" s="34">
        <v>1</v>
      </c>
      <c r="E165" s="34"/>
      <c r="F165" s="34"/>
      <c r="G165" s="25">
        <v>3500</v>
      </c>
      <c r="H165" s="27" t="s">
        <v>187</v>
      </c>
      <c r="J165" s="35" t="str" cm="1">
        <f t="array" ref="J165">IFERROR(_xlfn.TEXTJOIN(";",1,IF(D165,_xlfn.MAKEARRAY(D165,1,_xlfn.LAMBDA(_xlpm.x,_xlpm.y,K165&amp;"-"&amp;TEXT(_xlpm.x,"00"))),_xlfn.MAP(_xlfn.TEXTSPLIT(E165,{";","；"},,1),_xlfn.LAMBDA(_xlpm.x,K165&amp;"-"&amp;TEXT(_xlpm.x,"00"))))),"")</f>
        <v>2b-3500-rnd-cloud-01</v>
      </c>
      <c r="K165" s="29" t="str">
        <f t="shared" si="9"/>
        <v>2b-3500-rnd-cloud</v>
      </c>
      <c r="L165" s="5" t="s">
        <v>123</v>
      </c>
      <c r="N165" s="5" t="s">
        <v>124</v>
      </c>
    </row>
    <row r="166" spans="1:18">
      <c r="A166" s="35">
        <v>42022</v>
      </c>
      <c r="B166" s="5">
        <v>20</v>
      </c>
      <c r="C166" s="34" t="s">
        <v>132</v>
      </c>
      <c r="D166" s="34">
        <v>1</v>
      </c>
      <c r="E166" s="34"/>
      <c r="F166" s="34"/>
      <c r="G166" s="25">
        <v>5000</v>
      </c>
      <c r="H166" s="27" t="s">
        <v>187</v>
      </c>
      <c r="J166" s="35" t="str" cm="1">
        <f t="array" ref="J166">IFERROR(_xlfn.TEXTJOIN(";",1,IF(D166,_xlfn.MAKEARRAY(D166,1,_xlfn.LAMBDA(_xlpm.x,_xlpm.y,K166&amp;"-"&amp;TEXT(_xlpm.x,"00"))),_xlfn.MAP(_xlfn.TEXTSPLIT(E166,{";","；"},,1),_xlfn.LAMBDA(_xlpm.x,K166&amp;"-"&amp;TEXT(_xlpm.x,"00"))))),"")</f>
        <v>2b-5000-fixed-sky-01</v>
      </c>
      <c r="K166" s="29" t="str">
        <f t="shared" si="9"/>
        <v>2b-5000-fixed-sky</v>
      </c>
      <c r="L166" s="5" t="s">
        <v>126</v>
      </c>
      <c r="M166" s="5">
        <v>25.6</v>
      </c>
    </row>
    <row r="167" spans="1:18">
      <c r="C167" s="34"/>
      <c r="D167" s="34"/>
      <c r="E167" s="34"/>
      <c r="F167" s="34"/>
      <c r="J167" s="35"/>
    </row>
    <row r="168" spans="1:18">
      <c r="A168" s="35">
        <v>42023</v>
      </c>
      <c r="B168" s="5">
        <v>1</v>
      </c>
      <c r="C168" s="34" t="s">
        <v>192</v>
      </c>
      <c r="D168" s="34">
        <v>1</v>
      </c>
      <c r="E168" s="34"/>
      <c r="F168" s="34"/>
      <c r="G168" s="25">
        <v>20</v>
      </c>
      <c r="H168" s="27" t="s">
        <v>193</v>
      </c>
      <c r="J168" s="35" t="str" cm="1">
        <f t="array" ref="J168">IFERROR(_xlfn.TEXTJOIN(";",1,IF(D168,_xlfn.MAKEARRAY(D168,1,_xlfn.LAMBDA(_xlpm.x,_xlpm.y,K168&amp;"-"&amp;TEXT(_xlpm.x,"00"))),_xlfn.MAP(_xlfn.TEXTSPLIT(E168,{";","；"},,1),_xlfn.LAMBDA(_xlpm.x,K168&amp;"-"&amp;TEXT(_xlpm.x,"00"))))),"")</f>
        <v>2c-20-rnd-chain-01</v>
      </c>
      <c r="K168" s="29" t="str">
        <f t="shared" ref="K168:K180" si="10">_xlfn.TEXTJOIN("-",1,H168:I168,G168,IF(L168="FixedDistance","fixed","rnd"),C168)</f>
        <v>2c-20-rnd-chain</v>
      </c>
      <c r="L168" s="5" t="s">
        <v>123</v>
      </c>
      <c r="N168" s="5" t="s">
        <v>194</v>
      </c>
    </row>
    <row r="169" spans="1:18">
      <c r="A169" s="35">
        <v>42023</v>
      </c>
      <c r="B169" s="5">
        <v>2</v>
      </c>
      <c r="C169" s="34" t="s">
        <v>136</v>
      </c>
      <c r="D169" s="34">
        <v>1</v>
      </c>
      <c r="E169" s="34"/>
      <c r="F169" s="34"/>
      <c r="G169" s="25">
        <v>50</v>
      </c>
      <c r="H169" s="27" t="s">
        <v>193</v>
      </c>
      <c r="J169" s="35" t="str" cm="1">
        <f t="array" ref="J169">IFERROR(_xlfn.TEXTJOIN(";",1,IF(D169,_xlfn.MAKEARRAY(D169,1,_xlfn.LAMBDA(_xlpm.x,_xlpm.y,K169&amp;"-"&amp;TEXT(_xlpm.x,"00"))),_xlfn.MAP(_xlfn.TEXTSPLIT(E169,{";","；"},,1),_xlfn.LAMBDA(_xlpm.x,K169&amp;"-"&amp;TEXT(_xlpm.x,"00"))))),"")</f>
        <v>2c-50-rnd-stone-01</v>
      </c>
      <c r="K169" s="29" t="str">
        <f t="shared" si="10"/>
        <v>2c-50-rnd-stone</v>
      </c>
      <c r="L169" s="5" t="s">
        <v>123</v>
      </c>
      <c r="N169" s="5" t="s">
        <v>195</v>
      </c>
    </row>
    <row r="170" spans="1:18">
      <c r="A170" s="35">
        <v>42023</v>
      </c>
      <c r="B170" s="5">
        <v>3</v>
      </c>
      <c r="C170" s="34" t="s">
        <v>131</v>
      </c>
      <c r="D170" s="34">
        <v>4</v>
      </c>
      <c r="E170" s="34"/>
      <c r="F170" s="34"/>
      <c r="G170" s="25">
        <v>80</v>
      </c>
      <c r="H170" s="27" t="s">
        <v>193</v>
      </c>
      <c r="J170" s="35" t="str" cm="1">
        <f t="array" ref="J170">IFERROR(_xlfn.TEXTJOIN(";",1,IF(D170,_xlfn.MAKEARRAY(D170,1,_xlfn.LAMBDA(_xlpm.x,_xlpm.y,K170&amp;"-"&amp;TEXT(_xlpm.x,"00"))),_xlfn.MAP(_xlfn.TEXTSPLIT(E170,{";","；"},,1),_xlfn.LAMBDA(_xlpm.x,K170&amp;"-"&amp;TEXT(_xlpm.x,"00"))))),"")</f>
        <v>2c-80-rnd-cloud-01;2c-80-rnd-cloud-02;2c-80-rnd-cloud-03;2c-80-rnd-cloud-04</v>
      </c>
      <c r="K170" s="29" t="str">
        <f t="shared" si="10"/>
        <v>2c-80-rnd-cloud</v>
      </c>
      <c r="L170" s="5" t="s">
        <v>123</v>
      </c>
      <c r="N170" s="5" t="s">
        <v>196</v>
      </c>
      <c r="R170" s="5">
        <v>40</v>
      </c>
    </row>
    <row r="171" spans="1:18">
      <c r="A171" s="35">
        <v>42023</v>
      </c>
      <c r="B171" s="5">
        <v>4</v>
      </c>
      <c r="C171" s="34" t="s">
        <v>192</v>
      </c>
      <c r="D171" s="34">
        <v>2</v>
      </c>
      <c r="E171" s="34"/>
      <c r="F171" s="34"/>
      <c r="G171" s="25">
        <v>130</v>
      </c>
      <c r="H171" s="27" t="s">
        <v>193</v>
      </c>
      <c r="J171" s="35" t="str" cm="1">
        <f t="array" ref="J171">IFERROR(_xlfn.TEXTJOIN(";",1,IF(D171,_xlfn.MAKEARRAY(D171,1,_xlfn.LAMBDA(_xlpm.x,_xlpm.y,K171&amp;"-"&amp;TEXT(_xlpm.x,"00"))),_xlfn.MAP(_xlfn.TEXTSPLIT(E171,{";","；"},,1),_xlfn.LAMBDA(_xlpm.x,K171&amp;"-"&amp;TEXT(_xlpm.x,"00"))))),"")</f>
        <v>2c-130-rnd-chain-01;2c-130-rnd-chain-02</v>
      </c>
      <c r="K171" s="29" t="str">
        <f t="shared" si="10"/>
        <v>2c-130-rnd-chain</v>
      </c>
      <c r="L171" s="5" t="s">
        <v>123</v>
      </c>
      <c r="N171" s="5" t="s">
        <v>183</v>
      </c>
    </row>
    <row r="172" spans="1:18">
      <c r="A172" s="35">
        <v>42023</v>
      </c>
      <c r="B172" s="5">
        <v>5</v>
      </c>
      <c r="C172" s="34" t="s">
        <v>145</v>
      </c>
      <c r="D172" s="34">
        <v>2</v>
      </c>
      <c r="E172" s="34"/>
      <c r="F172" s="34"/>
      <c r="G172" s="25">
        <v>180</v>
      </c>
      <c r="H172" s="27" t="s">
        <v>193</v>
      </c>
      <c r="J172" s="35" t="str" cm="1">
        <f t="array" ref="J172">IFERROR(_xlfn.TEXTJOIN(";",1,IF(D172,_xlfn.MAKEARRAY(D172,1,_xlfn.LAMBDA(_xlpm.x,_xlpm.y,K172&amp;"-"&amp;TEXT(_xlpm.x,"00"))),_xlfn.MAP(_xlfn.TEXTSPLIT(E172,{";","；"},,1),_xlfn.LAMBDA(_xlpm.x,K172&amp;"-"&amp;TEXT(_xlpm.x,"00"))))),"")</f>
        <v>2c-180-rnd-pillar-01;2c-180-rnd-pillar-02</v>
      </c>
      <c r="K172" s="29" t="str">
        <f t="shared" si="10"/>
        <v>2c-180-rnd-pillar</v>
      </c>
      <c r="L172" s="5" t="s">
        <v>123</v>
      </c>
      <c r="N172" s="5" t="s">
        <v>124</v>
      </c>
    </row>
    <row r="173" spans="1:18">
      <c r="A173" s="35">
        <v>42023</v>
      </c>
      <c r="B173" s="5">
        <v>6</v>
      </c>
      <c r="C173" s="34" t="s">
        <v>136</v>
      </c>
      <c r="D173" s="34">
        <v>1</v>
      </c>
      <c r="E173" s="34"/>
      <c r="F173" s="34"/>
      <c r="G173" s="25">
        <v>220</v>
      </c>
      <c r="H173" s="27" t="s">
        <v>193</v>
      </c>
      <c r="J173" s="35" t="str" cm="1">
        <f t="array" ref="J173">IFERROR(_xlfn.TEXTJOIN(";",1,IF(D173,_xlfn.MAKEARRAY(D173,1,_xlfn.LAMBDA(_xlpm.x,_xlpm.y,K173&amp;"-"&amp;TEXT(_xlpm.x,"00"))),_xlfn.MAP(_xlfn.TEXTSPLIT(E173,{";","；"},,1),_xlfn.LAMBDA(_xlpm.x,K173&amp;"-"&amp;TEXT(_xlpm.x,"00"))))),"")</f>
        <v>2c-220-rnd-stone-01</v>
      </c>
      <c r="K173" s="29" t="str">
        <f t="shared" si="10"/>
        <v>2c-220-rnd-stone</v>
      </c>
      <c r="L173" s="5" t="s">
        <v>123</v>
      </c>
      <c r="N173" s="5" t="s">
        <v>124</v>
      </c>
    </row>
    <row r="174" spans="1:18">
      <c r="A174" s="35">
        <v>42023</v>
      </c>
      <c r="B174" s="5">
        <v>7</v>
      </c>
      <c r="C174" s="34" t="s">
        <v>197</v>
      </c>
      <c r="D174" s="34">
        <v>1</v>
      </c>
      <c r="E174" s="34"/>
      <c r="F174" s="34"/>
      <c r="G174" s="25">
        <v>230</v>
      </c>
      <c r="H174" s="27" t="s">
        <v>193</v>
      </c>
      <c r="J174" s="35" t="str" cm="1">
        <f t="array" ref="J174">IFERROR(_xlfn.TEXTJOIN(";",1,IF(D174,_xlfn.MAKEARRAY(D174,1,_xlfn.LAMBDA(_xlpm.x,_xlpm.y,K174&amp;"-"&amp;TEXT(_xlpm.x,"00"))),_xlfn.MAP(_xlfn.TEXTSPLIT(E174,{";","；"},,1),_xlfn.LAMBDA(_xlpm.x,K174&amp;"-"&amp;TEXT(_xlpm.x,"00"))))),"")</f>
        <v>2c-230-rnd-bird-01</v>
      </c>
      <c r="K174" s="29" t="str">
        <f t="shared" si="10"/>
        <v>2c-230-rnd-bird</v>
      </c>
      <c r="L174" s="5" t="s">
        <v>123</v>
      </c>
      <c r="N174" s="5" t="s">
        <v>124</v>
      </c>
    </row>
    <row r="175" spans="1:18">
      <c r="A175" s="35">
        <v>42023</v>
      </c>
      <c r="B175" s="5">
        <v>8</v>
      </c>
      <c r="C175" s="34" t="s">
        <v>131</v>
      </c>
      <c r="D175" s="34">
        <v>1</v>
      </c>
      <c r="E175" s="34"/>
      <c r="F175" s="34"/>
      <c r="G175" s="25">
        <v>290</v>
      </c>
      <c r="H175" s="27" t="s">
        <v>193</v>
      </c>
      <c r="J175" s="35" t="str" cm="1">
        <f t="array" ref="J175">IFERROR(_xlfn.TEXTJOIN(";",1,IF(D175,_xlfn.MAKEARRAY(D175,1,_xlfn.LAMBDA(_xlpm.x,_xlpm.y,K175&amp;"-"&amp;TEXT(_xlpm.x,"00"))),_xlfn.MAP(_xlfn.TEXTSPLIT(E175,{";","；"},,1),_xlfn.LAMBDA(_xlpm.x,K175&amp;"-"&amp;TEXT(_xlpm.x,"00"))))),"")</f>
        <v>2c-290-fixed-cloud-01</v>
      </c>
      <c r="K175" s="29" t="str">
        <f t="shared" si="10"/>
        <v>2c-290-fixed-cloud</v>
      </c>
      <c r="L175" s="5" t="s">
        <v>126</v>
      </c>
      <c r="M175" s="5">
        <v>24.04</v>
      </c>
    </row>
    <row r="176" spans="1:18">
      <c r="A176" s="35">
        <v>42023</v>
      </c>
      <c r="B176" s="5">
        <v>9</v>
      </c>
      <c r="C176" s="34" t="s">
        <v>168</v>
      </c>
      <c r="D176" s="34">
        <v>1</v>
      </c>
      <c r="E176" s="34"/>
      <c r="F176" s="34"/>
      <c r="G176" s="25">
        <v>300</v>
      </c>
      <c r="H176" s="27" t="s">
        <v>193</v>
      </c>
      <c r="J176" s="35" t="str" cm="1">
        <f t="array" ref="J176">IFERROR(_xlfn.TEXTJOIN(";",1,IF(D176,_xlfn.MAKEARRAY(D176,1,_xlfn.LAMBDA(_xlpm.x,_xlpm.y,K176&amp;"-"&amp;TEXT(_xlpm.x,"00"))),_xlfn.MAP(_xlfn.TEXTSPLIT(E176,{";","；"},,1),_xlfn.LAMBDA(_xlpm.x,K176&amp;"-"&amp;TEXT(_xlpm.x,"00"))))),"")</f>
        <v>2c-300-rnd-archi-01</v>
      </c>
      <c r="K176" s="29" t="str">
        <f t="shared" si="10"/>
        <v>2c-300-rnd-archi</v>
      </c>
      <c r="L176" s="5" t="s">
        <v>123</v>
      </c>
      <c r="N176" s="5" t="s">
        <v>124</v>
      </c>
    </row>
    <row r="177" spans="1:19">
      <c r="A177" s="35">
        <v>42023</v>
      </c>
      <c r="B177" s="5">
        <v>10</v>
      </c>
      <c r="C177" s="34" t="s">
        <v>198</v>
      </c>
      <c r="D177" s="34">
        <v>1</v>
      </c>
      <c r="E177" s="34"/>
      <c r="F177" s="34"/>
      <c r="G177" s="25">
        <v>400</v>
      </c>
      <c r="H177" s="27" t="s">
        <v>193</v>
      </c>
      <c r="J177" s="35" t="str" cm="1">
        <f t="array" ref="J177">IFERROR(_xlfn.TEXTJOIN(";",1,IF(D177,_xlfn.MAKEARRAY(D177,1,_xlfn.LAMBDA(_xlpm.x,_xlpm.y,K177&amp;"-"&amp;TEXT(_xlpm.x,"00"))),_xlfn.MAP(_xlfn.TEXTSPLIT(E177,{";","；"},,1),_xlfn.LAMBDA(_xlpm.x,K177&amp;"-"&amp;TEXT(_xlpm.x,"00"))))),"")</f>
        <v>2c-400-rnd-smallstone-01</v>
      </c>
      <c r="K177" s="29" t="str">
        <f t="shared" si="10"/>
        <v>2c-400-rnd-smallstone</v>
      </c>
      <c r="L177" s="5" t="s">
        <v>123</v>
      </c>
      <c r="N177" s="5" t="s">
        <v>199</v>
      </c>
    </row>
    <row r="178" spans="1:19">
      <c r="A178" s="35">
        <v>42023</v>
      </c>
      <c r="B178" s="5">
        <v>11</v>
      </c>
      <c r="C178" s="34" t="s">
        <v>125</v>
      </c>
      <c r="D178" s="34">
        <v>1</v>
      </c>
      <c r="E178" s="34"/>
      <c r="F178" s="34"/>
      <c r="G178" s="25">
        <v>420</v>
      </c>
      <c r="H178" s="27" t="s">
        <v>193</v>
      </c>
      <c r="J178" s="35" t="str" cm="1">
        <f t="array" ref="J178">IFERROR(_xlfn.TEXTJOIN(";",1,IF(D178,_xlfn.MAKEARRAY(D178,1,_xlfn.LAMBDA(_xlpm.x,_xlpm.y,K178&amp;"-"&amp;TEXT(_xlpm.x,"00"))),_xlfn.MAP(_xlfn.TEXTSPLIT(E178,{";","；"},,1),_xlfn.LAMBDA(_xlpm.x,K178&amp;"-"&amp;TEXT(_xlpm.x,"00"))))),"")</f>
        <v>2c-420-fixed-atm-01</v>
      </c>
      <c r="K178" s="29" t="str">
        <f t="shared" si="10"/>
        <v>2c-420-fixed-atm</v>
      </c>
      <c r="L178" s="5" t="s">
        <v>126</v>
      </c>
      <c r="M178" s="5">
        <v>25.6</v>
      </c>
    </row>
    <row r="179" spans="1:19">
      <c r="A179" s="35">
        <v>42023</v>
      </c>
      <c r="B179" s="5">
        <v>12</v>
      </c>
      <c r="C179" s="34" t="s">
        <v>198</v>
      </c>
      <c r="D179" s="34">
        <v>1</v>
      </c>
      <c r="E179" s="34"/>
      <c r="F179" s="34"/>
      <c r="G179" s="25">
        <v>480</v>
      </c>
      <c r="H179" s="27" t="s">
        <v>193</v>
      </c>
      <c r="J179" s="35" t="str" cm="1">
        <f t="array" ref="J179">IFERROR(_xlfn.TEXTJOIN(";",1,IF(D179,_xlfn.MAKEARRAY(D179,1,_xlfn.LAMBDA(_xlpm.x,_xlpm.y,K179&amp;"-"&amp;TEXT(_xlpm.x,"00"))),_xlfn.MAP(_xlfn.TEXTSPLIT(E179,{";","；"},,1),_xlfn.LAMBDA(_xlpm.x,K179&amp;"-"&amp;TEXT(_xlpm.x,"00"))))),"")</f>
        <v>2c-480-rnd-smallstone-01</v>
      </c>
      <c r="K179" s="29" t="str">
        <f t="shared" si="10"/>
        <v>2c-480-rnd-smallstone</v>
      </c>
      <c r="L179" s="5" t="s">
        <v>123</v>
      </c>
      <c r="N179" s="5" t="s">
        <v>200</v>
      </c>
    </row>
    <row r="180" spans="1:19">
      <c r="A180" s="35">
        <v>42023</v>
      </c>
      <c r="B180" s="5">
        <v>15</v>
      </c>
      <c r="C180" s="34" t="s">
        <v>131</v>
      </c>
      <c r="D180" s="34">
        <v>1</v>
      </c>
      <c r="E180" s="34"/>
      <c r="F180" s="34"/>
      <c r="G180" s="25">
        <v>490</v>
      </c>
      <c r="H180" s="27" t="s">
        <v>193</v>
      </c>
      <c r="J180" s="35" t="str" cm="1">
        <f t="array" ref="J180">IFERROR(_xlfn.TEXTJOIN(";",1,IF(D180,_xlfn.MAKEARRAY(D180,1,_xlfn.LAMBDA(_xlpm.x,_xlpm.y,K180&amp;"-"&amp;TEXT(_xlpm.x,"00"))),_xlfn.MAP(_xlfn.TEXTSPLIT(E180,{";","；"},,1),_xlfn.LAMBDA(_xlpm.x,K180&amp;"-"&amp;TEXT(_xlpm.x,"00"))))),"")</f>
        <v>2c-490-fixed-cloud-01</v>
      </c>
      <c r="K180" s="29" t="str">
        <f t="shared" si="10"/>
        <v>2c-490-fixed-cloud</v>
      </c>
      <c r="L180" s="5" t="s">
        <v>126</v>
      </c>
      <c r="M180" s="5">
        <v>25.6</v>
      </c>
    </row>
    <row r="181" spans="1:19">
      <c r="A181" s="35">
        <v>42023</v>
      </c>
      <c r="B181" s="5">
        <v>13</v>
      </c>
      <c r="C181" s="34" t="s">
        <v>136</v>
      </c>
      <c r="D181" s="34">
        <v>1</v>
      </c>
      <c r="E181" s="34"/>
      <c r="F181" s="34"/>
      <c r="G181" s="25">
        <v>500</v>
      </c>
      <c r="H181" s="27" t="s">
        <v>193</v>
      </c>
      <c r="J181" s="35" t="str" cm="1">
        <f t="array" ref="J181">IFERROR(_xlfn.TEXTJOIN(";",1,IF(D181,_xlfn.MAKEARRAY(D181,1,_xlfn.LAMBDA(_xlpm.x,_xlpm.y,K181&amp;"-"&amp;TEXT(_xlpm.x,"00"))),_xlfn.MAP(_xlfn.TEXTSPLIT(E181,{";","；"},,1),_xlfn.LAMBDA(_xlpm.x,K181&amp;"-"&amp;TEXT(_xlpm.x,"00"))))),"")</f>
        <v>2c-500-rnd-stone-01</v>
      </c>
      <c r="K181" s="29" t="str">
        <f t="shared" ref="K181:K183" si="11">_xlfn.TEXTJOIN("-",1,H181:I181,G181,IF(L181="FixedDistance","fixed","rnd"),C181)</f>
        <v>2c-500-rnd-stone</v>
      </c>
      <c r="L181" s="5" t="s">
        <v>123</v>
      </c>
      <c r="N181" s="5" t="s">
        <v>201</v>
      </c>
    </row>
    <row r="182" spans="1:19">
      <c r="A182" s="35">
        <v>42023</v>
      </c>
      <c r="B182" s="5">
        <v>14</v>
      </c>
      <c r="C182" s="34" t="s">
        <v>168</v>
      </c>
      <c r="D182" s="34">
        <v>3</v>
      </c>
      <c r="E182" s="34"/>
      <c r="F182" s="34"/>
      <c r="G182" s="25">
        <v>600</v>
      </c>
      <c r="H182" s="27" t="s">
        <v>193</v>
      </c>
      <c r="J182" s="35" t="str" cm="1">
        <f t="array" ref="J182">IFERROR(_xlfn.TEXTJOIN(";",1,IF(D182,_xlfn.MAKEARRAY(D182,1,_xlfn.LAMBDA(_xlpm.x,_xlpm.y,K182&amp;"-"&amp;TEXT(_xlpm.x,"00"))),_xlfn.MAP(_xlfn.TEXTSPLIT(E182,{";","；"},,1),_xlfn.LAMBDA(_xlpm.x,K182&amp;"-"&amp;TEXT(_xlpm.x,"00"))))),"")</f>
        <v>2c-600-rnd-archi-01;2c-600-rnd-archi-02;2c-600-rnd-archi-03</v>
      </c>
      <c r="K182" s="29" t="str">
        <f t="shared" si="11"/>
        <v>2c-600-rnd-archi</v>
      </c>
      <c r="L182" s="5" t="s">
        <v>123</v>
      </c>
      <c r="N182" s="5" t="s">
        <v>202</v>
      </c>
    </row>
    <row r="183" spans="1:19">
      <c r="A183" s="35">
        <v>42023</v>
      </c>
      <c r="B183" s="5">
        <v>16</v>
      </c>
      <c r="C183" s="34" t="s">
        <v>131</v>
      </c>
      <c r="D183" s="34">
        <v>1</v>
      </c>
      <c r="E183" s="34"/>
      <c r="F183" s="34"/>
      <c r="G183" s="25">
        <v>1200</v>
      </c>
      <c r="H183" s="27" t="s">
        <v>193</v>
      </c>
      <c r="J183" s="35" t="str" cm="1">
        <f t="array" ref="J183">IFERROR(_xlfn.TEXTJOIN(";",1,IF(D183,_xlfn.MAKEARRAY(D183,1,_xlfn.LAMBDA(_xlpm.x,_xlpm.y,K183&amp;"-"&amp;TEXT(_xlpm.x,"00"))),_xlfn.MAP(_xlfn.TEXTSPLIT(E183,{";","；"},,1),_xlfn.LAMBDA(_xlpm.x,K183&amp;"-"&amp;TEXT(_xlpm.x,"00"))))),"")</f>
        <v>2c-1200-fixed-cloud-01</v>
      </c>
      <c r="K183" s="29" t="str">
        <f t="shared" si="11"/>
        <v>2c-1200-fixed-cloud</v>
      </c>
      <c r="L183" s="5" t="s">
        <v>126</v>
      </c>
      <c r="M183" s="5">
        <v>38.4</v>
      </c>
    </row>
    <row r="184" spans="1:19">
      <c r="A184" s="35">
        <v>42023</v>
      </c>
      <c r="B184" s="5">
        <v>17</v>
      </c>
      <c r="C184" s="34" t="s">
        <v>132</v>
      </c>
      <c r="D184" s="34">
        <v>1</v>
      </c>
      <c r="E184" s="34"/>
      <c r="F184" s="34"/>
      <c r="G184" s="25">
        <v>2000</v>
      </c>
      <c r="H184" s="27" t="s">
        <v>193</v>
      </c>
      <c r="J184" s="35" t="str" cm="1">
        <f t="array" ref="J184">IFERROR(_xlfn.TEXTJOIN(";",1,IF(D184,_xlfn.MAKEARRAY(D184,1,_xlfn.LAMBDA(_xlpm.x,_xlpm.y,K184&amp;"-"&amp;TEXT(_xlpm.x,"00"))),_xlfn.MAP(_xlfn.TEXTSPLIT(E184,{";","；"},,1),_xlfn.LAMBDA(_xlpm.x,K184&amp;"-"&amp;TEXT(_xlpm.x,"00"))))),"")</f>
        <v>2c-2000-fixed-sky-01</v>
      </c>
      <c r="K184" s="29" t="str">
        <f t="shared" ref="K184" si="12">_xlfn.TEXTJOIN("-",1,H184:I184,G184,IF(L184="FixedDistance","fixed","rnd"),C184)</f>
        <v>2c-2000-fixed-sky</v>
      </c>
      <c r="L184" s="5" t="s">
        <v>126</v>
      </c>
      <c r="M184" s="5">
        <v>25.6</v>
      </c>
    </row>
    <row r="185" spans="1:19">
      <c r="C185" s="34"/>
      <c r="D185" s="34"/>
      <c r="E185" s="34"/>
      <c r="F185" s="34"/>
      <c r="J185" s="35"/>
    </row>
    <row r="186" spans="1:19">
      <c r="A186" s="35">
        <v>42031</v>
      </c>
      <c r="B186" s="5">
        <v>1</v>
      </c>
      <c r="C186" s="34" t="s">
        <v>155</v>
      </c>
      <c r="D186" s="34">
        <v>1</v>
      </c>
      <c r="E186" s="34"/>
      <c r="F186" s="34"/>
      <c r="G186" s="25">
        <v>8</v>
      </c>
      <c r="H186" s="27" t="s">
        <v>203</v>
      </c>
      <c r="J186" s="35" t="str" cm="1">
        <f t="array" ref="J186">IFERROR(_xlfn.TEXTJOIN(";",1,IF(D186,_xlfn.MAKEARRAY(D186,1,_xlfn.LAMBDA(_xlpm.x,_xlpm.y,K186&amp;"-"&amp;TEXT(_xlpm.x,"00"))),_xlfn.MAP(_xlfn.TEXTSPLIT(E186,{";","；"},,1),_xlfn.LAMBDA(_xlpm.x,K186&amp;"-"&amp;TEXT(_xlpm.x,"00"))))),"")</f>
        <v>3a-8-rnd-front-01</v>
      </c>
      <c r="K186" s="29" t="str">
        <f t="shared" ref="K186:K187" si="13">_xlfn.TEXTJOIN("-",1,H186:I186,G186,IF(L186="FixedDistance","fixed","rnd"),C186)</f>
        <v>3a-8-rnd-front</v>
      </c>
      <c r="L186" s="5" t="s">
        <v>123</v>
      </c>
      <c r="N186" s="5" t="s">
        <v>204</v>
      </c>
    </row>
    <row r="187" spans="1:19">
      <c r="A187" s="35">
        <v>42031</v>
      </c>
      <c r="B187" s="5">
        <v>2</v>
      </c>
      <c r="C187" s="34" t="s">
        <v>205</v>
      </c>
      <c r="D187" s="34">
        <v>1</v>
      </c>
      <c r="E187" s="34"/>
      <c r="F187" s="34"/>
      <c r="G187" s="25">
        <v>20</v>
      </c>
      <c r="H187" s="27" t="s">
        <v>203</v>
      </c>
      <c r="J187" s="35" t="str" cm="1">
        <f t="array" ref="J187">IFERROR(_xlfn.TEXTJOIN(";",1,IF(D187,_xlfn.MAKEARRAY(D187,1,_xlfn.LAMBDA(_xlpm.x,_xlpm.y,K187&amp;"-"&amp;TEXT(_xlpm.x,"00"))),_xlfn.MAP(_xlfn.TEXTSPLIT(E187,{";","；"},,1),_xlfn.LAMBDA(_xlpm.x,K187&amp;"-"&amp;TEXT(_xlpm.x,"00"))))),"")</f>
        <v>3a-20-rnd-waterfall-01</v>
      </c>
      <c r="K187" s="29" t="str">
        <f t="shared" si="13"/>
        <v>3a-20-rnd-waterfall</v>
      </c>
      <c r="L187" s="5" t="s">
        <v>123</v>
      </c>
      <c r="N187" s="5" t="s">
        <v>206</v>
      </c>
      <c r="S187" s="30" t="str" cm="1">
        <f t="array" ref="S187">IF(L187="RndPosition",_xlfn.TEXTJOIN(";",1,_xlfn.IFS(ISBLANK(T187:AB187),"",T187:AB187,TRUE,TRUE,FALSE)),"")</f>
        <v/>
      </c>
    </row>
    <row r="188" spans="1:19">
      <c r="A188" s="35">
        <v>42031</v>
      </c>
      <c r="B188" s="5">
        <v>3</v>
      </c>
      <c r="C188" s="34" t="s">
        <v>207</v>
      </c>
      <c r="D188" s="34">
        <v>4</v>
      </c>
      <c r="E188" s="34"/>
      <c r="F188" s="34"/>
      <c r="G188" s="25">
        <v>25</v>
      </c>
      <c r="H188" s="27" t="s">
        <v>203</v>
      </c>
      <c r="J188" s="35" t="str" cm="1">
        <f t="array" ref="J188">IFERROR(_xlfn.TEXTJOIN(";",1,IF(D188,_xlfn.MAKEARRAY(D188,1,_xlfn.LAMBDA(_xlpm.x,_xlpm.y,K188&amp;"-"&amp;TEXT(_xlpm.x,"00"))),_xlfn.MAP(_xlfn.TEXTSPLIT(E188,{";","；"},,1),_xlfn.LAMBDA(_xlpm.x,K188&amp;"-"&amp;TEXT(_xlpm.x,"00"))))),"")</f>
        <v>3a-25-rnd-bubble-01;3a-25-rnd-bubble-02;3a-25-rnd-bubble-03;3a-25-rnd-bubble-04</v>
      </c>
      <c r="K188" s="29" t="str">
        <f t="shared" ref="K188:K214" si="14">_xlfn.TEXTJOIN("-",1,H188:I188,G188,IF(L188="FixedDistance","fixed","rnd"),C188)</f>
        <v>3a-25-rnd-bubble</v>
      </c>
      <c r="L188" s="5" t="s">
        <v>123</v>
      </c>
      <c r="N188" s="5" t="s">
        <v>208</v>
      </c>
      <c r="S188" s="30" t="str" cm="1">
        <f t="array" ref="S188">IF(L188="RndPosition",_xlfn.TEXTJOIN(";",1,_xlfn.IFS(ISBLANK(T188:AB188),"",T188:AB188,TRUE,TRUE,FALSE)),"")</f>
        <v/>
      </c>
    </row>
    <row r="189" spans="1:19">
      <c r="A189" s="35">
        <v>42031</v>
      </c>
      <c r="B189" s="5">
        <v>4</v>
      </c>
      <c r="C189" s="34" t="s">
        <v>128</v>
      </c>
      <c r="D189" s="34">
        <v>1</v>
      </c>
      <c r="E189" s="34"/>
      <c r="F189" s="34"/>
      <c r="G189" s="25">
        <v>26</v>
      </c>
      <c r="H189" s="27" t="s">
        <v>203</v>
      </c>
      <c r="J189" s="35" t="str" cm="1">
        <f t="array" ref="J189">IFERROR(_xlfn.TEXTJOIN(";",1,IF(D189,_xlfn.MAKEARRAY(D189,1,_xlfn.LAMBDA(_xlpm.x,_xlpm.y,K189&amp;"-"&amp;TEXT(_xlpm.x,"00"))),_xlfn.MAP(_xlfn.TEXTSPLIT(E189,{";","；"},,1),_xlfn.LAMBDA(_xlpm.x,K189&amp;"-"&amp;TEXT(_xlpm.x,"00"))))),"")</f>
        <v>3a-26-rnd-tree-01</v>
      </c>
      <c r="K189" s="29" t="str">
        <f t="shared" si="14"/>
        <v>3a-26-rnd-tree</v>
      </c>
      <c r="L189" s="5" t="s">
        <v>123</v>
      </c>
      <c r="N189" s="5" t="s">
        <v>209</v>
      </c>
      <c r="R189" s="5">
        <v>28</v>
      </c>
      <c r="S189" s="30" t="str" cm="1">
        <f t="array" ref="S189">IF(L189="RndPosition",_xlfn.TEXTJOIN(";",1,_xlfn.IFS(ISBLANK(T189:AB189),"",T189:AB189,TRUE,TRUE,FALSE)),"")</f>
        <v/>
      </c>
    </row>
    <row r="190" spans="1:19">
      <c r="A190" s="35">
        <v>42031</v>
      </c>
      <c r="B190" s="5">
        <v>5</v>
      </c>
      <c r="C190" s="5" t="s">
        <v>205</v>
      </c>
      <c r="D190" s="26">
        <v>1</v>
      </c>
      <c r="G190" s="25">
        <v>40</v>
      </c>
      <c r="H190" s="27" t="s">
        <v>203</v>
      </c>
      <c r="J190" s="35" t="str" cm="1">
        <f t="array" ref="J190">IFERROR(_xlfn.TEXTJOIN(";",1,IF(D190,_xlfn.MAKEARRAY(D190,1,_xlfn.LAMBDA(_xlpm.x,_xlpm.y,K190&amp;"-"&amp;TEXT(_xlpm.x,"00"))),_xlfn.MAP(_xlfn.TEXTSPLIT(E190,{";","；"},,1),_xlfn.LAMBDA(_xlpm.x,K190&amp;"-"&amp;TEXT(_xlpm.x,"00"))))),"")</f>
        <v>3a-40-rnd-waterfall-01</v>
      </c>
      <c r="K190" s="29" t="str">
        <f t="shared" si="14"/>
        <v>3a-40-rnd-waterfall</v>
      </c>
      <c r="L190" s="5" t="s">
        <v>123</v>
      </c>
      <c r="N190" s="5" t="s">
        <v>210</v>
      </c>
      <c r="S190" s="30" t="str" cm="1">
        <f t="array" ref="S190">IF(L190="RndPosition",_xlfn.TEXTJOIN(";",1,_xlfn.IFS(ISBLANK(T190:AB190),"",T190:AB190,TRUE,TRUE,FALSE)),"")</f>
        <v/>
      </c>
    </row>
    <row r="191" spans="1:19">
      <c r="A191" s="35">
        <v>42031</v>
      </c>
      <c r="B191" s="5">
        <v>6</v>
      </c>
      <c r="C191" s="34" t="s">
        <v>125</v>
      </c>
      <c r="D191" s="34">
        <v>1</v>
      </c>
      <c r="E191" s="34"/>
      <c r="F191" s="34"/>
      <c r="G191" s="25">
        <v>45</v>
      </c>
      <c r="H191" s="27" t="s">
        <v>203</v>
      </c>
      <c r="J191" s="35" t="str" cm="1">
        <f t="array" ref="J191">IFERROR(_xlfn.TEXTJOIN(";",1,IF(D191,_xlfn.MAKEARRAY(D191,1,_xlfn.LAMBDA(_xlpm.x,_xlpm.y,K191&amp;"-"&amp;TEXT(_xlpm.x,"00"))),_xlfn.MAP(_xlfn.TEXTSPLIT(E191,{";","；"},,1),_xlfn.LAMBDA(_xlpm.x,K191&amp;"-"&amp;TEXT(_xlpm.x,"00"))))),"")</f>
        <v>3a-45-fixed-atm-01</v>
      </c>
      <c r="K191" s="29" t="str">
        <f t="shared" si="14"/>
        <v>3a-45-fixed-atm</v>
      </c>
      <c r="L191" s="5" t="s">
        <v>126</v>
      </c>
      <c r="M191" s="5">
        <v>25.6</v>
      </c>
    </row>
    <row r="192" spans="1:19">
      <c r="A192" s="35">
        <v>42031</v>
      </c>
      <c r="B192" s="5">
        <v>7</v>
      </c>
      <c r="C192" s="34" t="s">
        <v>505</v>
      </c>
      <c r="D192" s="34">
        <v>1</v>
      </c>
      <c r="E192" s="34"/>
      <c r="F192" s="34"/>
      <c r="G192" s="25">
        <v>50</v>
      </c>
      <c r="H192" s="27" t="s">
        <v>203</v>
      </c>
      <c r="J192" s="35" t="str" cm="1">
        <f t="array" ref="J192">IFERROR(_xlfn.TEXTJOIN(";",1,IF(D192,_xlfn.MAKEARRAY(D192,1,_xlfn.LAMBDA(_xlpm.x,_xlpm.y,K192&amp;"-"&amp;TEXT(_xlpm.x,"00"))),_xlfn.MAP(_xlfn.TEXTSPLIT(E192,{";","；"},,1),_xlfn.LAMBDA(_xlpm.x,K192&amp;"-"&amp;TEXT(_xlpm.x,"00"))))),"")</f>
        <v>3a-50-rnd-bubble-01</v>
      </c>
      <c r="K192" s="29" t="str">
        <f t="shared" ref="K192" si="15">_xlfn.TEXTJOIN("-",1,H192:I192,G192,IF(L192="FixedDistance","fixed","rnd"),C192)</f>
        <v>3a-50-rnd-bubble</v>
      </c>
      <c r="L192" s="5" t="s">
        <v>123</v>
      </c>
      <c r="N192" s="59" t="s">
        <v>506</v>
      </c>
      <c r="R192" s="5">
        <v>70</v>
      </c>
    </row>
    <row r="193" spans="1:18">
      <c r="A193" s="35">
        <v>42031</v>
      </c>
      <c r="B193" s="5">
        <v>8</v>
      </c>
      <c r="C193" s="34" t="s">
        <v>158</v>
      </c>
      <c r="D193" s="34">
        <v>1</v>
      </c>
      <c r="E193" s="34"/>
      <c r="F193" s="34"/>
      <c r="G193" s="25">
        <v>60</v>
      </c>
      <c r="H193" s="27" t="s">
        <v>203</v>
      </c>
      <c r="J193" s="35" t="str" cm="1">
        <f t="array" ref="J193">IFERROR(_xlfn.TEXTJOIN(";",1,IF(D193,_xlfn.MAKEARRAY(D193,1,_xlfn.LAMBDA(_xlpm.x,_xlpm.y,K193&amp;"-"&amp;TEXT(_xlpm.x,"00"))),_xlfn.MAP(_xlfn.TEXTSPLIT(E193,{";","；"},,1),_xlfn.LAMBDA(_xlpm.x,K193&amp;"-"&amp;TEXT(_xlpm.x,"00"))))),"")</f>
        <v>3a-60-rnd-branch-01</v>
      </c>
      <c r="K193" s="29" t="str">
        <f t="shared" si="14"/>
        <v>3a-60-rnd-branch</v>
      </c>
      <c r="L193" s="5" t="s">
        <v>123</v>
      </c>
      <c r="N193" s="5" t="s">
        <v>211</v>
      </c>
    </row>
    <row r="194" spans="1:18">
      <c r="A194" s="35">
        <v>42031</v>
      </c>
      <c r="B194" s="5">
        <v>9</v>
      </c>
      <c r="C194" s="34" t="s">
        <v>212</v>
      </c>
      <c r="D194" s="34">
        <v>1</v>
      </c>
      <c r="E194" s="34"/>
      <c r="F194" s="34"/>
      <c r="G194" s="25">
        <v>78</v>
      </c>
      <c r="H194" s="27" t="s">
        <v>203</v>
      </c>
      <c r="J194" s="35" t="str" cm="1">
        <f t="array" ref="J194">IFERROR(_xlfn.TEXTJOIN(";",1,IF(D194,_xlfn.MAKEARRAY(D194,1,_xlfn.LAMBDA(_xlpm.x,_xlpm.y,K194&amp;"-"&amp;TEXT(_xlpm.x,"00"))),_xlfn.MAP(_xlfn.TEXTSPLIT(E194,{";","；"},,1),_xlfn.LAMBDA(_xlpm.x,K194&amp;"-"&amp;TEXT(_xlpm.x,"00"))))),"")</f>
        <v>3a-78-rnd-plant-01</v>
      </c>
      <c r="K194" s="29" t="str">
        <f t="shared" si="14"/>
        <v>3a-78-rnd-plant</v>
      </c>
      <c r="L194" s="5" t="s">
        <v>123</v>
      </c>
      <c r="N194" s="5" t="s">
        <v>213</v>
      </c>
    </row>
    <row r="195" spans="1:18">
      <c r="A195" s="35">
        <v>42031</v>
      </c>
      <c r="B195" s="5">
        <v>10</v>
      </c>
      <c r="C195" s="5" t="s">
        <v>205</v>
      </c>
      <c r="D195" s="34">
        <v>2</v>
      </c>
      <c r="E195" s="34"/>
      <c r="F195" s="34"/>
      <c r="G195" s="25">
        <v>80</v>
      </c>
      <c r="H195" s="27" t="s">
        <v>203</v>
      </c>
      <c r="J195" s="35" t="str" cm="1">
        <f t="array" ref="J195">IFERROR(_xlfn.TEXTJOIN(";",1,IF(D195,_xlfn.MAKEARRAY(D195,1,_xlfn.LAMBDA(_xlpm.x,_xlpm.y,K195&amp;"-"&amp;TEXT(_xlpm.x,"00"))),_xlfn.MAP(_xlfn.TEXTSPLIT(E195,{";","；"},,1),_xlfn.LAMBDA(_xlpm.x,K195&amp;"-"&amp;TEXT(_xlpm.x,"00"))))),"")</f>
        <v>3a-80-rnd-waterfall-01;3a-80-rnd-waterfall-02</v>
      </c>
      <c r="K195" s="29" t="str">
        <f t="shared" si="14"/>
        <v>3a-80-rnd-waterfall</v>
      </c>
      <c r="L195" s="5" t="s">
        <v>123</v>
      </c>
      <c r="N195" s="5" t="s">
        <v>124</v>
      </c>
      <c r="R195" s="5">
        <v>44</v>
      </c>
    </row>
    <row r="196" spans="1:18">
      <c r="A196" s="35">
        <v>42031</v>
      </c>
      <c r="B196" s="5">
        <v>11</v>
      </c>
      <c r="C196" s="34" t="s">
        <v>214</v>
      </c>
      <c r="D196" s="34">
        <v>1</v>
      </c>
      <c r="E196" s="34"/>
      <c r="F196" s="34"/>
      <c r="G196" s="25">
        <v>90</v>
      </c>
      <c r="H196" s="27" t="s">
        <v>203</v>
      </c>
      <c r="J196" s="35" t="str" cm="1">
        <f t="array" ref="J196">IFERROR(_xlfn.TEXTJOIN(";",1,IF(D196,_xlfn.MAKEARRAY(D196,1,_xlfn.LAMBDA(_xlpm.x,_xlpm.y,K196&amp;"-"&amp;TEXT(_xlpm.x,"00"))),_xlfn.MAP(_xlfn.TEXTSPLIT(E196,{";","；"},,1),_xlfn.LAMBDA(_xlpm.x,K196&amp;"-"&amp;TEXT(_xlpm.x,"00"))))),"")</f>
        <v>3a-90-fixed-floor-01</v>
      </c>
      <c r="K196" s="29" t="str">
        <f t="shared" si="14"/>
        <v>3a-90-fixed-floor</v>
      </c>
      <c r="L196" s="5" t="s">
        <v>126</v>
      </c>
      <c r="M196" s="5">
        <v>25.6</v>
      </c>
    </row>
    <row r="197" spans="1:18">
      <c r="A197" s="35">
        <v>42031</v>
      </c>
      <c r="B197" s="5">
        <v>12</v>
      </c>
      <c r="C197" s="34" t="s">
        <v>207</v>
      </c>
      <c r="D197" s="34">
        <v>1</v>
      </c>
      <c r="E197" s="34"/>
      <c r="F197" s="34"/>
      <c r="G197" s="25">
        <v>105</v>
      </c>
      <c r="H197" s="27" t="s">
        <v>203</v>
      </c>
      <c r="J197" s="35" t="str" cm="1">
        <f t="array" ref="J197">IFERROR(_xlfn.TEXTJOIN(";",1,IF(D197,_xlfn.MAKEARRAY(D197,1,_xlfn.LAMBDA(_xlpm.x,_xlpm.y,K197&amp;"-"&amp;TEXT(_xlpm.x,"00"))),_xlfn.MAP(_xlfn.TEXTSPLIT(E197,{";","；"},,1),_xlfn.LAMBDA(_xlpm.x,K197&amp;"-"&amp;TEXT(_xlpm.x,"00"))))),"")</f>
        <v>3a-105-rnd-bubble-01</v>
      </c>
      <c r="K197" s="29" t="str">
        <f t="shared" si="14"/>
        <v>3a-105-rnd-bubble</v>
      </c>
      <c r="L197" s="5" t="s">
        <v>123</v>
      </c>
      <c r="N197" s="5" t="s">
        <v>140</v>
      </c>
      <c r="R197" s="5">
        <v>40</v>
      </c>
    </row>
    <row r="198" spans="1:18">
      <c r="A198" s="35">
        <v>42031</v>
      </c>
      <c r="B198" s="5">
        <v>13</v>
      </c>
      <c r="C198" s="34" t="s">
        <v>128</v>
      </c>
      <c r="D198" s="34">
        <v>1</v>
      </c>
      <c r="E198" s="34"/>
      <c r="F198" s="34"/>
      <c r="G198" s="25">
        <v>130</v>
      </c>
      <c r="H198" s="27" t="s">
        <v>203</v>
      </c>
      <c r="J198" s="35" t="str" cm="1">
        <f t="array" ref="J198">IFERROR(_xlfn.TEXTJOIN(";",1,IF(D198,_xlfn.MAKEARRAY(D198,1,_xlfn.LAMBDA(_xlpm.x,_xlpm.y,K198&amp;"-"&amp;TEXT(_xlpm.x,"00"))),_xlfn.MAP(_xlfn.TEXTSPLIT(E198,{";","；"},,1),_xlfn.LAMBDA(_xlpm.x,K198&amp;"-"&amp;TEXT(_xlpm.x,"00"))))),"")</f>
        <v>3a-130-rnd-tree-01</v>
      </c>
      <c r="K198" s="29" t="str">
        <f t="shared" si="14"/>
        <v>3a-130-rnd-tree</v>
      </c>
      <c r="L198" s="5" t="s">
        <v>123</v>
      </c>
      <c r="N198" s="5" t="s">
        <v>215</v>
      </c>
      <c r="R198" s="5">
        <v>40</v>
      </c>
    </row>
    <row r="199" spans="1:18">
      <c r="A199" s="35">
        <v>42031</v>
      </c>
      <c r="B199" s="5">
        <v>14</v>
      </c>
      <c r="C199" s="34" t="s">
        <v>205</v>
      </c>
      <c r="D199" s="34">
        <v>1</v>
      </c>
      <c r="E199" s="34"/>
      <c r="F199" s="34"/>
      <c r="G199" s="25">
        <v>150</v>
      </c>
      <c r="H199" s="27" t="s">
        <v>203</v>
      </c>
      <c r="J199" s="35" t="str" cm="1">
        <f t="array" ref="J199">IFERROR(_xlfn.TEXTJOIN(";",1,IF(D199,_xlfn.MAKEARRAY(D199,1,_xlfn.LAMBDA(_xlpm.x,_xlpm.y,K199&amp;"-"&amp;TEXT(_xlpm.x,"00"))),_xlfn.MAP(_xlfn.TEXTSPLIT(E199,{";","；"},,1),_xlfn.LAMBDA(_xlpm.x,K199&amp;"-"&amp;TEXT(_xlpm.x,"00"))))),"")</f>
        <v>3a-150-rnd-waterfall-01</v>
      </c>
      <c r="K199" s="29" t="str">
        <f t="shared" si="14"/>
        <v>3a-150-rnd-waterfall</v>
      </c>
      <c r="L199" s="5" t="s">
        <v>123</v>
      </c>
      <c r="N199" s="5" t="s">
        <v>216</v>
      </c>
      <c r="R199" s="5">
        <v>40</v>
      </c>
    </row>
    <row r="200" spans="1:18">
      <c r="A200" s="35">
        <v>42031</v>
      </c>
      <c r="B200" s="5">
        <v>15</v>
      </c>
      <c r="C200" s="34" t="s">
        <v>125</v>
      </c>
      <c r="D200" s="34">
        <v>1</v>
      </c>
      <c r="E200" s="34"/>
      <c r="F200" s="34"/>
      <c r="G200" s="25">
        <v>155</v>
      </c>
      <c r="H200" s="27" t="s">
        <v>203</v>
      </c>
      <c r="J200" s="35" t="str" cm="1">
        <f t="array" ref="J200">IFERROR(_xlfn.TEXTJOIN(";",1,IF(D200,_xlfn.MAKEARRAY(D200,1,_xlfn.LAMBDA(_xlpm.x,_xlpm.y,K200&amp;"-"&amp;TEXT(_xlpm.x,"00"))),_xlfn.MAP(_xlfn.TEXTSPLIT(E200,{";","；"},,1),_xlfn.LAMBDA(_xlpm.x,K200&amp;"-"&amp;TEXT(_xlpm.x,"00"))))),"")</f>
        <v>3a-155-fixed-atm-01</v>
      </c>
      <c r="K200" s="29" t="str">
        <f t="shared" si="14"/>
        <v>3a-155-fixed-atm</v>
      </c>
      <c r="L200" s="5" t="s">
        <v>126</v>
      </c>
      <c r="M200" s="5">
        <v>25.6</v>
      </c>
    </row>
    <row r="201" spans="1:18">
      <c r="A201" s="35">
        <v>42031</v>
      </c>
      <c r="B201" s="5">
        <v>16</v>
      </c>
      <c r="C201" s="34" t="s">
        <v>128</v>
      </c>
      <c r="D201" s="34">
        <v>1</v>
      </c>
      <c r="E201" s="34"/>
      <c r="F201" s="34"/>
      <c r="G201" s="25">
        <v>170</v>
      </c>
      <c r="H201" s="27" t="s">
        <v>203</v>
      </c>
      <c r="J201" s="35" t="str" cm="1">
        <f t="array" ref="J201">IFERROR(_xlfn.TEXTJOIN(";",1,IF(D201,_xlfn.MAKEARRAY(D201,1,_xlfn.LAMBDA(_xlpm.x,_xlpm.y,K201&amp;"-"&amp;TEXT(_xlpm.x,"00"))),_xlfn.MAP(_xlfn.TEXTSPLIT(E201,{";","；"},,1),_xlfn.LAMBDA(_xlpm.x,K201&amp;"-"&amp;TEXT(_xlpm.x,"00"))))),"")</f>
        <v>3a-170-rnd-tree-01</v>
      </c>
      <c r="K201" s="29" t="str">
        <f t="shared" si="14"/>
        <v>3a-170-rnd-tree</v>
      </c>
      <c r="L201" s="5" t="s">
        <v>123</v>
      </c>
      <c r="N201" s="59" t="s">
        <v>507</v>
      </c>
      <c r="R201" s="5">
        <v>30</v>
      </c>
    </row>
    <row r="202" spans="1:18">
      <c r="A202" s="35">
        <v>42031</v>
      </c>
      <c r="B202" s="5">
        <v>17</v>
      </c>
      <c r="C202" s="34" t="s">
        <v>217</v>
      </c>
      <c r="D202" s="34">
        <v>1</v>
      </c>
      <c r="E202" s="34"/>
      <c r="F202" s="34"/>
      <c r="G202" s="25">
        <v>200</v>
      </c>
      <c r="H202" s="27" t="s">
        <v>203</v>
      </c>
      <c r="J202" s="35" t="str" cm="1">
        <f t="array" ref="J202">IFERROR(_xlfn.TEXTJOIN(";",1,IF(D202,_xlfn.MAKEARRAY(D202,1,_xlfn.LAMBDA(_xlpm.x,_xlpm.y,K202&amp;"-"&amp;TEXT(_xlpm.x,"00"))),_xlfn.MAP(_xlfn.TEXTSPLIT(E202,{";","；"},,1),_xlfn.LAMBDA(_xlpm.x,K202&amp;"-"&amp;TEXT(_xlpm.x,"00"))))),"")</f>
        <v>3a-200-rnd-pond-01</v>
      </c>
      <c r="K202" s="29" t="str">
        <f t="shared" si="14"/>
        <v>3a-200-rnd-pond</v>
      </c>
      <c r="L202" s="5" t="s">
        <v>123</v>
      </c>
      <c r="N202" s="5" t="s">
        <v>216</v>
      </c>
      <c r="R202" s="5">
        <v>62</v>
      </c>
    </row>
    <row r="203" spans="1:18">
      <c r="A203" s="35">
        <v>42031</v>
      </c>
      <c r="B203" s="5">
        <v>18</v>
      </c>
      <c r="C203" s="34" t="s">
        <v>128</v>
      </c>
      <c r="D203" s="34">
        <v>1</v>
      </c>
      <c r="E203" s="34"/>
      <c r="F203" s="34"/>
      <c r="G203" s="25">
        <v>210</v>
      </c>
      <c r="H203" s="27" t="s">
        <v>203</v>
      </c>
      <c r="J203" s="35" t="str" cm="1">
        <f t="array" ref="J203">IFERROR(_xlfn.TEXTJOIN(";",1,IF(D203,_xlfn.MAKEARRAY(D203,1,_xlfn.LAMBDA(_xlpm.x,_xlpm.y,K203&amp;"-"&amp;TEXT(_xlpm.x,"00"))),_xlfn.MAP(_xlfn.TEXTSPLIT(E203,{";","；"},,1),_xlfn.LAMBDA(_xlpm.x,K203&amp;"-"&amp;TEXT(_xlpm.x,"00"))))),"")</f>
        <v>3a-210-rnd-tree-01</v>
      </c>
      <c r="K203" s="29" t="str">
        <f t="shared" si="14"/>
        <v>3a-210-rnd-tree</v>
      </c>
      <c r="L203" s="5" t="s">
        <v>123</v>
      </c>
      <c r="N203" s="5" t="s">
        <v>218</v>
      </c>
    </row>
    <row r="204" spans="1:18">
      <c r="A204" s="35">
        <v>42031</v>
      </c>
      <c r="B204" s="5">
        <v>19</v>
      </c>
      <c r="C204" s="34" t="s">
        <v>219</v>
      </c>
      <c r="D204" s="34">
        <v>1</v>
      </c>
      <c r="E204" s="34"/>
      <c r="F204" s="34"/>
      <c r="G204" s="25">
        <v>220</v>
      </c>
      <c r="H204" s="27" t="s">
        <v>203</v>
      </c>
      <c r="J204" s="35" t="str" cm="1">
        <f t="array" ref="J204">IFERROR(_xlfn.TEXTJOIN(";",1,IF(D204,_xlfn.MAKEARRAY(D204,1,_xlfn.LAMBDA(_xlpm.x,_xlpm.y,K204&amp;"-"&amp;TEXT(_xlpm.x,"00"))),_xlfn.MAP(_xlfn.TEXTSPLIT(E204,{";","；"},,1),_xlfn.LAMBDA(_xlpm.x,K204&amp;"-"&amp;TEXT(_xlpm.x,"00"))))),"")</f>
        <v>3a-220-rnd-hill-01</v>
      </c>
      <c r="K204" s="29" t="str">
        <f t="shared" si="14"/>
        <v>3a-220-rnd-hill</v>
      </c>
      <c r="L204" s="5" t="s">
        <v>123</v>
      </c>
      <c r="N204" s="5" t="s">
        <v>220</v>
      </c>
      <c r="R204" s="5">
        <v>35</v>
      </c>
    </row>
    <row r="205" spans="1:18">
      <c r="A205" s="35">
        <v>42031</v>
      </c>
      <c r="B205" s="5">
        <v>20</v>
      </c>
      <c r="C205" s="34" t="s">
        <v>217</v>
      </c>
      <c r="D205" s="34">
        <v>1</v>
      </c>
      <c r="E205" s="34"/>
      <c r="F205" s="34"/>
      <c r="G205" s="25">
        <v>240</v>
      </c>
      <c r="H205" s="27" t="s">
        <v>203</v>
      </c>
      <c r="J205" s="35" t="str" cm="1">
        <f t="array" ref="J205">IFERROR(_xlfn.TEXTJOIN(";",1,IF(D205,_xlfn.MAKEARRAY(D205,1,_xlfn.LAMBDA(_xlpm.x,_xlpm.y,K205&amp;"-"&amp;TEXT(_xlpm.x,"00"))),_xlfn.MAP(_xlfn.TEXTSPLIT(E205,{";","；"},,1),_xlfn.LAMBDA(_xlpm.x,K205&amp;"-"&amp;TEXT(_xlpm.x,"00"))))),"")</f>
        <v>3a-240-fixed-pond-01</v>
      </c>
      <c r="K205" s="29" t="str">
        <f t="shared" si="14"/>
        <v>3a-240-fixed-pond</v>
      </c>
      <c r="L205" s="5" t="s">
        <v>126</v>
      </c>
      <c r="M205" s="5">
        <v>25.6</v>
      </c>
    </row>
    <row r="206" spans="1:18">
      <c r="A206" s="35">
        <v>42031</v>
      </c>
      <c r="B206" s="5">
        <v>21</v>
      </c>
      <c r="C206" s="34" t="s">
        <v>219</v>
      </c>
      <c r="D206" s="34">
        <v>2</v>
      </c>
      <c r="E206" s="34"/>
      <c r="F206" s="34"/>
      <c r="G206" s="25">
        <v>280</v>
      </c>
      <c r="H206" s="27" t="s">
        <v>203</v>
      </c>
      <c r="J206" s="35" t="str" cm="1">
        <f t="array" ref="J206">IFERROR(_xlfn.TEXTJOIN(";",1,IF(D206,_xlfn.MAKEARRAY(D206,1,_xlfn.LAMBDA(_xlpm.x,_xlpm.y,K206&amp;"-"&amp;TEXT(_xlpm.x,"00"))),_xlfn.MAP(_xlfn.TEXTSPLIT(E206,{";","；"},,1),_xlfn.LAMBDA(_xlpm.x,K206&amp;"-"&amp;TEXT(_xlpm.x,"00"))))),"")</f>
        <v>3a-280-rnd-hill-01;3a-280-rnd-hill-02</v>
      </c>
      <c r="K206" s="29" t="str">
        <f t="shared" si="14"/>
        <v>3a-280-rnd-hill</v>
      </c>
      <c r="L206" s="5" t="s">
        <v>123</v>
      </c>
      <c r="N206" s="59" t="s">
        <v>508</v>
      </c>
      <c r="R206" s="5">
        <v>30</v>
      </c>
    </row>
    <row r="207" spans="1:18">
      <c r="A207" s="35">
        <v>42031</v>
      </c>
      <c r="B207" s="5">
        <v>22</v>
      </c>
      <c r="C207" s="34" t="s">
        <v>205</v>
      </c>
      <c r="D207" s="34">
        <v>1</v>
      </c>
      <c r="E207" s="34"/>
      <c r="F207" s="34"/>
      <c r="G207" s="25">
        <v>300</v>
      </c>
      <c r="H207" s="27" t="s">
        <v>203</v>
      </c>
      <c r="J207" s="35" t="str" cm="1">
        <f t="array" ref="J207">IFERROR(_xlfn.TEXTJOIN(";",1,IF(D207,_xlfn.MAKEARRAY(D207,1,_xlfn.LAMBDA(_xlpm.x,_xlpm.y,K207&amp;"-"&amp;TEXT(_xlpm.x,"00"))),_xlfn.MAP(_xlfn.TEXTSPLIT(E207,{";","；"},,1),_xlfn.LAMBDA(_xlpm.x,K207&amp;"-"&amp;TEXT(_xlpm.x,"00"))))),"")</f>
        <v>3a-300-rnd-waterfall-01</v>
      </c>
      <c r="K207" s="29" t="str">
        <f t="shared" si="14"/>
        <v>3a-300-rnd-waterfall</v>
      </c>
      <c r="L207" s="5" t="s">
        <v>123</v>
      </c>
      <c r="N207" s="5" t="s">
        <v>221</v>
      </c>
    </row>
    <row r="208" spans="1:18">
      <c r="A208" s="35">
        <v>42031</v>
      </c>
      <c r="B208" s="5">
        <v>23</v>
      </c>
      <c r="C208" s="34" t="s">
        <v>128</v>
      </c>
      <c r="D208" s="34">
        <v>2</v>
      </c>
      <c r="E208" s="34"/>
      <c r="F208" s="34"/>
      <c r="G208" s="25">
        <v>350</v>
      </c>
      <c r="H208" s="27" t="s">
        <v>203</v>
      </c>
      <c r="J208" s="35" t="str" cm="1">
        <f t="array" ref="J208">IFERROR(_xlfn.TEXTJOIN(";",1,IF(D208,_xlfn.MAKEARRAY(D208,1,_xlfn.LAMBDA(_xlpm.x,_xlpm.y,K208&amp;"-"&amp;TEXT(_xlpm.x,"00"))),_xlfn.MAP(_xlfn.TEXTSPLIT(E208,{";","；"},,1),_xlfn.LAMBDA(_xlpm.x,K208&amp;"-"&amp;TEXT(_xlpm.x,"00"))))),"")</f>
        <v>3a-350-rnd-tree-01;3a-350-rnd-tree-02</v>
      </c>
      <c r="K208" s="29" t="str">
        <f t="shared" si="14"/>
        <v>3a-350-rnd-tree</v>
      </c>
      <c r="L208" s="5" t="s">
        <v>123</v>
      </c>
      <c r="N208" s="5" t="s">
        <v>222</v>
      </c>
    </row>
    <row r="209" spans="1:18">
      <c r="A209" s="35">
        <v>42031</v>
      </c>
      <c r="B209" s="5">
        <v>24</v>
      </c>
      <c r="C209" s="34" t="s">
        <v>125</v>
      </c>
      <c r="D209" s="34">
        <v>1</v>
      </c>
      <c r="E209" s="34"/>
      <c r="F209" s="34"/>
      <c r="G209" s="25">
        <v>360</v>
      </c>
      <c r="H209" s="27" t="s">
        <v>203</v>
      </c>
      <c r="J209" s="35" t="str" cm="1">
        <f t="array" ref="J209">IFERROR(_xlfn.TEXTJOIN(";",1,IF(D209,_xlfn.MAKEARRAY(D209,1,_xlfn.LAMBDA(_xlpm.x,_xlpm.y,K209&amp;"-"&amp;TEXT(_xlpm.x,"00"))),_xlfn.MAP(_xlfn.TEXTSPLIT(E209,{";","；"},,1),_xlfn.LAMBDA(_xlpm.x,K209&amp;"-"&amp;TEXT(_xlpm.x,"00"))))),"")</f>
        <v>3a-360-fixed-atm-01</v>
      </c>
      <c r="K209" s="29" t="str">
        <f t="shared" ref="K209" si="16">_xlfn.TEXTJOIN("-",1,H209:I209,G209,IF(L209="FixedDistance","fixed","rnd"),C209)</f>
        <v>3a-360-fixed-atm</v>
      </c>
      <c r="L209" s="5" t="s">
        <v>126</v>
      </c>
      <c r="M209" s="5">
        <v>25.6</v>
      </c>
    </row>
    <row r="210" spans="1:18">
      <c r="A210" s="35">
        <v>42031</v>
      </c>
      <c r="B210" s="5">
        <v>25</v>
      </c>
      <c r="C210" s="34" t="s">
        <v>223</v>
      </c>
      <c r="D210" s="34">
        <v>4</v>
      </c>
      <c r="E210" s="34"/>
      <c r="F210" s="34"/>
      <c r="G210" s="25">
        <v>375</v>
      </c>
      <c r="H210" s="27" t="s">
        <v>203</v>
      </c>
      <c r="J210" s="35" t="str" cm="1">
        <f t="array" ref="J210">IFERROR(_xlfn.TEXTJOIN(";",1,IF(D210,_xlfn.MAKEARRAY(D210,1,_xlfn.LAMBDA(_xlpm.x,_xlpm.y,K210&amp;"-"&amp;TEXT(_xlpm.x,"00"))),_xlfn.MAP(_xlfn.TEXTSPLIT(E210,{";","；"},,1),_xlfn.LAMBDA(_xlpm.x,K210&amp;"-"&amp;TEXT(_xlpm.x,"00"))))),"")</f>
        <v>3a-375-rnd-smoke-01;3a-375-rnd-smoke-02;3a-375-rnd-smoke-03;3a-375-rnd-smoke-04</v>
      </c>
      <c r="K210" s="29" t="str">
        <f t="shared" si="14"/>
        <v>3a-375-rnd-smoke</v>
      </c>
      <c r="L210" s="5" t="s">
        <v>123</v>
      </c>
      <c r="N210" s="59" t="s">
        <v>509</v>
      </c>
      <c r="R210" s="5">
        <v>30</v>
      </c>
    </row>
    <row r="211" spans="1:18">
      <c r="A211" s="35">
        <v>42031</v>
      </c>
      <c r="B211" s="5">
        <v>26</v>
      </c>
      <c r="C211" s="34" t="s">
        <v>128</v>
      </c>
      <c r="D211" s="34">
        <v>3</v>
      </c>
      <c r="E211" s="34"/>
      <c r="F211" s="34"/>
      <c r="G211" s="25">
        <v>450</v>
      </c>
      <c r="H211" s="27" t="s">
        <v>203</v>
      </c>
      <c r="J211" s="35" t="str" cm="1">
        <f t="array" ref="J211">IFERROR(_xlfn.TEXTJOIN(";",1,IF(D211,_xlfn.MAKEARRAY(D211,1,_xlfn.LAMBDA(_xlpm.x,_xlpm.y,K211&amp;"-"&amp;TEXT(_xlpm.x,"00"))),_xlfn.MAP(_xlfn.TEXTSPLIT(E211,{";","；"},,1),_xlfn.LAMBDA(_xlpm.x,K211&amp;"-"&amp;TEXT(_xlpm.x,"00"))))),"")</f>
        <v>3a-450-rnd-tree-01;3a-450-rnd-tree-02;3a-450-rnd-tree-03</v>
      </c>
      <c r="K211" s="29" t="str">
        <f t="shared" si="14"/>
        <v>3a-450-rnd-tree</v>
      </c>
      <c r="L211" s="5" t="s">
        <v>123</v>
      </c>
      <c r="N211" s="5" t="s">
        <v>224</v>
      </c>
    </row>
    <row r="212" spans="1:18">
      <c r="A212" s="35">
        <v>42031</v>
      </c>
      <c r="B212" s="5">
        <v>27</v>
      </c>
      <c r="C212" s="34" t="s">
        <v>125</v>
      </c>
      <c r="D212" s="34">
        <v>1</v>
      </c>
      <c r="E212" s="34"/>
      <c r="F212" s="34"/>
      <c r="G212" s="25">
        <v>470</v>
      </c>
      <c r="H212" s="27" t="s">
        <v>203</v>
      </c>
      <c r="J212" s="35" t="str" cm="1">
        <f t="array" ref="J212">IFERROR(_xlfn.TEXTJOIN(";",1,IF(D212,_xlfn.MAKEARRAY(D212,1,_xlfn.LAMBDA(_xlpm.x,_xlpm.y,K212&amp;"-"&amp;TEXT(_xlpm.x,"00"))),_xlfn.MAP(_xlfn.TEXTSPLIT(E212,{";","；"},,1),_xlfn.LAMBDA(_xlpm.x,K212&amp;"-"&amp;TEXT(_xlpm.x,"00"))))),"")</f>
        <v>3a-470-fixed-atm-01</v>
      </c>
      <c r="K212" s="29" t="str">
        <f t="shared" si="14"/>
        <v>3a-470-fixed-atm</v>
      </c>
      <c r="L212" s="5" t="s">
        <v>126</v>
      </c>
      <c r="M212" s="5">
        <v>25.6</v>
      </c>
    </row>
    <row r="213" spans="1:18">
      <c r="A213" s="35">
        <v>42031</v>
      </c>
      <c r="B213" s="5">
        <v>28</v>
      </c>
      <c r="C213" s="34" t="s">
        <v>128</v>
      </c>
      <c r="D213" s="34">
        <v>1</v>
      </c>
      <c r="E213" s="34"/>
      <c r="F213" s="34"/>
      <c r="G213" s="25">
        <v>580</v>
      </c>
      <c r="H213" s="27" t="s">
        <v>203</v>
      </c>
      <c r="J213" s="35" t="str" cm="1">
        <f t="array" ref="J213">IFERROR(_xlfn.TEXTJOIN(";",1,IF(D213,_xlfn.MAKEARRAY(D213,1,_xlfn.LAMBDA(_xlpm.x,_xlpm.y,K213&amp;"-"&amp;TEXT(_xlpm.x,"00"))),_xlfn.MAP(_xlfn.TEXTSPLIT(E213,{";","；"},,1),_xlfn.LAMBDA(_xlpm.x,K213&amp;"-"&amp;TEXT(_xlpm.x,"00"))))),"")</f>
        <v>3a-580-fixed-tree-01</v>
      </c>
      <c r="K213" s="29" t="str">
        <f t="shared" si="14"/>
        <v>3a-580-fixed-tree</v>
      </c>
      <c r="L213" s="5" t="s">
        <v>126</v>
      </c>
      <c r="M213" s="5">
        <v>25.6</v>
      </c>
    </row>
    <row r="214" spans="1:18">
      <c r="A214" s="35">
        <v>42031</v>
      </c>
      <c r="B214" s="5">
        <v>29</v>
      </c>
      <c r="C214" s="34" t="s">
        <v>132</v>
      </c>
      <c r="D214" s="34">
        <v>1</v>
      </c>
      <c r="E214" s="34"/>
      <c r="F214" s="34"/>
      <c r="G214" s="25">
        <v>780</v>
      </c>
      <c r="H214" s="27" t="s">
        <v>203</v>
      </c>
      <c r="J214" s="35" t="str" cm="1">
        <f t="array" ref="J214">IFERROR(_xlfn.TEXTJOIN(";",1,IF(D214,_xlfn.MAKEARRAY(D214,1,_xlfn.LAMBDA(_xlpm.x,_xlpm.y,K214&amp;"-"&amp;TEXT(_xlpm.x,"00"))),_xlfn.MAP(_xlfn.TEXTSPLIT(E214,{";","；"},,1),_xlfn.LAMBDA(_xlpm.x,K214&amp;"-"&amp;TEXT(_xlpm.x,"00"))))),"")</f>
        <v>3a-780-fixed-sky-01</v>
      </c>
      <c r="K214" s="29" t="str">
        <f t="shared" si="14"/>
        <v>3a-780-fixed-sky</v>
      </c>
      <c r="L214" s="5" t="s">
        <v>126</v>
      </c>
      <c r="M214" s="5">
        <v>25.6</v>
      </c>
    </row>
    <row r="215" spans="1:18">
      <c r="C215" s="34"/>
      <c r="D215" s="34"/>
      <c r="E215" s="34"/>
      <c r="F215" s="34"/>
      <c r="J215" s="35"/>
    </row>
    <row r="216" spans="1:18">
      <c r="A216" s="35">
        <v>42032</v>
      </c>
      <c r="B216" s="5">
        <v>1</v>
      </c>
      <c r="C216" s="34" t="s">
        <v>128</v>
      </c>
      <c r="D216" s="34">
        <v>4</v>
      </c>
      <c r="E216" s="34"/>
      <c r="F216" s="34"/>
      <c r="G216" s="25">
        <v>15</v>
      </c>
      <c r="H216" s="27" t="s">
        <v>225</v>
      </c>
      <c r="J216" s="35" t="str" cm="1">
        <f t="array" ref="J216">IFERROR(_xlfn.TEXTJOIN(";",1,IF(D216,_xlfn.MAKEARRAY(D216,1,_xlfn.LAMBDA(_xlpm.x,_xlpm.y,K216&amp;"-"&amp;TEXT(_xlpm.x,"00"))),_xlfn.MAP(_xlfn.TEXTSPLIT(E216,{";","；"},,1),_xlfn.LAMBDA(_xlpm.x,K216&amp;"-"&amp;TEXT(_xlpm.x,"00"))))),"")</f>
        <v>3b-15-rnd-tree-01;3b-15-rnd-tree-02;3b-15-rnd-tree-03;3b-15-rnd-tree-04</v>
      </c>
      <c r="K216" s="29" t="str">
        <f t="shared" ref="K216:K217" si="17">_xlfn.TEXTJOIN("-",1,H216:I216,G216,IF(L216="FixedDistance","fixed","rnd"),C216)</f>
        <v>3b-15-rnd-tree</v>
      </c>
      <c r="L216" s="5" t="s">
        <v>123</v>
      </c>
      <c r="N216" s="5" t="s">
        <v>226</v>
      </c>
    </row>
    <row r="217" spans="1:18">
      <c r="A217" s="35">
        <v>42032</v>
      </c>
      <c r="B217" s="5">
        <v>2</v>
      </c>
      <c r="C217" s="34" t="s">
        <v>212</v>
      </c>
      <c r="D217" s="34">
        <v>3</v>
      </c>
      <c r="E217" s="34"/>
      <c r="F217" s="34"/>
      <c r="G217" s="25">
        <v>22</v>
      </c>
      <c r="H217" s="27" t="s">
        <v>225</v>
      </c>
      <c r="J217" s="35" t="str" cm="1">
        <f t="array" ref="J217">IFERROR(_xlfn.TEXTJOIN(";",1,IF(D217,_xlfn.MAKEARRAY(D217,1,_xlfn.LAMBDA(_xlpm.x,_xlpm.y,K217&amp;"-"&amp;TEXT(_xlpm.x,"00"))),_xlfn.MAP(_xlfn.TEXTSPLIT(E217,{";","；"},,1),_xlfn.LAMBDA(_xlpm.x,K217&amp;"-"&amp;TEXT(_xlpm.x,"00"))))),"")</f>
        <v>3b-22-rnd-plant-01;3b-22-rnd-plant-02;3b-22-rnd-plant-03</v>
      </c>
      <c r="K217" s="29" t="str">
        <f t="shared" si="17"/>
        <v>3b-22-rnd-plant</v>
      </c>
      <c r="L217" s="5" t="s">
        <v>123</v>
      </c>
      <c r="N217" s="5" t="s">
        <v>227</v>
      </c>
    </row>
    <row r="218" spans="1:18">
      <c r="A218" s="35">
        <v>42032</v>
      </c>
      <c r="B218" s="5">
        <v>3</v>
      </c>
      <c r="C218" s="34" t="s">
        <v>228</v>
      </c>
      <c r="D218" s="34">
        <v>3</v>
      </c>
      <c r="E218" s="34"/>
      <c r="F218" s="34"/>
      <c r="G218" s="25">
        <v>34</v>
      </c>
      <c r="H218" s="27" t="s">
        <v>225</v>
      </c>
      <c r="J218" s="35" t="str" cm="1">
        <f t="array" ref="J218">IFERROR(_xlfn.TEXTJOIN(";",1,IF(D218,_xlfn.MAKEARRAY(D218,1,_xlfn.LAMBDA(_xlpm.x,_xlpm.y,K218&amp;"-"&amp;TEXT(_xlpm.x,"00"))),_xlfn.MAP(_xlfn.TEXTSPLIT(E218,{";","；"},,1),_xlfn.LAMBDA(_xlpm.x,K218&amp;"-"&amp;TEXT(_xlpm.x,"00"))))),"")</f>
        <v>3b-34-rnd-trunk-01;3b-34-rnd-trunk-02;3b-34-rnd-trunk-03</v>
      </c>
      <c r="K218" s="29" t="str">
        <f t="shared" ref="K218:K239" si="18">_xlfn.TEXTJOIN("-",1,H218:I218,G218,IF(L218="FixedDistance","fixed","rnd"),C218)</f>
        <v>3b-34-rnd-trunk</v>
      </c>
      <c r="L218" s="5" t="s">
        <v>123</v>
      </c>
      <c r="N218" s="5" t="s">
        <v>229</v>
      </c>
      <c r="R218" s="5">
        <v>35</v>
      </c>
    </row>
    <row r="219" spans="1:18">
      <c r="A219" s="35">
        <v>42032</v>
      </c>
      <c r="B219" s="5">
        <v>4</v>
      </c>
      <c r="C219" s="34" t="s">
        <v>228</v>
      </c>
      <c r="D219" s="34">
        <v>2</v>
      </c>
      <c r="E219" s="34"/>
      <c r="F219" s="34"/>
      <c r="G219" s="25">
        <v>35</v>
      </c>
      <c r="H219" s="27" t="s">
        <v>225</v>
      </c>
      <c r="J219" s="35" t="str" cm="1">
        <f t="array" ref="J219">IFERROR(_xlfn.TEXTJOIN(";",1,IF(D219,_xlfn.MAKEARRAY(D219,1,_xlfn.LAMBDA(_xlpm.x,_xlpm.y,K219&amp;"-"&amp;TEXT(_xlpm.x,"00"))),_xlfn.MAP(_xlfn.TEXTSPLIT(E219,{";","；"},,1),_xlfn.LAMBDA(_xlpm.x,K219&amp;"-"&amp;TEXT(_xlpm.x,"00"))))),"")</f>
        <v>3b-35-rnd-trunk-01;3b-35-rnd-trunk-02</v>
      </c>
      <c r="K219" s="29" t="str">
        <f t="shared" si="18"/>
        <v>3b-35-rnd-trunk</v>
      </c>
      <c r="L219" s="5" t="s">
        <v>123</v>
      </c>
      <c r="N219" s="5" t="s">
        <v>230</v>
      </c>
      <c r="R219" s="5">
        <v>54</v>
      </c>
    </row>
    <row r="220" spans="1:18">
      <c r="A220" s="35">
        <v>42032</v>
      </c>
      <c r="B220" s="5">
        <v>5</v>
      </c>
      <c r="C220" s="34" t="s">
        <v>228</v>
      </c>
      <c r="D220" s="34">
        <v>3</v>
      </c>
      <c r="E220" s="34"/>
      <c r="F220" s="34"/>
      <c r="G220" s="25">
        <v>50</v>
      </c>
      <c r="H220" s="27" t="s">
        <v>225</v>
      </c>
      <c r="J220" s="35" t="str" cm="1">
        <f t="array" ref="J220">IFERROR(_xlfn.TEXTJOIN(";",1,IF(D220,_xlfn.MAKEARRAY(D220,1,_xlfn.LAMBDA(_xlpm.x,_xlpm.y,K220&amp;"-"&amp;TEXT(_xlpm.x,"00"))),_xlfn.MAP(_xlfn.TEXTSPLIT(E220,{";","；"},,1),_xlfn.LAMBDA(_xlpm.x,K220&amp;"-"&amp;TEXT(_xlpm.x,"00"))))),"")</f>
        <v>3b-50-rnd-trunk-01;3b-50-rnd-trunk-02;3b-50-rnd-trunk-03</v>
      </c>
      <c r="K220" s="29" t="str">
        <f t="shared" si="18"/>
        <v>3b-50-rnd-trunk</v>
      </c>
      <c r="L220" s="5" t="s">
        <v>123</v>
      </c>
      <c r="N220" s="5" t="s">
        <v>231</v>
      </c>
      <c r="R220" s="5">
        <v>50</v>
      </c>
    </row>
    <row r="221" spans="1:18">
      <c r="A221" s="35">
        <v>42032</v>
      </c>
      <c r="B221" s="5">
        <v>6</v>
      </c>
      <c r="C221" s="34" t="s">
        <v>131</v>
      </c>
      <c r="D221" s="34">
        <v>4</v>
      </c>
      <c r="E221" s="34"/>
      <c r="F221" s="34"/>
      <c r="G221" s="25">
        <v>55</v>
      </c>
      <c r="H221" s="27" t="s">
        <v>225</v>
      </c>
      <c r="J221" s="35" t="str" cm="1">
        <f t="array" ref="J221">IFERROR(_xlfn.TEXTJOIN(";",1,IF(D221,_xlfn.MAKEARRAY(D221,1,_xlfn.LAMBDA(_xlpm.x,_xlpm.y,K221&amp;"-"&amp;TEXT(_xlpm.x,"00"))),_xlfn.MAP(_xlfn.TEXTSPLIT(E221,{";","；"},,1),_xlfn.LAMBDA(_xlpm.x,K221&amp;"-"&amp;TEXT(_xlpm.x,"00"))))),"")</f>
        <v>3b-55-rnd-cloud-01;3b-55-rnd-cloud-02;3b-55-rnd-cloud-03;3b-55-rnd-cloud-04</v>
      </c>
      <c r="K221" s="29" t="str">
        <f t="shared" si="18"/>
        <v>3b-55-rnd-cloud</v>
      </c>
      <c r="L221" s="5" t="s">
        <v>123</v>
      </c>
      <c r="N221" s="5" t="s">
        <v>232</v>
      </c>
      <c r="R221" s="5">
        <v>50</v>
      </c>
    </row>
    <row r="222" spans="1:18">
      <c r="A222" s="35">
        <v>42032</v>
      </c>
      <c r="B222" s="5">
        <v>7</v>
      </c>
      <c r="C222" s="34" t="s">
        <v>136</v>
      </c>
      <c r="D222" s="34">
        <v>3</v>
      </c>
      <c r="E222" s="34"/>
      <c r="F222" s="34"/>
      <c r="G222" s="25">
        <v>56</v>
      </c>
      <c r="H222" s="27" t="s">
        <v>225</v>
      </c>
      <c r="J222" s="35" t="str" cm="1">
        <f t="array" ref="J222">IFERROR(_xlfn.TEXTJOIN(";",1,IF(D222,_xlfn.MAKEARRAY(D222,1,_xlfn.LAMBDA(_xlpm.x,_xlpm.y,K222&amp;"-"&amp;TEXT(_xlpm.x,"00"))),_xlfn.MAP(_xlfn.TEXTSPLIT(E222,{";","；"},,1),_xlfn.LAMBDA(_xlpm.x,K222&amp;"-"&amp;TEXT(_xlpm.x,"00"))))),"")</f>
        <v>3b-56-rnd-stone-01;3b-56-rnd-stone-02;3b-56-rnd-stone-03</v>
      </c>
      <c r="K222" s="29" t="str">
        <f t="shared" si="18"/>
        <v>3b-56-rnd-stone</v>
      </c>
      <c r="L222" s="5" t="s">
        <v>123</v>
      </c>
      <c r="N222" s="5" t="s">
        <v>233</v>
      </c>
    </row>
    <row r="223" spans="1:18">
      <c r="A223" s="35">
        <v>42032</v>
      </c>
      <c r="B223" s="5">
        <v>8</v>
      </c>
      <c r="C223" s="34" t="s">
        <v>128</v>
      </c>
      <c r="D223" s="34">
        <v>3</v>
      </c>
      <c r="E223" s="34"/>
      <c r="F223" s="34"/>
      <c r="G223" s="25">
        <v>58</v>
      </c>
      <c r="H223" s="27" t="s">
        <v>225</v>
      </c>
      <c r="J223" s="35" t="str" cm="1">
        <f t="array" ref="J223">IFERROR(_xlfn.TEXTJOIN(";",1,IF(D223,_xlfn.MAKEARRAY(D223,1,_xlfn.LAMBDA(_xlpm.x,_xlpm.y,K223&amp;"-"&amp;TEXT(_xlpm.x,"00"))),_xlfn.MAP(_xlfn.TEXTSPLIT(E223,{";","；"},,1),_xlfn.LAMBDA(_xlpm.x,K223&amp;"-"&amp;TEXT(_xlpm.x,"00"))))),"")</f>
        <v>3b-58-rnd-tree-01;3b-58-rnd-tree-02;3b-58-rnd-tree-03</v>
      </c>
      <c r="K223" s="29" t="str">
        <f t="shared" si="18"/>
        <v>3b-58-rnd-tree</v>
      </c>
      <c r="L223" s="5" t="s">
        <v>123</v>
      </c>
      <c r="N223" s="5" t="s">
        <v>234</v>
      </c>
    </row>
    <row r="224" spans="1:18">
      <c r="A224" s="35">
        <v>42032</v>
      </c>
      <c r="B224" s="5">
        <v>9</v>
      </c>
      <c r="C224" s="34" t="s">
        <v>125</v>
      </c>
      <c r="D224" s="34">
        <v>1</v>
      </c>
      <c r="E224" s="34"/>
      <c r="F224" s="34"/>
      <c r="G224" s="25">
        <v>59</v>
      </c>
      <c r="H224" s="27" t="s">
        <v>225</v>
      </c>
      <c r="J224" s="35" t="str" cm="1">
        <f t="array" ref="J224">IFERROR(_xlfn.TEXTJOIN(";",1,IF(D224,_xlfn.MAKEARRAY(D224,1,_xlfn.LAMBDA(_xlpm.x,_xlpm.y,K224&amp;"-"&amp;TEXT(_xlpm.x,"00"))),_xlfn.MAP(_xlfn.TEXTSPLIT(E224,{";","；"},,1),_xlfn.LAMBDA(_xlpm.x,K224&amp;"-"&amp;TEXT(_xlpm.x,"00"))))),"")</f>
        <v>3b-59-fixed-atm-01</v>
      </c>
      <c r="K224" s="29" t="str">
        <f t="shared" si="18"/>
        <v>3b-59-fixed-atm</v>
      </c>
      <c r="L224" s="5" t="s">
        <v>126</v>
      </c>
      <c r="M224" s="5">
        <v>25.6</v>
      </c>
    </row>
    <row r="225" spans="1:18">
      <c r="A225" s="35">
        <v>42032</v>
      </c>
      <c r="B225" s="5">
        <v>10</v>
      </c>
      <c r="C225" s="34" t="s">
        <v>127</v>
      </c>
      <c r="D225" s="34">
        <v>1</v>
      </c>
      <c r="E225" s="34"/>
      <c r="F225" s="34"/>
      <c r="G225" s="25">
        <v>60</v>
      </c>
      <c r="H225" s="27" t="s">
        <v>225</v>
      </c>
      <c r="J225" s="35" t="str" cm="1">
        <f t="array" ref="J225">IFERROR(_xlfn.TEXTJOIN(";",1,IF(D225,_xlfn.MAKEARRAY(D225,1,_xlfn.LAMBDA(_xlpm.x,_xlpm.y,K225&amp;"-"&amp;TEXT(_xlpm.x,"00"))),_xlfn.MAP(_xlfn.TEXTSPLIT(E225,{";","；"},,1),_xlfn.LAMBDA(_xlpm.x,K225&amp;"-"&amp;TEXT(_xlpm.x,"00"))))),"")</f>
        <v>3b-60-fixed-ground-01</v>
      </c>
      <c r="K225" s="29" t="str">
        <f t="shared" si="18"/>
        <v>3b-60-fixed-ground</v>
      </c>
      <c r="L225" s="5" t="s">
        <v>126</v>
      </c>
      <c r="M225" s="5">
        <v>51.2</v>
      </c>
    </row>
    <row r="226" spans="1:18">
      <c r="A226" s="35">
        <v>42032</v>
      </c>
      <c r="B226" s="5">
        <v>11</v>
      </c>
      <c r="C226" s="34" t="s">
        <v>125</v>
      </c>
      <c r="D226" s="34">
        <v>1</v>
      </c>
      <c r="E226" s="34"/>
      <c r="F226" s="34"/>
      <c r="G226" s="25">
        <v>61</v>
      </c>
      <c r="H226" s="27" t="s">
        <v>225</v>
      </c>
      <c r="J226" s="35" t="str" cm="1">
        <f t="array" ref="J226">IFERROR(_xlfn.TEXTJOIN(";",1,IF(D226,_xlfn.MAKEARRAY(D226,1,_xlfn.LAMBDA(_xlpm.x,_xlpm.y,K226&amp;"-"&amp;TEXT(_xlpm.x,"00"))),_xlfn.MAP(_xlfn.TEXTSPLIT(E226,{";","；"},,1),_xlfn.LAMBDA(_xlpm.x,K226&amp;"-"&amp;TEXT(_xlpm.x,"00"))))),"")</f>
        <v>3b-61-fixed-atm-01</v>
      </c>
      <c r="K226" s="29" t="str">
        <f t="shared" si="18"/>
        <v>3b-61-fixed-atm</v>
      </c>
      <c r="L226" s="5" t="s">
        <v>126</v>
      </c>
      <c r="M226" s="5">
        <v>25.6</v>
      </c>
    </row>
    <row r="227" spans="1:18">
      <c r="A227" s="35">
        <v>42032</v>
      </c>
      <c r="B227" s="5">
        <v>12</v>
      </c>
      <c r="C227" s="34" t="s">
        <v>228</v>
      </c>
      <c r="D227" s="34">
        <v>4</v>
      </c>
      <c r="E227" s="34"/>
      <c r="F227" s="34"/>
      <c r="G227" s="25">
        <v>80</v>
      </c>
      <c r="H227" s="27" t="s">
        <v>225</v>
      </c>
      <c r="J227" s="35" t="str" cm="1">
        <f t="array" ref="J227">IFERROR(_xlfn.TEXTJOIN(";",1,IF(D227,_xlfn.MAKEARRAY(D227,1,_xlfn.LAMBDA(_xlpm.x,_xlpm.y,K227&amp;"-"&amp;TEXT(_xlpm.x,"00"))),_xlfn.MAP(_xlfn.TEXTSPLIT(E227,{";","；"},,1),_xlfn.LAMBDA(_xlpm.x,K227&amp;"-"&amp;TEXT(_xlpm.x,"00"))))),"")</f>
        <v>3b-80-rnd-trunk-01;3b-80-rnd-trunk-02;3b-80-rnd-trunk-03;3b-80-rnd-trunk-04</v>
      </c>
      <c r="K227" s="29" t="str">
        <f t="shared" si="18"/>
        <v>3b-80-rnd-trunk</v>
      </c>
      <c r="L227" s="5" t="s">
        <v>123</v>
      </c>
      <c r="N227" s="5" t="s">
        <v>235</v>
      </c>
      <c r="R227" s="5">
        <v>52</v>
      </c>
    </row>
    <row r="228" spans="1:18">
      <c r="A228" s="35">
        <v>42032</v>
      </c>
      <c r="B228" s="5">
        <v>13</v>
      </c>
      <c r="C228" s="34" t="s">
        <v>228</v>
      </c>
      <c r="D228" s="34">
        <v>1</v>
      </c>
      <c r="E228" s="34"/>
      <c r="F228" s="34"/>
      <c r="G228" s="25">
        <v>100</v>
      </c>
      <c r="H228" s="27" t="s">
        <v>225</v>
      </c>
      <c r="J228" s="35" t="str" cm="1">
        <f t="array" ref="J228">IFERROR(_xlfn.TEXTJOIN(";",1,IF(D228,_xlfn.MAKEARRAY(D228,1,_xlfn.LAMBDA(_xlpm.x,_xlpm.y,K228&amp;"-"&amp;TEXT(_xlpm.x,"00"))),_xlfn.MAP(_xlfn.TEXTSPLIT(E228,{";","；"},,1),_xlfn.LAMBDA(_xlpm.x,K228&amp;"-"&amp;TEXT(_xlpm.x,"00"))))),"")</f>
        <v>3b-100-fixed-trunk-01</v>
      </c>
      <c r="K228" s="29" t="str">
        <f t="shared" si="18"/>
        <v>3b-100-fixed-trunk</v>
      </c>
      <c r="L228" s="5" t="s">
        <v>126</v>
      </c>
      <c r="M228" s="5">
        <v>51.2</v>
      </c>
    </row>
    <row r="229" spans="1:18">
      <c r="A229" s="35">
        <v>42032</v>
      </c>
      <c r="B229" s="5">
        <v>14</v>
      </c>
      <c r="C229" s="34" t="s">
        <v>131</v>
      </c>
      <c r="D229" s="34">
        <v>5</v>
      </c>
      <c r="E229" s="34"/>
      <c r="F229" s="34"/>
      <c r="G229" s="25">
        <v>122</v>
      </c>
      <c r="H229" s="27" t="s">
        <v>225</v>
      </c>
      <c r="J229" s="35" t="str" cm="1">
        <f t="array" ref="J229">IFERROR(_xlfn.TEXTJOIN(";",1,IF(D229,_xlfn.MAKEARRAY(D229,1,_xlfn.LAMBDA(_xlpm.x,_xlpm.y,K229&amp;"-"&amp;TEXT(_xlpm.x,"00"))),_xlfn.MAP(_xlfn.TEXTSPLIT(E229,{";","；"},,1),_xlfn.LAMBDA(_xlpm.x,K229&amp;"-"&amp;TEXT(_xlpm.x,"00"))))),"")</f>
        <v>3b-122-rnd-cloud-01;3b-122-rnd-cloud-02;3b-122-rnd-cloud-03;3b-122-rnd-cloud-04;3b-122-rnd-cloud-05</v>
      </c>
      <c r="K229" s="29" t="str">
        <f t="shared" si="18"/>
        <v>3b-122-rnd-cloud</v>
      </c>
      <c r="L229" s="5" t="s">
        <v>123</v>
      </c>
      <c r="N229" s="5" t="s">
        <v>166</v>
      </c>
      <c r="R229" s="5">
        <v>32</v>
      </c>
    </row>
    <row r="230" spans="1:18">
      <c r="A230" s="35">
        <v>42032</v>
      </c>
      <c r="B230" s="5">
        <v>15</v>
      </c>
      <c r="C230" s="5" t="s">
        <v>236</v>
      </c>
      <c r="D230" s="26">
        <v>3</v>
      </c>
      <c r="G230" s="25">
        <v>149</v>
      </c>
      <c r="H230" s="27" t="s">
        <v>225</v>
      </c>
      <c r="J230" s="35" t="str" cm="1">
        <f t="array" ref="J230">IFERROR(_xlfn.TEXTJOIN(";",1,IF(D230,_xlfn.MAKEARRAY(D230,1,_xlfn.LAMBDA(_xlpm.x,_xlpm.y,K230&amp;"-"&amp;TEXT(_xlpm.x,"00"))),_xlfn.MAP(_xlfn.TEXTSPLIT(E230,{";","；"},,1),_xlfn.LAMBDA(_xlpm.x,K230&amp;"-"&amp;TEXT(_xlpm.x,"00"))))),"")</f>
        <v>3b-149-rnd-trunkdeco-01;3b-149-rnd-trunkdeco-02;3b-149-rnd-trunkdeco-03</v>
      </c>
      <c r="K230" s="29" t="str">
        <f t="shared" si="18"/>
        <v>3b-149-rnd-trunkdeco</v>
      </c>
      <c r="L230" s="5" t="s">
        <v>123</v>
      </c>
      <c r="N230" s="5" t="s">
        <v>237</v>
      </c>
    </row>
    <row r="231" spans="1:18">
      <c r="A231" s="35">
        <v>42032</v>
      </c>
      <c r="B231" s="5">
        <v>16</v>
      </c>
      <c r="C231" s="34" t="s">
        <v>228</v>
      </c>
      <c r="D231" s="34">
        <v>1</v>
      </c>
      <c r="E231" s="34"/>
      <c r="F231" s="34"/>
      <c r="G231" s="25">
        <v>150</v>
      </c>
      <c r="H231" s="27" t="s">
        <v>225</v>
      </c>
      <c r="J231" s="35" t="str" cm="1">
        <f t="array" ref="J231">IFERROR(_xlfn.TEXTJOIN(";",1,IF(D231,_xlfn.MAKEARRAY(D231,1,_xlfn.LAMBDA(_xlpm.x,_xlpm.y,K231&amp;"-"&amp;TEXT(_xlpm.x,"00"))),_xlfn.MAP(_xlfn.TEXTSPLIT(E231,{";","；"},,1),_xlfn.LAMBDA(_xlpm.x,K231&amp;"-"&amp;TEXT(_xlpm.x,"00"))))),"")</f>
        <v>3b-150-fixed-trunk-01</v>
      </c>
      <c r="K231" s="29" t="str">
        <f t="shared" si="18"/>
        <v>3b-150-fixed-trunk</v>
      </c>
      <c r="L231" s="5" t="s">
        <v>126</v>
      </c>
      <c r="M231" s="5">
        <v>25.6</v>
      </c>
    </row>
    <row r="232" spans="1:18">
      <c r="A232" s="35">
        <v>42032</v>
      </c>
      <c r="B232" s="5">
        <v>18</v>
      </c>
      <c r="C232" s="34" t="s">
        <v>128</v>
      </c>
      <c r="D232" s="34">
        <v>8</v>
      </c>
      <c r="E232" s="34"/>
      <c r="F232" s="34"/>
      <c r="G232" s="25">
        <v>154</v>
      </c>
      <c r="H232" s="27" t="s">
        <v>225</v>
      </c>
      <c r="J232" s="35" t="str" cm="1">
        <f t="array" ref="J232">IFERROR(_xlfn.TEXTJOIN(";",1,IF(D232,_xlfn.MAKEARRAY(D232,1,_xlfn.LAMBDA(_xlpm.x,_xlpm.y,K232&amp;"-"&amp;TEXT(_xlpm.x,"00"))),_xlfn.MAP(_xlfn.TEXTSPLIT(E232,{";","；"},,1),_xlfn.LAMBDA(_xlpm.x,K232&amp;"-"&amp;TEXT(_xlpm.x,"00"))))),"")</f>
        <v>3b-154-rnd-tree-01;3b-154-rnd-tree-02;3b-154-rnd-tree-03;3b-154-rnd-tree-04;3b-154-rnd-tree-05;3b-154-rnd-tree-06;3b-154-rnd-tree-07;3b-154-rnd-tree-08</v>
      </c>
      <c r="K232" s="29" t="str">
        <f t="shared" si="18"/>
        <v>3b-154-rnd-tree</v>
      </c>
      <c r="L232" s="5" t="s">
        <v>123</v>
      </c>
      <c r="N232" s="5" t="s">
        <v>238</v>
      </c>
    </row>
    <row r="233" spans="1:18">
      <c r="A233" s="35">
        <v>42032</v>
      </c>
      <c r="B233" s="5">
        <v>17</v>
      </c>
      <c r="C233" s="34" t="s">
        <v>228</v>
      </c>
      <c r="D233" s="34">
        <v>1</v>
      </c>
      <c r="E233" s="34"/>
      <c r="F233" s="34"/>
      <c r="G233" s="25">
        <v>180</v>
      </c>
      <c r="H233" s="27" t="s">
        <v>225</v>
      </c>
      <c r="J233" s="35" t="str" cm="1">
        <f t="array" ref="J233">IFERROR(_xlfn.TEXTJOIN(";",1,IF(D233,_xlfn.MAKEARRAY(D233,1,_xlfn.LAMBDA(_xlpm.x,_xlpm.y,K233&amp;"-"&amp;TEXT(_xlpm.x,"00"))),_xlfn.MAP(_xlfn.TEXTSPLIT(E233,{";","；"},,1),_xlfn.LAMBDA(_xlpm.x,K233&amp;"-"&amp;TEXT(_xlpm.x,"00"))))),"")</f>
        <v>3b-180-fixed-trunk-01</v>
      </c>
      <c r="K233" s="29" t="str">
        <f t="shared" si="18"/>
        <v>3b-180-fixed-trunk</v>
      </c>
      <c r="L233" s="5" t="s">
        <v>126</v>
      </c>
      <c r="M233" s="5">
        <v>25.6</v>
      </c>
    </row>
    <row r="234" spans="1:18">
      <c r="A234" s="35">
        <v>42032</v>
      </c>
      <c r="B234" s="5">
        <v>19</v>
      </c>
      <c r="C234" s="34" t="s">
        <v>239</v>
      </c>
      <c r="D234" s="34">
        <v>1</v>
      </c>
      <c r="E234" s="34"/>
      <c r="F234" s="34"/>
      <c r="G234" s="25">
        <v>196</v>
      </c>
      <c r="H234" s="27" t="s">
        <v>225</v>
      </c>
      <c r="J234" s="35" t="str" cm="1">
        <f t="array" ref="J234">IFERROR(_xlfn.TEXTJOIN(";",1,IF(D234,_xlfn.MAKEARRAY(D234,1,_xlfn.LAMBDA(_xlpm.x,_xlpm.y,K234&amp;"-"&amp;TEXT(_xlpm.x,"00"))),_xlfn.MAP(_xlfn.TEXTSPLIT(E234,{";","；"},,1),_xlfn.LAMBDA(_xlpm.x,K234&amp;"-"&amp;TEXT(_xlpm.x,"00"))))),"")</f>
        <v>3b-196-fixed-forest-01</v>
      </c>
      <c r="K234" s="29" t="str">
        <f t="shared" si="18"/>
        <v>3b-196-fixed-forest</v>
      </c>
      <c r="L234" s="5" t="s">
        <v>126</v>
      </c>
      <c r="M234" s="5">
        <v>23.56</v>
      </c>
    </row>
    <row r="235" spans="1:18">
      <c r="A235" s="35">
        <v>42032</v>
      </c>
      <c r="B235" s="5">
        <v>20</v>
      </c>
      <c r="C235" s="34" t="s">
        <v>239</v>
      </c>
      <c r="D235" s="34">
        <v>1</v>
      </c>
      <c r="E235" s="34"/>
      <c r="F235" s="34"/>
      <c r="G235" s="25">
        <v>228</v>
      </c>
      <c r="H235" s="27" t="s">
        <v>225</v>
      </c>
      <c r="J235" s="35" t="str" cm="1">
        <f t="array" ref="J235">IFERROR(_xlfn.TEXTJOIN(";",1,IF(D235,_xlfn.MAKEARRAY(D235,1,_xlfn.LAMBDA(_xlpm.x,_xlpm.y,K235&amp;"-"&amp;TEXT(_xlpm.x,"00"))),_xlfn.MAP(_xlfn.TEXTSPLIT(E235,{";","；"},,1),_xlfn.LAMBDA(_xlpm.x,K235&amp;"-"&amp;TEXT(_xlpm.x,"00"))))),"")</f>
        <v>3b-228-fixed-forest-01</v>
      </c>
      <c r="K235" s="29" t="str">
        <f t="shared" si="18"/>
        <v>3b-228-fixed-forest</v>
      </c>
      <c r="L235" s="5" t="s">
        <v>126</v>
      </c>
      <c r="M235" s="5">
        <v>22.84</v>
      </c>
    </row>
    <row r="236" spans="1:18">
      <c r="A236" s="35">
        <v>42032</v>
      </c>
      <c r="B236" s="5">
        <v>21</v>
      </c>
      <c r="C236" s="34" t="s">
        <v>127</v>
      </c>
      <c r="D236" s="34">
        <v>1</v>
      </c>
      <c r="E236" s="34"/>
      <c r="F236" s="34"/>
      <c r="G236" s="25">
        <v>250</v>
      </c>
      <c r="H236" s="27" t="s">
        <v>225</v>
      </c>
      <c r="J236" s="35" t="str" cm="1">
        <f t="array" ref="J236">IFERROR(_xlfn.TEXTJOIN(";",1,IF(D236,_xlfn.MAKEARRAY(D236,1,_xlfn.LAMBDA(_xlpm.x,_xlpm.y,K236&amp;"-"&amp;TEXT(_xlpm.x,"00"))),_xlfn.MAP(_xlfn.TEXTSPLIT(E236,{";","；"},,1),_xlfn.LAMBDA(_xlpm.x,K236&amp;"-"&amp;TEXT(_xlpm.x,"00"))))),"")</f>
        <v>3b-250-fixed-ground-01</v>
      </c>
      <c r="K236" s="29" t="str">
        <f t="shared" si="18"/>
        <v>3b-250-fixed-ground</v>
      </c>
      <c r="L236" s="5" t="s">
        <v>126</v>
      </c>
      <c r="M236" s="5">
        <v>25.6</v>
      </c>
    </row>
    <row r="237" spans="1:18">
      <c r="A237" s="35">
        <v>42032</v>
      </c>
      <c r="B237" s="5">
        <v>22</v>
      </c>
      <c r="C237" s="34" t="s">
        <v>125</v>
      </c>
      <c r="D237" s="34">
        <v>1</v>
      </c>
      <c r="E237" s="34"/>
      <c r="F237" s="34"/>
      <c r="G237" s="25">
        <v>280</v>
      </c>
      <c r="H237" s="27" t="s">
        <v>225</v>
      </c>
      <c r="J237" s="35" t="str" cm="1">
        <f t="array" ref="J237">IFERROR(_xlfn.TEXTJOIN(";",1,IF(D237,_xlfn.MAKEARRAY(D237,1,_xlfn.LAMBDA(_xlpm.x,_xlpm.y,K237&amp;"-"&amp;TEXT(_xlpm.x,"00"))),_xlfn.MAP(_xlfn.TEXTSPLIT(E237,{";","；"},,1),_xlfn.LAMBDA(_xlpm.x,K237&amp;"-"&amp;TEXT(_xlpm.x,"00"))))),"")</f>
        <v>3b-280-fixed-atm-01</v>
      </c>
      <c r="K237" s="29" t="str">
        <f t="shared" si="18"/>
        <v>3b-280-fixed-atm</v>
      </c>
      <c r="L237" s="5" t="s">
        <v>126</v>
      </c>
      <c r="M237" s="5">
        <v>25.6</v>
      </c>
    </row>
    <row r="238" spans="1:18">
      <c r="A238" s="35">
        <v>42032</v>
      </c>
      <c r="B238" s="5">
        <v>23</v>
      </c>
      <c r="C238" s="34" t="s">
        <v>239</v>
      </c>
      <c r="D238" s="34">
        <v>1</v>
      </c>
      <c r="E238" s="34"/>
      <c r="F238" s="34"/>
      <c r="G238" s="25">
        <v>360</v>
      </c>
      <c r="H238" s="27" t="s">
        <v>225</v>
      </c>
      <c r="J238" s="35" t="str" cm="1">
        <f t="array" ref="J238">IFERROR(_xlfn.TEXTJOIN(";",1,IF(D238,_xlfn.MAKEARRAY(D238,1,_xlfn.LAMBDA(_xlpm.x,_xlpm.y,K238&amp;"-"&amp;TEXT(_xlpm.x,"00"))),_xlfn.MAP(_xlfn.TEXTSPLIT(E238,{";","；"},,1),_xlfn.LAMBDA(_xlpm.x,K238&amp;"-"&amp;TEXT(_xlpm.x,"00"))))),"")</f>
        <v>3b-360-fixed-forest-01</v>
      </c>
      <c r="K238" s="29" t="str">
        <f t="shared" si="18"/>
        <v>3b-360-fixed-forest</v>
      </c>
      <c r="L238" s="5" t="s">
        <v>126</v>
      </c>
      <c r="M238" s="5">
        <v>24.44</v>
      </c>
    </row>
    <row r="239" spans="1:18">
      <c r="A239" s="35">
        <v>42032</v>
      </c>
      <c r="B239" s="5">
        <v>24</v>
      </c>
      <c r="C239" s="34" t="s">
        <v>132</v>
      </c>
      <c r="D239" s="34">
        <v>1</v>
      </c>
      <c r="E239" s="34"/>
      <c r="F239" s="34"/>
      <c r="G239" s="25">
        <v>500</v>
      </c>
      <c r="H239" s="27" t="s">
        <v>225</v>
      </c>
      <c r="J239" s="35" t="str" cm="1">
        <f t="array" ref="J239">IFERROR(_xlfn.TEXTJOIN(";",1,IF(D239,_xlfn.MAKEARRAY(D239,1,_xlfn.LAMBDA(_xlpm.x,_xlpm.y,K239&amp;"-"&amp;TEXT(_xlpm.x,"00"))),_xlfn.MAP(_xlfn.TEXTSPLIT(E239,{";","；"},,1),_xlfn.LAMBDA(_xlpm.x,K239&amp;"-"&amp;TEXT(_xlpm.x,"00"))))),"")</f>
        <v>3b-500-fixed-sky-01</v>
      </c>
      <c r="K239" s="29" t="str">
        <f t="shared" si="18"/>
        <v>3b-500-fixed-sky</v>
      </c>
      <c r="L239" s="5" t="s">
        <v>126</v>
      </c>
      <c r="M239" s="5">
        <v>25.6</v>
      </c>
    </row>
    <row r="240" spans="1:18">
      <c r="C240" s="34"/>
      <c r="D240" s="34"/>
      <c r="E240" s="34"/>
      <c r="F240" s="34"/>
      <c r="J240" s="35"/>
    </row>
    <row r="241" spans="1:18">
      <c r="A241" s="35">
        <v>42033</v>
      </c>
      <c r="B241" s="5">
        <v>1</v>
      </c>
      <c r="C241" s="34" t="s">
        <v>120</v>
      </c>
      <c r="D241" s="34">
        <v>4</v>
      </c>
      <c r="E241" s="34"/>
      <c r="F241" s="34"/>
      <c r="G241" s="25">
        <v>12</v>
      </c>
      <c r="H241" s="27" t="s">
        <v>240</v>
      </c>
      <c r="J241" s="35" t="str" cm="1">
        <f t="array" ref="J241">IFERROR(_xlfn.TEXTJOIN(";",1,IF(D241,_xlfn.MAKEARRAY(D241,1,_xlfn.LAMBDA(_xlpm.x,_xlpm.y,K241&amp;"-"&amp;TEXT(_xlpm.x,"00"))),_xlfn.MAP(_xlfn.TEXTSPLIT(E241,{";","；"},,1),_xlfn.LAMBDA(_xlpm.x,K241&amp;"-"&amp;TEXT(_xlpm.x,"00"))))),"")</f>
        <v>3c-12-rnd-grass-01;3c-12-rnd-grass-02;3c-12-rnd-grass-03;3c-12-rnd-grass-04</v>
      </c>
      <c r="K241" s="29" t="str">
        <f t="shared" ref="K241:K242" si="19">_xlfn.TEXTJOIN("-",1,H241:I241,G241,IF(L241="FixedDistance","fixed","rnd"),C241)</f>
        <v>3c-12-rnd-grass</v>
      </c>
      <c r="L241" s="5" t="s">
        <v>123</v>
      </c>
      <c r="N241" s="5" t="s">
        <v>238</v>
      </c>
    </row>
    <row r="242" spans="1:18">
      <c r="A242" s="35">
        <v>42033</v>
      </c>
      <c r="B242" s="5">
        <v>2</v>
      </c>
      <c r="C242" s="34" t="s">
        <v>128</v>
      </c>
      <c r="D242" s="34">
        <v>2</v>
      </c>
      <c r="E242" s="34"/>
      <c r="F242" s="34"/>
      <c r="G242" s="25">
        <v>30</v>
      </c>
      <c r="H242" s="27" t="s">
        <v>240</v>
      </c>
      <c r="J242" s="35" t="str" cm="1">
        <f t="array" ref="J242">IFERROR(_xlfn.TEXTJOIN(";",1,IF(D242,_xlfn.MAKEARRAY(D242,1,_xlfn.LAMBDA(_xlpm.x,_xlpm.y,K242&amp;"-"&amp;TEXT(_xlpm.x,"00"))),_xlfn.MAP(_xlfn.TEXTSPLIT(E242,{";","；"},,1),_xlfn.LAMBDA(_xlpm.x,K242&amp;"-"&amp;TEXT(_xlpm.x,"00"))))),"")</f>
        <v>3c-30-rnd-tree-01;3c-30-rnd-tree-02</v>
      </c>
      <c r="K242" s="29" t="str">
        <f t="shared" si="19"/>
        <v>3c-30-rnd-tree</v>
      </c>
      <c r="L242" s="5" t="s">
        <v>123</v>
      </c>
      <c r="N242" s="5" t="s">
        <v>238</v>
      </c>
    </row>
    <row r="243" spans="1:18">
      <c r="A243" s="35">
        <v>42033</v>
      </c>
      <c r="B243" s="5">
        <v>3</v>
      </c>
      <c r="C243" s="34" t="s">
        <v>241</v>
      </c>
      <c r="D243" s="34">
        <v>4</v>
      </c>
      <c r="E243" s="34"/>
      <c r="F243" s="34"/>
      <c r="G243" s="25">
        <v>37</v>
      </c>
      <c r="H243" s="27" t="s">
        <v>240</v>
      </c>
      <c r="J243" s="35" t="str" cm="1">
        <f t="array" ref="J243">IFERROR(_xlfn.TEXTJOIN(";",1,IF(D243,_xlfn.MAKEARRAY(D243,1,_xlfn.LAMBDA(_xlpm.x,_xlpm.y,K243&amp;"-"&amp;TEXT(_xlpm.x,"00"))),_xlfn.MAP(_xlfn.TEXTSPLIT(E243,{";","；"},,1),_xlfn.LAMBDA(_xlpm.x,K243&amp;"-"&amp;TEXT(_xlpm.x,"00"))))),"")</f>
        <v>3c-37-rnd-nest-01;3c-37-rnd-nest-02;3c-37-rnd-nest-03;3c-37-rnd-nest-04</v>
      </c>
      <c r="K243" s="29" t="str">
        <f t="shared" ref="K243:K258" si="20">_xlfn.TEXTJOIN("-",1,H243:I243,G243,IF(L243="FixedDistance","fixed","rnd"),C243)</f>
        <v>3c-37-rnd-nest</v>
      </c>
      <c r="L243" s="5" t="s">
        <v>123</v>
      </c>
      <c r="N243" s="5" t="s">
        <v>242</v>
      </c>
    </row>
    <row r="244" spans="1:18">
      <c r="A244" s="35">
        <v>42033</v>
      </c>
      <c r="B244" s="5">
        <v>4</v>
      </c>
      <c r="C244" s="34" t="s">
        <v>128</v>
      </c>
      <c r="D244" s="34">
        <v>7</v>
      </c>
      <c r="G244" s="25">
        <v>40</v>
      </c>
      <c r="H244" s="27" t="s">
        <v>240</v>
      </c>
      <c r="J244" s="35" t="str" cm="1">
        <f t="array" ref="J244">IFERROR(_xlfn.TEXTJOIN(";",1,IF(D244,_xlfn.MAKEARRAY(D244,1,_xlfn.LAMBDA(_xlpm.x,_xlpm.y,K244&amp;"-"&amp;TEXT(_xlpm.x,"00"))),_xlfn.MAP(_xlfn.TEXTSPLIT(E244,{";","；"},,1),_xlfn.LAMBDA(_xlpm.x,K244&amp;"-"&amp;TEXT(_xlpm.x,"00"))))),"")</f>
        <v>3c-40-rnd-tree-01;3c-40-rnd-tree-02;3c-40-rnd-tree-03;3c-40-rnd-tree-04;3c-40-rnd-tree-05;3c-40-rnd-tree-06;3c-40-rnd-tree-07</v>
      </c>
      <c r="K244" s="29" t="str">
        <f t="shared" si="20"/>
        <v>3c-40-rnd-tree</v>
      </c>
      <c r="L244" s="5" t="s">
        <v>123</v>
      </c>
      <c r="N244" s="5" t="s">
        <v>243</v>
      </c>
    </row>
    <row r="245" spans="1:18">
      <c r="A245" s="35">
        <v>42033</v>
      </c>
      <c r="B245" s="5">
        <v>5</v>
      </c>
      <c r="C245" s="34" t="s">
        <v>244</v>
      </c>
      <c r="D245" s="34">
        <v>1</v>
      </c>
      <c r="E245" s="34"/>
      <c r="F245" s="34"/>
      <c r="G245" s="25">
        <v>50</v>
      </c>
      <c r="H245" s="27" t="s">
        <v>240</v>
      </c>
      <c r="J245" s="35" t="str" cm="1">
        <f t="array" ref="J245">IFERROR(_xlfn.TEXTJOIN(";",1,IF(D245,_xlfn.MAKEARRAY(D245,1,_xlfn.LAMBDA(_xlpm.x,_xlpm.y,K245&amp;"-"&amp;TEXT(_xlpm.x,"00"))),_xlfn.MAP(_xlfn.TEXTSPLIT(E245,{";","；"},,1),_xlfn.LAMBDA(_xlpm.x,K245&amp;"-"&amp;TEXT(_xlpm.x,"00"))))),"")</f>
        <v>3c-50-rnd-leaves-01</v>
      </c>
      <c r="K245" s="29" t="str">
        <f t="shared" si="20"/>
        <v>3c-50-rnd-leaves</v>
      </c>
      <c r="L245" s="5" t="s">
        <v>123</v>
      </c>
      <c r="N245" s="5" t="s">
        <v>245</v>
      </c>
    </row>
    <row r="246" spans="1:18">
      <c r="A246" s="35">
        <v>42033</v>
      </c>
      <c r="B246" s="5">
        <v>6</v>
      </c>
      <c r="C246" s="34" t="s">
        <v>125</v>
      </c>
      <c r="D246" s="34">
        <v>1</v>
      </c>
      <c r="E246" s="34"/>
      <c r="F246" s="34"/>
      <c r="G246" s="25">
        <v>65</v>
      </c>
      <c r="H246" s="27" t="s">
        <v>240</v>
      </c>
      <c r="J246" s="35" t="str" cm="1">
        <f t="array" ref="J246">IFERROR(_xlfn.TEXTJOIN(";",1,IF(D246,_xlfn.MAKEARRAY(D246,1,_xlfn.LAMBDA(_xlpm.x,_xlpm.y,K246&amp;"-"&amp;TEXT(_xlpm.x,"00"))),_xlfn.MAP(_xlfn.TEXTSPLIT(E246,{";","；"},,1),_xlfn.LAMBDA(_xlpm.x,K246&amp;"-"&amp;TEXT(_xlpm.x,"00"))))),"")</f>
        <v>3c-65-fixed-atm-01</v>
      </c>
      <c r="K246" s="29" t="str">
        <f t="shared" si="20"/>
        <v>3c-65-fixed-atm</v>
      </c>
      <c r="L246" s="5" t="s">
        <v>126</v>
      </c>
      <c r="M246" s="5">
        <v>25.6</v>
      </c>
    </row>
    <row r="247" spans="1:18">
      <c r="A247" s="35">
        <v>42033</v>
      </c>
      <c r="B247" s="5">
        <v>7</v>
      </c>
      <c r="C247" s="34" t="s">
        <v>136</v>
      </c>
      <c r="D247" s="34">
        <v>1</v>
      </c>
      <c r="E247" s="34"/>
      <c r="F247" s="34"/>
      <c r="G247" s="25">
        <v>66</v>
      </c>
      <c r="H247" s="27" t="s">
        <v>240</v>
      </c>
      <c r="J247" s="35" t="str" cm="1">
        <f t="array" ref="J247">IFERROR(_xlfn.TEXTJOIN(";",1,IF(D247,_xlfn.MAKEARRAY(D247,1,_xlfn.LAMBDA(_xlpm.x,_xlpm.y,K247&amp;"-"&amp;TEXT(_xlpm.x,"00"))),_xlfn.MAP(_xlfn.TEXTSPLIT(E247,{";","；"},,1),_xlfn.LAMBDA(_xlpm.x,K247&amp;"-"&amp;TEXT(_xlpm.x,"00"))))),"")</f>
        <v>3c-66-rnd-stone-01</v>
      </c>
      <c r="K247" s="29" t="str">
        <f t="shared" si="20"/>
        <v>3c-66-rnd-stone</v>
      </c>
      <c r="L247" s="5" t="s">
        <v>123</v>
      </c>
      <c r="N247" s="5" t="s">
        <v>246</v>
      </c>
    </row>
    <row r="248" spans="1:18">
      <c r="A248" s="35">
        <v>42033</v>
      </c>
      <c r="B248" s="5">
        <v>8</v>
      </c>
      <c r="C248" s="34" t="s">
        <v>207</v>
      </c>
      <c r="D248" s="34">
        <v>2</v>
      </c>
      <c r="E248" s="34"/>
      <c r="F248" s="34"/>
      <c r="G248" s="25">
        <v>90</v>
      </c>
      <c r="H248" s="27" t="s">
        <v>240</v>
      </c>
      <c r="J248" s="35" t="str" cm="1">
        <f t="array" ref="J248">IFERROR(_xlfn.TEXTJOIN(";",1,IF(D248,_xlfn.MAKEARRAY(D248,1,_xlfn.LAMBDA(_xlpm.x,_xlpm.y,K248&amp;"-"&amp;TEXT(_xlpm.x,"00"))),_xlfn.MAP(_xlfn.TEXTSPLIT(E248,{";","；"},,1),_xlfn.LAMBDA(_xlpm.x,K248&amp;"-"&amp;TEXT(_xlpm.x,"00"))))),"")</f>
        <v>3c-90-rnd-bubble-01;3c-90-rnd-bubble-02</v>
      </c>
      <c r="K248" s="29" t="str">
        <f t="shared" si="20"/>
        <v>3c-90-rnd-bubble</v>
      </c>
      <c r="L248" s="5" t="s">
        <v>123</v>
      </c>
      <c r="N248" s="5" t="s">
        <v>246</v>
      </c>
    </row>
    <row r="249" spans="1:18">
      <c r="A249" s="35">
        <v>42033</v>
      </c>
      <c r="B249" s="5">
        <v>9</v>
      </c>
      <c r="C249" s="34" t="s">
        <v>207</v>
      </c>
      <c r="D249" s="34">
        <v>1</v>
      </c>
      <c r="E249" s="34"/>
      <c r="F249" s="34"/>
      <c r="G249" s="25">
        <v>120</v>
      </c>
      <c r="H249" s="27" t="s">
        <v>240</v>
      </c>
      <c r="J249" s="35" t="str" cm="1">
        <f t="array" ref="J249">IFERROR(_xlfn.TEXTJOIN(";",1,IF(D249,_xlfn.MAKEARRAY(D249,1,_xlfn.LAMBDA(_xlpm.x,_xlpm.y,K249&amp;"-"&amp;TEXT(_xlpm.x,"00"))),_xlfn.MAP(_xlfn.TEXTSPLIT(E249,{";","；"},,1),_xlfn.LAMBDA(_xlpm.x,K249&amp;"-"&amp;TEXT(_xlpm.x,"00"))))),"")</f>
        <v>3c-120-rnd-bubble-01</v>
      </c>
      <c r="K249" s="29" t="str">
        <f t="shared" si="20"/>
        <v>3c-120-rnd-bubble</v>
      </c>
      <c r="L249" s="5" t="s">
        <v>123</v>
      </c>
      <c r="N249" s="5" t="s">
        <v>247</v>
      </c>
    </row>
    <row r="250" spans="1:18">
      <c r="A250" s="35">
        <v>42033</v>
      </c>
      <c r="B250" s="5">
        <v>10</v>
      </c>
      <c r="C250" s="34" t="s">
        <v>241</v>
      </c>
      <c r="D250" s="34">
        <v>2</v>
      </c>
      <c r="E250" s="34"/>
      <c r="F250" s="34"/>
      <c r="G250" s="25">
        <v>150</v>
      </c>
      <c r="H250" s="27" t="s">
        <v>240</v>
      </c>
      <c r="J250" s="35" t="str" cm="1">
        <f t="array" ref="J250">IFERROR(_xlfn.TEXTJOIN(";",1,IF(D250,_xlfn.MAKEARRAY(D250,1,_xlfn.LAMBDA(_xlpm.x,_xlpm.y,K250&amp;"-"&amp;TEXT(_xlpm.x,"00"))),_xlfn.MAP(_xlfn.TEXTSPLIT(E250,{";","；"},,1),_xlfn.LAMBDA(_xlpm.x,K250&amp;"-"&amp;TEXT(_xlpm.x,"00"))))),"")</f>
        <v>3c-150-rnd-nest-01;3c-150-rnd-nest-02</v>
      </c>
      <c r="K250" s="29" t="str">
        <f t="shared" si="20"/>
        <v>3c-150-rnd-nest</v>
      </c>
      <c r="L250" s="5" t="s">
        <v>123</v>
      </c>
      <c r="N250" s="5" t="s">
        <v>195</v>
      </c>
      <c r="R250" s="5">
        <v>30</v>
      </c>
    </row>
    <row r="251" spans="1:18">
      <c r="A251" s="35">
        <v>42033</v>
      </c>
      <c r="B251" s="5">
        <v>11</v>
      </c>
      <c r="C251" s="34" t="s">
        <v>244</v>
      </c>
      <c r="D251" s="34">
        <v>1</v>
      </c>
      <c r="E251" s="34"/>
      <c r="F251" s="34"/>
      <c r="G251" s="25">
        <v>190</v>
      </c>
      <c r="H251" s="27" t="s">
        <v>240</v>
      </c>
      <c r="J251" s="35" t="str" cm="1">
        <f t="array" ref="J251">IFERROR(_xlfn.TEXTJOIN(";",1,IF(D251,_xlfn.MAKEARRAY(D251,1,_xlfn.LAMBDA(_xlpm.x,_xlpm.y,K251&amp;"-"&amp;TEXT(_xlpm.x,"00"))),_xlfn.MAP(_xlfn.TEXTSPLIT(E251,{";","；"},,1),_xlfn.LAMBDA(_xlpm.x,K251&amp;"-"&amp;TEXT(_xlpm.x,"00"))))),"")</f>
        <v>3c-190-rnd-leaves-01</v>
      </c>
      <c r="K251" s="29" t="str">
        <f t="shared" si="20"/>
        <v>3c-190-rnd-leaves</v>
      </c>
      <c r="L251" s="5" t="s">
        <v>123</v>
      </c>
      <c r="N251" s="5" t="s">
        <v>245</v>
      </c>
    </row>
    <row r="252" spans="1:18">
      <c r="A252" s="35">
        <v>42033</v>
      </c>
      <c r="B252" s="5">
        <v>12</v>
      </c>
      <c r="C252" s="34" t="s">
        <v>125</v>
      </c>
      <c r="D252" s="34">
        <v>1</v>
      </c>
      <c r="E252" s="34"/>
      <c r="F252" s="34"/>
      <c r="G252" s="25">
        <v>198</v>
      </c>
      <c r="H252" s="27" t="s">
        <v>240</v>
      </c>
      <c r="J252" s="35" t="str" cm="1">
        <f t="array" ref="J252">IFERROR(_xlfn.TEXTJOIN(";",1,IF(D252,_xlfn.MAKEARRAY(D252,1,_xlfn.LAMBDA(_xlpm.x,_xlpm.y,K252&amp;"-"&amp;TEXT(_xlpm.x,"00"))),_xlfn.MAP(_xlfn.TEXTSPLIT(E252,{";","；"},,1),_xlfn.LAMBDA(_xlpm.x,K252&amp;"-"&amp;TEXT(_xlpm.x,"00"))))),"")</f>
        <v>3c-198-fixed-atm-01</v>
      </c>
      <c r="K252" s="29" t="str">
        <f t="shared" si="20"/>
        <v>3c-198-fixed-atm</v>
      </c>
      <c r="L252" s="5" t="s">
        <v>126</v>
      </c>
      <c r="M252" s="5">
        <v>25.6</v>
      </c>
    </row>
    <row r="253" spans="1:18">
      <c r="A253" s="35">
        <v>42033</v>
      </c>
      <c r="B253" s="5">
        <v>13</v>
      </c>
      <c r="C253" s="34" t="s">
        <v>136</v>
      </c>
      <c r="D253" s="34">
        <v>2</v>
      </c>
      <c r="E253" s="34"/>
      <c r="F253" s="34"/>
      <c r="G253" s="25">
        <v>200</v>
      </c>
      <c r="H253" s="27" t="s">
        <v>240</v>
      </c>
      <c r="J253" s="35" t="str" cm="1">
        <f t="array" ref="J253">IFERROR(_xlfn.TEXTJOIN(";",1,IF(D253,_xlfn.MAKEARRAY(D253,1,_xlfn.LAMBDA(_xlpm.x,_xlpm.y,K253&amp;"-"&amp;TEXT(_xlpm.x,"00"))),_xlfn.MAP(_xlfn.TEXTSPLIT(E253,{";","；"},,1),_xlfn.LAMBDA(_xlpm.x,K253&amp;"-"&amp;TEXT(_xlpm.x,"00"))))),"")</f>
        <v>3c-200-rnd-stone-01;3c-200-rnd-stone-02</v>
      </c>
      <c r="K253" s="29" t="str">
        <f t="shared" si="20"/>
        <v>3c-200-rnd-stone</v>
      </c>
      <c r="L253" s="5" t="s">
        <v>123</v>
      </c>
      <c r="N253" s="5" t="s">
        <v>248</v>
      </c>
    </row>
    <row r="254" spans="1:18">
      <c r="A254" s="35">
        <v>42033</v>
      </c>
      <c r="B254" s="5">
        <v>14</v>
      </c>
      <c r="C254" s="34" t="s">
        <v>158</v>
      </c>
      <c r="D254" s="34">
        <v>3</v>
      </c>
      <c r="E254" s="34"/>
      <c r="F254" s="34"/>
      <c r="G254" s="25">
        <v>220</v>
      </c>
      <c r="H254" s="27" t="s">
        <v>240</v>
      </c>
      <c r="J254" s="35" t="str" cm="1">
        <f t="array" ref="J254">IFERROR(_xlfn.TEXTJOIN(";",1,IF(D254,_xlfn.MAKEARRAY(D254,1,_xlfn.LAMBDA(_xlpm.x,_xlpm.y,K254&amp;"-"&amp;TEXT(_xlpm.x,"00"))),_xlfn.MAP(_xlfn.TEXTSPLIT(E254,{";","；"},,1),_xlfn.LAMBDA(_xlpm.x,K254&amp;"-"&amp;TEXT(_xlpm.x,"00"))))),"")</f>
        <v>3c-220-rnd-branch-01;3c-220-rnd-branch-02;3c-220-rnd-branch-03</v>
      </c>
      <c r="K254" s="29" t="str">
        <f t="shared" si="20"/>
        <v>3c-220-rnd-branch</v>
      </c>
      <c r="L254" s="5" t="s">
        <v>123</v>
      </c>
      <c r="N254" s="5" t="s">
        <v>249</v>
      </c>
    </row>
    <row r="255" spans="1:18">
      <c r="A255" s="35">
        <v>42033</v>
      </c>
      <c r="B255" s="5">
        <v>15</v>
      </c>
      <c r="C255" s="34" t="s">
        <v>128</v>
      </c>
      <c r="D255" s="34">
        <v>3</v>
      </c>
      <c r="E255" s="34"/>
      <c r="F255" s="34"/>
      <c r="G255" s="25">
        <v>300</v>
      </c>
      <c r="H255" s="27" t="s">
        <v>240</v>
      </c>
      <c r="J255" s="35" t="str" cm="1">
        <f t="array" ref="J255">IFERROR(_xlfn.TEXTJOIN(";",1,IF(D255,_xlfn.MAKEARRAY(D255,1,_xlfn.LAMBDA(_xlpm.x,_xlpm.y,K255&amp;"-"&amp;TEXT(_xlpm.x,"00"))),_xlfn.MAP(_xlfn.TEXTSPLIT(E255,{";","；"},,1),_xlfn.LAMBDA(_xlpm.x,K255&amp;"-"&amp;TEXT(_xlpm.x,"00"))))),"")</f>
        <v>3c-300-rnd-tree-01;3c-300-rnd-tree-02;3c-300-rnd-tree-03</v>
      </c>
      <c r="K255" s="29" t="str">
        <f t="shared" si="20"/>
        <v>3c-300-rnd-tree</v>
      </c>
      <c r="L255" s="5" t="s">
        <v>123</v>
      </c>
      <c r="N255" s="5" t="s">
        <v>238</v>
      </c>
    </row>
    <row r="256" spans="1:18">
      <c r="A256" s="35">
        <v>42033</v>
      </c>
      <c r="B256" s="5">
        <v>16</v>
      </c>
      <c r="C256" s="34" t="s">
        <v>244</v>
      </c>
      <c r="D256" s="34">
        <v>3</v>
      </c>
      <c r="E256" s="34"/>
      <c r="F256" s="34"/>
      <c r="G256" s="25">
        <v>340</v>
      </c>
      <c r="H256" s="27" t="s">
        <v>240</v>
      </c>
      <c r="J256" s="35" t="str" cm="1">
        <f t="array" ref="J256">IFERROR(_xlfn.TEXTJOIN(";",1,IF(D256,_xlfn.MAKEARRAY(D256,1,_xlfn.LAMBDA(_xlpm.x,_xlpm.y,K256&amp;"-"&amp;TEXT(_xlpm.x,"00"))),_xlfn.MAP(_xlfn.TEXTSPLIT(E256,{";","；"},,1),_xlfn.LAMBDA(_xlpm.x,K256&amp;"-"&amp;TEXT(_xlpm.x,"00"))))),"")</f>
        <v>3c-340-rnd-leaves-01;3c-340-rnd-leaves-02;3c-340-rnd-leaves-03</v>
      </c>
      <c r="K256" s="29" t="str">
        <f t="shared" si="20"/>
        <v>3c-340-rnd-leaves</v>
      </c>
      <c r="L256" s="5" t="s">
        <v>123</v>
      </c>
      <c r="N256" s="5" t="s">
        <v>250</v>
      </c>
    </row>
    <row r="257" spans="1:18">
      <c r="A257" s="35">
        <v>42033</v>
      </c>
      <c r="B257" s="5">
        <v>17</v>
      </c>
      <c r="C257" s="34" t="s">
        <v>136</v>
      </c>
      <c r="D257" s="34">
        <v>3</v>
      </c>
      <c r="E257" s="34"/>
      <c r="F257" s="34"/>
      <c r="G257" s="25">
        <v>360</v>
      </c>
      <c r="H257" s="27" t="s">
        <v>240</v>
      </c>
      <c r="J257" s="35" t="str" cm="1">
        <f t="array" ref="J257">IFERROR(_xlfn.TEXTJOIN(";",1,IF(D257,_xlfn.MAKEARRAY(D257,1,_xlfn.LAMBDA(_xlpm.x,_xlpm.y,K257&amp;"-"&amp;TEXT(_xlpm.x,"00"))),_xlfn.MAP(_xlfn.TEXTSPLIT(E257,{";","；"},,1),_xlfn.LAMBDA(_xlpm.x,K257&amp;"-"&amp;TEXT(_xlpm.x,"00"))))),"")</f>
        <v>3c-360-rnd-stone-01;3c-360-rnd-stone-02;3c-360-rnd-stone-03</v>
      </c>
      <c r="K257" s="29" t="str">
        <f t="shared" si="20"/>
        <v>3c-360-rnd-stone</v>
      </c>
      <c r="L257" s="5" t="s">
        <v>123</v>
      </c>
      <c r="N257" s="5" t="s">
        <v>251</v>
      </c>
    </row>
    <row r="258" spans="1:18">
      <c r="A258" s="35">
        <v>42033</v>
      </c>
      <c r="B258" s="5">
        <v>18</v>
      </c>
      <c r="C258" s="34" t="s">
        <v>128</v>
      </c>
      <c r="D258" s="34">
        <v>7</v>
      </c>
      <c r="E258" s="34"/>
      <c r="F258" s="34"/>
      <c r="G258" s="25">
        <v>400</v>
      </c>
      <c r="H258" s="27" t="s">
        <v>240</v>
      </c>
      <c r="J258" s="35" t="str" cm="1">
        <f t="array" ref="J258">IFERROR(_xlfn.TEXTJOIN(";",1,IF(D258,_xlfn.MAKEARRAY(D258,1,_xlfn.LAMBDA(_xlpm.x,_xlpm.y,K258&amp;"-"&amp;TEXT(_xlpm.x,"00"))),_xlfn.MAP(_xlfn.TEXTSPLIT(E258,{";","；"},,1),_xlfn.LAMBDA(_xlpm.x,K258&amp;"-"&amp;TEXT(_xlpm.x,"00"))))),"")</f>
        <v>3c-400-rnd-tree-01;3c-400-rnd-tree-02;3c-400-rnd-tree-03;3c-400-rnd-tree-04;3c-400-rnd-tree-05;3c-400-rnd-tree-06;3c-400-rnd-tree-07</v>
      </c>
      <c r="K258" s="29" t="str">
        <f t="shared" si="20"/>
        <v>3c-400-rnd-tree</v>
      </c>
      <c r="L258" s="5" t="s">
        <v>123</v>
      </c>
      <c r="N258" s="5" t="s">
        <v>224</v>
      </c>
    </row>
    <row r="259" spans="1:18">
      <c r="A259" s="35">
        <v>42033</v>
      </c>
      <c r="B259" s="5">
        <v>19</v>
      </c>
      <c r="C259" s="34" t="s">
        <v>241</v>
      </c>
      <c r="D259" s="34">
        <v>2</v>
      </c>
      <c r="E259" s="34"/>
      <c r="F259" s="34"/>
      <c r="G259" s="25">
        <v>500</v>
      </c>
      <c r="H259" s="27" t="s">
        <v>240</v>
      </c>
      <c r="J259" s="35" t="str" cm="1">
        <f t="array" ref="J259">IFERROR(_xlfn.TEXTJOIN(";",1,IF(D259,_xlfn.MAKEARRAY(D259,1,_xlfn.LAMBDA(_xlpm.x,_xlpm.y,K259&amp;"-"&amp;TEXT(_xlpm.x,"00"))),_xlfn.MAP(_xlfn.TEXTSPLIT(E259,{";","；"},,1),_xlfn.LAMBDA(_xlpm.x,K259&amp;"-"&amp;TEXT(_xlpm.x,"00"))))),"")</f>
        <v>3c-500-rnd-nest-01;3c-500-rnd-nest-02</v>
      </c>
      <c r="K259" s="29" t="str">
        <f t="shared" ref="K259:K263" si="21">_xlfn.TEXTJOIN("-",1,H259:I259,G259,IF(L259="FixedDistance","fixed","rnd"),C259)</f>
        <v>3c-500-rnd-nest</v>
      </c>
      <c r="L259" s="5" t="s">
        <v>123</v>
      </c>
      <c r="N259" s="5" t="s">
        <v>251</v>
      </c>
    </row>
    <row r="260" spans="1:18">
      <c r="A260" s="35">
        <v>42033</v>
      </c>
      <c r="B260" s="5">
        <v>20</v>
      </c>
      <c r="C260" s="34" t="s">
        <v>128</v>
      </c>
      <c r="D260" s="34">
        <v>1</v>
      </c>
      <c r="E260" s="34"/>
      <c r="F260" s="34"/>
      <c r="G260" s="25">
        <v>580</v>
      </c>
      <c r="H260" s="27" t="s">
        <v>240</v>
      </c>
      <c r="J260" s="35" t="str" cm="1">
        <f t="array" ref="J260">IFERROR(_xlfn.TEXTJOIN(";",1,IF(D260,_xlfn.MAKEARRAY(D260,1,_xlfn.LAMBDA(_xlpm.x,_xlpm.y,K260&amp;"-"&amp;TEXT(_xlpm.x,"00"))),_xlfn.MAP(_xlfn.TEXTSPLIT(E260,{";","；"},,1),_xlfn.LAMBDA(_xlpm.x,K260&amp;"-"&amp;TEXT(_xlpm.x,"00"))))),"")</f>
        <v>3c-580-fixed-tree-01</v>
      </c>
      <c r="K260" s="29" t="str">
        <f t="shared" si="21"/>
        <v>3c-580-fixed-tree</v>
      </c>
      <c r="L260" s="5" t="s">
        <v>126</v>
      </c>
      <c r="M260" s="5">
        <v>33</v>
      </c>
    </row>
    <row r="261" spans="1:18">
      <c r="A261" s="35">
        <v>42033</v>
      </c>
      <c r="B261" s="5">
        <v>21</v>
      </c>
      <c r="C261" s="34" t="s">
        <v>244</v>
      </c>
      <c r="D261" s="34">
        <v>2</v>
      </c>
      <c r="E261" s="34"/>
      <c r="F261" s="34"/>
      <c r="G261" s="25">
        <v>630</v>
      </c>
      <c r="H261" s="27" t="s">
        <v>240</v>
      </c>
      <c r="J261" s="35" t="str" cm="1">
        <f t="array" ref="J261">IFERROR(_xlfn.TEXTJOIN(";",1,IF(D261,_xlfn.MAKEARRAY(D261,1,_xlfn.LAMBDA(_xlpm.x,_xlpm.y,K261&amp;"-"&amp;TEXT(_xlpm.x,"00"))),_xlfn.MAP(_xlfn.TEXTSPLIT(E261,{";","；"},,1),_xlfn.LAMBDA(_xlpm.x,K261&amp;"-"&amp;TEXT(_xlpm.x,"00"))))),"")</f>
        <v>3c-630-rnd-leaves-01;3c-630-rnd-leaves-02</v>
      </c>
      <c r="K261" s="29" t="str">
        <f t="shared" si="21"/>
        <v>3c-630-rnd-leaves</v>
      </c>
      <c r="L261" s="5" t="s">
        <v>123</v>
      </c>
      <c r="N261" s="5" t="s">
        <v>252</v>
      </c>
    </row>
    <row r="262" spans="1:18">
      <c r="A262" s="35">
        <v>42033</v>
      </c>
      <c r="B262" s="5">
        <v>22</v>
      </c>
      <c r="C262" s="34" t="s">
        <v>128</v>
      </c>
      <c r="D262" s="34">
        <v>1</v>
      </c>
      <c r="E262" s="34"/>
      <c r="F262" s="34"/>
      <c r="G262" s="25">
        <v>650</v>
      </c>
      <c r="H262" s="27" t="s">
        <v>240</v>
      </c>
      <c r="J262" s="35" t="str" cm="1">
        <f t="array" ref="J262">IFERROR(_xlfn.TEXTJOIN(";",1,IF(D262,_xlfn.MAKEARRAY(D262,1,_xlfn.LAMBDA(_xlpm.x,_xlpm.y,K262&amp;"-"&amp;TEXT(_xlpm.x,"00"))),_xlfn.MAP(_xlfn.TEXTSPLIT(E262,{";","；"},,1),_xlfn.LAMBDA(_xlpm.x,K262&amp;"-"&amp;TEXT(_xlpm.x,"00"))))),"")</f>
        <v>3c-650-fixed-tree-01</v>
      </c>
      <c r="K262" s="29" t="str">
        <f t="shared" si="21"/>
        <v>3c-650-fixed-tree</v>
      </c>
      <c r="L262" s="5" t="s">
        <v>126</v>
      </c>
      <c r="M262" s="5">
        <v>27.2</v>
      </c>
    </row>
    <row r="263" spans="1:18">
      <c r="A263" s="35">
        <v>42033</v>
      </c>
      <c r="B263" s="5">
        <v>23</v>
      </c>
      <c r="C263" s="34" t="s">
        <v>132</v>
      </c>
      <c r="D263" s="34">
        <v>1</v>
      </c>
      <c r="E263" s="34"/>
      <c r="F263" s="34"/>
      <c r="G263" s="25">
        <v>800</v>
      </c>
      <c r="H263" s="27" t="s">
        <v>240</v>
      </c>
      <c r="J263" s="35" t="str" cm="1">
        <f t="array" ref="J263">IFERROR(_xlfn.TEXTJOIN(";",1,IF(D263,_xlfn.MAKEARRAY(D263,1,_xlfn.LAMBDA(_xlpm.x,_xlpm.y,K263&amp;"-"&amp;TEXT(_xlpm.x,"00"))),_xlfn.MAP(_xlfn.TEXTSPLIT(E263,{";","；"},,1),_xlfn.LAMBDA(_xlpm.x,K263&amp;"-"&amp;TEXT(_xlpm.x,"00"))))),"")</f>
        <v>3c-800-fixed-sky-01</v>
      </c>
      <c r="K263" s="29" t="str">
        <f t="shared" si="21"/>
        <v>3c-800-fixed-sky</v>
      </c>
      <c r="L263" s="5" t="s">
        <v>126</v>
      </c>
      <c r="M263" s="5">
        <v>25.6</v>
      </c>
    </row>
    <row r="264" spans="1:18">
      <c r="C264" s="34"/>
      <c r="D264" s="34"/>
      <c r="E264" s="34"/>
      <c r="F264" s="34"/>
      <c r="J264" s="35"/>
    </row>
    <row r="265" spans="1:18">
      <c r="A265" s="35">
        <v>42041</v>
      </c>
      <c r="B265" s="5">
        <v>1</v>
      </c>
      <c r="C265" s="34" t="s">
        <v>128</v>
      </c>
      <c r="D265" s="34">
        <v>2</v>
      </c>
      <c r="E265" s="34"/>
      <c r="F265" s="34"/>
      <c r="G265" s="25">
        <v>20</v>
      </c>
      <c r="H265" s="27" t="s">
        <v>253</v>
      </c>
      <c r="J265" s="35" t="str" cm="1">
        <f t="array" ref="J265">IFERROR(_xlfn.TEXTJOIN(";",1,IF(D265,_xlfn.MAKEARRAY(D265,1,_xlfn.LAMBDA(_xlpm.x,_xlpm.y,K265&amp;"-"&amp;TEXT(_xlpm.x,"00"))),_xlfn.MAP(_xlfn.TEXTSPLIT(E265,{";","；"},,1),_xlfn.LAMBDA(_xlpm.x,K265&amp;"-"&amp;TEXT(_xlpm.x,"00"))))),"")</f>
        <v>4a-20-rnd-tree-01;4a-20-rnd-tree-02</v>
      </c>
      <c r="K265" s="29" t="str">
        <f t="shared" ref="K265:K266" si="22">_xlfn.TEXTJOIN("-",1,H265:I265,G265,IF(L265="FixedDistance","fixed","rnd"),C265)</f>
        <v>4a-20-rnd-tree</v>
      </c>
      <c r="L265" s="5" t="s">
        <v>123</v>
      </c>
      <c r="N265" s="5" t="s">
        <v>254</v>
      </c>
      <c r="R265" s="5">
        <v>30</v>
      </c>
    </row>
    <row r="266" spans="1:18">
      <c r="A266" s="35">
        <v>42041</v>
      </c>
      <c r="B266" s="5">
        <v>2</v>
      </c>
      <c r="C266" s="34" t="s">
        <v>255</v>
      </c>
      <c r="D266" s="34">
        <v>1</v>
      </c>
      <c r="E266" s="34"/>
      <c r="F266" s="34"/>
      <c r="G266" s="25">
        <v>25</v>
      </c>
      <c r="H266" s="27" t="s">
        <v>253</v>
      </c>
      <c r="J266" s="35" t="str" cm="1">
        <f t="array" ref="J266">IFERROR(_xlfn.TEXTJOIN(";",1,IF(D266,_xlfn.MAKEARRAY(D266,1,_xlfn.LAMBDA(_xlpm.x,_xlpm.y,K266&amp;"-"&amp;TEXT(_xlpm.x,"00"))),_xlfn.MAP(_xlfn.TEXTSPLIT(E266,{";","；"},,1),_xlfn.LAMBDA(_xlpm.x,K266&amp;"-"&amp;TEXT(_xlpm.x,"00"))))),"")</f>
        <v>4a-25-rnd-lantern-01</v>
      </c>
      <c r="K266" s="29" t="str">
        <f t="shared" si="22"/>
        <v>4a-25-rnd-lantern</v>
      </c>
      <c r="L266" s="5" t="s">
        <v>123</v>
      </c>
      <c r="N266" s="5" t="s">
        <v>256</v>
      </c>
    </row>
    <row r="267" spans="1:18">
      <c r="A267" s="35">
        <v>42041</v>
      </c>
      <c r="B267" s="5">
        <v>3</v>
      </c>
      <c r="C267" s="34" t="s">
        <v>158</v>
      </c>
      <c r="D267" s="34">
        <v>3</v>
      </c>
      <c r="G267" s="25">
        <v>35</v>
      </c>
      <c r="H267" s="27" t="s">
        <v>253</v>
      </c>
      <c r="J267" s="35" t="str" cm="1">
        <f t="array" ref="J267">IFERROR(_xlfn.TEXTJOIN(";",1,IF(D267,_xlfn.MAKEARRAY(D267,1,_xlfn.LAMBDA(_xlpm.x,_xlpm.y,K267&amp;"-"&amp;TEXT(_xlpm.x,"00"))),_xlfn.MAP(_xlfn.TEXTSPLIT(E267,{";","；"},,1),_xlfn.LAMBDA(_xlpm.x,K267&amp;"-"&amp;TEXT(_xlpm.x,"00"))))),"")</f>
        <v>4a-35-rnd-branch-01;4a-35-rnd-branch-02;4a-35-rnd-branch-03</v>
      </c>
      <c r="K267" s="29" t="str">
        <f t="shared" ref="K267:K287" si="23">_xlfn.TEXTJOIN("-",1,H267:I267,G267,IF(L267="FixedDistance","fixed","rnd"),C267)</f>
        <v>4a-35-rnd-branch</v>
      </c>
      <c r="L267" s="5" t="s">
        <v>123</v>
      </c>
      <c r="N267" s="5" t="s">
        <v>257</v>
      </c>
    </row>
    <row r="268" spans="1:18">
      <c r="A268" s="35">
        <v>42041</v>
      </c>
      <c r="B268" s="5">
        <v>4</v>
      </c>
      <c r="C268" s="34" t="s">
        <v>255</v>
      </c>
      <c r="D268" s="34">
        <v>2</v>
      </c>
      <c r="G268" s="25">
        <v>60</v>
      </c>
      <c r="H268" s="27" t="s">
        <v>253</v>
      </c>
      <c r="J268" s="35" t="str" cm="1">
        <f t="array" ref="J268">IFERROR(_xlfn.TEXTJOIN(";",1,IF(D268,_xlfn.MAKEARRAY(D268,1,_xlfn.LAMBDA(_xlpm.x,_xlpm.y,K268&amp;"-"&amp;TEXT(_xlpm.x,"00"))),_xlfn.MAP(_xlfn.TEXTSPLIT(E268,{";","；"},,1),_xlfn.LAMBDA(_xlpm.x,K268&amp;"-"&amp;TEXT(_xlpm.x,"00"))))),"")</f>
        <v>4a-60-rnd-lantern-01;4a-60-rnd-lantern-02</v>
      </c>
      <c r="K268" s="29" t="str">
        <f t="shared" si="23"/>
        <v>4a-60-rnd-lantern</v>
      </c>
      <c r="L268" s="5" t="s">
        <v>123</v>
      </c>
      <c r="N268" s="5" t="s">
        <v>258</v>
      </c>
    </row>
    <row r="269" spans="1:18">
      <c r="A269" s="35">
        <v>42041</v>
      </c>
      <c r="B269" s="5">
        <v>5</v>
      </c>
      <c r="C269" s="34" t="s">
        <v>128</v>
      </c>
      <c r="D269" s="34">
        <v>1</v>
      </c>
      <c r="G269" s="25">
        <v>70</v>
      </c>
      <c r="H269" s="27" t="s">
        <v>253</v>
      </c>
      <c r="J269" s="35" t="str" cm="1">
        <f t="array" ref="J269">IFERROR(_xlfn.TEXTJOIN(";",1,IF(D269,_xlfn.MAKEARRAY(D269,1,_xlfn.LAMBDA(_xlpm.x,_xlpm.y,K269&amp;"-"&amp;TEXT(_xlpm.x,"00"))),_xlfn.MAP(_xlfn.TEXTSPLIT(E269,{";","；"},,1),_xlfn.LAMBDA(_xlpm.x,K269&amp;"-"&amp;TEXT(_xlpm.x,"00"))))),"")</f>
        <v>4a-70-rnd-tree-01</v>
      </c>
      <c r="K269" s="29" t="str">
        <f t="shared" si="23"/>
        <v>4a-70-rnd-tree</v>
      </c>
      <c r="L269" s="5" t="s">
        <v>123</v>
      </c>
      <c r="N269" s="5" t="s">
        <v>259</v>
      </c>
    </row>
    <row r="270" spans="1:18">
      <c r="A270" s="35">
        <v>42041</v>
      </c>
      <c r="B270" s="5">
        <v>6</v>
      </c>
      <c r="C270" s="34" t="s">
        <v>125</v>
      </c>
      <c r="D270" s="34">
        <v>1</v>
      </c>
      <c r="G270" s="25">
        <v>75</v>
      </c>
      <c r="H270" s="27" t="s">
        <v>253</v>
      </c>
      <c r="J270" s="35" t="str" cm="1">
        <f t="array" ref="J270">IFERROR(_xlfn.TEXTJOIN(";",1,IF(D270,_xlfn.MAKEARRAY(D270,1,_xlfn.LAMBDA(_xlpm.x,_xlpm.y,K270&amp;"-"&amp;TEXT(_xlpm.x,"00"))),_xlfn.MAP(_xlfn.TEXTSPLIT(E270,{";","；"},,1),_xlfn.LAMBDA(_xlpm.x,K270&amp;"-"&amp;TEXT(_xlpm.x,"00"))))),"")</f>
        <v>4a-75-fixed-atm-01</v>
      </c>
      <c r="K270" s="29" t="str">
        <f t="shared" si="23"/>
        <v>4a-75-fixed-atm</v>
      </c>
      <c r="L270" s="5" t="s">
        <v>126</v>
      </c>
      <c r="M270" s="5">
        <v>25.6</v>
      </c>
    </row>
    <row r="271" spans="1:18">
      <c r="A271" s="35">
        <v>42041</v>
      </c>
      <c r="B271" s="5">
        <v>7</v>
      </c>
      <c r="C271" s="34" t="s">
        <v>168</v>
      </c>
      <c r="D271" s="34">
        <v>1</v>
      </c>
      <c r="G271" s="25">
        <v>95</v>
      </c>
      <c r="H271" s="27" t="s">
        <v>253</v>
      </c>
      <c r="J271" s="35" t="str" cm="1">
        <f t="array" ref="J271">IFERROR(_xlfn.TEXTJOIN(";",1,IF(D271,_xlfn.MAKEARRAY(D271,1,_xlfn.LAMBDA(_xlpm.x,_xlpm.y,K271&amp;"-"&amp;TEXT(_xlpm.x,"00"))),_xlfn.MAP(_xlfn.TEXTSPLIT(E271,{";","；"},,1),_xlfn.LAMBDA(_xlpm.x,K271&amp;"-"&amp;TEXT(_xlpm.x,"00"))))),"")</f>
        <v>4a-95-rnd-archi-01</v>
      </c>
      <c r="K271" s="29" t="str">
        <f t="shared" si="23"/>
        <v>4a-95-rnd-archi</v>
      </c>
      <c r="L271" s="5" t="s">
        <v>123</v>
      </c>
      <c r="N271" s="5" t="s">
        <v>260</v>
      </c>
      <c r="R271" s="5">
        <v>48</v>
      </c>
    </row>
    <row r="272" spans="1:18">
      <c r="A272" s="35">
        <v>42041</v>
      </c>
      <c r="B272" s="5">
        <v>8</v>
      </c>
      <c r="C272" s="34" t="s">
        <v>261</v>
      </c>
      <c r="D272" s="34">
        <v>2</v>
      </c>
      <c r="G272" s="25">
        <v>100</v>
      </c>
      <c r="H272" s="27" t="s">
        <v>253</v>
      </c>
      <c r="J272" s="35" t="str" cm="1">
        <f t="array" ref="J272">IFERROR(_xlfn.TEXTJOIN(";",1,IF(D272,_xlfn.MAKEARRAY(D272,1,_xlfn.LAMBDA(_xlpm.x,_xlpm.y,K272&amp;"-"&amp;TEXT(_xlpm.x,"00"))),_xlfn.MAP(_xlfn.TEXTSPLIT(E272,{";","；"},,1),_xlfn.LAMBDA(_xlpm.x,K272&amp;"-"&amp;TEXT(_xlpm.x,"00"))))),"")</f>
        <v>4a-100-rnd-stair-01;4a-100-rnd-stair-02</v>
      </c>
      <c r="K272" s="29" t="str">
        <f t="shared" si="23"/>
        <v>4a-100-rnd-stair</v>
      </c>
      <c r="L272" s="5" t="s">
        <v>123</v>
      </c>
      <c r="N272" s="5" t="s">
        <v>262</v>
      </c>
    </row>
    <row r="273" spans="1:28">
      <c r="A273" s="35">
        <v>42041</v>
      </c>
      <c r="B273" s="5">
        <v>9</v>
      </c>
      <c r="C273" s="34" t="s">
        <v>128</v>
      </c>
      <c r="D273" s="34">
        <v>1</v>
      </c>
      <c r="G273" s="25">
        <v>120</v>
      </c>
      <c r="H273" s="27" t="s">
        <v>253</v>
      </c>
      <c r="J273" s="35" t="str" cm="1">
        <f t="array" ref="J273">IFERROR(_xlfn.TEXTJOIN(";",1,IF(D273,_xlfn.MAKEARRAY(D273,1,_xlfn.LAMBDA(_xlpm.x,_xlpm.y,K273&amp;"-"&amp;TEXT(_xlpm.x,"00"))),_xlfn.MAP(_xlfn.TEXTSPLIT(E273,{";","；"},,1),_xlfn.LAMBDA(_xlpm.x,K273&amp;"-"&amp;TEXT(_xlpm.x,"00"))))),"")</f>
        <v>4a-120-rnd-tree-01</v>
      </c>
      <c r="K273" s="29" t="str">
        <f t="shared" si="23"/>
        <v>4a-120-rnd-tree</v>
      </c>
      <c r="L273" s="5" t="s">
        <v>123</v>
      </c>
      <c r="N273" s="5" t="s">
        <v>263</v>
      </c>
    </row>
    <row r="274" spans="1:28">
      <c r="A274" s="35">
        <v>42041</v>
      </c>
      <c r="B274" s="5">
        <v>10</v>
      </c>
      <c r="C274" s="34" t="s">
        <v>125</v>
      </c>
      <c r="D274" s="34">
        <v>1</v>
      </c>
      <c r="G274" s="25">
        <v>122</v>
      </c>
      <c r="H274" s="27" t="s">
        <v>253</v>
      </c>
      <c r="J274" s="35" t="str" cm="1">
        <f t="array" ref="J274">IFERROR(_xlfn.TEXTJOIN(";",1,IF(D274,_xlfn.MAKEARRAY(D274,1,_xlfn.LAMBDA(_xlpm.x,_xlpm.y,K274&amp;"-"&amp;TEXT(_xlpm.x,"00"))),_xlfn.MAP(_xlfn.TEXTSPLIT(E274,{";","；"},,1),_xlfn.LAMBDA(_xlpm.x,K274&amp;"-"&amp;TEXT(_xlpm.x,"00"))))),"")</f>
        <v>4a-122-fixed-atm-01</v>
      </c>
      <c r="K274" s="29" t="str">
        <f t="shared" si="23"/>
        <v>4a-122-fixed-atm</v>
      </c>
      <c r="L274" s="5" t="s">
        <v>126</v>
      </c>
      <c r="M274" s="5">
        <v>25.6</v>
      </c>
    </row>
    <row r="275" spans="1:28">
      <c r="A275" s="35">
        <v>42041</v>
      </c>
      <c r="B275" s="5">
        <v>11</v>
      </c>
      <c r="C275" s="34" t="s">
        <v>168</v>
      </c>
      <c r="D275" s="34">
        <v>1</v>
      </c>
      <c r="G275" s="25">
        <v>150</v>
      </c>
      <c r="H275" s="27" t="s">
        <v>253</v>
      </c>
      <c r="J275" s="35" t="str" cm="1">
        <f t="array" ref="J275">IFERROR(_xlfn.TEXTJOIN(";",1,IF(D275,_xlfn.MAKEARRAY(D275,1,_xlfn.LAMBDA(_xlpm.x,_xlpm.y,K275&amp;"-"&amp;TEXT(_xlpm.x,"00"))),_xlfn.MAP(_xlfn.TEXTSPLIT(E275,{";","；"},,1),_xlfn.LAMBDA(_xlpm.x,K275&amp;"-"&amp;TEXT(_xlpm.x,"00"))))),"")</f>
        <v>4a-150-rnd-archi-01</v>
      </c>
      <c r="K275" s="29" t="str">
        <f t="shared" si="23"/>
        <v>4a-150-rnd-archi</v>
      </c>
      <c r="L275" s="5" t="s">
        <v>123</v>
      </c>
      <c r="N275" s="5" t="s">
        <v>264</v>
      </c>
    </row>
    <row r="276" spans="1:28">
      <c r="A276" s="35">
        <v>42041</v>
      </c>
      <c r="B276" s="5">
        <v>12</v>
      </c>
      <c r="C276" s="34" t="s">
        <v>128</v>
      </c>
      <c r="D276" s="34">
        <v>2</v>
      </c>
      <c r="G276" s="25">
        <v>165</v>
      </c>
      <c r="H276" s="27" t="s">
        <v>253</v>
      </c>
      <c r="J276" s="35" t="str" cm="1">
        <f t="array" ref="J276">IFERROR(_xlfn.TEXTJOIN(";",1,IF(D276,_xlfn.MAKEARRAY(D276,1,_xlfn.LAMBDA(_xlpm.x,_xlpm.y,K276&amp;"-"&amp;TEXT(_xlpm.x,"00"))),_xlfn.MAP(_xlfn.TEXTSPLIT(E276,{";","；"},,1),_xlfn.LAMBDA(_xlpm.x,K276&amp;"-"&amp;TEXT(_xlpm.x,"00"))))),"")</f>
        <v>4a-165-rnd-tree-01;4a-165-rnd-tree-02</v>
      </c>
      <c r="K276" s="29" t="str">
        <f t="shared" si="23"/>
        <v>4a-165-rnd-tree</v>
      </c>
      <c r="L276" s="5" t="s">
        <v>123</v>
      </c>
      <c r="N276" s="5" t="s">
        <v>265</v>
      </c>
      <c r="R276" s="5">
        <v>28</v>
      </c>
    </row>
    <row r="277" spans="1:28">
      <c r="A277" s="35">
        <v>42041</v>
      </c>
      <c r="B277" s="5">
        <v>13</v>
      </c>
      <c r="C277" s="34" t="s">
        <v>128</v>
      </c>
      <c r="D277" s="34">
        <v>2</v>
      </c>
      <c r="G277" s="25">
        <v>220</v>
      </c>
      <c r="H277" s="27" t="s">
        <v>253</v>
      </c>
      <c r="J277" s="35" t="str" cm="1">
        <f t="array" ref="J277">IFERROR(_xlfn.TEXTJOIN(";",1,IF(D277,_xlfn.MAKEARRAY(D277,1,_xlfn.LAMBDA(_xlpm.x,_xlpm.y,K277&amp;"-"&amp;TEXT(_xlpm.x,"00"))),_xlfn.MAP(_xlfn.TEXTSPLIT(E277,{";","；"},,1),_xlfn.LAMBDA(_xlpm.x,K277&amp;"-"&amp;TEXT(_xlpm.x,"00"))))),"")</f>
        <v>4a-220-rnd-tree-01;4a-220-rnd-tree-02</v>
      </c>
      <c r="K277" s="29" t="str">
        <f t="shared" si="23"/>
        <v>4a-220-rnd-tree</v>
      </c>
      <c r="L277" s="5" t="s">
        <v>123</v>
      </c>
      <c r="N277" s="5" t="s">
        <v>266</v>
      </c>
    </row>
    <row r="278" spans="1:28" s="24" customFormat="1">
      <c r="A278" s="35">
        <v>42041</v>
      </c>
      <c r="B278" s="5">
        <v>14</v>
      </c>
      <c r="C278" s="34" t="s">
        <v>168</v>
      </c>
      <c r="D278" s="34">
        <v>2</v>
      </c>
      <c r="E278" s="37"/>
      <c r="F278" s="37"/>
      <c r="G278" s="38">
        <v>300</v>
      </c>
      <c r="H278" s="27" t="s">
        <v>253</v>
      </c>
      <c r="I278" s="39"/>
      <c r="J278" s="35" t="str" cm="1">
        <f t="array" ref="J278">IFERROR(_xlfn.TEXTJOIN(";",1,IF(D278,_xlfn.MAKEARRAY(D278,1,_xlfn.LAMBDA(_xlpm.x,_xlpm.y,K278&amp;"-"&amp;TEXT(_xlpm.x,"00"))),_xlfn.MAP(_xlfn.TEXTSPLIT(E278,{";","；"},,1),_xlfn.LAMBDA(_xlpm.x,K278&amp;"-"&amp;TEXT(_xlpm.x,"00"))))),"")</f>
        <v>4a-300-rnd-archi-01;4a-300-rnd-archi-02</v>
      </c>
      <c r="K278" s="29" t="str">
        <f t="shared" si="23"/>
        <v>4a-300-rnd-archi</v>
      </c>
      <c r="L278" s="5" t="s">
        <v>123</v>
      </c>
      <c r="M278" s="40"/>
      <c r="N278" s="5" t="s">
        <v>267</v>
      </c>
      <c r="O278" s="40"/>
      <c r="P278" s="40"/>
      <c r="Q278" s="40"/>
      <c r="R278" s="40"/>
      <c r="S278" s="41"/>
      <c r="T278" s="40"/>
      <c r="U278" s="40"/>
      <c r="V278" s="40"/>
      <c r="W278" s="40"/>
      <c r="X278" s="40"/>
      <c r="Y278" s="40"/>
      <c r="Z278" s="40"/>
      <c r="AA278" s="40"/>
      <c r="AB278" s="40"/>
    </row>
    <row r="279" spans="1:28">
      <c r="A279" s="35">
        <v>42041</v>
      </c>
      <c r="B279" s="5">
        <v>15</v>
      </c>
      <c r="C279" s="34" t="s">
        <v>128</v>
      </c>
      <c r="D279" s="34">
        <v>2</v>
      </c>
      <c r="G279" s="25">
        <v>340</v>
      </c>
      <c r="H279" s="27" t="s">
        <v>253</v>
      </c>
      <c r="J279" s="35" t="str" cm="1">
        <f t="array" ref="J279">IFERROR(_xlfn.TEXTJOIN(";",1,IF(D279,_xlfn.MAKEARRAY(D279,1,_xlfn.LAMBDA(_xlpm.x,_xlpm.y,K279&amp;"-"&amp;TEXT(_xlpm.x,"00"))),_xlfn.MAP(_xlfn.TEXTSPLIT(E279,{";","；"},,1),_xlfn.LAMBDA(_xlpm.x,K279&amp;"-"&amp;TEXT(_xlpm.x,"00"))))),"")</f>
        <v>4a-340-rnd-tree-01;4a-340-rnd-tree-02</v>
      </c>
      <c r="K279" s="29" t="str">
        <f t="shared" si="23"/>
        <v>4a-340-rnd-tree</v>
      </c>
      <c r="L279" s="5" t="s">
        <v>123</v>
      </c>
      <c r="N279" s="5" t="s">
        <v>268</v>
      </c>
    </row>
    <row r="280" spans="1:28">
      <c r="A280" s="35">
        <v>42041</v>
      </c>
      <c r="B280" s="5">
        <v>16</v>
      </c>
      <c r="C280" s="34" t="s">
        <v>168</v>
      </c>
      <c r="D280" s="34">
        <v>2</v>
      </c>
      <c r="G280" s="25">
        <v>450</v>
      </c>
      <c r="H280" s="27" t="s">
        <v>253</v>
      </c>
      <c r="J280" s="35" t="str" cm="1">
        <f t="array" ref="J280">IFERROR(_xlfn.TEXTJOIN(";",1,IF(D280,_xlfn.MAKEARRAY(D280,1,_xlfn.LAMBDA(_xlpm.x,_xlpm.y,K280&amp;"-"&amp;TEXT(_xlpm.x,"00"))),_xlfn.MAP(_xlfn.TEXTSPLIT(E280,{";","；"},,1),_xlfn.LAMBDA(_xlpm.x,K280&amp;"-"&amp;TEXT(_xlpm.x,"00"))))),"")</f>
        <v>4a-450-rnd-archi-01;4a-450-rnd-archi-02</v>
      </c>
      <c r="K280" s="29" t="str">
        <f t="shared" si="23"/>
        <v>4a-450-rnd-archi</v>
      </c>
      <c r="L280" s="5" t="s">
        <v>123</v>
      </c>
      <c r="N280" s="5" t="s">
        <v>269</v>
      </c>
    </row>
    <row r="281" spans="1:28">
      <c r="A281" s="35">
        <v>42041</v>
      </c>
      <c r="B281" s="5">
        <v>17</v>
      </c>
      <c r="C281" s="34" t="s">
        <v>125</v>
      </c>
      <c r="D281" s="34">
        <v>1</v>
      </c>
      <c r="G281" s="25">
        <v>500</v>
      </c>
      <c r="H281" s="27" t="s">
        <v>253</v>
      </c>
      <c r="J281" s="35" t="str" cm="1">
        <f t="array" ref="J281">IFERROR(_xlfn.TEXTJOIN(";",1,IF(D281,_xlfn.MAKEARRAY(D281,1,_xlfn.LAMBDA(_xlpm.x,_xlpm.y,K281&amp;"-"&amp;TEXT(_xlpm.x,"00"))),_xlfn.MAP(_xlfn.TEXTSPLIT(E281,{";","；"},,1),_xlfn.LAMBDA(_xlpm.x,K281&amp;"-"&amp;TEXT(_xlpm.x,"00"))))),"")</f>
        <v>4a-500-fixed-atm-01</v>
      </c>
      <c r="K281" s="29" t="str">
        <f t="shared" si="23"/>
        <v>4a-500-fixed-atm</v>
      </c>
      <c r="L281" s="5" t="s">
        <v>126</v>
      </c>
      <c r="M281" s="5">
        <v>25.6</v>
      </c>
    </row>
    <row r="282" spans="1:28">
      <c r="A282" s="35">
        <v>42041</v>
      </c>
      <c r="B282" s="5">
        <v>18</v>
      </c>
      <c r="C282" s="34" t="s">
        <v>168</v>
      </c>
      <c r="D282" s="34">
        <v>1</v>
      </c>
      <c r="G282" s="25">
        <v>600</v>
      </c>
      <c r="H282" s="27" t="s">
        <v>253</v>
      </c>
      <c r="J282" s="35" t="str" cm="1">
        <f t="array" ref="J282">IFERROR(_xlfn.TEXTJOIN(";",1,IF(D282,_xlfn.MAKEARRAY(D282,1,_xlfn.LAMBDA(_xlpm.x,_xlpm.y,K282&amp;"-"&amp;TEXT(_xlpm.x,"00"))),_xlfn.MAP(_xlfn.TEXTSPLIT(E282,{";","；"},,1),_xlfn.LAMBDA(_xlpm.x,K282&amp;"-"&amp;TEXT(_xlpm.x,"00"))))),"")</f>
        <v>4a-600-rnd-archi-01</v>
      </c>
      <c r="K282" s="29" t="str">
        <f t="shared" si="23"/>
        <v>4a-600-rnd-archi</v>
      </c>
      <c r="L282" s="5" t="s">
        <v>123</v>
      </c>
      <c r="N282" s="5" t="s">
        <v>270</v>
      </c>
    </row>
    <row r="283" spans="1:28">
      <c r="A283" s="35">
        <v>42041</v>
      </c>
      <c r="B283" s="5">
        <v>19</v>
      </c>
      <c r="C283" s="34" t="s">
        <v>128</v>
      </c>
      <c r="D283" s="34">
        <v>3</v>
      </c>
      <c r="G283" s="25">
        <v>730</v>
      </c>
      <c r="H283" s="27" t="s">
        <v>253</v>
      </c>
      <c r="J283" s="35" t="str" cm="1">
        <f t="array" ref="J283">IFERROR(_xlfn.TEXTJOIN(";",1,IF(D283,_xlfn.MAKEARRAY(D283,1,_xlfn.LAMBDA(_xlpm.x,_xlpm.y,K283&amp;"-"&amp;TEXT(_xlpm.x,"00"))),_xlfn.MAP(_xlfn.TEXTSPLIT(E283,{";","；"},,1),_xlfn.LAMBDA(_xlpm.x,K283&amp;"-"&amp;TEXT(_xlpm.x,"00"))))),"")</f>
        <v>4a-730-rnd-tree-01;4a-730-rnd-tree-02;4a-730-rnd-tree-03</v>
      </c>
      <c r="K283" s="29" t="str">
        <f t="shared" si="23"/>
        <v>4a-730-rnd-tree</v>
      </c>
      <c r="L283" s="5" t="s">
        <v>123</v>
      </c>
      <c r="N283" s="5" t="s">
        <v>271</v>
      </c>
    </row>
    <row r="284" spans="1:28">
      <c r="A284" s="35">
        <v>42041</v>
      </c>
      <c r="B284" s="5">
        <v>20</v>
      </c>
      <c r="C284" s="34" t="s">
        <v>128</v>
      </c>
      <c r="D284" s="34">
        <v>2</v>
      </c>
      <c r="G284" s="25">
        <v>880</v>
      </c>
      <c r="H284" s="27" t="s">
        <v>253</v>
      </c>
      <c r="J284" s="35" t="str" cm="1">
        <f t="array" ref="J284">IFERROR(_xlfn.TEXTJOIN(";",1,IF(D284,_xlfn.MAKEARRAY(D284,1,_xlfn.LAMBDA(_xlpm.x,_xlpm.y,K284&amp;"-"&amp;TEXT(_xlpm.x,"00"))),_xlfn.MAP(_xlfn.TEXTSPLIT(E284,{";","；"},,1),_xlfn.LAMBDA(_xlpm.x,K284&amp;"-"&amp;TEXT(_xlpm.x,"00"))))),"")</f>
        <v>4a-880-rnd-tree-01;4a-880-rnd-tree-02</v>
      </c>
      <c r="K284" s="29" t="str">
        <f t="shared" si="23"/>
        <v>4a-880-rnd-tree</v>
      </c>
      <c r="L284" s="5" t="s">
        <v>123</v>
      </c>
      <c r="N284" s="5" t="s">
        <v>272</v>
      </c>
      <c r="R284" s="5">
        <v>40</v>
      </c>
    </row>
    <row r="285" spans="1:28">
      <c r="A285" s="35">
        <v>42041</v>
      </c>
      <c r="B285" s="5">
        <v>21</v>
      </c>
      <c r="C285" s="34" t="s">
        <v>128</v>
      </c>
      <c r="D285" s="34">
        <v>1</v>
      </c>
      <c r="G285" s="25">
        <v>1200</v>
      </c>
      <c r="H285" s="27" t="s">
        <v>253</v>
      </c>
      <c r="J285" s="35" t="str" cm="1">
        <f t="array" ref="J285">IFERROR(_xlfn.TEXTJOIN(";",1,IF(D285,_xlfn.MAKEARRAY(D285,1,_xlfn.LAMBDA(_xlpm.x,_xlpm.y,K285&amp;"-"&amp;TEXT(_xlpm.x,"00"))),_xlfn.MAP(_xlfn.TEXTSPLIT(E285,{";","；"},,1),_xlfn.LAMBDA(_xlpm.x,K285&amp;"-"&amp;TEXT(_xlpm.x,"00"))))),"")</f>
        <v>4a-1200-fixed-tree-01</v>
      </c>
      <c r="K285" s="29" t="str">
        <f t="shared" si="23"/>
        <v>4a-1200-fixed-tree</v>
      </c>
      <c r="L285" s="5" t="s">
        <v>126</v>
      </c>
      <c r="M285" s="5">
        <v>39.200000000000003</v>
      </c>
    </row>
    <row r="286" spans="1:28">
      <c r="A286" s="35">
        <v>42041</v>
      </c>
      <c r="B286" s="5">
        <v>22</v>
      </c>
      <c r="C286" s="34" t="s">
        <v>128</v>
      </c>
      <c r="D286" s="34">
        <v>3</v>
      </c>
      <c r="G286" s="25">
        <v>1220</v>
      </c>
      <c r="H286" s="27" t="s">
        <v>253</v>
      </c>
      <c r="J286" s="35" t="str" cm="1">
        <f t="array" ref="J286">IFERROR(_xlfn.TEXTJOIN(";",1,IF(D286,_xlfn.MAKEARRAY(D286,1,_xlfn.LAMBDA(_xlpm.x,_xlpm.y,K286&amp;"-"&amp;TEXT(_xlpm.x,"00"))),_xlfn.MAP(_xlfn.TEXTSPLIT(E286,{";","；"},,1),_xlfn.LAMBDA(_xlpm.x,K286&amp;"-"&amp;TEXT(_xlpm.x,"00"))))),"")</f>
        <v>4a-1220-rnd-tree-01;4a-1220-rnd-tree-02;4a-1220-rnd-tree-03</v>
      </c>
      <c r="K286" s="29" t="str">
        <f t="shared" si="23"/>
        <v>4a-1220-rnd-tree</v>
      </c>
      <c r="L286" s="5" t="s">
        <v>123</v>
      </c>
      <c r="N286" s="5" t="s">
        <v>273</v>
      </c>
    </row>
    <row r="287" spans="1:28">
      <c r="A287" s="35">
        <v>42041</v>
      </c>
      <c r="B287" s="5">
        <v>23</v>
      </c>
      <c r="C287" s="34" t="s">
        <v>132</v>
      </c>
      <c r="D287" s="34">
        <v>1</v>
      </c>
      <c r="G287" s="25">
        <v>5000</v>
      </c>
      <c r="H287" s="27" t="s">
        <v>253</v>
      </c>
      <c r="J287" s="35" t="str" cm="1">
        <f t="array" ref="J287">IFERROR(_xlfn.TEXTJOIN(";",1,IF(D287,_xlfn.MAKEARRAY(D287,1,_xlfn.LAMBDA(_xlpm.x,_xlpm.y,K287&amp;"-"&amp;TEXT(_xlpm.x,"00"))),_xlfn.MAP(_xlfn.TEXTSPLIT(E287,{";","；"},,1),_xlfn.LAMBDA(_xlpm.x,K287&amp;"-"&amp;TEXT(_xlpm.x,"00"))))),"")</f>
        <v>4a-5000-fixed-sky-01</v>
      </c>
      <c r="K287" s="29" t="str">
        <f t="shared" si="23"/>
        <v>4a-5000-fixed-sky</v>
      </c>
      <c r="L287" s="5" t="s">
        <v>126</v>
      </c>
      <c r="M287" s="5">
        <v>25.6</v>
      </c>
    </row>
    <row r="289" spans="1:18">
      <c r="A289" s="35">
        <v>42042</v>
      </c>
      <c r="B289" s="5">
        <v>1</v>
      </c>
      <c r="C289" s="34" t="s">
        <v>158</v>
      </c>
      <c r="D289" s="34">
        <v>3</v>
      </c>
      <c r="E289" s="34"/>
      <c r="F289" s="34"/>
      <c r="G289" s="25">
        <v>15</v>
      </c>
      <c r="H289" s="27" t="s">
        <v>274</v>
      </c>
      <c r="J289" s="35" t="str" cm="1">
        <f t="array" ref="J289">IFERROR(_xlfn.TEXTJOIN(";",1,IF(D289,_xlfn.MAKEARRAY(D289,1,_xlfn.LAMBDA(_xlpm.x,_xlpm.y,K289&amp;"-"&amp;TEXT(_xlpm.x,"00"))),_xlfn.MAP(_xlfn.TEXTSPLIT(E289,{";","；"},,1),_xlfn.LAMBDA(_xlpm.x,K289&amp;"-"&amp;TEXT(_xlpm.x,"00"))))),"")</f>
        <v>4b-15-rnd-branch-01;4b-15-rnd-branch-02;4b-15-rnd-branch-03</v>
      </c>
      <c r="K289" s="29" t="str">
        <f t="shared" ref="K289:K290" si="24">_xlfn.TEXTJOIN("-",1,H289:I289,G289,IF(L289="FixedDistance","fixed","rnd"),C289)</f>
        <v>4b-15-rnd-branch</v>
      </c>
      <c r="L289" s="5" t="s">
        <v>123</v>
      </c>
      <c r="N289" s="5" t="s">
        <v>259</v>
      </c>
      <c r="R289" s="5">
        <v>28</v>
      </c>
    </row>
    <row r="290" spans="1:18">
      <c r="A290" s="35">
        <v>42042</v>
      </c>
      <c r="B290" s="5">
        <v>2</v>
      </c>
      <c r="C290" s="34" t="s">
        <v>186</v>
      </c>
      <c r="D290" s="34">
        <v>3</v>
      </c>
      <c r="E290" s="34"/>
      <c r="F290" s="34"/>
      <c r="G290" s="25">
        <v>20</v>
      </c>
      <c r="H290" s="27" t="s">
        <v>274</v>
      </c>
      <c r="J290" s="35" t="str" cm="1">
        <f t="array" ref="J290">IFERROR(_xlfn.TEXTJOIN(";",1,IF(D290,_xlfn.MAKEARRAY(D290,1,_xlfn.LAMBDA(_xlpm.x,_xlpm.y,K290&amp;"-"&amp;TEXT(_xlpm.x,"00"))),_xlfn.MAP(_xlfn.TEXTSPLIT(E290,{";","；"},,1),_xlfn.LAMBDA(_xlpm.x,K290&amp;"-"&amp;TEXT(_xlpm.x,"00"))))),"")</f>
        <v>4b-20-rnd-stick-01;4b-20-rnd-stick-02;4b-20-rnd-stick-03</v>
      </c>
      <c r="K290" s="29" t="str">
        <f t="shared" si="24"/>
        <v>4b-20-rnd-stick</v>
      </c>
      <c r="L290" s="5" t="s">
        <v>123</v>
      </c>
      <c r="N290" s="5" t="s">
        <v>264</v>
      </c>
    </row>
    <row r="291" spans="1:18">
      <c r="A291" s="35">
        <v>42042</v>
      </c>
      <c r="B291" s="5">
        <v>3</v>
      </c>
      <c r="C291" s="34" t="s">
        <v>128</v>
      </c>
      <c r="D291" s="34">
        <v>3</v>
      </c>
      <c r="E291" s="34"/>
      <c r="F291" s="34"/>
      <c r="G291" s="25">
        <v>23</v>
      </c>
      <c r="H291" s="27" t="s">
        <v>274</v>
      </c>
      <c r="J291" s="35" t="str" cm="1">
        <f t="array" ref="J291">IFERROR(_xlfn.TEXTJOIN(";",1,IF(D291,_xlfn.MAKEARRAY(D291,1,_xlfn.LAMBDA(_xlpm.x,_xlpm.y,K291&amp;"-"&amp;TEXT(_xlpm.x,"00"))),_xlfn.MAP(_xlfn.TEXTSPLIT(E291,{";","；"},,1),_xlfn.LAMBDA(_xlpm.x,K291&amp;"-"&amp;TEXT(_xlpm.x,"00"))))),"")</f>
        <v>4b-23-rnd-tree-01;4b-23-rnd-tree-02;4b-23-rnd-tree-03</v>
      </c>
      <c r="K291" s="29" t="str">
        <f t="shared" ref="K291:K309" si="25">_xlfn.TEXTJOIN("-",1,H291:I291,G291,IF(L291="FixedDistance","fixed","rnd"),C291)</f>
        <v>4b-23-rnd-tree</v>
      </c>
      <c r="L291" s="5" t="s">
        <v>123</v>
      </c>
      <c r="N291" s="5" t="s">
        <v>143</v>
      </c>
    </row>
    <row r="292" spans="1:18">
      <c r="A292" s="35">
        <v>42042</v>
      </c>
      <c r="B292" s="5">
        <v>4</v>
      </c>
      <c r="C292" s="34" t="s">
        <v>128</v>
      </c>
      <c r="D292" s="34">
        <v>2</v>
      </c>
      <c r="E292" s="34"/>
      <c r="F292" s="34"/>
      <c r="G292" s="25">
        <v>27</v>
      </c>
      <c r="H292" s="27" t="s">
        <v>274</v>
      </c>
      <c r="J292" s="35" t="str" cm="1">
        <f t="array" ref="J292">IFERROR(_xlfn.TEXTJOIN(";",1,IF(D292,_xlfn.MAKEARRAY(D292,1,_xlfn.LAMBDA(_xlpm.x,_xlpm.y,K292&amp;"-"&amp;TEXT(_xlpm.x,"00"))),_xlfn.MAP(_xlfn.TEXTSPLIT(E292,{";","；"},,1),_xlfn.LAMBDA(_xlpm.x,K292&amp;"-"&amp;TEXT(_xlpm.x,"00"))))),"")</f>
        <v>4b-27-rnd-tree-01;4b-27-rnd-tree-02</v>
      </c>
      <c r="K292" s="29" t="str">
        <f t="shared" si="25"/>
        <v>4b-27-rnd-tree</v>
      </c>
      <c r="L292" s="5" t="s">
        <v>123</v>
      </c>
      <c r="N292" s="5" t="s">
        <v>275</v>
      </c>
    </row>
    <row r="293" spans="1:18">
      <c r="A293" s="35">
        <v>42042</v>
      </c>
      <c r="B293" s="5">
        <v>5</v>
      </c>
      <c r="C293" s="34" t="s">
        <v>158</v>
      </c>
      <c r="D293" s="34">
        <v>2</v>
      </c>
      <c r="E293" s="34"/>
      <c r="F293" s="34"/>
      <c r="G293" s="25">
        <v>35</v>
      </c>
      <c r="H293" s="27" t="s">
        <v>274</v>
      </c>
      <c r="J293" s="35" t="str" cm="1">
        <f t="array" ref="J293">IFERROR(_xlfn.TEXTJOIN(";",1,IF(D293,_xlfn.MAKEARRAY(D293,1,_xlfn.LAMBDA(_xlpm.x,_xlpm.y,K293&amp;"-"&amp;TEXT(_xlpm.x,"00"))),_xlfn.MAP(_xlfn.TEXTSPLIT(E293,{";","；"},,1),_xlfn.LAMBDA(_xlpm.x,K293&amp;"-"&amp;TEXT(_xlpm.x,"00"))))),"")</f>
        <v>4b-35-rnd-branch-01;4b-35-rnd-branch-02</v>
      </c>
      <c r="K293" s="29" t="str">
        <f t="shared" si="25"/>
        <v>4b-35-rnd-branch</v>
      </c>
      <c r="L293" s="5" t="s">
        <v>123</v>
      </c>
      <c r="N293" s="5" t="s">
        <v>215</v>
      </c>
    </row>
    <row r="294" spans="1:18">
      <c r="A294" s="35">
        <v>42042</v>
      </c>
      <c r="B294" s="5">
        <v>6</v>
      </c>
      <c r="C294" s="34" t="s">
        <v>10</v>
      </c>
      <c r="D294" s="34">
        <v>2</v>
      </c>
      <c r="E294" s="34"/>
      <c r="F294" s="34"/>
      <c r="G294" s="25">
        <v>40</v>
      </c>
      <c r="H294" s="27" t="s">
        <v>274</v>
      </c>
      <c r="J294" s="35" t="str" cm="1">
        <f t="array" ref="J294">IFERROR(_xlfn.TEXTJOIN(";",1,IF(D294,_xlfn.MAKEARRAY(D294,1,_xlfn.LAMBDA(_xlpm.x,_xlpm.y,K294&amp;"-"&amp;TEXT(_xlpm.x,"00"))),_xlfn.MAP(_xlfn.TEXTSPLIT(E294,{";","；"},,1),_xlfn.LAMBDA(_xlpm.x,K294&amp;"-"&amp;TEXT(_xlpm.x,"00"))))),"")</f>
        <v>4b-40-rnd-string-01;4b-40-rnd-string-02</v>
      </c>
      <c r="K294" s="29" t="str">
        <f t="shared" si="25"/>
        <v>4b-40-rnd-string</v>
      </c>
      <c r="L294" s="5" t="s">
        <v>123</v>
      </c>
      <c r="N294" s="5" t="s">
        <v>276</v>
      </c>
    </row>
    <row r="295" spans="1:18">
      <c r="A295" s="35">
        <v>42042</v>
      </c>
      <c r="B295" s="5">
        <v>7</v>
      </c>
      <c r="C295" s="34" t="s">
        <v>128</v>
      </c>
      <c r="D295" s="34">
        <v>2</v>
      </c>
      <c r="E295" s="34"/>
      <c r="F295" s="34"/>
      <c r="G295" s="25">
        <v>50</v>
      </c>
      <c r="H295" s="27" t="s">
        <v>274</v>
      </c>
      <c r="J295" s="35" t="str" cm="1">
        <f t="array" ref="J295">IFERROR(_xlfn.TEXTJOIN(";",1,IF(D295,_xlfn.MAKEARRAY(D295,1,_xlfn.LAMBDA(_xlpm.x,_xlpm.y,K295&amp;"-"&amp;TEXT(_xlpm.x,"00"))),_xlfn.MAP(_xlfn.TEXTSPLIT(E295,{";","；"},,1),_xlfn.LAMBDA(_xlpm.x,K295&amp;"-"&amp;TEXT(_xlpm.x,"00"))))),"")</f>
        <v>4b-50-rnd-tree-01;4b-50-rnd-tree-02</v>
      </c>
      <c r="K295" s="29" t="str">
        <f t="shared" si="25"/>
        <v>4b-50-rnd-tree</v>
      </c>
      <c r="L295" s="5" t="s">
        <v>123</v>
      </c>
      <c r="N295" s="5" t="s">
        <v>277</v>
      </c>
      <c r="R295" s="5">
        <v>32</v>
      </c>
    </row>
    <row r="296" spans="1:18">
      <c r="A296" s="35">
        <v>42042</v>
      </c>
      <c r="B296" s="5">
        <v>8</v>
      </c>
      <c r="C296" s="34" t="s">
        <v>228</v>
      </c>
      <c r="D296" s="34">
        <v>2</v>
      </c>
      <c r="E296" s="34"/>
      <c r="F296" s="34"/>
      <c r="G296" s="25">
        <v>60</v>
      </c>
      <c r="H296" s="27" t="s">
        <v>274</v>
      </c>
      <c r="J296" s="35" t="str" cm="1">
        <f t="array" ref="J296">IFERROR(_xlfn.TEXTJOIN(";",1,IF(D296,_xlfn.MAKEARRAY(D296,1,_xlfn.LAMBDA(_xlpm.x,_xlpm.y,K296&amp;"-"&amp;TEXT(_xlpm.x,"00"))),_xlfn.MAP(_xlfn.TEXTSPLIT(E296,{";","；"},,1),_xlfn.LAMBDA(_xlpm.x,K296&amp;"-"&amp;TEXT(_xlpm.x,"00"))))),"")</f>
        <v>4b-60-rnd-trunk-01;4b-60-rnd-trunk-02</v>
      </c>
      <c r="K296" s="29" t="str">
        <f t="shared" si="25"/>
        <v>4b-60-rnd-trunk</v>
      </c>
      <c r="L296" s="5" t="s">
        <v>123</v>
      </c>
      <c r="N296" s="5" t="s">
        <v>278</v>
      </c>
    </row>
    <row r="297" spans="1:18">
      <c r="A297" s="35">
        <v>42042</v>
      </c>
      <c r="B297" s="5">
        <v>9</v>
      </c>
      <c r="C297" s="34" t="s">
        <v>168</v>
      </c>
      <c r="D297" s="34">
        <v>3</v>
      </c>
      <c r="E297" s="34"/>
      <c r="F297" s="34"/>
      <c r="G297" s="25">
        <v>68</v>
      </c>
      <c r="H297" s="27" t="s">
        <v>274</v>
      </c>
      <c r="J297" s="35" t="str" cm="1">
        <f t="array" ref="J297">IFERROR(_xlfn.TEXTJOIN(";",1,IF(D297,_xlfn.MAKEARRAY(D297,1,_xlfn.LAMBDA(_xlpm.x,_xlpm.y,K297&amp;"-"&amp;TEXT(_xlpm.x,"00"))),_xlfn.MAP(_xlfn.TEXTSPLIT(E297,{";","；"},,1),_xlfn.LAMBDA(_xlpm.x,K297&amp;"-"&amp;TEXT(_xlpm.x,"00"))))),"")</f>
        <v>4b-68-rnd-archi-01;4b-68-rnd-archi-02;4b-68-rnd-archi-03</v>
      </c>
      <c r="K297" s="29" t="str">
        <f t="shared" si="25"/>
        <v>4b-68-rnd-archi</v>
      </c>
      <c r="L297" s="5" t="s">
        <v>123</v>
      </c>
      <c r="N297" s="5" t="s">
        <v>279</v>
      </c>
    </row>
    <row r="298" spans="1:18">
      <c r="A298" s="35">
        <v>42042</v>
      </c>
      <c r="B298" s="5">
        <v>10</v>
      </c>
      <c r="C298" s="34" t="s">
        <v>128</v>
      </c>
      <c r="D298" s="34">
        <v>2</v>
      </c>
      <c r="E298" s="34"/>
      <c r="F298" s="34"/>
      <c r="G298" s="25">
        <v>80</v>
      </c>
      <c r="H298" s="27" t="s">
        <v>274</v>
      </c>
      <c r="J298" s="35" t="str" cm="1">
        <f t="array" ref="J298">IFERROR(_xlfn.TEXTJOIN(";",1,IF(D298,_xlfn.MAKEARRAY(D298,1,_xlfn.LAMBDA(_xlpm.x,_xlpm.y,K298&amp;"-"&amp;TEXT(_xlpm.x,"00"))),_xlfn.MAP(_xlfn.TEXTSPLIT(E298,{";","；"},,1),_xlfn.LAMBDA(_xlpm.x,K298&amp;"-"&amp;TEXT(_xlpm.x,"00"))))),"")</f>
        <v>4b-80-rnd-tree-01;4b-80-rnd-tree-02</v>
      </c>
      <c r="K298" s="29" t="str">
        <f t="shared" si="25"/>
        <v>4b-80-rnd-tree</v>
      </c>
      <c r="L298" s="5" t="s">
        <v>123</v>
      </c>
      <c r="N298" s="5" t="s">
        <v>260</v>
      </c>
      <c r="R298" s="5">
        <v>36</v>
      </c>
    </row>
    <row r="299" spans="1:18">
      <c r="A299" s="35">
        <v>42042</v>
      </c>
      <c r="B299" s="5">
        <v>11</v>
      </c>
      <c r="C299" s="34" t="s">
        <v>128</v>
      </c>
      <c r="D299" s="34">
        <v>1</v>
      </c>
      <c r="E299" s="34"/>
      <c r="F299" s="34"/>
      <c r="G299" s="25">
        <v>100</v>
      </c>
      <c r="H299" s="27" t="s">
        <v>274</v>
      </c>
      <c r="J299" s="35" t="str" cm="1">
        <f t="array" ref="J299">IFERROR(_xlfn.TEXTJOIN(";",1,IF(D299,_xlfn.MAKEARRAY(D299,1,_xlfn.LAMBDA(_xlpm.x,_xlpm.y,K299&amp;"-"&amp;TEXT(_xlpm.x,"00"))),_xlfn.MAP(_xlfn.TEXTSPLIT(E299,{";","；"},,1),_xlfn.LAMBDA(_xlpm.x,K299&amp;"-"&amp;TEXT(_xlpm.x,"00"))))),"")</f>
        <v>4b-100-rnd-tree-01</v>
      </c>
      <c r="K299" s="29" t="str">
        <f t="shared" si="25"/>
        <v>4b-100-rnd-tree</v>
      </c>
      <c r="L299" s="5" t="s">
        <v>123</v>
      </c>
      <c r="N299" s="5" t="s">
        <v>280</v>
      </c>
    </row>
    <row r="300" spans="1:18">
      <c r="A300" s="35">
        <v>42042</v>
      </c>
      <c r="B300" s="5">
        <v>12</v>
      </c>
      <c r="C300" s="34" t="s">
        <v>128</v>
      </c>
      <c r="D300" s="34">
        <v>1</v>
      </c>
      <c r="E300" s="34"/>
      <c r="F300" s="34"/>
      <c r="G300" s="25">
        <v>140</v>
      </c>
      <c r="H300" s="27" t="s">
        <v>274</v>
      </c>
      <c r="J300" s="35" t="str" cm="1">
        <f t="array" ref="J300">IFERROR(_xlfn.TEXTJOIN(";",1,IF(D300,_xlfn.MAKEARRAY(D300,1,_xlfn.LAMBDA(_xlpm.x,_xlpm.y,K300&amp;"-"&amp;TEXT(_xlpm.x,"00"))),_xlfn.MAP(_xlfn.TEXTSPLIT(E300,{";","；"},,1),_xlfn.LAMBDA(_xlpm.x,K300&amp;"-"&amp;TEXT(_xlpm.x,"00"))))),"")</f>
        <v>4b-140-rnd-tree-01</v>
      </c>
      <c r="K300" s="29" t="str">
        <f t="shared" si="25"/>
        <v>4b-140-rnd-tree</v>
      </c>
      <c r="L300" s="5" t="s">
        <v>123</v>
      </c>
      <c r="N300" s="5" t="s">
        <v>135</v>
      </c>
    </row>
    <row r="301" spans="1:18">
      <c r="A301" s="35">
        <v>42042</v>
      </c>
      <c r="B301" s="5">
        <v>13</v>
      </c>
      <c r="C301" s="34" t="s">
        <v>128</v>
      </c>
      <c r="D301" s="34">
        <v>1</v>
      </c>
      <c r="E301" s="34"/>
      <c r="F301" s="34"/>
      <c r="G301" s="25">
        <v>165</v>
      </c>
      <c r="H301" s="27" t="s">
        <v>274</v>
      </c>
      <c r="J301" s="35" t="str" cm="1">
        <f t="array" ref="J301">IFERROR(_xlfn.TEXTJOIN(";",1,IF(D301,_xlfn.MAKEARRAY(D301,1,_xlfn.LAMBDA(_xlpm.x,_xlpm.y,K301&amp;"-"&amp;TEXT(_xlpm.x,"00"))),_xlfn.MAP(_xlfn.TEXTSPLIT(E301,{";","；"},,1),_xlfn.LAMBDA(_xlpm.x,K301&amp;"-"&amp;TEXT(_xlpm.x,"00"))))),"")</f>
        <v>4b-165-rnd-tree-01</v>
      </c>
      <c r="K301" s="29" t="str">
        <f t="shared" si="25"/>
        <v>4b-165-rnd-tree</v>
      </c>
      <c r="L301" s="5" t="s">
        <v>123</v>
      </c>
      <c r="N301" s="5" t="s">
        <v>135</v>
      </c>
    </row>
    <row r="302" spans="1:18">
      <c r="A302" s="35">
        <v>42042</v>
      </c>
      <c r="B302" s="5">
        <v>14</v>
      </c>
      <c r="C302" s="34" t="s">
        <v>128</v>
      </c>
      <c r="D302" s="34">
        <v>2</v>
      </c>
      <c r="E302" s="34"/>
      <c r="F302" s="34"/>
      <c r="G302" s="25">
        <v>220</v>
      </c>
      <c r="H302" s="27" t="s">
        <v>274</v>
      </c>
      <c r="J302" s="35" t="str" cm="1">
        <f t="array" ref="J302">IFERROR(_xlfn.TEXTJOIN(";",1,IF(D302,_xlfn.MAKEARRAY(D302,1,_xlfn.LAMBDA(_xlpm.x,_xlpm.y,K302&amp;"-"&amp;TEXT(_xlpm.x,"00"))),_xlfn.MAP(_xlfn.TEXTSPLIT(E302,{";","；"},,1),_xlfn.LAMBDA(_xlpm.x,K302&amp;"-"&amp;TEXT(_xlpm.x,"00"))))),"")</f>
        <v>4b-220-rnd-tree-01;4b-220-rnd-tree-02</v>
      </c>
      <c r="K302" s="29" t="str">
        <f t="shared" si="25"/>
        <v>4b-220-rnd-tree</v>
      </c>
      <c r="L302" s="5" t="s">
        <v>123</v>
      </c>
      <c r="N302" s="5" t="s">
        <v>281</v>
      </c>
    </row>
    <row r="303" spans="1:18">
      <c r="A303" s="35">
        <v>42042</v>
      </c>
      <c r="B303" s="5">
        <v>15</v>
      </c>
      <c r="C303" s="34" t="s">
        <v>128</v>
      </c>
      <c r="D303" s="34">
        <v>2</v>
      </c>
      <c r="E303" s="34"/>
      <c r="F303" s="34"/>
      <c r="G303" s="25">
        <v>300</v>
      </c>
      <c r="H303" s="27" t="s">
        <v>274</v>
      </c>
      <c r="J303" s="35" t="str" cm="1">
        <f t="array" ref="J303">IFERROR(_xlfn.TEXTJOIN(";",1,IF(D303,_xlfn.MAKEARRAY(D303,1,_xlfn.LAMBDA(_xlpm.x,_xlpm.y,K303&amp;"-"&amp;TEXT(_xlpm.x,"00"))),_xlfn.MAP(_xlfn.TEXTSPLIT(E303,{";","；"},,1),_xlfn.LAMBDA(_xlpm.x,K303&amp;"-"&amp;TEXT(_xlpm.x,"00"))))),"")</f>
        <v>4b-300-rnd-tree-01;4b-300-rnd-tree-02</v>
      </c>
      <c r="K303" s="29" t="str">
        <f t="shared" si="25"/>
        <v>4b-300-rnd-tree</v>
      </c>
      <c r="L303" s="5" t="s">
        <v>123</v>
      </c>
      <c r="N303" s="5" t="s">
        <v>282</v>
      </c>
    </row>
    <row r="304" spans="1:18">
      <c r="A304" s="35">
        <v>42042</v>
      </c>
      <c r="B304" s="5">
        <v>16</v>
      </c>
      <c r="C304" s="34" t="s">
        <v>125</v>
      </c>
      <c r="D304" s="34">
        <v>1</v>
      </c>
      <c r="E304" s="34"/>
      <c r="F304" s="34"/>
      <c r="G304" s="25">
        <v>320</v>
      </c>
      <c r="H304" s="27" t="s">
        <v>274</v>
      </c>
      <c r="J304" s="35" t="str" cm="1">
        <f t="array" ref="J304">IFERROR(_xlfn.TEXTJOIN(";",1,IF(D304,_xlfn.MAKEARRAY(D304,1,_xlfn.LAMBDA(_xlpm.x,_xlpm.y,K304&amp;"-"&amp;TEXT(_xlpm.x,"00"))),_xlfn.MAP(_xlfn.TEXTSPLIT(E304,{";","；"},,1),_xlfn.LAMBDA(_xlpm.x,K304&amp;"-"&amp;TEXT(_xlpm.x,"00"))))),"")</f>
        <v>4b-320-fixed-atm-01</v>
      </c>
      <c r="K304" s="29" t="str">
        <f t="shared" si="25"/>
        <v>4b-320-fixed-atm</v>
      </c>
      <c r="L304" s="5" t="s">
        <v>126</v>
      </c>
      <c r="M304" s="5">
        <v>25.6</v>
      </c>
    </row>
    <row r="305" spans="1:18">
      <c r="A305" s="35">
        <v>42042</v>
      </c>
      <c r="B305" s="5">
        <v>17</v>
      </c>
      <c r="C305" s="34" t="s">
        <v>128</v>
      </c>
      <c r="D305" s="34">
        <v>4</v>
      </c>
      <c r="E305" s="34"/>
      <c r="F305" s="34"/>
      <c r="G305" s="25">
        <v>400</v>
      </c>
      <c r="H305" s="27" t="s">
        <v>274</v>
      </c>
      <c r="J305" s="35" t="str" cm="1">
        <f t="array" ref="J305">IFERROR(_xlfn.TEXTJOIN(";",1,IF(D305,_xlfn.MAKEARRAY(D305,1,_xlfn.LAMBDA(_xlpm.x,_xlpm.y,K305&amp;"-"&amp;TEXT(_xlpm.x,"00"))),_xlfn.MAP(_xlfn.TEXTSPLIT(E305,{";","；"},,1),_xlfn.LAMBDA(_xlpm.x,K305&amp;"-"&amp;TEXT(_xlpm.x,"00"))))),"")</f>
        <v>4b-400-rnd-tree-01;4b-400-rnd-tree-02;4b-400-rnd-tree-03;4b-400-rnd-tree-04</v>
      </c>
      <c r="K305" s="29" t="str">
        <f t="shared" si="25"/>
        <v>4b-400-rnd-tree</v>
      </c>
      <c r="L305" s="5" t="s">
        <v>123</v>
      </c>
      <c r="N305" s="5" t="s">
        <v>283</v>
      </c>
    </row>
    <row r="306" spans="1:18">
      <c r="A306" s="35">
        <v>42042</v>
      </c>
      <c r="B306" s="5">
        <v>18</v>
      </c>
      <c r="C306" s="34" t="s">
        <v>128</v>
      </c>
      <c r="D306" s="34">
        <v>1</v>
      </c>
      <c r="E306" s="34"/>
      <c r="F306" s="34"/>
      <c r="G306" s="25">
        <v>600</v>
      </c>
      <c r="H306" s="27" t="s">
        <v>274</v>
      </c>
      <c r="J306" s="35" t="str" cm="1">
        <f t="array" ref="J306">IFERROR(_xlfn.TEXTJOIN(";",1,IF(D306,_xlfn.MAKEARRAY(D306,1,_xlfn.LAMBDA(_xlpm.x,_xlpm.y,K306&amp;"-"&amp;TEXT(_xlpm.x,"00"))),_xlfn.MAP(_xlfn.TEXTSPLIT(E306,{";","；"},,1),_xlfn.LAMBDA(_xlpm.x,K306&amp;"-"&amp;TEXT(_xlpm.x,"00"))))),"")</f>
        <v>4b-600-fixed-tree-01</v>
      </c>
      <c r="K306" s="29" t="str">
        <f t="shared" si="25"/>
        <v>4b-600-fixed-tree</v>
      </c>
      <c r="L306" s="5" t="s">
        <v>126</v>
      </c>
      <c r="M306" s="5">
        <v>38.6</v>
      </c>
    </row>
    <row r="307" spans="1:18">
      <c r="A307" s="35">
        <v>42042</v>
      </c>
      <c r="B307" s="5">
        <v>19</v>
      </c>
      <c r="C307" s="34" t="s">
        <v>128</v>
      </c>
      <c r="D307" s="34">
        <v>1</v>
      </c>
      <c r="E307" s="34"/>
      <c r="F307" s="34"/>
      <c r="G307" s="25">
        <v>900</v>
      </c>
      <c r="H307" s="27" t="s">
        <v>274</v>
      </c>
      <c r="J307" s="35" t="str" cm="1">
        <f t="array" ref="J307">IFERROR(_xlfn.TEXTJOIN(";",1,IF(D307,_xlfn.MAKEARRAY(D307,1,_xlfn.LAMBDA(_xlpm.x,_xlpm.y,K307&amp;"-"&amp;TEXT(_xlpm.x,"00"))),_xlfn.MAP(_xlfn.TEXTSPLIT(E307,{";","；"},,1),_xlfn.LAMBDA(_xlpm.x,K307&amp;"-"&amp;TEXT(_xlpm.x,"00"))))),"")</f>
        <v>4b-900-rnd-tree-01</v>
      </c>
      <c r="K307" s="29" t="str">
        <f t="shared" si="25"/>
        <v>4b-900-rnd-tree</v>
      </c>
      <c r="L307" s="5" t="s">
        <v>123</v>
      </c>
      <c r="N307" s="5" t="s">
        <v>124</v>
      </c>
      <c r="R307" s="5">
        <v>60</v>
      </c>
    </row>
    <row r="308" spans="1:18">
      <c r="A308" s="35">
        <v>42042</v>
      </c>
      <c r="B308" s="5">
        <v>20</v>
      </c>
      <c r="C308" s="34" t="s">
        <v>128</v>
      </c>
      <c r="D308" s="26">
        <v>1</v>
      </c>
      <c r="G308" s="25">
        <v>1400</v>
      </c>
      <c r="H308" s="27" t="s">
        <v>274</v>
      </c>
      <c r="J308" s="35" t="str" cm="1">
        <f t="array" ref="J308">IFERROR(_xlfn.TEXTJOIN(";",1,IF(D308,_xlfn.MAKEARRAY(D308,1,_xlfn.LAMBDA(_xlpm.x,_xlpm.y,K308&amp;"-"&amp;TEXT(_xlpm.x,"00"))),_xlfn.MAP(_xlfn.TEXTSPLIT(E308,{";","；"},,1),_xlfn.LAMBDA(_xlpm.x,K308&amp;"-"&amp;TEXT(_xlpm.x,"00"))))),"")</f>
        <v>4b-1400-fixed-tree-01</v>
      </c>
      <c r="K308" s="29" t="str">
        <f t="shared" si="25"/>
        <v>4b-1400-fixed-tree</v>
      </c>
      <c r="L308" s="5" t="s">
        <v>126</v>
      </c>
      <c r="M308" s="5">
        <v>44.44</v>
      </c>
    </row>
    <row r="309" spans="1:18">
      <c r="A309" s="35">
        <v>42042</v>
      </c>
      <c r="B309" s="5">
        <v>21</v>
      </c>
      <c r="C309" s="34" t="s">
        <v>132</v>
      </c>
      <c r="D309" s="26">
        <v>1</v>
      </c>
      <c r="G309" s="25">
        <v>2000</v>
      </c>
      <c r="H309" s="27" t="s">
        <v>274</v>
      </c>
      <c r="J309" s="35" t="str" cm="1">
        <f t="array" ref="J309">IFERROR(_xlfn.TEXTJOIN(";",1,IF(D309,_xlfn.MAKEARRAY(D309,1,_xlfn.LAMBDA(_xlpm.x,_xlpm.y,K309&amp;"-"&amp;TEXT(_xlpm.x,"00"))),_xlfn.MAP(_xlfn.TEXTSPLIT(E309,{";","；"},,1),_xlfn.LAMBDA(_xlpm.x,K309&amp;"-"&amp;TEXT(_xlpm.x,"00"))))),"")</f>
        <v>4b-2000-fixed-sky-01</v>
      </c>
      <c r="K309" s="29" t="str">
        <f t="shared" si="25"/>
        <v>4b-2000-fixed-sky</v>
      </c>
      <c r="L309" s="5" t="s">
        <v>126</v>
      </c>
      <c r="M309" s="5">
        <v>25.6</v>
      </c>
    </row>
    <row r="311" spans="1:18">
      <c r="A311" s="35">
        <v>42043</v>
      </c>
      <c r="B311" s="5">
        <v>1</v>
      </c>
      <c r="C311" s="34" t="s">
        <v>186</v>
      </c>
      <c r="D311" s="34">
        <v>2</v>
      </c>
      <c r="E311" s="34"/>
      <c r="F311" s="34"/>
      <c r="G311" s="25">
        <v>12</v>
      </c>
      <c r="H311" s="27" t="s">
        <v>284</v>
      </c>
      <c r="J311" s="35" t="str" cm="1">
        <f t="array" ref="J311">IFERROR(_xlfn.TEXTJOIN(";",1,IF(D311,_xlfn.MAKEARRAY(D311,1,_xlfn.LAMBDA(_xlpm.x,_xlpm.y,K311&amp;"-"&amp;TEXT(_xlpm.x,"00"))),_xlfn.MAP(_xlfn.TEXTSPLIT(E311,{";","；"},,1),_xlfn.LAMBDA(_xlpm.x,K311&amp;"-"&amp;TEXT(_xlpm.x,"00"))))),"")</f>
        <v>4c-12-rnd-stick-01;4c-12-rnd-stick-02</v>
      </c>
      <c r="K311" s="29" t="str">
        <f t="shared" ref="K311:K312" si="26">_xlfn.TEXTJOIN("-",1,H311:I311,G311,IF(L311="FixedDistance","fixed","rnd"),C311)</f>
        <v>4c-12-rnd-stick</v>
      </c>
      <c r="L311" s="5" t="s">
        <v>123</v>
      </c>
      <c r="N311" s="5" t="s">
        <v>285</v>
      </c>
    </row>
    <row r="312" spans="1:18">
      <c r="A312" s="35">
        <v>42043</v>
      </c>
      <c r="B312" s="5">
        <v>2</v>
      </c>
      <c r="C312" s="34" t="s">
        <v>286</v>
      </c>
      <c r="D312" s="34">
        <v>2</v>
      </c>
      <c r="E312" s="34"/>
      <c r="F312" s="34"/>
      <c r="G312" s="25">
        <v>20</v>
      </c>
      <c r="H312" s="27" t="s">
        <v>284</v>
      </c>
      <c r="J312" s="35" t="str" cm="1">
        <f t="array" ref="J312">IFERROR(_xlfn.TEXTJOIN(";",1,IF(D312,_xlfn.MAKEARRAY(D312,1,_xlfn.LAMBDA(_xlpm.x,_xlpm.y,K312&amp;"-"&amp;TEXT(_xlpm.x,"00"))),_xlfn.MAP(_xlfn.TEXTSPLIT(E312,{";","；"},,1),_xlfn.LAMBDA(_xlpm.x,K312&amp;"-"&amp;TEXT(_xlpm.x,"00"))))),"")</f>
        <v>4c-20-rnd-bush-01;4c-20-rnd-bush-02</v>
      </c>
      <c r="K312" s="29" t="str">
        <f t="shared" si="26"/>
        <v>4c-20-rnd-bush</v>
      </c>
      <c r="L312" s="5" t="s">
        <v>123</v>
      </c>
      <c r="N312" s="5" t="s">
        <v>287</v>
      </c>
    </row>
    <row r="313" spans="1:18">
      <c r="A313" s="35">
        <v>42043</v>
      </c>
      <c r="B313" s="5">
        <v>3</v>
      </c>
      <c r="C313" s="34" t="s">
        <v>128</v>
      </c>
      <c r="D313" s="34">
        <v>1</v>
      </c>
      <c r="E313" s="34"/>
      <c r="F313" s="34"/>
      <c r="G313" s="25">
        <v>32</v>
      </c>
      <c r="H313" s="27" t="s">
        <v>284</v>
      </c>
      <c r="J313" s="35" t="str" cm="1">
        <f t="array" ref="J313">IFERROR(_xlfn.TEXTJOIN(";",1,IF(D313,_xlfn.MAKEARRAY(D313,1,_xlfn.LAMBDA(_xlpm.x,_xlpm.y,K313&amp;"-"&amp;TEXT(_xlpm.x,"00"))),_xlfn.MAP(_xlfn.TEXTSPLIT(E313,{";","；"},,1),_xlfn.LAMBDA(_xlpm.x,K313&amp;"-"&amp;TEXT(_xlpm.x,"00"))))),"")</f>
        <v>4c-32-rnd-tree-01</v>
      </c>
      <c r="K313" s="29" t="str">
        <f t="shared" ref="K313:K332" si="27">_xlfn.TEXTJOIN("-",1,H313:I313,G313,IF(L313="FixedDistance","fixed","rnd"),C313)</f>
        <v>4c-32-rnd-tree</v>
      </c>
      <c r="L313" s="5" t="s">
        <v>123</v>
      </c>
      <c r="N313" s="5" t="s">
        <v>288</v>
      </c>
      <c r="R313" s="5">
        <v>30</v>
      </c>
    </row>
    <row r="314" spans="1:18">
      <c r="A314" s="35">
        <v>42043</v>
      </c>
      <c r="B314" s="5">
        <v>4</v>
      </c>
      <c r="C314" s="34" t="s">
        <v>131</v>
      </c>
      <c r="D314" s="34">
        <v>1</v>
      </c>
      <c r="E314" s="34"/>
      <c r="F314" s="34"/>
      <c r="G314" s="25">
        <v>48</v>
      </c>
      <c r="H314" s="27" t="s">
        <v>284</v>
      </c>
      <c r="J314" s="35" t="str" cm="1">
        <f t="array" ref="J314">IFERROR(_xlfn.TEXTJOIN(";",1,IF(D314,_xlfn.MAKEARRAY(D314,1,_xlfn.LAMBDA(_xlpm.x,_xlpm.y,K314&amp;"-"&amp;TEXT(_xlpm.x,"00"))),_xlfn.MAP(_xlfn.TEXTSPLIT(E314,{";","；"},,1),_xlfn.LAMBDA(_xlpm.x,K314&amp;"-"&amp;TEXT(_xlpm.x,"00"))))),"")</f>
        <v>4c-48-rnd-cloud-01</v>
      </c>
      <c r="K314" s="29" t="str">
        <f t="shared" si="27"/>
        <v>4c-48-rnd-cloud</v>
      </c>
      <c r="L314" s="5" t="s">
        <v>123</v>
      </c>
      <c r="N314" s="5" t="s">
        <v>289</v>
      </c>
      <c r="R314" s="5">
        <v>46</v>
      </c>
    </row>
    <row r="315" spans="1:18">
      <c r="A315" s="35">
        <v>42043</v>
      </c>
      <c r="B315" s="5">
        <v>5</v>
      </c>
      <c r="C315" s="34" t="s">
        <v>168</v>
      </c>
      <c r="D315" s="34">
        <v>2</v>
      </c>
      <c r="E315" s="34"/>
      <c r="F315" s="34"/>
      <c r="G315" s="25">
        <v>55</v>
      </c>
      <c r="H315" s="27" t="s">
        <v>284</v>
      </c>
      <c r="J315" s="35" t="str" cm="1">
        <f t="array" ref="J315">IFERROR(_xlfn.TEXTJOIN(";",1,IF(D315,_xlfn.MAKEARRAY(D315,1,_xlfn.LAMBDA(_xlpm.x,_xlpm.y,K315&amp;"-"&amp;TEXT(_xlpm.x,"00"))),_xlfn.MAP(_xlfn.TEXTSPLIT(E315,{";","；"},,1),_xlfn.LAMBDA(_xlpm.x,K315&amp;"-"&amp;TEXT(_xlpm.x,"00"))))),"")</f>
        <v>4c-55-rnd-archi-01;4c-55-rnd-archi-02</v>
      </c>
      <c r="K315" s="29" t="str">
        <f t="shared" si="27"/>
        <v>4c-55-rnd-archi</v>
      </c>
      <c r="L315" s="5" t="s">
        <v>123</v>
      </c>
      <c r="N315" s="5" t="s">
        <v>290</v>
      </c>
    </row>
    <row r="316" spans="1:18">
      <c r="A316" s="35">
        <v>42043</v>
      </c>
      <c r="B316" s="5">
        <v>6</v>
      </c>
      <c r="C316" s="34" t="s">
        <v>125</v>
      </c>
      <c r="D316" s="34">
        <v>1</v>
      </c>
      <c r="E316" s="34"/>
      <c r="F316" s="34"/>
      <c r="G316" s="25">
        <v>60</v>
      </c>
      <c r="H316" s="27" t="s">
        <v>284</v>
      </c>
      <c r="J316" s="35" t="str" cm="1">
        <f t="array" ref="J316">IFERROR(_xlfn.TEXTJOIN(";",1,IF(D316,_xlfn.MAKEARRAY(D316,1,_xlfn.LAMBDA(_xlpm.x,_xlpm.y,K316&amp;"-"&amp;TEXT(_xlpm.x,"00"))),_xlfn.MAP(_xlfn.TEXTSPLIT(E316,{";","；"},,1),_xlfn.LAMBDA(_xlpm.x,K316&amp;"-"&amp;TEXT(_xlpm.x,"00"))))),"")</f>
        <v>4c-60-fixed-atm-01</v>
      </c>
      <c r="K316" s="29" t="str">
        <f t="shared" si="27"/>
        <v>4c-60-fixed-atm</v>
      </c>
      <c r="L316" s="5" t="s">
        <v>126</v>
      </c>
      <c r="M316" s="5">
        <v>25.6</v>
      </c>
    </row>
    <row r="317" spans="1:18">
      <c r="A317" s="35">
        <v>42043</v>
      </c>
      <c r="B317" s="5">
        <v>7</v>
      </c>
      <c r="C317" s="34" t="s">
        <v>128</v>
      </c>
      <c r="D317" s="34">
        <v>2</v>
      </c>
      <c r="E317" s="34"/>
      <c r="F317" s="34"/>
      <c r="G317" s="25">
        <v>75</v>
      </c>
      <c r="H317" s="27" t="s">
        <v>284</v>
      </c>
      <c r="J317" s="35" t="str" cm="1">
        <f t="array" ref="J317">IFERROR(_xlfn.TEXTJOIN(";",1,IF(D317,_xlfn.MAKEARRAY(D317,1,_xlfn.LAMBDA(_xlpm.x,_xlpm.y,K317&amp;"-"&amp;TEXT(_xlpm.x,"00"))),_xlfn.MAP(_xlfn.TEXTSPLIT(E317,{";","；"},,1),_xlfn.LAMBDA(_xlpm.x,K317&amp;"-"&amp;TEXT(_xlpm.x,"00"))))),"")</f>
        <v>4c-75-rnd-tree-01;4c-75-rnd-tree-02</v>
      </c>
      <c r="K317" s="29" t="str">
        <f t="shared" si="27"/>
        <v>4c-75-rnd-tree</v>
      </c>
      <c r="L317" s="5" t="s">
        <v>123</v>
      </c>
      <c r="N317" s="5" t="s">
        <v>291</v>
      </c>
    </row>
    <row r="318" spans="1:18">
      <c r="A318" s="35">
        <v>42043</v>
      </c>
      <c r="B318" s="5">
        <v>8</v>
      </c>
      <c r="C318" s="34" t="s">
        <v>128</v>
      </c>
      <c r="D318" s="34">
        <v>1</v>
      </c>
      <c r="E318" s="34"/>
      <c r="F318" s="34"/>
      <c r="G318" s="25">
        <v>90</v>
      </c>
      <c r="H318" s="27" t="s">
        <v>284</v>
      </c>
      <c r="J318" s="35" t="str" cm="1">
        <f t="array" ref="J318">IFERROR(_xlfn.TEXTJOIN(";",1,IF(D318,_xlfn.MAKEARRAY(D318,1,_xlfn.LAMBDA(_xlpm.x,_xlpm.y,K318&amp;"-"&amp;TEXT(_xlpm.x,"00"))),_xlfn.MAP(_xlfn.TEXTSPLIT(E318,{";","；"},,1),_xlfn.LAMBDA(_xlpm.x,K318&amp;"-"&amp;TEXT(_xlpm.x,"00"))))),"")</f>
        <v>4c-90-rnd-tree-01</v>
      </c>
      <c r="K318" s="29" t="str">
        <f t="shared" si="27"/>
        <v>4c-90-rnd-tree</v>
      </c>
      <c r="L318" s="5" t="s">
        <v>123</v>
      </c>
      <c r="N318" s="5" t="s">
        <v>292</v>
      </c>
      <c r="R318" s="5">
        <v>30</v>
      </c>
    </row>
    <row r="319" spans="1:18">
      <c r="A319" s="35">
        <v>42043</v>
      </c>
      <c r="B319" s="5">
        <v>9</v>
      </c>
      <c r="C319" s="34" t="s">
        <v>136</v>
      </c>
      <c r="D319" s="34">
        <v>2</v>
      </c>
      <c r="E319" s="34"/>
      <c r="F319" s="34"/>
      <c r="G319" s="25">
        <v>108</v>
      </c>
      <c r="H319" s="27" t="s">
        <v>284</v>
      </c>
      <c r="J319" s="35" t="str" cm="1">
        <f t="array" ref="J319">IFERROR(_xlfn.TEXTJOIN(";",1,IF(D319,_xlfn.MAKEARRAY(D319,1,_xlfn.LAMBDA(_xlpm.x,_xlpm.y,K319&amp;"-"&amp;TEXT(_xlpm.x,"00"))),_xlfn.MAP(_xlfn.TEXTSPLIT(E319,{";","；"},,1),_xlfn.LAMBDA(_xlpm.x,K319&amp;"-"&amp;TEXT(_xlpm.x,"00"))))),"")</f>
        <v>4c-108-rnd-stone-01;4c-108-rnd-stone-02</v>
      </c>
      <c r="K319" s="29" t="str">
        <f t="shared" si="27"/>
        <v>4c-108-rnd-stone</v>
      </c>
      <c r="L319" s="5" t="s">
        <v>123</v>
      </c>
      <c r="N319" s="5" t="s">
        <v>293</v>
      </c>
    </row>
    <row r="320" spans="1:18">
      <c r="A320" s="35">
        <v>42043</v>
      </c>
      <c r="B320" s="5">
        <v>10</v>
      </c>
      <c r="C320" s="34" t="s">
        <v>131</v>
      </c>
      <c r="D320" s="34">
        <v>2</v>
      </c>
      <c r="E320" s="34"/>
      <c r="F320" s="34"/>
      <c r="G320" s="25">
        <v>132</v>
      </c>
      <c r="H320" s="27" t="s">
        <v>284</v>
      </c>
      <c r="J320" s="35" t="str" cm="1">
        <f t="array" ref="J320">IFERROR(_xlfn.TEXTJOIN(";",1,IF(D320,_xlfn.MAKEARRAY(D320,1,_xlfn.LAMBDA(_xlpm.x,_xlpm.y,K320&amp;"-"&amp;TEXT(_xlpm.x,"00"))),_xlfn.MAP(_xlfn.TEXTSPLIT(E320,{";","；"},,1),_xlfn.LAMBDA(_xlpm.x,K320&amp;"-"&amp;TEXT(_xlpm.x,"00"))))),"")</f>
        <v>4c-132-rnd-cloud-01;4c-132-rnd-cloud-02</v>
      </c>
      <c r="K320" s="29" t="str">
        <f t="shared" si="27"/>
        <v>4c-132-rnd-cloud</v>
      </c>
      <c r="L320" s="5" t="s">
        <v>123</v>
      </c>
      <c r="N320" s="5" t="s">
        <v>289</v>
      </c>
    </row>
    <row r="321" spans="1:18">
      <c r="A321" s="35">
        <v>42043</v>
      </c>
      <c r="B321" s="5">
        <v>11</v>
      </c>
      <c r="C321" s="34" t="s">
        <v>197</v>
      </c>
      <c r="D321" s="34">
        <v>1</v>
      </c>
      <c r="E321" s="34"/>
      <c r="F321" s="34"/>
      <c r="G321" s="25">
        <v>140</v>
      </c>
      <c r="H321" s="27" t="s">
        <v>284</v>
      </c>
      <c r="J321" s="35" t="str" cm="1">
        <f t="array" ref="J321">IFERROR(_xlfn.TEXTJOIN(";",1,IF(D321,_xlfn.MAKEARRAY(D321,1,_xlfn.LAMBDA(_xlpm.x,_xlpm.y,K321&amp;"-"&amp;TEXT(_xlpm.x,"00"))),_xlfn.MAP(_xlfn.TEXTSPLIT(E321,{";","；"},,1),_xlfn.LAMBDA(_xlpm.x,K321&amp;"-"&amp;TEXT(_xlpm.x,"00"))))),"")</f>
        <v>4c-140-rnd-bird-01</v>
      </c>
      <c r="K321" s="29" t="str">
        <f t="shared" si="27"/>
        <v>4c-140-rnd-bird</v>
      </c>
      <c r="L321" s="5" t="s">
        <v>123</v>
      </c>
      <c r="N321" s="5" t="s">
        <v>294</v>
      </c>
    </row>
    <row r="322" spans="1:18">
      <c r="A322" s="35">
        <v>42043</v>
      </c>
      <c r="B322" s="5">
        <v>12</v>
      </c>
      <c r="C322" s="34" t="s">
        <v>128</v>
      </c>
      <c r="D322" s="34">
        <v>1</v>
      </c>
      <c r="E322" s="34"/>
      <c r="F322" s="34"/>
      <c r="G322" s="25">
        <v>156</v>
      </c>
      <c r="H322" s="27" t="s">
        <v>284</v>
      </c>
      <c r="J322" s="35" t="str" cm="1">
        <f t="array" ref="J322">IFERROR(_xlfn.TEXTJOIN(";",1,IF(D322,_xlfn.MAKEARRAY(D322,1,_xlfn.LAMBDA(_xlpm.x,_xlpm.y,K322&amp;"-"&amp;TEXT(_xlpm.x,"00"))),_xlfn.MAP(_xlfn.TEXTSPLIT(E322,{";","；"},,1),_xlfn.LAMBDA(_xlpm.x,K322&amp;"-"&amp;TEXT(_xlpm.x,"00"))))),"")</f>
        <v>4c-156-rnd-tree-01</v>
      </c>
      <c r="K322" s="29" t="str">
        <f t="shared" si="27"/>
        <v>4c-156-rnd-tree</v>
      </c>
      <c r="L322" s="5" t="s">
        <v>123</v>
      </c>
      <c r="N322" s="5" t="s">
        <v>288</v>
      </c>
      <c r="R322" s="5">
        <v>44</v>
      </c>
    </row>
    <row r="323" spans="1:18">
      <c r="A323" s="35">
        <v>42043</v>
      </c>
      <c r="B323" s="5">
        <v>13</v>
      </c>
      <c r="C323" s="34" t="s">
        <v>131</v>
      </c>
      <c r="D323" s="34">
        <v>1</v>
      </c>
      <c r="E323" s="34"/>
      <c r="F323" s="34"/>
      <c r="G323" s="25">
        <v>160</v>
      </c>
      <c r="H323" s="27" t="s">
        <v>284</v>
      </c>
      <c r="J323" s="35" t="str" cm="1">
        <f t="array" ref="J323">IFERROR(_xlfn.TEXTJOIN(";",1,IF(D323,_xlfn.MAKEARRAY(D323,1,_xlfn.LAMBDA(_xlpm.x,_xlpm.y,K323&amp;"-"&amp;TEXT(_xlpm.x,"00"))),_xlfn.MAP(_xlfn.TEXTSPLIT(E323,{";","；"},,1),_xlfn.LAMBDA(_xlpm.x,K323&amp;"-"&amp;TEXT(_xlpm.x,"00"))))),"")</f>
        <v>4c-160-rnd-cloud-01</v>
      </c>
      <c r="K323" s="29" t="str">
        <f t="shared" si="27"/>
        <v>4c-160-rnd-cloud</v>
      </c>
      <c r="L323" s="5" t="s">
        <v>123</v>
      </c>
      <c r="N323" s="5" t="s">
        <v>295</v>
      </c>
      <c r="R323" s="5">
        <v>40</v>
      </c>
    </row>
    <row r="324" spans="1:18">
      <c r="A324" s="35">
        <v>42043</v>
      </c>
      <c r="B324" s="5">
        <v>14</v>
      </c>
      <c r="C324" s="34" t="s">
        <v>128</v>
      </c>
      <c r="D324" s="34">
        <v>2</v>
      </c>
      <c r="E324" s="34"/>
      <c r="F324" s="34"/>
      <c r="G324" s="25">
        <v>185</v>
      </c>
      <c r="H324" s="27" t="s">
        <v>284</v>
      </c>
      <c r="J324" s="35" t="str" cm="1">
        <f t="array" ref="J324">IFERROR(_xlfn.TEXTJOIN(";",1,IF(D324,_xlfn.MAKEARRAY(D324,1,_xlfn.LAMBDA(_xlpm.x,_xlpm.y,K324&amp;"-"&amp;TEXT(_xlpm.x,"00"))),_xlfn.MAP(_xlfn.TEXTSPLIT(E324,{";","；"},,1),_xlfn.LAMBDA(_xlpm.x,K324&amp;"-"&amp;TEXT(_xlpm.x,"00"))))),"")</f>
        <v>4c-185-rnd-tree-01;4c-185-rnd-tree-02</v>
      </c>
      <c r="K324" s="29" t="str">
        <f t="shared" si="27"/>
        <v>4c-185-rnd-tree</v>
      </c>
      <c r="L324" s="5" t="s">
        <v>123</v>
      </c>
      <c r="N324" s="5" t="s">
        <v>288</v>
      </c>
    </row>
    <row r="325" spans="1:18">
      <c r="A325" s="35">
        <v>42043</v>
      </c>
      <c r="B325" s="5">
        <v>15</v>
      </c>
      <c r="C325" s="34" t="s">
        <v>136</v>
      </c>
      <c r="D325" s="34">
        <v>3</v>
      </c>
      <c r="E325" s="34"/>
      <c r="F325" s="34"/>
      <c r="G325" s="25">
        <v>190</v>
      </c>
      <c r="H325" s="27" t="s">
        <v>284</v>
      </c>
      <c r="J325" s="35" t="str" cm="1">
        <f t="array" ref="J325">IFERROR(_xlfn.TEXTJOIN(";",1,IF(D325,_xlfn.MAKEARRAY(D325,1,_xlfn.LAMBDA(_xlpm.x,_xlpm.y,K325&amp;"-"&amp;TEXT(_xlpm.x,"00"))),_xlfn.MAP(_xlfn.TEXTSPLIT(E325,{";","；"},,1),_xlfn.LAMBDA(_xlpm.x,K325&amp;"-"&amp;TEXT(_xlpm.x,"00"))))),"")</f>
        <v>4c-190-rnd-stone-01;4c-190-rnd-stone-02;4c-190-rnd-stone-03</v>
      </c>
      <c r="K325" s="29" t="str">
        <f t="shared" si="27"/>
        <v>4c-190-rnd-stone</v>
      </c>
      <c r="L325" s="5" t="s">
        <v>123</v>
      </c>
      <c r="N325" s="5" t="s">
        <v>296</v>
      </c>
    </row>
    <row r="326" spans="1:18">
      <c r="A326" s="35">
        <v>42043</v>
      </c>
      <c r="B326" s="5">
        <v>16</v>
      </c>
      <c r="C326" s="34" t="s">
        <v>128</v>
      </c>
      <c r="D326" s="34">
        <v>1</v>
      </c>
      <c r="E326" s="34"/>
      <c r="F326" s="34"/>
      <c r="G326" s="25">
        <v>240</v>
      </c>
      <c r="H326" s="27" t="s">
        <v>284</v>
      </c>
      <c r="J326" s="35" t="str" cm="1">
        <f t="array" ref="J326">IFERROR(_xlfn.TEXTJOIN(";",1,IF(D326,_xlfn.MAKEARRAY(D326,1,_xlfn.LAMBDA(_xlpm.x,_xlpm.y,K326&amp;"-"&amp;TEXT(_xlpm.x,"00"))),_xlfn.MAP(_xlfn.TEXTSPLIT(E326,{";","；"},,1),_xlfn.LAMBDA(_xlpm.x,K326&amp;"-"&amp;TEXT(_xlpm.x,"00"))))),"")</f>
        <v>4c-240-rnd-tree-01</v>
      </c>
      <c r="K326" s="29" t="str">
        <f t="shared" si="27"/>
        <v>4c-240-rnd-tree</v>
      </c>
      <c r="L326" s="5" t="s">
        <v>123</v>
      </c>
      <c r="N326" s="5" t="s">
        <v>277</v>
      </c>
      <c r="R326" s="5">
        <v>50</v>
      </c>
    </row>
    <row r="327" spans="1:18">
      <c r="A327" s="35">
        <v>42043</v>
      </c>
      <c r="B327" s="5">
        <v>17</v>
      </c>
      <c r="C327" s="34" t="s">
        <v>131</v>
      </c>
      <c r="D327" s="34">
        <v>1</v>
      </c>
      <c r="E327" s="34"/>
      <c r="F327" s="34"/>
      <c r="G327" s="25">
        <v>250</v>
      </c>
      <c r="H327" s="27" t="s">
        <v>284</v>
      </c>
      <c r="J327" s="35" t="str" cm="1">
        <f t="array" ref="J327">IFERROR(_xlfn.TEXTJOIN(";",1,IF(D327,_xlfn.MAKEARRAY(D327,1,_xlfn.LAMBDA(_xlpm.x,_xlpm.y,K327&amp;"-"&amp;TEXT(_xlpm.x,"00"))),_xlfn.MAP(_xlfn.TEXTSPLIT(E327,{";","；"},,1),_xlfn.LAMBDA(_xlpm.x,K327&amp;"-"&amp;TEXT(_xlpm.x,"00"))))),"")</f>
        <v>4c-250-rnd-cloud-01</v>
      </c>
      <c r="K327" s="29" t="str">
        <f t="shared" si="27"/>
        <v>4c-250-rnd-cloud</v>
      </c>
      <c r="L327" s="5" t="s">
        <v>123</v>
      </c>
      <c r="N327" s="5" t="s">
        <v>277</v>
      </c>
      <c r="R327" s="5">
        <v>32</v>
      </c>
    </row>
    <row r="328" spans="1:18">
      <c r="A328" s="35">
        <v>42043</v>
      </c>
      <c r="B328" s="5">
        <v>18</v>
      </c>
      <c r="C328" s="34" t="s">
        <v>125</v>
      </c>
      <c r="D328" s="34">
        <v>1</v>
      </c>
      <c r="E328" s="34"/>
      <c r="F328" s="34"/>
      <c r="G328" s="25">
        <v>285</v>
      </c>
      <c r="H328" s="27" t="s">
        <v>284</v>
      </c>
      <c r="J328" s="35" t="str" cm="1">
        <f t="array" ref="J328">IFERROR(_xlfn.TEXTJOIN(";",1,IF(D328,_xlfn.MAKEARRAY(D328,1,_xlfn.LAMBDA(_xlpm.x,_xlpm.y,K328&amp;"-"&amp;TEXT(_xlpm.x,"00"))),_xlfn.MAP(_xlfn.TEXTSPLIT(E328,{";","；"},,1),_xlfn.LAMBDA(_xlpm.x,K328&amp;"-"&amp;TEXT(_xlpm.x,"00"))))),"")</f>
        <v>4c-285-fixed-atm-01</v>
      </c>
      <c r="K328" s="29" t="str">
        <f t="shared" ref="K328" si="28">_xlfn.TEXTJOIN("-",1,H328:I328,G328,IF(L328="FixedDistance","fixed","rnd"),C328)</f>
        <v>4c-285-fixed-atm</v>
      </c>
      <c r="L328" s="5" t="s">
        <v>126</v>
      </c>
      <c r="M328" s="5">
        <v>25.6</v>
      </c>
    </row>
    <row r="329" spans="1:18">
      <c r="A329" s="35">
        <v>42043</v>
      </c>
      <c r="B329" s="5">
        <v>19</v>
      </c>
      <c r="C329" s="34" t="s">
        <v>128</v>
      </c>
      <c r="D329" s="34">
        <v>1</v>
      </c>
      <c r="E329" s="34"/>
      <c r="F329" s="34"/>
      <c r="G329" s="25">
        <v>290</v>
      </c>
      <c r="H329" s="27" t="s">
        <v>284</v>
      </c>
      <c r="J329" s="35" t="str" cm="1">
        <f t="array" ref="J329">IFERROR(_xlfn.TEXTJOIN(";",1,IF(D329,_xlfn.MAKEARRAY(D329,1,_xlfn.LAMBDA(_xlpm.x,_xlpm.y,K329&amp;"-"&amp;TEXT(_xlpm.x,"00"))),_xlfn.MAP(_xlfn.TEXTSPLIT(E329,{";","；"},,1),_xlfn.LAMBDA(_xlpm.x,K329&amp;"-"&amp;TEXT(_xlpm.x,"00"))))),"")</f>
        <v>4c-290-rnd-tree-01</v>
      </c>
      <c r="K329" s="29" t="str">
        <f t="shared" si="27"/>
        <v>4c-290-rnd-tree</v>
      </c>
      <c r="L329" s="5" t="s">
        <v>123</v>
      </c>
      <c r="N329" s="5" t="s">
        <v>277</v>
      </c>
      <c r="R329" s="5">
        <v>65</v>
      </c>
    </row>
    <row r="330" spans="1:18">
      <c r="A330" s="35">
        <v>42043</v>
      </c>
      <c r="B330" s="5">
        <v>20</v>
      </c>
      <c r="C330" s="34" t="s">
        <v>136</v>
      </c>
      <c r="D330" s="34">
        <v>3</v>
      </c>
      <c r="E330" s="34"/>
      <c r="F330" s="34"/>
      <c r="G330" s="25">
        <v>300</v>
      </c>
      <c r="H330" s="27" t="s">
        <v>284</v>
      </c>
      <c r="J330" s="35" t="str" cm="1">
        <f t="array" ref="J330">IFERROR(_xlfn.TEXTJOIN(";",1,IF(D330,_xlfn.MAKEARRAY(D330,1,_xlfn.LAMBDA(_xlpm.x,_xlpm.y,K330&amp;"-"&amp;TEXT(_xlpm.x,"00"))),_xlfn.MAP(_xlfn.TEXTSPLIT(E330,{";","；"},,1),_xlfn.LAMBDA(_xlpm.x,K330&amp;"-"&amp;TEXT(_xlpm.x,"00"))))),"")</f>
        <v>4c-300-rnd-stone-01;4c-300-rnd-stone-02;4c-300-rnd-stone-03</v>
      </c>
      <c r="K330" s="29" t="str">
        <f t="shared" si="27"/>
        <v>4c-300-rnd-stone</v>
      </c>
      <c r="L330" s="5" t="s">
        <v>123</v>
      </c>
      <c r="N330" s="5" t="s">
        <v>296</v>
      </c>
    </row>
    <row r="331" spans="1:18">
      <c r="A331" s="35">
        <v>42043</v>
      </c>
      <c r="B331" s="5">
        <v>21</v>
      </c>
      <c r="C331" s="34" t="s">
        <v>197</v>
      </c>
      <c r="D331" s="34">
        <v>1</v>
      </c>
      <c r="G331" s="25">
        <v>303</v>
      </c>
      <c r="H331" s="27" t="s">
        <v>284</v>
      </c>
      <c r="J331" s="35" t="str" cm="1">
        <f t="array" ref="J331">IFERROR(_xlfn.TEXTJOIN(";",1,IF(D331,_xlfn.MAKEARRAY(D331,1,_xlfn.LAMBDA(_xlpm.x,_xlpm.y,K331&amp;"-"&amp;TEXT(_xlpm.x,"00"))),_xlfn.MAP(_xlfn.TEXTSPLIT(E331,{";","；"},,1),_xlfn.LAMBDA(_xlpm.x,K331&amp;"-"&amp;TEXT(_xlpm.x,"00"))))),"")</f>
        <v>4c-303-rnd-bird-01</v>
      </c>
      <c r="K331" s="29" t="str">
        <f t="shared" si="27"/>
        <v>4c-303-rnd-bird</v>
      </c>
      <c r="L331" s="5" t="s">
        <v>123</v>
      </c>
      <c r="N331" s="5" t="s">
        <v>297</v>
      </c>
    </row>
    <row r="332" spans="1:18">
      <c r="A332" s="35">
        <v>42043</v>
      </c>
      <c r="B332" s="5">
        <v>22</v>
      </c>
      <c r="C332" s="34" t="s">
        <v>131</v>
      </c>
      <c r="D332" s="34">
        <v>1</v>
      </c>
      <c r="G332" s="25">
        <v>340</v>
      </c>
      <c r="H332" s="27" t="s">
        <v>284</v>
      </c>
      <c r="J332" s="35" t="str" cm="1">
        <f t="array" ref="J332">IFERROR(_xlfn.TEXTJOIN(";",1,IF(D332,_xlfn.MAKEARRAY(D332,1,_xlfn.LAMBDA(_xlpm.x,_xlpm.y,K332&amp;"-"&amp;TEXT(_xlpm.x,"00"))),_xlfn.MAP(_xlfn.TEXTSPLIT(E332,{";","；"},,1),_xlfn.LAMBDA(_xlpm.x,K332&amp;"-"&amp;TEXT(_xlpm.x,"00"))))),"")</f>
        <v>4c-340-rnd-cloud-01</v>
      </c>
      <c r="K332" s="29" t="str">
        <f t="shared" si="27"/>
        <v>4c-340-rnd-cloud</v>
      </c>
      <c r="L332" s="5" t="s">
        <v>123</v>
      </c>
      <c r="N332" s="5" t="s">
        <v>277</v>
      </c>
      <c r="R332" s="5">
        <v>40</v>
      </c>
    </row>
    <row r="333" spans="1:18">
      <c r="A333" s="35">
        <v>42043</v>
      </c>
      <c r="B333" s="5">
        <v>23</v>
      </c>
      <c r="C333" s="34" t="s">
        <v>131</v>
      </c>
      <c r="D333" s="34">
        <v>1</v>
      </c>
      <c r="G333" s="25">
        <v>390</v>
      </c>
      <c r="H333" s="27" t="s">
        <v>284</v>
      </c>
      <c r="J333" s="35" t="str" cm="1">
        <f t="array" ref="J333">IFERROR(_xlfn.TEXTJOIN(";",1,IF(D333,_xlfn.MAKEARRAY(D333,1,_xlfn.LAMBDA(_xlpm.x,_xlpm.y,K333&amp;"-"&amp;TEXT(_xlpm.x,"00"))),_xlfn.MAP(_xlfn.TEXTSPLIT(E333,{";","；"},,1),_xlfn.LAMBDA(_xlpm.x,K333&amp;"-"&amp;TEXT(_xlpm.x,"00"))))),"")</f>
        <v>4c-390-rnd-cloud-01</v>
      </c>
      <c r="K333" s="29" t="str">
        <f t="shared" ref="K333:K341" si="29">_xlfn.TEXTJOIN("-",1,H333:I333,G333,IF(L333="FixedDistance","fixed","rnd"),C333)</f>
        <v>4c-390-rnd-cloud</v>
      </c>
      <c r="L333" s="5" t="s">
        <v>123</v>
      </c>
      <c r="N333" s="5" t="s">
        <v>277</v>
      </c>
      <c r="R333" s="5">
        <v>48</v>
      </c>
    </row>
    <row r="334" spans="1:18">
      <c r="A334" s="35">
        <v>42043</v>
      </c>
      <c r="B334" s="5">
        <v>24</v>
      </c>
      <c r="C334" s="34" t="s">
        <v>131</v>
      </c>
      <c r="D334" s="34">
        <v>1</v>
      </c>
      <c r="G334" s="25">
        <v>460</v>
      </c>
      <c r="H334" s="27" t="s">
        <v>284</v>
      </c>
      <c r="J334" s="35" t="str" cm="1">
        <f t="array" ref="J334">IFERROR(_xlfn.TEXTJOIN(";",1,IF(D334,_xlfn.MAKEARRAY(D334,1,_xlfn.LAMBDA(_xlpm.x,_xlpm.y,K334&amp;"-"&amp;TEXT(_xlpm.x,"00"))),_xlfn.MAP(_xlfn.TEXTSPLIT(E334,{";","；"},,1),_xlfn.LAMBDA(_xlpm.x,K334&amp;"-"&amp;TEXT(_xlpm.x,"00"))))),"")</f>
        <v>4c-460-rnd-cloud-01</v>
      </c>
      <c r="K334" s="29" t="str">
        <f t="shared" si="29"/>
        <v>4c-460-rnd-cloud</v>
      </c>
      <c r="L334" s="5" t="s">
        <v>123</v>
      </c>
      <c r="N334" s="5" t="s">
        <v>277</v>
      </c>
      <c r="R334" s="5">
        <v>44</v>
      </c>
    </row>
    <row r="335" spans="1:18">
      <c r="A335" s="35">
        <v>42043</v>
      </c>
      <c r="B335" s="5">
        <v>25</v>
      </c>
      <c r="C335" s="34" t="s">
        <v>131</v>
      </c>
      <c r="D335" s="34">
        <v>1</v>
      </c>
      <c r="G335" s="25">
        <v>580</v>
      </c>
      <c r="H335" s="27" t="s">
        <v>284</v>
      </c>
      <c r="J335" s="35" t="str" cm="1">
        <f t="array" ref="J335">IFERROR(_xlfn.TEXTJOIN(";",1,IF(D335,_xlfn.MAKEARRAY(D335,1,_xlfn.LAMBDA(_xlpm.x,_xlpm.y,K335&amp;"-"&amp;TEXT(_xlpm.x,"00"))),_xlfn.MAP(_xlfn.TEXTSPLIT(E335,{";","；"},,1),_xlfn.LAMBDA(_xlpm.x,K335&amp;"-"&amp;TEXT(_xlpm.x,"00"))))),"")</f>
        <v>4c-580-rnd-cloud-01</v>
      </c>
      <c r="K335" s="29" t="str">
        <f t="shared" si="29"/>
        <v>4c-580-rnd-cloud</v>
      </c>
      <c r="L335" s="5" t="s">
        <v>123</v>
      </c>
      <c r="N335" s="5" t="s">
        <v>277</v>
      </c>
      <c r="R335" s="5">
        <v>46</v>
      </c>
    </row>
    <row r="336" spans="1:18">
      <c r="A336" s="35">
        <v>42043</v>
      </c>
      <c r="B336" s="5">
        <v>26</v>
      </c>
      <c r="C336" s="34" t="s">
        <v>128</v>
      </c>
      <c r="D336" s="34">
        <v>1</v>
      </c>
      <c r="G336" s="25">
        <v>590</v>
      </c>
      <c r="H336" s="27" t="s">
        <v>284</v>
      </c>
      <c r="J336" s="35" t="str" cm="1">
        <f t="array" ref="J336">IFERROR(_xlfn.TEXTJOIN(";",1,IF(D336,_xlfn.MAKEARRAY(D336,1,_xlfn.LAMBDA(_xlpm.x,_xlpm.y,K336&amp;"-"&amp;TEXT(_xlpm.x,"00"))),_xlfn.MAP(_xlfn.TEXTSPLIT(E336,{";","；"},,1),_xlfn.LAMBDA(_xlpm.x,K336&amp;"-"&amp;TEXT(_xlpm.x,"00"))))),"")</f>
        <v>4c-590-rnd-tree-01</v>
      </c>
      <c r="K336" s="29" t="str">
        <f t="shared" si="29"/>
        <v>4c-590-rnd-tree</v>
      </c>
      <c r="L336" s="5" t="s">
        <v>123</v>
      </c>
      <c r="N336" s="5" t="s">
        <v>195</v>
      </c>
      <c r="R336" s="5">
        <v>32</v>
      </c>
    </row>
    <row r="337" spans="1:18">
      <c r="A337" s="35">
        <v>42043</v>
      </c>
      <c r="B337" s="5">
        <v>27</v>
      </c>
      <c r="C337" s="34" t="s">
        <v>128</v>
      </c>
      <c r="D337" s="34">
        <v>1</v>
      </c>
      <c r="G337" s="25">
        <v>640</v>
      </c>
      <c r="H337" s="27" t="s">
        <v>284</v>
      </c>
      <c r="J337" s="35" t="str" cm="1">
        <f t="array" ref="J337">IFERROR(_xlfn.TEXTJOIN(";",1,IF(D337,_xlfn.MAKEARRAY(D337,1,_xlfn.LAMBDA(_xlpm.x,_xlpm.y,K337&amp;"-"&amp;TEXT(_xlpm.x,"00"))),_xlfn.MAP(_xlfn.TEXTSPLIT(E337,{";","；"},,1),_xlfn.LAMBDA(_xlpm.x,K337&amp;"-"&amp;TEXT(_xlpm.x,"00"))))),"")</f>
        <v>4c-640-rnd-tree-01</v>
      </c>
      <c r="K337" s="29" t="str">
        <f t="shared" si="29"/>
        <v>4c-640-rnd-tree</v>
      </c>
      <c r="L337" s="5" t="s">
        <v>123</v>
      </c>
      <c r="N337" s="5" t="s">
        <v>140</v>
      </c>
      <c r="R337" s="5">
        <v>44</v>
      </c>
    </row>
    <row r="338" spans="1:18">
      <c r="A338" s="35">
        <v>42043</v>
      </c>
      <c r="B338" s="5">
        <v>28</v>
      </c>
      <c r="C338" s="34" t="s">
        <v>131</v>
      </c>
      <c r="D338" s="34">
        <v>3</v>
      </c>
      <c r="G338" s="25">
        <v>650</v>
      </c>
      <c r="H338" s="27" t="s">
        <v>284</v>
      </c>
      <c r="J338" s="35" t="str" cm="1">
        <f t="array" ref="J338">IFERROR(_xlfn.TEXTJOIN(";",1,IF(D338,_xlfn.MAKEARRAY(D338,1,_xlfn.LAMBDA(_xlpm.x,_xlpm.y,K338&amp;"-"&amp;TEXT(_xlpm.x,"00"))),_xlfn.MAP(_xlfn.TEXTSPLIT(E338,{";","；"},,1),_xlfn.LAMBDA(_xlpm.x,K338&amp;"-"&amp;TEXT(_xlpm.x,"00"))))),"")</f>
        <v>4c-650-rnd-cloud-01;4c-650-rnd-cloud-02;4c-650-rnd-cloud-03</v>
      </c>
      <c r="K338" s="29" t="str">
        <f t="shared" si="29"/>
        <v>4c-650-rnd-cloud</v>
      </c>
      <c r="L338" s="5" t="s">
        <v>123</v>
      </c>
      <c r="N338" s="5" t="s">
        <v>231</v>
      </c>
    </row>
    <row r="339" spans="1:18">
      <c r="A339" s="35">
        <v>42043</v>
      </c>
      <c r="B339" s="5">
        <v>29</v>
      </c>
      <c r="C339" s="34" t="s">
        <v>131</v>
      </c>
      <c r="D339" s="34">
        <v>2</v>
      </c>
      <c r="G339" s="25">
        <v>850</v>
      </c>
      <c r="H339" s="27" t="s">
        <v>284</v>
      </c>
      <c r="J339" s="35" t="str" cm="1">
        <f t="array" ref="J339">IFERROR(_xlfn.TEXTJOIN(";",1,IF(D339,_xlfn.MAKEARRAY(D339,1,_xlfn.LAMBDA(_xlpm.x,_xlpm.y,K339&amp;"-"&amp;TEXT(_xlpm.x,"00"))),_xlfn.MAP(_xlfn.TEXTSPLIT(E339,{";","；"},,1),_xlfn.LAMBDA(_xlpm.x,K339&amp;"-"&amp;TEXT(_xlpm.x,"00"))))),"")</f>
        <v>4c-850-rnd-cloud-01;4c-850-rnd-cloud-02</v>
      </c>
      <c r="K339" s="29" t="str">
        <f t="shared" si="29"/>
        <v>4c-850-rnd-cloud</v>
      </c>
      <c r="L339" s="5" t="s">
        <v>123</v>
      </c>
      <c r="N339" s="5" t="s">
        <v>148</v>
      </c>
    </row>
    <row r="340" spans="1:18">
      <c r="A340" s="35">
        <v>42043</v>
      </c>
      <c r="B340" s="5">
        <v>30</v>
      </c>
      <c r="C340" s="34" t="s">
        <v>136</v>
      </c>
      <c r="D340" s="34">
        <v>4</v>
      </c>
      <c r="G340" s="25">
        <v>1200</v>
      </c>
      <c r="H340" s="27" t="s">
        <v>284</v>
      </c>
      <c r="J340" s="35" t="str" cm="1">
        <f t="array" ref="J340">IFERROR(_xlfn.TEXTJOIN(";",1,IF(D340,_xlfn.MAKEARRAY(D340,1,_xlfn.LAMBDA(_xlpm.x,_xlpm.y,K340&amp;"-"&amp;TEXT(_xlpm.x,"00"))),_xlfn.MAP(_xlfn.TEXTSPLIT(E340,{";","；"},,1),_xlfn.LAMBDA(_xlpm.x,K340&amp;"-"&amp;TEXT(_xlpm.x,"00"))))),"")</f>
        <v>4c-1200-rnd-stone-01;4c-1200-rnd-stone-02;4c-1200-rnd-stone-03;4c-1200-rnd-stone-04</v>
      </c>
      <c r="K340" s="29" t="str">
        <f t="shared" si="29"/>
        <v>4c-1200-rnd-stone</v>
      </c>
      <c r="L340" s="5" t="s">
        <v>123</v>
      </c>
      <c r="N340" s="5" t="s">
        <v>271</v>
      </c>
    </row>
    <row r="341" spans="1:18">
      <c r="A341" s="35">
        <v>42043</v>
      </c>
      <c r="B341" s="5">
        <v>31</v>
      </c>
      <c r="C341" s="34" t="s">
        <v>132</v>
      </c>
      <c r="D341" s="34">
        <v>1</v>
      </c>
      <c r="G341" s="25">
        <v>2000</v>
      </c>
      <c r="H341" s="27" t="s">
        <v>284</v>
      </c>
      <c r="J341" s="35" t="str" cm="1">
        <f t="array" ref="J341">IFERROR(_xlfn.TEXTJOIN(";",1,IF(D341,_xlfn.MAKEARRAY(D341,1,_xlfn.LAMBDA(_xlpm.x,_xlpm.y,K341&amp;"-"&amp;TEXT(_xlpm.x,"00"))),_xlfn.MAP(_xlfn.TEXTSPLIT(E341,{";","；"},,1),_xlfn.LAMBDA(_xlpm.x,K341&amp;"-"&amp;TEXT(_xlpm.x,"00"))))),"")</f>
        <v>4c-2000-fixed-sky-01</v>
      </c>
      <c r="K341" s="29" t="str">
        <f t="shared" si="29"/>
        <v>4c-2000-fixed-sky</v>
      </c>
      <c r="L341" s="5" t="s">
        <v>126</v>
      </c>
      <c r="M341" s="5">
        <v>25.6</v>
      </c>
    </row>
    <row r="343" spans="1:18">
      <c r="A343" s="35">
        <v>42051</v>
      </c>
      <c r="B343" s="5">
        <v>1</v>
      </c>
      <c r="C343" s="34" t="s">
        <v>298</v>
      </c>
      <c r="D343" s="34">
        <v>1</v>
      </c>
      <c r="E343" s="34"/>
      <c r="F343" s="34"/>
      <c r="G343" s="25">
        <v>20</v>
      </c>
      <c r="H343" s="27" t="s">
        <v>299</v>
      </c>
      <c r="J343" s="35" t="str" cm="1">
        <f t="array" ref="J343">IFERROR(_xlfn.TEXTJOIN(";",1,IF(D343,_xlfn.MAKEARRAY(D343,1,_xlfn.LAMBDA(_xlpm.x,_xlpm.y,K343&amp;"-"&amp;TEXT(_xlpm.x,"00"))),_xlfn.MAP(_xlfn.TEXTSPLIT(E343,{";","；"},,1),_xlfn.LAMBDA(_xlpm.x,K343&amp;"-"&amp;TEXT(_xlpm.x,"00"))))),"")</f>
        <v>5a-20-rnd-bridge-01</v>
      </c>
      <c r="K343" s="29" t="str">
        <f t="shared" ref="K343:K344" si="30">_xlfn.TEXTJOIN("-",1,H343:I343,G343,IF(L343="FixedDistance","fixed","rnd"),C343)</f>
        <v>5a-20-rnd-bridge</v>
      </c>
      <c r="L343" s="5" t="s">
        <v>123</v>
      </c>
      <c r="N343" s="5" t="s">
        <v>300</v>
      </c>
      <c r="P343" s="5">
        <v>0.5</v>
      </c>
      <c r="Q343" s="5">
        <v>0.5</v>
      </c>
    </row>
    <row r="344" spans="1:18">
      <c r="A344" s="35">
        <v>42051</v>
      </c>
      <c r="B344" s="5">
        <v>2</v>
      </c>
      <c r="C344" s="34" t="s">
        <v>219</v>
      </c>
      <c r="D344" s="34">
        <v>5</v>
      </c>
      <c r="E344" s="34"/>
      <c r="F344" s="34"/>
      <c r="G344" s="25">
        <v>30</v>
      </c>
      <c r="H344" s="27" t="s">
        <v>299</v>
      </c>
      <c r="J344" s="35" t="str" cm="1">
        <f t="array" ref="J344">IFERROR(_xlfn.TEXTJOIN(";",1,IF(D344,_xlfn.MAKEARRAY(D344,1,_xlfn.LAMBDA(_xlpm.x,_xlpm.y,K344&amp;"-"&amp;TEXT(_xlpm.x,"00"))),_xlfn.MAP(_xlfn.TEXTSPLIT(E344,{";","；"},,1),_xlfn.LAMBDA(_xlpm.x,K344&amp;"-"&amp;TEXT(_xlpm.x,"00"))))),"")</f>
        <v>5a-30-rnd-hill-01;5a-30-rnd-hill-02;5a-30-rnd-hill-03;5a-30-rnd-hill-04;5a-30-rnd-hill-05</v>
      </c>
      <c r="K344" s="29" t="str">
        <f t="shared" si="30"/>
        <v>5a-30-rnd-hill</v>
      </c>
      <c r="L344" s="5" t="s">
        <v>123</v>
      </c>
      <c r="N344" s="5" t="s">
        <v>246</v>
      </c>
      <c r="R344" s="5">
        <v>55</v>
      </c>
    </row>
    <row r="345" spans="1:18">
      <c r="A345" s="35">
        <v>42051</v>
      </c>
      <c r="B345" s="5">
        <v>3</v>
      </c>
      <c r="C345" s="34" t="s">
        <v>128</v>
      </c>
      <c r="D345" s="34">
        <v>9</v>
      </c>
      <c r="E345" s="34"/>
      <c r="F345" s="34"/>
      <c r="G345" s="25">
        <v>33</v>
      </c>
      <c r="H345" s="27" t="s">
        <v>299</v>
      </c>
      <c r="J345" s="35" t="str" cm="1">
        <f t="array" ref="J345">IFERROR(_xlfn.TEXTJOIN(";",1,IF(D345,_xlfn.MAKEARRAY(D345,1,_xlfn.LAMBDA(_xlpm.x,_xlpm.y,K345&amp;"-"&amp;TEXT(_xlpm.x,"00"))),_xlfn.MAP(_xlfn.TEXTSPLIT(E345,{";","；"},,1),_xlfn.LAMBDA(_xlpm.x,K345&amp;"-"&amp;TEXT(_xlpm.x,"00"))))),"")</f>
        <v>5a-33-rnd-tree-01;5a-33-rnd-tree-02;5a-33-rnd-tree-03;5a-33-rnd-tree-04;5a-33-rnd-tree-05;5a-33-rnd-tree-06;5a-33-rnd-tree-07;5a-33-rnd-tree-08;5a-33-rnd-tree-09</v>
      </c>
      <c r="K345" s="29" t="str">
        <f t="shared" ref="K345:K365" si="31">_xlfn.TEXTJOIN("-",1,H345:I345,G345,IF(L345="FixedDistance","fixed","rnd"),C345)</f>
        <v>5a-33-rnd-tree</v>
      </c>
      <c r="L345" s="5" t="s">
        <v>123</v>
      </c>
      <c r="N345" s="5" t="s">
        <v>301</v>
      </c>
    </row>
    <row r="346" spans="1:18">
      <c r="A346" s="35">
        <v>42051</v>
      </c>
      <c r="B346" s="5">
        <v>4</v>
      </c>
      <c r="C346" s="34" t="s">
        <v>219</v>
      </c>
      <c r="D346" s="34">
        <v>2</v>
      </c>
      <c r="E346" s="34"/>
      <c r="F346" s="34"/>
      <c r="G346" s="25">
        <v>36</v>
      </c>
      <c r="H346" s="27" t="s">
        <v>299</v>
      </c>
      <c r="J346" s="35" t="str" cm="1">
        <f t="array" ref="J346">IFERROR(_xlfn.TEXTJOIN(";",1,IF(D346,_xlfn.MAKEARRAY(D346,1,_xlfn.LAMBDA(_xlpm.x,_xlpm.y,K346&amp;"-"&amp;TEXT(_xlpm.x,"00"))),_xlfn.MAP(_xlfn.TEXTSPLIT(E346,{";","；"},,1),_xlfn.LAMBDA(_xlpm.x,K346&amp;"-"&amp;TEXT(_xlpm.x,"00"))))),"")</f>
        <v>5a-36-rnd-hill-01;5a-36-rnd-hill-02</v>
      </c>
      <c r="K346" s="29" t="str">
        <f t="shared" si="31"/>
        <v>5a-36-rnd-hill</v>
      </c>
      <c r="L346" s="5" t="s">
        <v>123</v>
      </c>
      <c r="N346" s="5" t="s">
        <v>302</v>
      </c>
    </row>
    <row r="347" spans="1:18">
      <c r="A347" s="35">
        <v>42051</v>
      </c>
      <c r="B347" s="5">
        <v>5</v>
      </c>
      <c r="C347" s="34" t="s">
        <v>128</v>
      </c>
      <c r="D347" s="34">
        <v>11</v>
      </c>
      <c r="E347" s="34"/>
      <c r="F347" s="34"/>
      <c r="G347" s="25">
        <v>75</v>
      </c>
      <c r="H347" s="27" t="s">
        <v>299</v>
      </c>
      <c r="J347" s="35" t="str" cm="1">
        <f t="array" ref="J347">IFERROR(_xlfn.TEXTJOIN(";",1,IF(D347,_xlfn.MAKEARRAY(D347,1,_xlfn.LAMBDA(_xlpm.x,_xlpm.y,K347&amp;"-"&amp;TEXT(_xlpm.x,"00"))),_xlfn.MAP(_xlfn.TEXTSPLIT(E347,{";","；"},,1),_xlfn.LAMBDA(_xlpm.x,K347&amp;"-"&amp;TEXT(_xlpm.x,"00"))))),"")</f>
        <v>5a-75-rnd-tree-01;5a-75-rnd-tree-02;5a-75-rnd-tree-03;5a-75-rnd-tree-04;5a-75-rnd-tree-05;5a-75-rnd-tree-06;5a-75-rnd-tree-07;5a-75-rnd-tree-08;5a-75-rnd-tree-09;5a-75-rnd-tree-10;5a-75-rnd-tree-11</v>
      </c>
      <c r="K347" s="29" t="str">
        <f t="shared" si="31"/>
        <v>5a-75-rnd-tree</v>
      </c>
      <c r="L347" s="5" t="s">
        <v>123</v>
      </c>
      <c r="N347" s="5" t="s">
        <v>303</v>
      </c>
    </row>
    <row r="348" spans="1:18">
      <c r="A348" s="35">
        <v>42051</v>
      </c>
      <c r="B348" s="5">
        <v>6</v>
      </c>
      <c r="C348" s="34" t="s">
        <v>219</v>
      </c>
      <c r="D348" s="34">
        <v>4</v>
      </c>
      <c r="E348" s="34"/>
      <c r="F348" s="34"/>
      <c r="G348" s="25">
        <v>98</v>
      </c>
      <c r="H348" s="27" t="s">
        <v>299</v>
      </c>
      <c r="J348" s="35" t="str" cm="1">
        <f t="array" ref="J348">IFERROR(_xlfn.TEXTJOIN(";",1,IF(D348,_xlfn.MAKEARRAY(D348,1,_xlfn.LAMBDA(_xlpm.x,_xlpm.y,K348&amp;"-"&amp;TEXT(_xlpm.x,"00"))),_xlfn.MAP(_xlfn.TEXTSPLIT(E348,{";","；"},,1),_xlfn.LAMBDA(_xlpm.x,K348&amp;"-"&amp;TEXT(_xlpm.x,"00"))))),"")</f>
        <v>5a-98-rnd-hill-01;5a-98-rnd-hill-02;5a-98-rnd-hill-03;5a-98-rnd-hill-04</v>
      </c>
      <c r="K348" s="29" t="str">
        <f t="shared" si="31"/>
        <v>5a-98-rnd-hill</v>
      </c>
      <c r="L348" s="5" t="s">
        <v>123</v>
      </c>
      <c r="N348" s="5" t="s">
        <v>304</v>
      </c>
      <c r="R348" s="5">
        <v>32</v>
      </c>
    </row>
    <row r="349" spans="1:18">
      <c r="A349" s="35">
        <v>42051</v>
      </c>
      <c r="B349" s="5">
        <v>7</v>
      </c>
      <c r="C349" s="34" t="s">
        <v>305</v>
      </c>
      <c r="D349" s="34">
        <v>4</v>
      </c>
      <c r="E349" s="34"/>
      <c r="F349" s="34"/>
      <c r="G349" s="25">
        <v>99</v>
      </c>
      <c r="H349" s="27" t="s">
        <v>299</v>
      </c>
      <c r="J349" s="35" t="str" cm="1">
        <f t="array" ref="J349">IFERROR(_xlfn.TEXTJOIN(";",1,IF(D349,_xlfn.MAKEARRAY(D349,1,_xlfn.LAMBDA(_xlpm.x,_xlpm.y,K349&amp;"-"&amp;TEXT(_xlpm.x,"00"))),_xlfn.MAP(_xlfn.TEXTSPLIT(E349,{";","；"},,1),_xlfn.LAMBDA(_xlpm.x,K349&amp;"-"&amp;TEXT(_xlpm.x,"00"))))),"")</f>
        <v>5a-99-rnd-lake-01;5a-99-rnd-lake-02;5a-99-rnd-lake-03;5a-99-rnd-lake-04</v>
      </c>
      <c r="K349" s="29" t="str">
        <f t="shared" si="31"/>
        <v>5a-99-rnd-lake</v>
      </c>
      <c r="L349" s="5" t="s">
        <v>123</v>
      </c>
      <c r="N349" s="5" t="s">
        <v>306</v>
      </c>
    </row>
    <row r="350" spans="1:18">
      <c r="A350" s="35">
        <v>42051</v>
      </c>
      <c r="B350" s="5">
        <v>8</v>
      </c>
      <c r="C350" s="34" t="s">
        <v>127</v>
      </c>
      <c r="D350" s="34">
        <v>1</v>
      </c>
      <c r="E350" s="34"/>
      <c r="F350" s="34"/>
      <c r="G350" s="25">
        <v>100</v>
      </c>
      <c r="H350" s="27" t="s">
        <v>299</v>
      </c>
      <c r="J350" s="35" t="str" cm="1">
        <f t="array" ref="J350">IFERROR(_xlfn.TEXTJOIN(";",1,IF(D350,_xlfn.MAKEARRAY(D350,1,_xlfn.LAMBDA(_xlpm.x,_xlpm.y,K350&amp;"-"&amp;TEXT(_xlpm.x,"00"))),_xlfn.MAP(_xlfn.TEXTSPLIT(E350,{";","；"},,1),_xlfn.LAMBDA(_xlpm.x,K350&amp;"-"&amp;TEXT(_xlpm.x,"00"))))),"")</f>
        <v>5a-100-fixed-ground-01</v>
      </c>
      <c r="K350" s="29" t="str">
        <f t="shared" si="31"/>
        <v>5a-100-fixed-ground</v>
      </c>
      <c r="L350" s="5" t="s">
        <v>126</v>
      </c>
      <c r="M350" s="5">
        <v>25.6</v>
      </c>
    </row>
    <row r="351" spans="1:18">
      <c r="A351" s="35">
        <v>42051</v>
      </c>
      <c r="B351" s="5">
        <v>9</v>
      </c>
      <c r="C351" s="34" t="s">
        <v>307</v>
      </c>
      <c r="D351" s="34">
        <v>4</v>
      </c>
      <c r="E351" s="34"/>
      <c r="F351" s="34"/>
      <c r="G351" s="25">
        <v>103</v>
      </c>
      <c r="H351" s="27" t="s">
        <v>299</v>
      </c>
      <c r="J351" s="35" t="str" cm="1">
        <f t="array" ref="J351">IFERROR(_xlfn.TEXTJOIN(";",1,IF(D351,_xlfn.MAKEARRAY(D351,1,_xlfn.LAMBDA(_xlpm.x,_xlpm.y,K351&amp;"-"&amp;TEXT(_xlpm.x,"00"))),_xlfn.MAP(_xlfn.TEXTSPLIT(E351,{";","；"},,1),_xlfn.LAMBDA(_xlpm.x,K351&amp;"-"&amp;TEXT(_xlpm.x,"00"))))),"")</f>
        <v>5a-103-rnd-house-01;5a-103-rnd-house-02;5a-103-rnd-house-03;5a-103-rnd-house-04</v>
      </c>
      <c r="K351" s="29" t="str">
        <f t="shared" si="31"/>
        <v>5a-103-rnd-house</v>
      </c>
      <c r="L351" s="5" t="s">
        <v>123</v>
      </c>
      <c r="N351" s="5" t="s">
        <v>218</v>
      </c>
    </row>
    <row r="352" spans="1:18">
      <c r="A352" s="35">
        <v>42051</v>
      </c>
      <c r="B352" s="5">
        <v>10</v>
      </c>
      <c r="C352" s="34" t="s">
        <v>307</v>
      </c>
      <c r="D352" s="34">
        <v>4</v>
      </c>
      <c r="E352" s="34"/>
      <c r="F352" s="34"/>
      <c r="G352" s="25">
        <v>105</v>
      </c>
      <c r="H352" s="27" t="s">
        <v>299</v>
      </c>
      <c r="J352" s="35" t="str" cm="1">
        <f t="array" ref="J352">IFERROR(_xlfn.TEXTJOIN(";",1,IF(D352,_xlfn.MAKEARRAY(D352,1,_xlfn.LAMBDA(_xlpm.x,_xlpm.y,K352&amp;"-"&amp;TEXT(_xlpm.x,"00"))),_xlfn.MAP(_xlfn.TEXTSPLIT(E352,{";","；"},,1),_xlfn.LAMBDA(_xlpm.x,K352&amp;"-"&amp;TEXT(_xlpm.x,"00"))))),"")</f>
        <v>5a-105-rnd-house-01;5a-105-rnd-house-02;5a-105-rnd-house-03;5a-105-rnd-house-04</v>
      </c>
      <c r="K352" s="29" t="str">
        <f t="shared" si="31"/>
        <v>5a-105-rnd-house</v>
      </c>
      <c r="L352" s="5" t="s">
        <v>123</v>
      </c>
      <c r="N352" s="5" t="s">
        <v>308</v>
      </c>
      <c r="P352" s="5">
        <v>0.5</v>
      </c>
      <c r="Q352" s="5">
        <v>0.5</v>
      </c>
    </row>
    <row r="353" spans="1:17">
      <c r="A353" s="35">
        <v>42051</v>
      </c>
      <c r="B353" s="5">
        <v>11</v>
      </c>
      <c r="C353" s="34" t="s">
        <v>128</v>
      </c>
      <c r="D353" s="34">
        <v>5</v>
      </c>
      <c r="E353" s="34"/>
      <c r="F353" s="34"/>
      <c r="G353" s="25">
        <v>156</v>
      </c>
      <c r="H353" s="27" t="s">
        <v>299</v>
      </c>
      <c r="J353" s="35" t="str" cm="1">
        <f t="array" ref="J353">IFERROR(_xlfn.TEXTJOIN(";",1,IF(D353,_xlfn.MAKEARRAY(D353,1,_xlfn.LAMBDA(_xlpm.x,_xlpm.y,K353&amp;"-"&amp;TEXT(_xlpm.x,"00"))),_xlfn.MAP(_xlfn.TEXTSPLIT(E353,{";","；"},,1),_xlfn.LAMBDA(_xlpm.x,K353&amp;"-"&amp;TEXT(_xlpm.x,"00"))))),"")</f>
        <v>5a-156-rnd-tree-01;5a-156-rnd-tree-02;5a-156-rnd-tree-03;5a-156-rnd-tree-04;5a-156-rnd-tree-05</v>
      </c>
      <c r="K353" s="29" t="str">
        <f t="shared" si="31"/>
        <v>5a-156-rnd-tree</v>
      </c>
      <c r="L353" s="5" t="s">
        <v>123</v>
      </c>
      <c r="N353" s="5" t="s">
        <v>309</v>
      </c>
      <c r="P353" s="5">
        <v>0.8</v>
      </c>
      <c r="Q353" s="5">
        <v>0.2</v>
      </c>
    </row>
    <row r="354" spans="1:17">
      <c r="A354" s="35">
        <v>42051</v>
      </c>
      <c r="B354" s="5">
        <v>12</v>
      </c>
      <c r="C354" s="34" t="s">
        <v>286</v>
      </c>
      <c r="D354" s="34">
        <v>4</v>
      </c>
      <c r="E354" s="34"/>
      <c r="F354" s="34"/>
      <c r="G354" s="25">
        <v>270</v>
      </c>
      <c r="H354" s="27" t="s">
        <v>299</v>
      </c>
      <c r="J354" s="35" t="str" cm="1">
        <f t="array" ref="J354">IFERROR(_xlfn.TEXTJOIN(";",1,IF(D354,_xlfn.MAKEARRAY(D354,1,_xlfn.LAMBDA(_xlpm.x,_xlpm.y,K354&amp;"-"&amp;TEXT(_xlpm.x,"00"))),_xlfn.MAP(_xlfn.TEXTSPLIT(E354,{";","；"},,1),_xlfn.LAMBDA(_xlpm.x,K354&amp;"-"&amp;TEXT(_xlpm.x,"00"))))),"")</f>
        <v>5a-270-rnd-bush-01;5a-270-rnd-bush-02;5a-270-rnd-bush-03;5a-270-rnd-bush-04</v>
      </c>
      <c r="K354" s="29" t="str">
        <f t="shared" si="31"/>
        <v>5a-270-rnd-bush</v>
      </c>
      <c r="L354" s="5" t="s">
        <v>123</v>
      </c>
      <c r="N354" s="5" t="s">
        <v>310</v>
      </c>
      <c r="P354" s="5">
        <v>0.8</v>
      </c>
      <c r="Q354" s="5">
        <v>0.2</v>
      </c>
    </row>
    <row r="355" spans="1:17">
      <c r="A355" s="35">
        <v>42051</v>
      </c>
      <c r="B355" s="5">
        <v>13</v>
      </c>
      <c r="C355" s="34" t="s">
        <v>307</v>
      </c>
      <c r="D355" s="34">
        <v>3</v>
      </c>
      <c r="E355" s="34"/>
      <c r="F355" s="34"/>
      <c r="G355" s="25">
        <v>295</v>
      </c>
      <c r="H355" s="27" t="s">
        <v>299</v>
      </c>
      <c r="J355" s="35" t="str" cm="1">
        <f t="array" ref="J355">IFERROR(_xlfn.TEXTJOIN(";",1,IF(D355,_xlfn.MAKEARRAY(D355,1,_xlfn.LAMBDA(_xlpm.x,_xlpm.y,K355&amp;"-"&amp;TEXT(_xlpm.x,"00"))),_xlfn.MAP(_xlfn.TEXTSPLIT(E355,{";","；"},,1),_xlfn.LAMBDA(_xlpm.x,K355&amp;"-"&amp;TEXT(_xlpm.x,"00"))))),"")</f>
        <v>5a-295-rnd-house-01;5a-295-rnd-house-02;5a-295-rnd-house-03</v>
      </c>
      <c r="K355" s="29" t="str">
        <f t="shared" si="31"/>
        <v>5a-295-rnd-house</v>
      </c>
      <c r="L355" s="5" t="s">
        <v>123</v>
      </c>
      <c r="N355" s="5" t="s">
        <v>311</v>
      </c>
    </row>
    <row r="356" spans="1:17">
      <c r="A356" s="35">
        <v>42051</v>
      </c>
      <c r="B356" s="5">
        <v>14</v>
      </c>
      <c r="C356" s="34" t="s">
        <v>128</v>
      </c>
      <c r="D356" s="34">
        <v>4</v>
      </c>
      <c r="E356" s="34"/>
      <c r="F356" s="34"/>
      <c r="G356" s="25">
        <v>296</v>
      </c>
      <c r="H356" s="27" t="s">
        <v>299</v>
      </c>
      <c r="J356" s="35" t="str" cm="1">
        <f t="array" ref="J356">IFERROR(_xlfn.TEXTJOIN(";",1,IF(D356,_xlfn.MAKEARRAY(D356,1,_xlfn.LAMBDA(_xlpm.x,_xlpm.y,K356&amp;"-"&amp;TEXT(_xlpm.x,"00"))),_xlfn.MAP(_xlfn.TEXTSPLIT(E356,{";","；"},,1),_xlfn.LAMBDA(_xlpm.x,K356&amp;"-"&amp;TEXT(_xlpm.x,"00"))))),"")</f>
        <v>5a-296-rnd-tree-01;5a-296-rnd-tree-02;5a-296-rnd-tree-03;5a-296-rnd-tree-04</v>
      </c>
      <c r="K356" s="29" t="str">
        <f t="shared" si="31"/>
        <v>5a-296-rnd-tree</v>
      </c>
      <c r="L356" s="5" t="s">
        <v>123</v>
      </c>
      <c r="N356" s="5" t="s">
        <v>312</v>
      </c>
      <c r="P356" s="5">
        <v>0.8</v>
      </c>
      <c r="Q356" s="5">
        <v>0.2</v>
      </c>
    </row>
    <row r="357" spans="1:17">
      <c r="A357" s="35">
        <v>42051</v>
      </c>
      <c r="B357" s="5">
        <v>15</v>
      </c>
      <c r="C357" s="34" t="s">
        <v>305</v>
      </c>
      <c r="D357" s="34">
        <v>8</v>
      </c>
      <c r="E357" s="34"/>
      <c r="F357" s="34"/>
      <c r="G357" s="25">
        <v>297</v>
      </c>
      <c r="H357" s="27" t="s">
        <v>299</v>
      </c>
      <c r="J357" s="35" t="str" cm="1">
        <f t="array" ref="J357">IFERROR(_xlfn.TEXTJOIN(";",1,IF(D357,_xlfn.MAKEARRAY(D357,1,_xlfn.LAMBDA(_xlpm.x,_xlpm.y,K357&amp;"-"&amp;TEXT(_xlpm.x,"00"))),_xlfn.MAP(_xlfn.TEXTSPLIT(E357,{";","；"},,1),_xlfn.LAMBDA(_xlpm.x,K357&amp;"-"&amp;TEXT(_xlpm.x,"00"))))),"")</f>
        <v>5a-297-rnd-lake-01;5a-297-rnd-lake-02;5a-297-rnd-lake-03;5a-297-rnd-lake-04;5a-297-rnd-lake-05;5a-297-rnd-lake-06;5a-297-rnd-lake-07;5a-297-rnd-lake-08</v>
      </c>
      <c r="K357" s="29" t="str">
        <f t="shared" si="31"/>
        <v>5a-297-rnd-lake</v>
      </c>
      <c r="L357" s="5" t="s">
        <v>123</v>
      </c>
      <c r="N357" s="5" t="s">
        <v>313</v>
      </c>
    </row>
    <row r="358" spans="1:17">
      <c r="A358" s="35">
        <v>42051</v>
      </c>
      <c r="B358" s="5">
        <v>16</v>
      </c>
      <c r="C358" s="34" t="s">
        <v>219</v>
      </c>
      <c r="D358" s="34">
        <v>6</v>
      </c>
      <c r="E358" s="34"/>
      <c r="F358" s="34"/>
      <c r="G358" s="25">
        <v>298</v>
      </c>
      <c r="H358" s="27" t="s">
        <v>299</v>
      </c>
      <c r="J358" s="35" t="str" cm="1">
        <f t="array" ref="J358">IFERROR(_xlfn.TEXTJOIN(";",1,IF(D358,_xlfn.MAKEARRAY(D358,1,_xlfn.LAMBDA(_xlpm.x,_xlpm.y,K358&amp;"-"&amp;TEXT(_xlpm.x,"00"))),_xlfn.MAP(_xlfn.TEXTSPLIT(E358,{";","；"},,1),_xlfn.LAMBDA(_xlpm.x,K358&amp;"-"&amp;TEXT(_xlpm.x,"00"))))),"")</f>
        <v>5a-298-rnd-hill-01;5a-298-rnd-hill-02;5a-298-rnd-hill-03;5a-298-rnd-hill-04;5a-298-rnd-hill-05;5a-298-rnd-hill-06</v>
      </c>
      <c r="K358" s="29" t="str">
        <f t="shared" si="31"/>
        <v>5a-298-rnd-hill</v>
      </c>
      <c r="L358" s="5" t="s">
        <v>123</v>
      </c>
      <c r="N358" s="5" t="s">
        <v>306</v>
      </c>
    </row>
    <row r="359" spans="1:17">
      <c r="A359" s="35">
        <v>42051</v>
      </c>
      <c r="B359" s="5">
        <v>17</v>
      </c>
      <c r="C359" s="34" t="s">
        <v>305</v>
      </c>
      <c r="D359" s="34">
        <v>5</v>
      </c>
      <c r="E359" s="34"/>
      <c r="F359" s="34"/>
      <c r="G359" s="25">
        <v>299</v>
      </c>
      <c r="H359" s="27" t="s">
        <v>299</v>
      </c>
      <c r="J359" s="35" t="str" cm="1">
        <f t="array" ref="J359">IFERROR(_xlfn.TEXTJOIN(";",1,IF(D359,_xlfn.MAKEARRAY(D359,1,_xlfn.LAMBDA(_xlpm.x,_xlpm.y,K359&amp;"-"&amp;TEXT(_xlpm.x,"00"))),_xlfn.MAP(_xlfn.TEXTSPLIT(E359,{";","；"},,1),_xlfn.LAMBDA(_xlpm.x,K359&amp;"-"&amp;TEXT(_xlpm.x,"00"))))),"")</f>
        <v>5a-299-rnd-lake-01;5a-299-rnd-lake-02;5a-299-rnd-lake-03;5a-299-rnd-lake-04;5a-299-rnd-lake-05</v>
      </c>
      <c r="K359" s="29" t="str">
        <f t="shared" si="31"/>
        <v>5a-299-rnd-lake</v>
      </c>
      <c r="L359" s="5" t="s">
        <v>123</v>
      </c>
      <c r="N359" s="5" t="s">
        <v>314</v>
      </c>
    </row>
    <row r="360" spans="1:17">
      <c r="A360" s="35">
        <v>42051</v>
      </c>
      <c r="B360" s="5">
        <v>18</v>
      </c>
      <c r="C360" s="34" t="s">
        <v>127</v>
      </c>
      <c r="D360" s="34">
        <v>1</v>
      </c>
      <c r="E360" s="34"/>
      <c r="F360" s="34"/>
      <c r="G360" s="25">
        <v>300</v>
      </c>
      <c r="H360" s="27" t="s">
        <v>299</v>
      </c>
      <c r="J360" s="35" t="str" cm="1">
        <f t="array" ref="J360">IFERROR(_xlfn.TEXTJOIN(";",1,IF(D360,_xlfn.MAKEARRAY(D360,1,_xlfn.LAMBDA(_xlpm.x,_xlpm.y,K360&amp;"-"&amp;TEXT(_xlpm.x,"00"))),_xlfn.MAP(_xlfn.TEXTSPLIT(E360,{";","；"},,1),_xlfn.LAMBDA(_xlpm.x,K360&amp;"-"&amp;TEXT(_xlpm.x,"00"))))),"")</f>
        <v>5a-300-fixed-ground-01</v>
      </c>
      <c r="K360" s="29" t="str">
        <f t="shared" si="31"/>
        <v>5a-300-fixed-ground</v>
      </c>
      <c r="L360" s="5" t="s">
        <v>126</v>
      </c>
      <c r="M360" s="5">
        <v>25.6</v>
      </c>
    </row>
    <row r="361" spans="1:17">
      <c r="A361" s="35">
        <v>42051</v>
      </c>
      <c r="B361" s="5">
        <v>19</v>
      </c>
      <c r="C361" s="34" t="s">
        <v>219</v>
      </c>
      <c r="D361" s="34">
        <v>4</v>
      </c>
      <c r="E361" s="34"/>
      <c r="F361" s="34"/>
      <c r="G361" s="25">
        <v>498</v>
      </c>
      <c r="H361" s="27" t="s">
        <v>299</v>
      </c>
      <c r="J361" s="35" t="str" cm="1">
        <f t="array" ref="J361">IFERROR(_xlfn.TEXTJOIN(";",1,IF(D361,_xlfn.MAKEARRAY(D361,1,_xlfn.LAMBDA(_xlpm.x,_xlpm.y,K361&amp;"-"&amp;TEXT(_xlpm.x,"00"))),_xlfn.MAP(_xlfn.TEXTSPLIT(E361,{";","；"},,1),_xlfn.LAMBDA(_xlpm.x,K361&amp;"-"&amp;TEXT(_xlpm.x,"00"))))),"")</f>
        <v>5a-498-rnd-hill-01;5a-498-rnd-hill-02;5a-498-rnd-hill-03;5a-498-rnd-hill-04</v>
      </c>
      <c r="K361" s="29" t="str">
        <f t="shared" si="31"/>
        <v>5a-498-rnd-hill</v>
      </c>
      <c r="L361" s="5" t="s">
        <v>123</v>
      </c>
      <c r="N361" s="5" t="s">
        <v>315</v>
      </c>
      <c r="P361" s="5">
        <v>0.8</v>
      </c>
      <c r="Q361" s="5">
        <v>0.2</v>
      </c>
    </row>
    <row r="362" spans="1:17">
      <c r="A362" s="35">
        <v>42051</v>
      </c>
      <c r="B362" s="5">
        <v>20</v>
      </c>
      <c r="C362" s="34" t="s">
        <v>305</v>
      </c>
      <c r="D362" s="34">
        <v>12</v>
      </c>
      <c r="E362" s="34"/>
      <c r="F362" s="34"/>
      <c r="G362" s="25">
        <v>499</v>
      </c>
      <c r="H362" s="27" t="s">
        <v>299</v>
      </c>
      <c r="J362" s="35" t="str" cm="1">
        <f t="array" ref="J362">IFERROR(_xlfn.TEXTJOIN(";",1,IF(D362,_xlfn.MAKEARRAY(D362,1,_xlfn.LAMBDA(_xlpm.x,_xlpm.y,K362&amp;"-"&amp;TEXT(_xlpm.x,"00"))),_xlfn.MAP(_xlfn.TEXTSPLIT(E362,{";","；"},,1),_xlfn.LAMBDA(_xlpm.x,K362&amp;"-"&amp;TEXT(_xlpm.x,"00"))))),"")</f>
        <v>5a-499-rnd-lake-01;5a-499-rnd-lake-02;5a-499-rnd-lake-03;5a-499-rnd-lake-04;5a-499-rnd-lake-05;5a-499-rnd-lake-06;5a-499-rnd-lake-07;5a-499-rnd-lake-08;5a-499-rnd-lake-09;5a-499-rnd-lake-10;5a-499-rnd-lake-11;5a-499-rnd-lake-12</v>
      </c>
      <c r="K362" s="29" t="str">
        <f t="shared" si="31"/>
        <v>5a-499-rnd-lake</v>
      </c>
      <c r="L362" s="5" t="s">
        <v>123</v>
      </c>
      <c r="N362" s="5" t="s">
        <v>316</v>
      </c>
    </row>
    <row r="363" spans="1:17">
      <c r="A363" s="35">
        <v>42051</v>
      </c>
      <c r="B363" s="5">
        <v>21</v>
      </c>
      <c r="C363" s="34" t="s">
        <v>127</v>
      </c>
      <c r="D363" s="34">
        <v>1</v>
      </c>
      <c r="E363" s="34"/>
      <c r="F363" s="34"/>
      <c r="G363" s="25">
        <v>500</v>
      </c>
      <c r="H363" s="27" t="s">
        <v>299</v>
      </c>
      <c r="J363" s="35" t="str" cm="1">
        <f t="array" ref="J363">IFERROR(_xlfn.TEXTJOIN(";",1,IF(D363,_xlfn.MAKEARRAY(D363,1,_xlfn.LAMBDA(_xlpm.x,_xlpm.y,K363&amp;"-"&amp;TEXT(_xlpm.x,"00"))),_xlfn.MAP(_xlfn.TEXTSPLIT(E363,{";","；"},,1),_xlfn.LAMBDA(_xlpm.x,K363&amp;"-"&amp;TEXT(_xlpm.x,"00"))))),"")</f>
        <v>5a-500-fixed-ground-01</v>
      </c>
      <c r="K363" s="29" t="str">
        <f t="shared" si="31"/>
        <v>5a-500-fixed-ground</v>
      </c>
      <c r="L363" s="5" t="s">
        <v>126</v>
      </c>
      <c r="M363" s="5">
        <v>25.6</v>
      </c>
    </row>
    <row r="364" spans="1:17">
      <c r="A364" s="35">
        <v>42051</v>
      </c>
      <c r="B364" s="5">
        <v>22</v>
      </c>
      <c r="C364" s="34" t="s">
        <v>219</v>
      </c>
      <c r="D364" s="34">
        <v>4</v>
      </c>
      <c r="E364" s="34"/>
      <c r="F364" s="34"/>
      <c r="G364" s="25">
        <v>501</v>
      </c>
      <c r="H364" s="27" t="s">
        <v>299</v>
      </c>
      <c r="J364" s="35" t="str" cm="1">
        <f t="array" ref="J364">IFERROR(_xlfn.TEXTJOIN(";",1,IF(D364,_xlfn.MAKEARRAY(D364,1,_xlfn.LAMBDA(_xlpm.x,_xlpm.y,K364&amp;"-"&amp;TEXT(_xlpm.x,"00"))),_xlfn.MAP(_xlfn.TEXTSPLIT(E364,{";","；"},,1),_xlfn.LAMBDA(_xlpm.x,K364&amp;"-"&amp;TEXT(_xlpm.x,"00"))))),"")</f>
        <v>5a-501-rnd-hill-01;5a-501-rnd-hill-02;5a-501-rnd-hill-03;5a-501-rnd-hill-04</v>
      </c>
      <c r="K364" s="29" t="str">
        <f t="shared" si="31"/>
        <v>5a-501-rnd-hill</v>
      </c>
      <c r="L364" s="5" t="s">
        <v>123</v>
      </c>
      <c r="N364" s="5" t="s">
        <v>316</v>
      </c>
    </row>
    <row r="365" spans="1:17">
      <c r="A365" s="35">
        <v>42051</v>
      </c>
      <c r="B365" s="5">
        <v>23</v>
      </c>
      <c r="C365" s="34" t="s">
        <v>160</v>
      </c>
      <c r="D365" s="34">
        <v>7</v>
      </c>
      <c r="E365" s="34"/>
      <c r="F365" s="34"/>
      <c r="G365" s="25">
        <v>800</v>
      </c>
      <c r="H365" s="27" t="s">
        <v>299</v>
      </c>
      <c r="J365" s="35" t="str" cm="1">
        <f t="array" ref="J365">IFERROR(_xlfn.TEXTJOIN(";",1,IF(D365,_xlfn.MAKEARRAY(D365,1,_xlfn.LAMBDA(_xlpm.x,_xlpm.y,K365&amp;"-"&amp;TEXT(_xlpm.x,"00"))),_xlfn.MAP(_xlfn.TEXTSPLIT(E365,{";","；"},,1),_xlfn.LAMBDA(_xlpm.x,K365&amp;"-"&amp;TEXT(_xlpm.x,"00"))))),"")</f>
        <v>5a-800-rnd-statu-01;5a-800-rnd-statu-02;5a-800-rnd-statu-03;5a-800-rnd-statu-04;5a-800-rnd-statu-05;5a-800-rnd-statu-06;5a-800-rnd-statu-07</v>
      </c>
      <c r="K365" s="29" t="str">
        <f t="shared" si="31"/>
        <v>5a-800-rnd-statu</v>
      </c>
      <c r="L365" s="5" t="s">
        <v>123</v>
      </c>
      <c r="N365" s="5" t="s">
        <v>317</v>
      </c>
    </row>
    <row r="366" spans="1:17">
      <c r="A366" s="35">
        <v>42051</v>
      </c>
      <c r="B366" s="5">
        <v>24</v>
      </c>
      <c r="C366" s="34" t="s">
        <v>160</v>
      </c>
      <c r="D366" s="34">
        <v>1</v>
      </c>
      <c r="E366" s="34"/>
      <c r="F366" s="34"/>
      <c r="G366" s="25">
        <v>2600</v>
      </c>
      <c r="H366" s="27" t="s">
        <v>299</v>
      </c>
      <c r="J366" s="35" t="str" cm="1">
        <f t="array" ref="J366">IFERROR(_xlfn.TEXTJOIN(";",1,IF(D366,_xlfn.MAKEARRAY(D366,1,_xlfn.LAMBDA(_xlpm.x,_xlpm.y,K366&amp;"-"&amp;TEXT(_xlpm.x,"00"))),_xlfn.MAP(_xlfn.TEXTSPLIT(E366,{";","；"},,1),_xlfn.LAMBDA(_xlpm.x,K366&amp;"-"&amp;TEXT(_xlpm.x,"00"))))),"")</f>
        <v>5a-2600-rnd-statu-01</v>
      </c>
      <c r="K366" s="29" t="str">
        <f t="shared" ref="K366:K368" si="32">_xlfn.TEXTJOIN("-",1,H366:I366,G366,IF(L366="FixedDistance","fixed","rnd"),C366)</f>
        <v>5a-2600-rnd-statu</v>
      </c>
      <c r="L366" s="5" t="s">
        <v>123</v>
      </c>
      <c r="N366" s="5" t="s">
        <v>318</v>
      </c>
    </row>
    <row r="367" spans="1:17">
      <c r="A367" s="35">
        <v>42051</v>
      </c>
      <c r="B367" s="5">
        <v>25</v>
      </c>
      <c r="C367" s="34" t="s">
        <v>131</v>
      </c>
      <c r="D367" s="34">
        <v>5</v>
      </c>
      <c r="E367" s="34"/>
      <c r="F367" s="34"/>
      <c r="G367" s="25">
        <v>2900</v>
      </c>
      <c r="H367" s="27" t="s">
        <v>299</v>
      </c>
      <c r="J367" s="35" t="str" cm="1">
        <f t="array" ref="J367">IFERROR(_xlfn.TEXTJOIN(";",1,IF(D367,_xlfn.MAKEARRAY(D367,1,_xlfn.LAMBDA(_xlpm.x,_xlpm.y,K367&amp;"-"&amp;TEXT(_xlpm.x,"00"))),_xlfn.MAP(_xlfn.TEXTSPLIT(E367,{";","；"},,1),_xlfn.LAMBDA(_xlpm.x,K367&amp;"-"&amp;TEXT(_xlpm.x,"00"))))),"")</f>
        <v>5a-2900-rnd-cloud-01;5a-2900-rnd-cloud-02;5a-2900-rnd-cloud-03;5a-2900-rnd-cloud-04;5a-2900-rnd-cloud-05</v>
      </c>
      <c r="K367" s="29" t="str">
        <f t="shared" si="32"/>
        <v>5a-2900-rnd-cloud</v>
      </c>
      <c r="L367" s="5" t="s">
        <v>123</v>
      </c>
      <c r="N367" s="5" t="s">
        <v>319</v>
      </c>
    </row>
    <row r="368" spans="1:17">
      <c r="A368" s="35">
        <v>42051</v>
      </c>
      <c r="B368" s="5">
        <v>26</v>
      </c>
      <c r="C368" s="34" t="s">
        <v>320</v>
      </c>
      <c r="D368" s="34">
        <v>1</v>
      </c>
      <c r="E368" s="34"/>
      <c r="F368" s="34"/>
      <c r="G368" s="25">
        <v>3000</v>
      </c>
      <c r="H368" s="27" t="s">
        <v>299</v>
      </c>
      <c r="J368" s="35" t="str" cm="1">
        <f t="array" ref="J368">IFERROR(_xlfn.TEXTJOIN(";",1,IF(D368,_xlfn.MAKEARRAY(D368,1,_xlfn.LAMBDA(_xlpm.x,_xlpm.y,K368&amp;"-"&amp;TEXT(_xlpm.x,"00"))),_xlfn.MAP(_xlfn.TEXTSPLIT(E368,{";","；"},,1),_xlfn.LAMBDA(_xlpm.x,K368&amp;"-"&amp;TEXT(_xlpm.x,"00"))))),"")</f>
        <v>5a-3000-fixed-sea-01</v>
      </c>
      <c r="K368" s="29" t="str">
        <f t="shared" si="32"/>
        <v>5a-3000-fixed-sea</v>
      </c>
      <c r="L368" s="5" t="s">
        <v>126</v>
      </c>
      <c r="M368" s="5">
        <v>25.6</v>
      </c>
    </row>
    <row r="369" spans="1:18">
      <c r="A369" s="35">
        <v>42051</v>
      </c>
      <c r="B369" s="5">
        <v>27</v>
      </c>
      <c r="C369" s="34" t="s">
        <v>132</v>
      </c>
      <c r="D369" s="34">
        <v>1</v>
      </c>
      <c r="E369" s="34"/>
      <c r="F369" s="34"/>
      <c r="G369" s="25">
        <v>5000</v>
      </c>
      <c r="H369" s="27" t="s">
        <v>299</v>
      </c>
      <c r="J369" s="35" t="str" cm="1">
        <f t="array" ref="J369">IFERROR(_xlfn.TEXTJOIN(";",1,IF(D369,_xlfn.MAKEARRAY(D369,1,_xlfn.LAMBDA(_xlpm.x,_xlpm.y,K369&amp;"-"&amp;TEXT(_xlpm.x,"00"))),_xlfn.MAP(_xlfn.TEXTSPLIT(E369,{";","；"},,1),_xlfn.LAMBDA(_xlpm.x,K369&amp;"-"&amp;TEXT(_xlpm.x,"00"))))),"")</f>
        <v>5a-5000-fixed-sky-01</v>
      </c>
      <c r="K369" s="29" t="str">
        <f t="shared" ref="K369" si="33">_xlfn.TEXTJOIN("-",1,H369:I369,G369,IF(L369="FixedDistance","fixed","rnd"),C369)</f>
        <v>5a-5000-fixed-sky</v>
      </c>
      <c r="L369" s="5" t="s">
        <v>126</v>
      </c>
      <c r="M369" s="5">
        <v>25.6</v>
      </c>
    </row>
    <row r="370" spans="1:18">
      <c r="A370" s="5"/>
      <c r="C370" s="34"/>
      <c r="D370" s="34"/>
      <c r="E370" s="34"/>
      <c r="F370" s="34"/>
      <c r="J370" s="35"/>
    </row>
    <row r="371" spans="1:18">
      <c r="A371" s="35">
        <v>42052</v>
      </c>
      <c r="B371" s="5">
        <v>1</v>
      </c>
      <c r="C371" s="34" t="s">
        <v>186</v>
      </c>
      <c r="D371" s="34">
        <v>3</v>
      </c>
      <c r="E371" s="34"/>
      <c r="F371" s="34"/>
      <c r="G371" s="25">
        <v>13</v>
      </c>
      <c r="H371" s="27" t="s">
        <v>321</v>
      </c>
      <c r="J371" s="35" t="str" cm="1">
        <f t="array" ref="J371">IFERROR(_xlfn.TEXTJOIN(";",1,IF(D371,_xlfn.MAKEARRAY(D371,1,_xlfn.LAMBDA(_xlpm.x,_xlpm.y,K371&amp;"-"&amp;TEXT(_xlpm.x,"00"))),_xlfn.MAP(_xlfn.TEXTSPLIT(E371,{";","；"},,1),_xlfn.LAMBDA(_xlpm.x,K371&amp;"-"&amp;TEXT(_xlpm.x,"00"))))),"")</f>
        <v>5b-13-rnd-stick-01;5b-13-rnd-stick-02;5b-13-rnd-stick-03</v>
      </c>
      <c r="K371" s="29" t="str">
        <f t="shared" ref="K371:K372" si="34">_xlfn.TEXTJOIN("-",1,H371:I371,G371,IF(L371="FixedDistance","fixed","rnd"),C371)</f>
        <v>5b-13-rnd-stick</v>
      </c>
      <c r="L371" s="5" t="s">
        <v>123</v>
      </c>
      <c r="N371" s="5" t="s">
        <v>140</v>
      </c>
    </row>
    <row r="372" spans="1:18">
      <c r="A372" s="35">
        <v>42052</v>
      </c>
      <c r="B372" s="5">
        <v>2</v>
      </c>
      <c r="C372" s="34" t="s">
        <v>136</v>
      </c>
      <c r="D372" s="34">
        <v>3</v>
      </c>
      <c r="E372" s="34"/>
      <c r="F372" s="34"/>
      <c r="G372" s="25">
        <v>18</v>
      </c>
      <c r="H372" s="27" t="s">
        <v>321</v>
      </c>
      <c r="J372" s="35" t="str" cm="1">
        <f t="array" ref="J372">IFERROR(_xlfn.TEXTJOIN(";",1,IF(D372,_xlfn.MAKEARRAY(D372,1,_xlfn.LAMBDA(_xlpm.x,_xlpm.y,K372&amp;"-"&amp;TEXT(_xlpm.x,"00"))),_xlfn.MAP(_xlfn.TEXTSPLIT(E372,{";","；"},,1),_xlfn.LAMBDA(_xlpm.x,K372&amp;"-"&amp;TEXT(_xlpm.x,"00"))))),"")</f>
        <v>5b-18-rnd-stone-01;5b-18-rnd-stone-02;5b-18-rnd-stone-03</v>
      </c>
      <c r="K372" s="29" t="str">
        <f t="shared" si="34"/>
        <v>5b-18-rnd-stone</v>
      </c>
      <c r="L372" s="5" t="s">
        <v>123</v>
      </c>
      <c r="N372" s="5" t="s">
        <v>172</v>
      </c>
    </row>
    <row r="373" spans="1:18">
      <c r="A373" s="35">
        <v>42052</v>
      </c>
      <c r="B373" s="5">
        <v>3</v>
      </c>
      <c r="C373" s="34" t="s">
        <v>168</v>
      </c>
      <c r="D373" s="34">
        <v>1</v>
      </c>
      <c r="E373" s="34"/>
      <c r="F373" s="34"/>
      <c r="G373" s="25">
        <v>25</v>
      </c>
      <c r="H373" s="27" t="s">
        <v>321</v>
      </c>
      <c r="J373" s="35" t="str" cm="1">
        <f t="array" ref="J373">IFERROR(_xlfn.TEXTJOIN(";",1,IF(D373,_xlfn.MAKEARRAY(D373,1,_xlfn.LAMBDA(_xlpm.x,_xlpm.y,K373&amp;"-"&amp;TEXT(_xlpm.x,"00"))),_xlfn.MAP(_xlfn.TEXTSPLIT(E373,{";","；"},,1),_xlfn.LAMBDA(_xlpm.x,K373&amp;"-"&amp;TEXT(_xlpm.x,"00"))))),"")</f>
        <v>5b-25-rnd-archi-01</v>
      </c>
      <c r="K373" s="29" t="str">
        <f t="shared" ref="K373:K384" si="35">_xlfn.TEXTJOIN("-",1,H373:I373,G373,IF(L373="FixedDistance","fixed","rnd"),C373)</f>
        <v>5b-25-rnd-archi</v>
      </c>
      <c r="L373" s="5" t="s">
        <v>123</v>
      </c>
      <c r="N373" s="5" t="s">
        <v>322</v>
      </c>
    </row>
    <row r="374" spans="1:18">
      <c r="A374" s="35">
        <v>42052</v>
      </c>
      <c r="B374" s="5">
        <v>4</v>
      </c>
      <c r="C374" s="34" t="s">
        <v>219</v>
      </c>
      <c r="D374" s="34">
        <v>2</v>
      </c>
      <c r="E374" s="34"/>
      <c r="F374" s="34"/>
      <c r="G374" s="25">
        <v>30</v>
      </c>
      <c r="H374" s="27" t="s">
        <v>321</v>
      </c>
      <c r="J374" s="35" t="str" cm="1">
        <f t="array" ref="J374">IFERROR(_xlfn.TEXTJOIN(";",1,IF(D374,_xlfn.MAKEARRAY(D374,1,_xlfn.LAMBDA(_xlpm.x,_xlpm.y,K374&amp;"-"&amp;TEXT(_xlpm.x,"00"))),_xlfn.MAP(_xlfn.TEXTSPLIT(E374,{";","；"},,1),_xlfn.LAMBDA(_xlpm.x,K374&amp;"-"&amp;TEXT(_xlpm.x,"00"))))),"")</f>
        <v>5b-30-rnd-hill-01;5b-30-rnd-hill-02</v>
      </c>
      <c r="K374" s="29" t="str">
        <f t="shared" si="35"/>
        <v>5b-30-rnd-hill</v>
      </c>
      <c r="L374" s="5" t="s">
        <v>123</v>
      </c>
      <c r="N374" s="5" t="s">
        <v>195</v>
      </c>
      <c r="R374" s="5">
        <v>33</v>
      </c>
    </row>
    <row r="375" spans="1:18">
      <c r="A375" s="35">
        <v>42052</v>
      </c>
      <c r="B375" s="5">
        <v>5</v>
      </c>
      <c r="C375" s="34" t="s">
        <v>186</v>
      </c>
      <c r="D375" s="34">
        <v>1</v>
      </c>
      <c r="E375" s="34"/>
      <c r="F375" s="34"/>
      <c r="G375" s="25">
        <v>33</v>
      </c>
      <c r="H375" s="27" t="s">
        <v>321</v>
      </c>
      <c r="J375" s="35" t="str" cm="1">
        <f t="array" ref="J375">IFERROR(_xlfn.TEXTJOIN(";",1,IF(D375,_xlfn.MAKEARRAY(D375,1,_xlfn.LAMBDA(_xlpm.x,_xlpm.y,K375&amp;"-"&amp;TEXT(_xlpm.x,"00"))),_xlfn.MAP(_xlfn.TEXTSPLIT(E375,{";","；"},,1),_xlfn.LAMBDA(_xlpm.x,K375&amp;"-"&amp;TEXT(_xlpm.x,"00"))))),"")</f>
        <v>5b-33-rnd-stick-01</v>
      </c>
      <c r="K375" s="29" t="str">
        <f t="shared" si="35"/>
        <v>5b-33-rnd-stick</v>
      </c>
      <c r="L375" s="5" t="s">
        <v>123</v>
      </c>
      <c r="N375" s="5" t="s">
        <v>147</v>
      </c>
    </row>
    <row r="376" spans="1:18">
      <c r="A376" s="35">
        <v>42052</v>
      </c>
      <c r="B376" s="5">
        <v>6</v>
      </c>
      <c r="C376" s="34" t="s">
        <v>128</v>
      </c>
      <c r="D376" s="34">
        <v>4</v>
      </c>
      <c r="E376" s="34"/>
      <c r="F376" s="34"/>
      <c r="G376" s="25">
        <v>50</v>
      </c>
      <c r="H376" s="27" t="s">
        <v>321</v>
      </c>
      <c r="J376" s="35" t="str" cm="1">
        <f t="array" ref="J376">IFERROR(_xlfn.TEXTJOIN(";",1,IF(D376,_xlfn.MAKEARRAY(D376,1,_xlfn.LAMBDA(_xlpm.x,_xlpm.y,K376&amp;"-"&amp;TEXT(_xlpm.x,"00"))),_xlfn.MAP(_xlfn.TEXTSPLIT(E376,{";","；"},,1),_xlfn.LAMBDA(_xlpm.x,K376&amp;"-"&amp;TEXT(_xlpm.x,"00"))))),"")</f>
        <v>5b-50-rnd-tree-01;5b-50-rnd-tree-02;5b-50-rnd-tree-03;5b-50-rnd-tree-04</v>
      </c>
      <c r="K376" s="29" t="str">
        <f t="shared" si="35"/>
        <v>5b-50-rnd-tree</v>
      </c>
      <c r="L376" s="5" t="s">
        <v>123</v>
      </c>
      <c r="N376" s="5" t="s">
        <v>323</v>
      </c>
    </row>
    <row r="377" spans="1:18">
      <c r="A377" s="35">
        <v>42052</v>
      </c>
      <c r="B377" s="5">
        <v>7</v>
      </c>
      <c r="C377" s="34" t="s">
        <v>128</v>
      </c>
      <c r="D377" s="34">
        <v>3</v>
      </c>
      <c r="E377" s="34"/>
      <c r="F377" s="34"/>
      <c r="G377" s="25">
        <v>54</v>
      </c>
      <c r="H377" s="27" t="s">
        <v>321</v>
      </c>
      <c r="J377" s="35" t="str" cm="1">
        <f t="array" ref="J377">IFERROR(_xlfn.TEXTJOIN(";",1,IF(D377,_xlfn.MAKEARRAY(D377,1,_xlfn.LAMBDA(_xlpm.x,_xlpm.y,K377&amp;"-"&amp;TEXT(_xlpm.x,"00"))),_xlfn.MAP(_xlfn.TEXTSPLIT(E377,{";","；"},,1),_xlfn.LAMBDA(_xlpm.x,K377&amp;"-"&amp;TEXT(_xlpm.x,"00"))))),"")</f>
        <v>5b-54-rnd-tree-01;5b-54-rnd-tree-02;5b-54-rnd-tree-03</v>
      </c>
      <c r="K377" s="29" t="str">
        <f t="shared" si="35"/>
        <v>5b-54-rnd-tree</v>
      </c>
      <c r="L377" s="5" t="s">
        <v>123</v>
      </c>
      <c r="N377" s="5" t="s">
        <v>324</v>
      </c>
      <c r="P377" s="5">
        <v>0.8</v>
      </c>
      <c r="Q377" s="5">
        <v>0.2</v>
      </c>
    </row>
    <row r="378" spans="1:18">
      <c r="A378" s="35">
        <v>42052</v>
      </c>
      <c r="B378" s="5">
        <v>8</v>
      </c>
      <c r="C378" s="34" t="s">
        <v>219</v>
      </c>
      <c r="D378" s="34">
        <v>2</v>
      </c>
      <c r="E378" s="34"/>
      <c r="F378" s="34"/>
      <c r="G378" s="25">
        <v>65</v>
      </c>
      <c r="H378" s="27" t="s">
        <v>321</v>
      </c>
      <c r="J378" s="35" t="str" cm="1">
        <f t="array" ref="J378">IFERROR(_xlfn.TEXTJOIN(";",1,IF(D378,_xlfn.MAKEARRAY(D378,1,_xlfn.LAMBDA(_xlpm.x,_xlpm.y,K378&amp;"-"&amp;TEXT(_xlpm.x,"00"))),_xlfn.MAP(_xlfn.TEXTSPLIT(E378,{";","；"},,1),_xlfn.LAMBDA(_xlpm.x,K378&amp;"-"&amp;TEXT(_xlpm.x,"00"))))),"")</f>
        <v>5b-65-rnd-hill-01;5b-65-rnd-hill-02</v>
      </c>
      <c r="K378" s="29" t="str">
        <f t="shared" si="35"/>
        <v>5b-65-rnd-hill</v>
      </c>
      <c r="L378" s="5" t="s">
        <v>123</v>
      </c>
      <c r="N378" s="5" t="s">
        <v>277</v>
      </c>
    </row>
    <row r="379" spans="1:18">
      <c r="A379" s="35">
        <v>42052</v>
      </c>
      <c r="B379" s="5">
        <v>9</v>
      </c>
      <c r="C379" s="34" t="s">
        <v>286</v>
      </c>
      <c r="D379" s="34">
        <v>8</v>
      </c>
      <c r="E379" s="34"/>
      <c r="F379" s="34"/>
      <c r="G379" s="25">
        <v>79</v>
      </c>
      <c r="H379" s="27" t="s">
        <v>321</v>
      </c>
      <c r="J379" s="35" t="str" cm="1">
        <f t="array" ref="J379">IFERROR(_xlfn.TEXTJOIN(";",1,IF(D379,_xlfn.MAKEARRAY(D379,1,_xlfn.LAMBDA(_xlpm.x,_xlpm.y,K379&amp;"-"&amp;TEXT(_xlpm.x,"00"))),_xlfn.MAP(_xlfn.TEXTSPLIT(E379,{";","；"},,1),_xlfn.LAMBDA(_xlpm.x,K379&amp;"-"&amp;TEXT(_xlpm.x,"00"))))),"")</f>
        <v>5b-79-rnd-bush-01;5b-79-rnd-bush-02;5b-79-rnd-bush-03;5b-79-rnd-bush-04;5b-79-rnd-bush-05;5b-79-rnd-bush-06;5b-79-rnd-bush-07;5b-79-rnd-bush-08</v>
      </c>
      <c r="K379" s="29" t="str">
        <f t="shared" si="35"/>
        <v>5b-79-rnd-bush</v>
      </c>
      <c r="L379" s="5" t="s">
        <v>123</v>
      </c>
      <c r="N379" s="5" t="s">
        <v>309</v>
      </c>
      <c r="P379" s="5">
        <v>0.7</v>
      </c>
      <c r="Q379" s="5">
        <v>0.3</v>
      </c>
    </row>
    <row r="380" spans="1:18">
      <c r="A380" s="35">
        <v>42052</v>
      </c>
      <c r="B380" s="5">
        <v>10</v>
      </c>
      <c r="C380" s="34" t="s">
        <v>127</v>
      </c>
      <c r="D380" s="34">
        <v>1</v>
      </c>
      <c r="E380" s="34"/>
      <c r="F380" s="34"/>
      <c r="G380" s="25">
        <v>80</v>
      </c>
      <c r="H380" s="27" t="s">
        <v>321</v>
      </c>
      <c r="J380" s="35" t="str" cm="1">
        <f t="array" ref="J380">IFERROR(_xlfn.TEXTJOIN(";",1,IF(D380,_xlfn.MAKEARRAY(D380,1,_xlfn.LAMBDA(_xlpm.x,_xlpm.y,K380&amp;"-"&amp;TEXT(_xlpm.x,"00"))),_xlfn.MAP(_xlfn.TEXTSPLIT(E380,{";","；"},,1),_xlfn.LAMBDA(_xlpm.x,K380&amp;"-"&amp;TEXT(_xlpm.x,"00"))))),"")</f>
        <v>5b-80-fixed-ground-01</v>
      </c>
      <c r="K380" s="29" t="str">
        <f t="shared" si="35"/>
        <v>5b-80-fixed-ground</v>
      </c>
      <c r="L380" s="5" t="s">
        <v>126</v>
      </c>
      <c r="M380" s="5">
        <v>25.6</v>
      </c>
    </row>
    <row r="381" spans="1:18">
      <c r="A381" s="35">
        <v>42052</v>
      </c>
      <c r="B381" s="5">
        <v>11</v>
      </c>
      <c r="C381" s="34" t="s">
        <v>325</v>
      </c>
      <c r="D381" s="34">
        <v>2</v>
      </c>
      <c r="E381" s="34"/>
      <c r="F381" s="34"/>
      <c r="G381" s="25">
        <v>81</v>
      </c>
      <c r="H381" s="27" t="s">
        <v>321</v>
      </c>
      <c r="J381" s="35" t="str" cm="1">
        <f t="array" ref="J381">IFERROR(_xlfn.TEXTJOIN(";",1,IF(D381,_xlfn.MAKEARRAY(D381,1,_xlfn.LAMBDA(_xlpm.x,_xlpm.y,K381&amp;"-"&amp;TEXT(_xlpm.x,"00"))),_xlfn.MAP(_xlfn.TEXTSPLIT(E381,{";","；"},,1),_xlfn.LAMBDA(_xlpm.x,K381&amp;"-"&amp;TEXT(_xlpm.x,"00"))))),"")</f>
        <v>5b-81-rnd-groundobj-01;5b-81-rnd-groundobj-02</v>
      </c>
      <c r="K381" s="29" t="str">
        <f t="shared" si="35"/>
        <v>5b-81-rnd-groundobj</v>
      </c>
      <c r="L381" s="5" t="s">
        <v>123</v>
      </c>
      <c r="N381" s="5" t="s">
        <v>283</v>
      </c>
    </row>
    <row r="382" spans="1:18">
      <c r="A382" s="35">
        <v>42052</v>
      </c>
      <c r="B382" s="5">
        <v>13</v>
      </c>
      <c r="C382" s="34" t="s">
        <v>325</v>
      </c>
      <c r="D382" s="34">
        <v>3</v>
      </c>
      <c r="E382" s="34"/>
      <c r="F382" s="34"/>
      <c r="G382" s="25">
        <v>139</v>
      </c>
      <c r="H382" s="27" t="s">
        <v>321</v>
      </c>
      <c r="J382" s="35" t="str" cm="1">
        <f t="array" ref="J382">IFERROR(_xlfn.TEXTJOIN(";",1,IF(D382,_xlfn.MAKEARRAY(D382,1,_xlfn.LAMBDA(_xlpm.x,_xlpm.y,K382&amp;"-"&amp;TEXT(_xlpm.x,"00"))),_xlfn.MAP(_xlfn.TEXTSPLIT(E382,{";","；"},,1),_xlfn.LAMBDA(_xlpm.x,K382&amp;"-"&amp;TEXT(_xlpm.x,"00"))))),"")</f>
        <v>5b-139-rnd-groundobj-01;5b-139-rnd-groundobj-02;5b-139-rnd-groundobj-03</v>
      </c>
      <c r="K382" s="29" t="str">
        <f t="shared" si="35"/>
        <v>5b-139-rnd-groundobj</v>
      </c>
      <c r="L382" s="5" t="s">
        <v>123</v>
      </c>
      <c r="N382" s="5" t="s">
        <v>326</v>
      </c>
    </row>
    <row r="383" spans="1:18">
      <c r="A383" s="35">
        <v>42052</v>
      </c>
      <c r="B383" s="5">
        <v>12</v>
      </c>
      <c r="C383" s="34" t="s">
        <v>127</v>
      </c>
      <c r="D383" s="34">
        <v>1</v>
      </c>
      <c r="E383" s="34"/>
      <c r="F383" s="34"/>
      <c r="G383" s="25">
        <v>140</v>
      </c>
      <c r="H383" s="27" t="s">
        <v>321</v>
      </c>
      <c r="J383" s="35" t="str" cm="1">
        <f t="array" ref="J383">IFERROR(_xlfn.TEXTJOIN(";",1,IF(D383,_xlfn.MAKEARRAY(D383,1,_xlfn.LAMBDA(_xlpm.x,_xlpm.y,K383&amp;"-"&amp;TEXT(_xlpm.x,"00"))),_xlfn.MAP(_xlfn.TEXTSPLIT(E383,{";","；"},,1),_xlfn.LAMBDA(_xlpm.x,K383&amp;"-"&amp;TEXT(_xlpm.x,"00"))))),"")</f>
        <v>5b-140-fixed-ground-01</v>
      </c>
      <c r="K383" s="29" t="str">
        <f t="shared" si="35"/>
        <v>5b-140-fixed-ground</v>
      </c>
      <c r="L383" s="5" t="s">
        <v>126</v>
      </c>
      <c r="M383" s="5">
        <v>25.6</v>
      </c>
    </row>
    <row r="384" spans="1:18">
      <c r="A384" s="35">
        <v>42052</v>
      </c>
      <c r="B384" s="5">
        <v>15</v>
      </c>
      <c r="C384" s="34" t="s">
        <v>325</v>
      </c>
      <c r="D384" s="34">
        <v>2</v>
      </c>
      <c r="E384" s="34"/>
      <c r="F384" s="34"/>
      <c r="G384" s="25">
        <v>199</v>
      </c>
      <c r="H384" s="27" t="s">
        <v>321</v>
      </c>
      <c r="J384" s="35" t="str" cm="1">
        <f t="array" ref="J384">IFERROR(_xlfn.TEXTJOIN(";",1,IF(D384,_xlfn.MAKEARRAY(D384,1,_xlfn.LAMBDA(_xlpm.x,_xlpm.y,K384&amp;"-"&amp;TEXT(_xlpm.x,"00"))),_xlfn.MAP(_xlfn.TEXTSPLIT(E384,{";","；"},,1),_xlfn.LAMBDA(_xlpm.x,K384&amp;"-"&amp;TEXT(_xlpm.x,"00"))))),"")</f>
        <v>5b-199-rnd-groundobj-01;5b-199-rnd-groundobj-02</v>
      </c>
      <c r="K384" s="29" t="str">
        <f t="shared" si="35"/>
        <v>5b-199-rnd-groundobj</v>
      </c>
      <c r="L384" s="5" t="s">
        <v>123</v>
      </c>
      <c r="N384" s="5" t="s">
        <v>327</v>
      </c>
    </row>
    <row r="385" spans="1:18">
      <c r="A385" s="35">
        <v>42052</v>
      </c>
      <c r="B385" s="5">
        <v>14</v>
      </c>
      <c r="C385" s="34" t="s">
        <v>127</v>
      </c>
      <c r="D385" s="34">
        <v>1</v>
      </c>
      <c r="E385" s="34"/>
      <c r="F385" s="34"/>
      <c r="G385" s="25">
        <v>200</v>
      </c>
      <c r="H385" s="27" t="s">
        <v>321</v>
      </c>
      <c r="J385" s="35" t="str" cm="1">
        <f t="array" ref="J385">IFERROR(_xlfn.TEXTJOIN(";",1,IF(D385,_xlfn.MAKEARRAY(D385,1,_xlfn.LAMBDA(_xlpm.x,_xlpm.y,K385&amp;"-"&amp;TEXT(_xlpm.x,"00"))),_xlfn.MAP(_xlfn.TEXTSPLIT(E385,{";","；"},,1),_xlfn.LAMBDA(_xlpm.x,K385&amp;"-"&amp;TEXT(_xlpm.x,"00"))))),"")</f>
        <v>5b-200-fixed-ground-01</v>
      </c>
      <c r="K385" s="29" t="str">
        <f t="shared" ref="K385:K394" si="36">_xlfn.TEXTJOIN("-",1,H385:I385,G385,IF(L385="FixedDistance","fixed","rnd"),C385)</f>
        <v>5b-200-fixed-ground</v>
      </c>
      <c r="L385" s="5" t="s">
        <v>126</v>
      </c>
      <c r="M385" s="5">
        <v>25.6</v>
      </c>
    </row>
    <row r="386" spans="1:18">
      <c r="A386" s="35">
        <v>42052</v>
      </c>
      <c r="B386" s="5">
        <v>16</v>
      </c>
      <c r="C386" s="34" t="s">
        <v>129</v>
      </c>
      <c r="D386" s="34">
        <v>4</v>
      </c>
      <c r="E386" s="34"/>
      <c r="F386" s="34"/>
      <c r="G386" s="25">
        <v>380</v>
      </c>
      <c r="H386" s="27" t="s">
        <v>321</v>
      </c>
      <c r="J386" s="35" t="str" cm="1">
        <f t="array" ref="J386">IFERROR(_xlfn.TEXTJOIN(";",1,IF(D386,_xlfn.MAKEARRAY(D386,1,_xlfn.LAMBDA(_xlpm.x,_xlpm.y,K386&amp;"-"&amp;TEXT(_xlpm.x,"00"))),_xlfn.MAP(_xlfn.TEXTSPLIT(E386,{";","；"},,1),_xlfn.LAMBDA(_xlpm.x,K386&amp;"-"&amp;TEXT(_xlpm.x,"00"))))),"")</f>
        <v>5b-380-rnd-architecture-01;5b-380-rnd-architecture-02;5b-380-rnd-architecture-03;5b-380-rnd-architecture-04</v>
      </c>
      <c r="K386" s="29" t="str">
        <f t="shared" si="36"/>
        <v>5b-380-rnd-architecture</v>
      </c>
      <c r="L386" s="5" t="s">
        <v>123</v>
      </c>
      <c r="N386" s="5" t="s">
        <v>328</v>
      </c>
    </row>
    <row r="387" spans="1:18">
      <c r="A387" s="35">
        <v>42052</v>
      </c>
      <c r="B387" s="5">
        <v>17</v>
      </c>
      <c r="C387" s="34" t="s">
        <v>129</v>
      </c>
      <c r="D387" s="34">
        <v>2</v>
      </c>
      <c r="E387" s="34"/>
      <c r="F387" s="34"/>
      <c r="G387" s="25">
        <v>440</v>
      </c>
      <c r="H387" s="27" t="s">
        <v>321</v>
      </c>
      <c r="J387" s="35" t="str" cm="1">
        <f t="array" ref="J387">IFERROR(_xlfn.TEXTJOIN(";",1,IF(D387,_xlfn.MAKEARRAY(D387,1,_xlfn.LAMBDA(_xlpm.x,_xlpm.y,K387&amp;"-"&amp;TEXT(_xlpm.x,"00"))),_xlfn.MAP(_xlfn.TEXTSPLIT(E387,{";","；"},,1),_xlfn.LAMBDA(_xlpm.x,K387&amp;"-"&amp;TEXT(_xlpm.x,"00"))))),"")</f>
        <v>5b-440-rnd-architecture-01;5b-440-rnd-architecture-02</v>
      </c>
      <c r="K387" s="29" t="str">
        <f t="shared" si="36"/>
        <v>5b-440-rnd-architecture</v>
      </c>
      <c r="L387" s="5" t="s">
        <v>123</v>
      </c>
      <c r="N387" s="5" t="s">
        <v>329</v>
      </c>
    </row>
    <row r="388" spans="1:18">
      <c r="A388" s="35">
        <v>42052</v>
      </c>
      <c r="B388" s="5">
        <v>18</v>
      </c>
      <c r="C388" s="34" t="s">
        <v>129</v>
      </c>
      <c r="D388" s="34">
        <v>3</v>
      </c>
      <c r="G388" s="25">
        <v>500</v>
      </c>
      <c r="H388" s="27" t="s">
        <v>321</v>
      </c>
      <c r="J388" s="35" t="str" cm="1">
        <f t="array" ref="J388">IFERROR(_xlfn.TEXTJOIN(";",1,IF(D388,_xlfn.MAKEARRAY(D388,1,_xlfn.LAMBDA(_xlpm.x,_xlpm.y,K388&amp;"-"&amp;TEXT(_xlpm.x,"00"))),_xlfn.MAP(_xlfn.TEXTSPLIT(E388,{";","；"},,1),_xlfn.LAMBDA(_xlpm.x,K388&amp;"-"&amp;TEXT(_xlpm.x,"00"))))),"")</f>
        <v>5b-500-rnd-architecture-01;5b-500-rnd-architecture-02;5b-500-rnd-architecture-03</v>
      </c>
      <c r="K388" s="29" t="str">
        <f t="shared" si="36"/>
        <v>5b-500-rnd-architecture</v>
      </c>
      <c r="L388" s="5" t="s">
        <v>123</v>
      </c>
      <c r="N388" s="5" t="s">
        <v>330</v>
      </c>
    </row>
    <row r="389" spans="1:18">
      <c r="A389" s="35">
        <v>42052</v>
      </c>
      <c r="B389" s="5">
        <v>19</v>
      </c>
      <c r="C389" s="34" t="s">
        <v>331</v>
      </c>
      <c r="D389" s="34">
        <v>4</v>
      </c>
      <c r="G389" s="25">
        <v>520</v>
      </c>
      <c r="H389" s="27" t="s">
        <v>321</v>
      </c>
      <c r="J389" s="35" t="str" cm="1">
        <f t="array" ref="J389">IFERROR(_xlfn.TEXTJOIN(";",1,IF(D389,_xlfn.MAKEARRAY(D389,1,_xlfn.LAMBDA(_xlpm.x,_xlpm.y,K389&amp;"-"&amp;TEXT(_xlpm.x,"00"))),_xlfn.MAP(_xlfn.TEXTSPLIT(E389,{";","；"},,1),_xlfn.LAMBDA(_xlpm.x,K389&amp;"-"&amp;TEXT(_xlpm.x,"00"))))),"")</f>
        <v>5b-520-rnd-hugetrees-01;5b-520-rnd-hugetrees-02;5b-520-rnd-hugetrees-03;5b-520-rnd-hugetrees-04</v>
      </c>
      <c r="K389" s="29" t="str">
        <f t="shared" si="36"/>
        <v>5b-520-rnd-hugetrees</v>
      </c>
      <c r="L389" s="5" t="s">
        <v>123</v>
      </c>
      <c r="N389" s="5" t="s">
        <v>332</v>
      </c>
    </row>
    <row r="390" spans="1:18">
      <c r="A390" s="35">
        <v>42052</v>
      </c>
      <c r="B390" s="5">
        <v>20</v>
      </c>
      <c r="C390" s="34" t="s">
        <v>333</v>
      </c>
      <c r="D390" s="34">
        <v>1</v>
      </c>
      <c r="G390" s="25">
        <v>580</v>
      </c>
      <c r="H390" s="27" t="s">
        <v>321</v>
      </c>
      <c r="J390" s="35" t="str" cm="1">
        <f t="array" ref="J390">IFERROR(_xlfn.TEXTJOIN(";",1,IF(D390,_xlfn.MAKEARRAY(D390,1,_xlfn.LAMBDA(_xlpm.x,_xlpm.y,K390&amp;"-"&amp;TEXT(_xlpm.x,"00"))),_xlfn.MAP(_xlfn.TEXTSPLIT(E390,{";","；"},,1),_xlfn.LAMBDA(_xlpm.x,K390&amp;"-"&amp;TEXT(_xlpm.x,"00"))))),"")</f>
        <v>5b-580-fixed-trees-01</v>
      </c>
      <c r="K390" s="29" t="str">
        <f t="shared" si="36"/>
        <v>5b-580-fixed-trees</v>
      </c>
      <c r="L390" s="5" t="s">
        <v>126</v>
      </c>
      <c r="M390" s="5">
        <v>44</v>
      </c>
    </row>
    <row r="391" spans="1:18">
      <c r="A391" s="35">
        <v>42052</v>
      </c>
      <c r="B391" s="5">
        <v>21</v>
      </c>
      <c r="C391" s="34" t="s">
        <v>130</v>
      </c>
      <c r="D391" s="34">
        <v>1</v>
      </c>
      <c r="G391" s="25">
        <v>900</v>
      </c>
      <c r="H391" s="27" t="s">
        <v>321</v>
      </c>
      <c r="J391" s="35" t="str" cm="1">
        <f t="array" ref="J391">IFERROR(_xlfn.TEXTJOIN(";",1,IF(D391,_xlfn.MAKEARRAY(D391,1,_xlfn.LAMBDA(_xlpm.x,_xlpm.y,K391&amp;"-"&amp;TEXT(_xlpm.x,"00"))),_xlfn.MAP(_xlfn.TEXTSPLIT(E391,{";","；"},,1),_xlfn.LAMBDA(_xlpm.x,K391&amp;"-"&amp;TEXT(_xlpm.x,"00"))))),"")</f>
        <v>5b-900-fixed-mountain-01</v>
      </c>
      <c r="K391" s="29" t="str">
        <f t="shared" si="36"/>
        <v>5b-900-fixed-mountain</v>
      </c>
      <c r="L391" s="5" t="s">
        <v>126</v>
      </c>
      <c r="M391" s="5">
        <v>25.6</v>
      </c>
    </row>
    <row r="392" spans="1:18">
      <c r="A392" s="35">
        <v>42052</v>
      </c>
      <c r="B392" s="5">
        <v>22</v>
      </c>
      <c r="C392" s="34" t="s">
        <v>130</v>
      </c>
      <c r="D392" s="34">
        <v>1</v>
      </c>
      <c r="G392" s="25">
        <v>1400</v>
      </c>
      <c r="H392" s="27" t="s">
        <v>321</v>
      </c>
      <c r="J392" s="35" t="str" cm="1">
        <f t="array" ref="J392">IFERROR(_xlfn.TEXTJOIN(";",1,IF(D392,_xlfn.MAKEARRAY(D392,1,_xlfn.LAMBDA(_xlpm.x,_xlpm.y,K392&amp;"-"&amp;TEXT(_xlpm.x,"00"))),_xlfn.MAP(_xlfn.TEXTSPLIT(E392,{";","；"},,1),_xlfn.LAMBDA(_xlpm.x,K392&amp;"-"&amp;TEXT(_xlpm.x,"00"))))),"")</f>
        <v>5b-1400-fixed-mountain-01</v>
      </c>
      <c r="K392" s="29" t="str">
        <f t="shared" si="36"/>
        <v>5b-1400-fixed-mountain</v>
      </c>
      <c r="L392" s="5" t="s">
        <v>126</v>
      </c>
      <c r="M392" s="5">
        <v>36.119999999999997</v>
      </c>
    </row>
    <row r="393" spans="1:18">
      <c r="A393" s="35">
        <v>42052</v>
      </c>
      <c r="B393" s="5">
        <v>23</v>
      </c>
      <c r="C393" s="34" t="s">
        <v>131</v>
      </c>
      <c r="D393" s="34">
        <v>3</v>
      </c>
      <c r="G393" s="25">
        <v>2000</v>
      </c>
      <c r="H393" s="27" t="s">
        <v>321</v>
      </c>
      <c r="J393" s="35" t="str" cm="1">
        <f t="array" ref="J393">IFERROR(_xlfn.TEXTJOIN(";",1,IF(D393,_xlfn.MAKEARRAY(D393,1,_xlfn.LAMBDA(_xlpm.x,_xlpm.y,K393&amp;"-"&amp;TEXT(_xlpm.x,"00"))),_xlfn.MAP(_xlfn.TEXTSPLIT(E393,{";","；"},,1),_xlfn.LAMBDA(_xlpm.x,K393&amp;"-"&amp;TEXT(_xlpm.x,"00"))))),"")</f>
        <v>5b-2000-rnd-cloud-01;5b-2000-rnd-cloud-02;5b-2000-rnd-cloud-03</v>
      </c>
      <c r="K393" s="29" t="str">
        <f t="shared" si="36"/>
        <v>5b-2000-rnd-cloud</v>
      </c>
      <c r="L393" s="5" t="s">
        <v>123</v>
      </c>
      <c r="N393" s="5" t="s">
        <v>334</v>
      </c>
    </row>
    <row r="394" spans="1:18">
      <c r="A394" s="35">
        <v>42052</v>
      </c>
      <c r="B394" s="5">
        <v>24</v>
      </c>
      <c r="C394" s="34" t="s">
        <v>132</v>
      </c>
      <c r="D394" s="34">
        <v>1</v>
      </c>
      <c r="G394" s="25">
        <v>3000</v>
      </c>
      <c r="H394" s="27" t="s">
        <v>321</v>
      </c>
      <c r="J394" s="35" t="str" cm="1">
        <f t="array" ref="J394">IFERROR(_xlfn.TEXTJOIN(";",1,IF(D394,_xlfn.MAKEARRAY(D394,1,_xlfn.LAMBDA(_xlpm.x,_xlpm.y,K394&amp;"-"&amp;TEXT(_xlpm.x,"00"))),_xlfn.MAP(_xlfn.TEXTSPLIT(E394,{";","；"},,1),_xlfn.LAMBDA(_xlpm.x,K394&amp;"-"&amp;TEXT(_xlpm.x,"00"))))),"")</f>
        <v>5b-3000-fixed-sky-01</v>
      </c>
      <c r="K394" s="29" t="str">
        <f t="shared" si="36"/>
        <v>5b-3000-fixed-sky</v>
      </c>
      <c r="L394" s="5" t="s">
        <v>126</v>
      </c>
      <c r="M394" s="5">
        <v>25.6</v>
      </c>
    </row>
    <row r="396" spans="1:18">
      <c r="A396" s="35">
        <v>42053</v>
      </c>
      <c r="B396" s="5">
        <v>1</v>
      </c>
      <c r="C396" s="34" t="s">
        <v>219</v>
      </c>
      <c r="D396" s="34">
        <v>4</v>
      </c>
      <c r="G396" s="25">
        <v>40</v>
      </c>
      <c r="H396" s="27" t="s">
        <v>335</v>
      </c>
      <c r="J396" s="35" t="str" cm="1">
        <f t="array" ref="J396">IFERROR(_xlfn.TEXTJOIN(";",1,IF(D396,_xlfn.MAKEARRAY(D396,1,_xlfn.LAMBDA(_xlpm.x,_xlpm.y,K396&amp;"-"&amp;TEXT(_xlpm.x,"00"))),_xlfn.MAP(_xlfn.TEXTSPLIT(E396,{";","；"},,1),_xlfn.LAMBDA(_xlpm.x,K396&amp;"-"&amp;TEXT(_xlpm.x,"00"))))),"")</f>
        <v>5c-40-rnd-hill-01;5c-40-rnd-hill-02;5c-40-rnd-hill-03;5c-40-rnd-hill-04</v>
      </c>
      <c r="K396" s="29" t="str">
        <f t="shared" ref="K396:K397" si="37">_xlfn.TEXTJOIN("-",1,H396:I396,G396,IF(L396="FixedDistance","fixed","rnd"),C396)</f>
        <v>5c-40-rnd-hill</v>
      </c>
      <c r="L396" s="5" t="s">
        <v>123</v>
      </c>
      <c r="N396" s="5" t="s">
        <v>322</v>
      </c>
      <c r="R396" s="5">
        <v>32</v>
      </c>
    </row>
    <row r="397" spans="1:18">
      <c r="A397" s="35">
        <v>42053</v>
      </c>
      <c r="B397" s="5">
        <v>2</v>
      </c>
      <c r="C397" s="34" t="s">
        <v>336</v>
      </c>
      <c r="D397" s="34">
        <v>2</v>
      </c>
      <c r="G397" s="25">
        <v>60</v>
      </c>
      <c r="H397" s="27" t="s">
        <v>335</v>
      </c>
      <c r="J397" s="35" t="str" cm="1">
        <f t="array" ref="J397">IFERROR(_xlfn.TEXTJOIN(";",1,IF(D397,_xlfn.MAKEARRAY(D397,1,_xlfn.LAMBDA(_xlpm.x,_xlpm.y,K397&amp;"-"&amp;TEXT(_xlpm.x,"00"))),_xlfn.MAP(_xlfn.TEXTSPLIT(E397,{";","；"},,1),_xlfn.LAMBDA(_xlpm.x,K397&amp;"-"&amp;TEXT(_xlpm.x,"00"))))),"")</f>
        <v>5c-60-rnd-field-01;5c-60-rnd-field-02</v>
      </c>
      <c r="K397" s="29" t="str">
        <f t="shared" si="37"/>
        <v>5c-60-rnd-field</v>
      </c>
      <c r="L397" s="5" t="s">
        <v>123</v>
      </c>
      <c r="N397" s="5" t="s">
        <v>247</v>
      </c>
      <c r="P397" s="5">
        <v>0.6</v>
      </c>
      <c r="Q397" s="5">
        <v>0.4</v>
      </c>
      <c r="R397" s="5">
        <v>40</v>
      </c>
    </row>
    <row r="398" spans="1:18">
      <c r="A398" s="35">
        <v>42053</v>
      </c>
      <c r="B398" s="5">
        <v>3</v>
      </c>
      <c r="C398" s="34" t="s">
        <v>336</v>
      </c>
      <c r="D398" s="34">
        <v>2</v>
      </c>
      <c r="G398" s="25">
        <v>62</v>
      </c>
      <c r="H398" s="27" t="s">
        <v>335</v>
      </c>
      <c r="J398" s="35" t="str" cm="1">
        <f t="array" ref="J398">IFERROR(_xlfn.TEXTJOIN(";",1,IF(D398,_xlfn.MAKEARRAY(D398,1,_xlfn.LAMBDA(_xlpm.x,_xlpm.y,K398&amp;"-"&amp;TEXT(_xlpm.x,"00"))),_xlfn.MAP(_xlfn.TEXTSPLIT(E398,{";","；"},,1),_xlfn.LAMBDA(_xlpm.x,K398&amp;"-"&amp;TEXT(_xlpm.x,"00"))))),"")</f>
        <v>5c-62-rnd-field-01;5c-62-rnd-field-02</v>
      </c>
      <c r="K398" s="29" t="str">
        <f t="shared" ref="K398:K415" si="38">_xlfn.TEXTJOIN("-",1,H398:I398,G398,IF(L398="FixedDistance","fixed","rnd"),C398)</f>
        <v>5c-62-rnd-field</v>
      </c>
      <c r="L398" s="5" t="s">
        <v>123</v>
      </c>
      <c r="N398" s="5" t="s">
        <v>277</v>
      </c>
    </row>
    <row r="399" spans="1:18">
      <c r="A399" s="35">
        <v>42053</v>
      </c>
      <c r="B399" s="5">
        <v>4</v>
      </c>
      <c r="C399" s="34" t="s">
        <v>336</v>
      </c>
      <c r="D399" s="34">
        <v>2</v>
      </c>
      <c r="G399" s="25">
        <v>120</v>
      </c>
      <c r="H399" s="27" t="s">
        <v>335</v>
      </c>
      <c r="J399" s="35" t="str" cm="1">
        <f t="array" ref="J399">IFERROR(_xlfn.TEXTJOIN(";",1,IF(D399,_xlfn.MAKEARRAY(D399,1,_xlfn.LAMBDA(_xlpm.x,_xlpm.y,K399&amp;"-"&amp;TEXT(_xlpm.x,"00"))),_xlfn.MAP(_xlfn.TEXTSPLIT(E399,{";","；"},,1),_xlfn.LAMBDA(_xlpm.x,K399&amp;"-"&amp;TEXT(_xlpm.x,"00"))))),"")</f>
        <v>5c-120-rnd-field-01;5c-120-rnd-field-02</v>
      </c>
      <c r="K399" s="29" t="str">
        <f t="shared" ref="K399" si="39">_xlfn.TEXTJOIN("-",1,H399:I399,G399,IF(L399="FixedDistance","fixed","rnd"),C399)</f>
        <v>5c-120-rnd-field</v>
      </c>
      <c r="L399" s="5" t="s">
        <v>123</v>
      </c>
      <c r="N399" s="5" t="s">
        <v>288</v>
      </c>
    </row>
    <row r="400" spans="1:18">
      <c r="A400" s="35">
        <v>42053</v>
      </c>
      <c r="B400" s="5">
        <v>5</v>
      </c>
      <c r="C400" s="34" t="s">
        <v>131</v>
      </c>
      <c r="D400" s="34">
        <v>3</v>
      </c>
      <c r="G400" s="25">
        <v>250</v>
      </c>
      <c r="H400" s="27" t="s">
        <v>335</v>
      </c>
      <c r="J400" s="35" t="str" cm="1">
        <f t="array" ref="J400">IFERROR(_xlfn.TEXTJOIN(";",1,IF(D400,_xlfn.MAKEARRAY(D400,1,_xlfn.LAMBDA(_xlpm.x,_xlpm.y,K400&amp;"-"&amp;TEXT(_xlpm.x,"00"))),_xlfn.MAP(_xlfn.TEXTSPLIT(E400,{";","；"},,1),_xlfn.LAMBDA(_xlpm.x,K400&amp;"-"&amp;TEXT(_xlpm.x,"00"))))),"")</f>
        <v>5c-250-rnd-cloud-01;5c-250-rnd-cloud-02;5c-250-rnd-cloud-03</v>
      </c>
      <c r="K400" s="29" t="str">
        <f t="shared" si="38"/>
        <v>5c-250-rnd-cloud</v>
      </c>
      <c r="L400" s="5" t="s">
        <v>123</v>
      </c>
      <c r="N400" s="5" t="s">
        <v>337</v>
      </c>
    </row>
    <row r="401" spans="1:18">
      <c r="A401" s="35">
        <v>42053</v>
      </c>
      <c r="B401" s="5">
        <v>6</v>
      </c>
      <c r="C401" s="34" t="s">
        <v>336</v>
      </c>
      <c r="D401" s="34">
        <v>5</v>
      </c>
      <c r="G401" s="25">
        <v>297</v>
      </c>
      <c r="H401" s="27" t="s">
        <v>335</v>
      </c>
      <c r="J401" s="35" t="str" cm="1">
        <f t="array" ref="J401">IFERROR(_xlfn.TEXTJOIN(";",1,IF(D401,_xlfn.MAKEARRAY(D401,1,_xlfn.LAMBDA(_xlpm.x,_xlpm.y,K401&amp;"-"&amp;TEXT(_xlpm.x,"00"))),_xlfn.MAP(_xlfn.TEXTSPLIT(E401,{";","；"},,1),_xlfn.LAMBDA(_xlpm.x,K401&amp;"-"&amp;TEXT(_xlpm.x,"00"))))),"")</f>
        <v>5c-297-rnd-field-01;5c-297-rnd-field-02;5c-297-rnd-field-03;5c-297-rnd-field-04;5c-297-rnd-field-05</v>
      </c>
      <c r="K401" s="29" t="str">
        <f t="shared" si="38"/>
        <v>5c-297-rnd-field</v>
      </c>
      <c r="L401" s="5" t="s">
        <v>123</v>
      </c>
      <c r="N401" s="5" t="s">
        <v>338</v>
      </c>
    </row>
    <row r="402" spans="1:18">
      <c r="A402" s="35">
        <v>42053</v>
      </c>
      <c r="B402" s="5">
        <v>7</v>
      </c>
      <c r="C402" s="34" t="s">
        <v>168</v>
      </c>
      <c r="D402" s="34">
        <v>4</v>
      </c>
      <c r="G402" s="25">
        <v>298</v>
      </c>
      <c r="H402" s="27" t="s">
        <v>335</v>
      </c>
      <c r="J402" s="35" t="str" cm="1">
        <f t="array" ref="J402">IFERROR(_xlfn.TEXTJOIN(";",1,IF(D402,_xlfn.MAKEARRAY(D402,1,_xlfn.LAMBDA(_xlpm.x,_xlpm.y,K402&amp;"-"&amp;TEXT(_xlpm.x,"00"))),_xlfn.MAP(_xlfn.TEXTSPLIT(E402,{";","；"},,1),_xlfn.LAMBDA(_xlpm.x,K402&amp;"-"&amp;TEXT(_xlpm.x,"00"))))),"")</f>
        <v>5c-298-rnd-archi-01;5c-298-rnd-archi-02;5c-298-rnd-archi-03;5c-298-rnd-archi-04</v>
      </c>
      <c r="K402" s="29" t="str">
        <f t="shared" si="38"/>
        <v>5c-298-rnd-archi</v>
      </c>
      <c r="L402" s="5" t="s">
        <v>123</v>
      </c>
      <c r="N402" s="5" t="s">
        <v>339</v>
      </c>
      <c r="P402" s="5">
        <v>0.7</v>
      </c>
      <c r="Q402" s="5">
        <v>0.3</v>
      </c>
    </row>
    <row r="403" spans="1:18">
      <c r="A403" s="35">
        <v>42053</v>
      </c>
      <c r="B403" s="5">
        <v>8</v>
      </c>
      <c r="C403" s="34" t="s">
        <v>219</v>
      </c>
      <c r="D403" s="34">
        <v>3</v>
      </c>
      <c r="G403" s="25">
        <v>299</v>
      </c>
      <c r="H403" s="27" t="s">
        <v>335</v>
      </c>
      <c r="J403" s="35" t="str" cm="1">
        <f t="array" ref="J403">IFERROR(_xlfn.TEXTJOIN(";",1,IF(D403,_xlfn.MAKEARRAY(D403,1,_xlfn.LAMBDA(_xlpm.x,_xlpm.y,K403&amp;"-"&amp;TEXT(_xlpm.x,"00"))),_xlfn.MAP(_xlfn.TEXTSPLIT(E403,{";","；"},,1),_xlfn.LAMBDA(_xlpm.x,K403&amp;"-"&amp;TEXT(_xlpm.x,"00"))))),"")</f>
        <v>5c-299-rnd-hill-01;5c-299-rnd-hill-02;5c-299-rnd-hill-03</v>
      </c>
      <c r="K403" s="29" t="str">
        <f t="shared" si="38"/>
        <v>5c-299-rnd-hill</v>
      </c>
      <c r="L403" s="5" t="s">
        <v>123</v>
      </c>
      <c r="N403" s="5" t="s">
        <v>148</v>
      </c>
    </row>
    <row r="404" spans="1:18">
      <c r="A404" s="35">
        <v>42053</v>
      </c>
      <c r="B404" s="5">
        <v>9</v>
      </c>
      <c r="C404" s="34" t="s">
        <v>127</v>
      </c>
      <c r="D404" s="34">
        <v>1</v>
      </c>
      <c r="G404" s="25">
        <v>300</v>
      </c>
      <c r="H404" s="27" t="s">
        <v>335</v>
      </c>
      <c r="J404" s="35" t="str" cm="1">
        <f t="array" ref="J404">IFERROR(_xlfn.TEXTJOIN(";",1,IF(D404,_xlfn.MAKEARRAY(D404,1,_xlfn.LAMBDA(_xlpm.x,_xlpm.y,K404&amp;"-"&amp;TEXT(_xlpm.x,"00"))),_xlfn.MAP(_xlfn.TEXTSPLIT(E404,{";","；"},,1),_xlfn.LAMBDA(_xlpm.x,K404&amp;"-"&amp;TEXT(_xlpm.x,"00"))))),"")</f>
        <v>5c-300-fixed-ground-01</v>
      </c>
      <c r="K404" s="29" t="str">
        <f t="shared" si="38"/>
        <v>5c-300-fixed-ground</v>
      </c>
      <c r="L404" s="5" t="s">
        <v>126</v>
      </c>
      <c r="M404" s="5">
        <v>37.32</v>
      </c>
    </row>
    <row r="405" spans="1:18">
      <c r="A405" s="35">
        <v>42053</v>
      </c>
      <c r="B405" s="5">
        <v>10</v>
      </c>
      <c r="C405" s="34" t="s">
        <v>336</v>
      </c>
      <c r="D405" s="34">
        <v>2</v>
      </c>
      <c r="G405" s="25">
        <v>301</v>
      </c>
      <c r="H405" s="27" t="s">
        <v>335</v>
      </c>
      <c r="J405" s="35" t="str" cm="1">
        <f t="array" ref="J405">IFERROR(_xlfn.TEXTJOIN(";",1,IF(D405,_xlfn.MAKEARRAY(D405,1,_xlfn.LAMBDA(_xlpm.x,_xlpm.y,K405&amp;"-"&amp;TEXT(_xlpm.x,"00"))),_xlfn.MAP(_xlfn.TEXTSPLIT(E405,{";","；"},,1),_xlfn.LAMBDA(_xlpm.x,K405&amp;"-"&amp;TEXT(_xlpm.x,"00"))))),"")</f>
        <v>5c-301-rnd-field-01;5c-301-rnd-field-02</v>
      </c>
      <c r="K405" s="29" t="str">
        <f t="shared" si="38"/>
        <v>5c-301-rnd-field</v>
      </c>
      <c r="L405" s="5" t="s">
        <v>123</v>
      </c>
      <c r="N405" s="5" t="s">
        <v>340</v>
      </c>
    </row>
    <row r="406" spans="1:18">
      <c r="A406" s="35">
        <v>42053</v>
      </c>
      <c r="B406" s="5">
        <v>11</v>
      </c>
      <c r="C406" s="34" t="s">
        <v>219</v>
      </c>
      <c r="D406" s="34">
        <v>3</v>
      </c>
      <c r="G406" s="25">
        <v>360</v>
      </c>
      <c r="H406" s="27" t="s">
        <v>335</v>
      </c>
      <c r="J406" s="35" t="str" cm="1">
        <f t="array" ref="J406">IFERROR(_xlfn.TEXTJOIN(";",1,IF(D406,_xlfn.MAKEARRAY(D406,1,_xlfn.LAMBDA(_xlpm.x,_xlpm.y,K406&amp;"-"&amp;TEXT(_xlpm.x,"00"))),_xlfn.MAP(_xlfn.TEXTSPLIT(E406,{";","；"},,1),_xlfn.LAMBDA(_xlpm.x,K406&amp;"-"&amp;TEXT(_xlpm.x,"00"))))),"")</f>
        <v>5c-360-rnd-hill-01;5c-360-rnd-hill-02;5c-360-rnd-hill-03</v>
      </c>
      <c r="K406" s="29" t="str">
        <f t="shared" si="38"/>
        <v>5c-360-rnd-hill</v>
      </c>
      <c r="L406" s="5" t="s">
        <v>123</v>
      </c>
      <c r="N406" s="5" t="s">
        <v>215</v>
      </c>
      <c r="R406" s="5">
        <v>35</v>
      </c>
    </row>
    <row r="407" spans="1:18">
      <c r="A407" s="35">
        <v>42053</v>
      </c>
      <c r="B407" s="5">
        <v>12</v>
      </c>
      <c r="C407" s="34" t="s">
        <v>336</v>
      </c>
      <c r="D407" s="34">
        <v>1</v>
      </c>
      <c r="G407" s="25">
        <v>399</v>
      </c>
      <c r="H407" s="27" t="s">
        <v>335</v>
      </c>
      <c r="J407" s="35" t="str" cm="1">
        <f t="array" ref="J407">IFERROR(_xlfn.TEXTJOIN(";",1,IF(D407,_xlfn.MAKEARRAY(D407,1,_xlfn.LAMBDA(_xlpm.x,_xlpm.y,K407&amp;"-"&amp;TEXT(_xlpm.x,"00"))),_xlfn.MAP(_xlfn.TEXTSPLIT(E407,{";","；"},,1),_xlfn.LAMBDA(_xlpm.x,K407&amp;"-"&amp;TEXT(_xlpm.x,"00"))))),"")</f>
        <v>5c-399-rnd-field-01</v>
      </c>
      <c r="K407" s="29" t="str">
        <f t="shared" si="38"/>
        <v>5c-399-rnd-field</v>
      </c>
      <c r="L407" s="5" t="s">
        <v>123</v>
      </c>
      <c r="N407" s="5" t="s">
        <v>277</v>
      </c>
    </row>
    <row r="408" spans="1:18">
      <c r="A408" s="35">
        <v>42053</v>
      </c>
      <c r="B408" s="5">
        <v>13</v>
      </c>
      <c r="C408" s="34" t="s">
        <v>127</v>
      </c>
      <c r="D408" s="34">
        <v>1</v>
      </c>
      <c r="G408" s="25">
        <v>400</v>
      </c>
      <c r="H408" s="27" t="s">
        <v>335</v>
      </c>
      <c r="J408" s="35" t="str" cm="1">
        <f t="array" ref="J408">IFERROR(_xlfn.TEXTJOIN(";",1,IF(D408,_xlfn.MAKEARRAY(D408,1,_xlfn.LAMBDA(_xlpm.x,_xlpm.y,K408&amp;"-"&amp;TEXT(_xlpm.x,"00"))),_xlfn.MAP(_xlfn.TEXTSPLIT(E408,{";","；"},,1),_xlfn.LAMBDA(_xlpm.x,K408&amp;"-"&amp;TEXT(_xlpm.x,"00"))))),"")</f>
        <v>5c-400-fixed-ground-01</v>
      </c>
      <c r="K408" s="29" t="str">
        <f t="shared" si="38"/>
        <v>5c-400-fixed-ground</v>
      </c>
      <c r="L408" s="5" t="s">
        <v>126</v>
      </c>
      <c r="M408" s="5">
        <v>25.6</v>
      </c>
    </row>
    <row r="409" spans="1:18">
      <c r="A409" s="35">
        <v>42053</v>
      </c>
      <c r="B409" s="5">
        <v>14</v>
      </c>
      <c r="C409" s="34" t="s">
        <v>219</v>
      </c>
      <c r="D409" s="34">
        <v>1</v>
      </c>
      <c r="G409" s="25">
        <v>401</v>
      </c>
      <c r="H409" s="27" t="s">
        <v>335</v>
      </c>
      <c r="J409" s="35" t="str" cm="1">
        <f t="array" ref="J409">IFERROR(_xlfn.TEXTJOIN(";",1,IF(D409,_xlfn.MAKEARRAY(D409,1,_xlfn.LAMBDA(_xlpm.x,_xlpm.y,K409&amp;"-"&amp;TEXT(_xlpm.x,"00"))),_xlfn.MAP(_xlfn.TEXTSPLIT(E409,{";","；"},,1),_xlfn.LAMBDA(_xlpm.x,K409&amp;"-"&amp;TEXT(_xlpm.x,"00"))))),"")</f>
        <v>5c-401-rnd-hill-01</v>
      </c>
      <c r="K409" s="29" t="str">
        <f t="shared" si="38"/>
        <v>5c-401-rnd-hill</v>
      </c>
      <c r="L409" s="5" t="s">
        <v>123</v>
      </c>
      <c r="N409" s="5" t="s">
        <v>341</v>
      </c>
    </row>
    <row r="410" spans="1:18">
      <c r="A410" s="35">
        <v>42053</v>
      </c>
      <c r="B410" s="5">
        <v>15</v>
      </c>
      <c r="C410" s="34" t="s">
        <v>219</v>
      </c>
      <c r="D410" s="34">
        <v>2</v>
      </c>
      <c r="G410" s="25">
        <v>599</v>
      </c>
      <c r="H410" s="27" t="s">
        <v>335</v>
      </c>
      <c r="J410" s="35" t="str" cm="1">
        <f t="array" ref="J410">IFERROR(_xlfn.TEXTJOIN(";",1,IF(D410,_xlfn.MAKEARRAY(D410,1,_xlfn.LAMBDA(_xlpm.x,_xlpm.y,K410&amp;"-"&amp;TEXT(_xlpm.x,"00"))),_xlfn.MAP(_xlfn.TEXTSPLIT(E410,{";","；"},,1),_xlfn.LAMBDA(_xlpm.x,K410&amp;"-"&amp;TEXT(_xlpm.x,"00"))))),"")</f>
        <v>5c-599-rnd-hill-01;5c-599-rnd-hill-02</v>
      </c>
      <c r="K410" s="29" t="str">
        <f t="shared" si="38"/>
        <v>5c-599-rnd-hill</v>
      </c>
      <c r="L410" s="5" t="s">
        <v>123</v>
      </c>
      <c r="N410" s="5" t="s">
        <v>340</v>
      </c>
    </row>
    <row r="411" spans="1:18">
      <c r="A411" s="35">
        <v>42053</v>
      </c>
      <c r="B411" s="5">
        <v>16</v>
      </c>
      <c r="C411" s="34" t="s">
        <v>127</v>
      </c>
      <c r="D411" s="34">
        <v>1</v>
      </c>
      <c r="G411" s="25">
        <v>600</v>
      </c>
      <c r="H411" s="27" t="s">
        <v>335</v>
      </c>
      <c r="J411" s="35" t="str" cm="1">
        <f t="array" ref="J411">IFERROR(_xlfn.TEXTJOIN(";",1,IF(D411,_xlfn.MAKEARRAY(D411,1,_xlfn.LAMBDA(_xlpm.x,_xlpm.y,K411&amp;"-"&amp;TEXT(_xlpm.x,"00"))),_xlfn.MAP(_xlfn.TEXTSPLIT(E411,{";","；"},,1),_xlfn.LAMBDA(_xlpm.x,K411&amp;"-"&amp;TEXT(_xlpm.x,"00"))))),"")</f>
        <v>5c-600-fixed-ground-01</v>
      </c>
      <c r="K411" s="29" t="str">
        <f t="shared" si="38"/>
        <v>5c-600-fixed-ground</v>
      </c>
      <c r="L411" s="5" t="s">
        <v>126</v>
      </c>
      <c r="M411" s="5">
        <v>25.6</v>
      </c>
    </row>
    <row r="412" spans="1:18">
      <c r="A412" s="35">
        <v>42053</v>
      </c>
      <c r="B412" s="5">
        <v>17</v>
      </c>
      <c r="C412" s="34" t="s">
        <v>131</v>
      </c>
      <c r="D412" s="34">
        <v>1</v>
      </c>
      <c r="G412" s="25">
        <v>700</v>
      </c>
      <c r="H412" s="27" t="s">
        <v>335</v>
      </c>
      <c r="J412" s="35" t="str" cm="1">
        <f t="array" ref="J412">IFERROR(_xlfn.TEXTJOIN(";",1,IF(D412,_xlfn.MAKEARRAY(D412,1,_xlfn.LAMBDA(_xlpm.x,_xlpm.y,K412&amp;"-"&amp;TEXT(_xlpm.x,"00"))),_xlfn.MAP(_xlfn.TEXTSPLIT(E412,{";","；"},,1),_xlfn.LAMBDA(_xlpm.x,K412&amp;"-"&amp;TEXT(_xlpm.x,"00"))))),"")</f>
        <v>5c-700-rnd-cloud-01</v>
      </c>
      <c r="K412" s="29" t="str">
        <f t="shared" si="38"/>
        <v>5c-700-rnd-cloud</v>
      </c>
      <c r="L412" s="5" t="s">
        <v>123</v>
      </c>
      <c r="N412" s="5" t="s">
        <v>342</v>
      </c>
    </row>
    <row r="413" spans="1:18">
      <c r="A413" s="35">
        <v>42053</v>
      </c>
      <c r="B413" s="5">
        <v>18</v>
      </c>
      <c r="C413" s="34" t="s">
        <v>130</v>
      </c>
      <c r="D413" s="34">
        <v>2</v>
      </c>
      <c r="G413" s="25">
        <v>730</v>
      </c>
      <c r="H413" s="27" t="s">
        <v>335</v>
      </c>
      <c r="J413" s="35" t="str" cm="1">
        <f t="array" ref="J413">IFERROR(_xlfn.TEXTJOIN(";",1,IF(D413,_xlfn.MAKEARRAY(D413,1,_xlfn.LAMBDA(_xlpm.x,_xlpm.y,K413&amp;"-"&amp;TEXT(_xlpm.x,"00"))),_xlfn.MAP(_xlfn.TEXTSPLIT(E413,{";","；"},,1),_xlfn.LAMBDA(_xlpm.x,K413&amp;"-"&amp;TEXT(_xlpm.x,"00"))))),"")</f>
        <v>5c-730-rnd-mountain-01;5c-730-rnd-mountain-02</v>
      </c>
      <c r="K413" s="29" t="str">
        <f t="shared" si="38"/>
        <v>5c-730-rnd-mountain</v>
      </c>
      <c r="L413" s="5" t="s">
        <v>123</v>
      </c>
      <c r="N413" s="5" t="s">
        <v>277</v>
      </c>
    </row>
    <row r="414" spans="1:18">
      <c r="A414" s="35">
        <v>42053</v>
      </c>
      <c r="B414" s="5">
        <v>19</v>
      </c>
      <c r="C414" s="34" t="s">
        <v>130</v>
      </c>
      <c r="D414" s="34">
        <v>1</v>
      </c>
      <c r="G414" s="25">
        <v>790</v>
      </c>
      <c r="H414" s="27" t="s">
        <v>335</v>
      </c>
      <c r="J414" s="35" t="str" cm="1">
        <f t="array" ref="J414">IFERROR(_xlfn.TEXTJOIN(";",1,IF(D414,_xlfn.MAKEARRAY(D414,1,_xlfn.LAMBDA(_xlpm.x,_xlpm.y,K414&amp;"-"&amp;TEXT(_xlpm.x,"00"))),_xlfn.MAP(_xlfn.TEXTSPLIT(E414,{";","；"},,1),_xlfn.LAMBDA(_xlpm.x,K414&amp;"-"&amp;TEXT(_xlpm.x,"00"))))),"")</f>
        <v>5c-790-rnd-mountain-01</v>
      </c>
      <c r="K414" s="29" t="str">
        <f t="shared" si="38"/>
        <v>5c-790-rnd-mountain</v>
      </c>
      <c r="L414" s="5" t="s">
        <v>123</v>
      </c>
      <c r="N414" s="5" t="s">
        <v>277</v>
      </c>
    </row>
    <row r="415" spans="1:18">
      <c r="A415" s="35">
        <v>42053</v>
      </c>
      <c r="B415" s="5">
        <v>20</v>
      </c>
      <c r="C415" s="34" t="s">
        <v>131</v>
      </c>
      <c r="D415" s="34">
        <v>1</v>
      </c>
      <c r="G415" s="25">
        <v>800</v>
      </c>
      <c r="H415" s="27" t="s">
        <v>335</v>
      </c>
      <c r="J415" s="35" t="str" cm="1">
        <f t="array" ref="J415">IFERROR(_xlfn.TEXTJOIN(";",1,IF(D415,_xlfn.MAKEARRAY(D415,1,_xlfn.LAMBDA(_xlpm.x,_xlpm.y,K415&amp;"-"&amp;TEXT(_xlpm.x,"00"))),_xlfn.MAP(_xlfn.TEXTSPLIT(E415,{";","；"},,1),_xlfn.LAMBDA(_xlpm.x,K415&amp;"-"&amp;TEXT(_xlpm.x,"00"))))),"")</f>
        <v>5c-800-rnd-cloud-01</v>
      </c>
      <c r="K415" s="29" t="str">
        <f t="shared" si="38"/>
        <v>5c-800-rnd-cloud</v>
      </c>
      <c r="L415" s="5" t="s">
        <v>123</v>
      </c>
      <c r="N415" s="5" t="s">
        <v>343</v>
      </c>
      <c r="R415" s="5">
        <v>30</v>
      </c>
    </row>
    <row r="416" spans="1:18">
      <c r="A416" s="35">
        <v>42053</v>
      </c>
      <c r="B416" s="5">
        <v>21</v>
      </c>
      <c r="C416" s="34" t="s">
        <v>130</v>
      </c>
      <c r="D416" s="34">
        <v>1</v>
      </c>
      <c r="G416" s="25">
        <v>1200</v>
      </c>
      <c r="H416" s="27" t="s">
        <v>335</v>
      </c>
      <c r="J416" s="35" t="str" cm="1">
        <f t="array" ref="J416">IFERROR(_xlfn.TEXTJOIN(";",1,IF(D416,_xlfn.MAKEARRAY(D416,1,_xlfn.LAMBDA(_xlpm.x,_xlpm.y,K416&amp;"-"&amp;TEXT(_xlpm.x,"00"))),_xlfn.MAP(_xlfn.TEXTSPLIT(E416,{";","；"},,1),_xlfn.LAMBDA(_xlpm.x,K416&amp;"-"&amp;TEXT(_xlpm.x,"00"))))),"")</f>
        <v>5c-1200-rnd-mountain-01</v>
      </c>
      <c r="K416" s="29" t="str">
        <f t="shared" ref="K416:K419" si="40">_xlfn.TEXTJOIN("-",1,H416:I416,G416,IF(L416="FixedDistance","fixed","rnd"),C416)</f>
        <v>5c-1200-rnd-mountain</v>
      </c>
      <c r="L416" s="5" t="s">
        <v>123</v>
      </c>
      <c r="N416" s="5" t="s">
        <v>277</v>
      </c>
      <c r="R416" s="5">
        <v>38</v>
      </c>
    </row>
    <row r="417" spans="1:18">
      <c r="A417" s="35">
        <v>42053</v>
      </c>
      <c r="B417" s="5">
        <v>22</v>
      </c>
      <c r="C417" s="34" t="s">
        <v>130</v>
      </c>
      <c r="D417" s="34">
        <v>1</v>
      </c>
      <c r="G417" s="25">
        <v>1800</v>
      </c>
      <c r="H417" s="27" t="s">
        <v>335</v>
      </c>
      <c r="J417" s="35" t="str" cm="1">
        <f t="array" ref="J417">IFERROR(_xlfn.TEXTJOIN(";",1,IF(D417,_xlfn.MAKEARRAY(D417,1,_xlfn.LAMBDA(_xlpm.x,_xlpm.y,K417&amp;"-"&amp;TEXT(_xlpm.x,"00"))),_xlfn.MAP(_xlfn.TEXTSPLIT(E417,{";","；"},,1),_xlfn.LAMBDA(_xlpm.x,K417&amp;"-"&amp;TEXT(_xlpm.x,"00"))))),"")</f>
        <v>5c-1800-fixed-mountain-01</v>
      </c>
      <c r="K417" s="29" t="str">
        <f t="shared" si="40"/>
        <v>5c-1800-fixed-mountain</v>
      </c>
      <c r="L417" s="5" t="s">
        <v>126</v>
      </c>
      <c r="M417" s="5">
        <v>49.32</v>
      </c>
    </row>
    <row r="418" spans="1:18">
      <c r="A418" s="35">
        <v>42053</v>
      </c>
      <c r="B418" s="5">
        <v>23</v>
      </c>
      <c r="C418" s="34" t="s">
        <v>131</v>
      </c>
      <c r="D418" s="34">
        <v>3</v>
      </c>
      <c r="G418" s="25">
        <v>2000</v>
      </c>
      <c r="H418" s="27" t="s">
        <v>335</v>
      </c>
      <c r="J418" s="35" t="str" cm="1">
        <f t="array" ref="J418">IFERROR(_xlfn.TEXTJOIN(";",1,IF(D418,_xlfn.MAKEARRAY(D418,1,_xlfn.LAMBDA(_xlpm.x,_xlpm.y,K418&amp;"-"&amp;TEXT(_xlpm.x,"00"))),_xlfn.MAP(_xlfn.TEXTSPLIT(E418,{";","；"},,1),_xlfn.LAMBDA(_xlpm.x,K418&amp;"-"&amp;TEXT(_xlpm.x,"00"))))),"")</f>
        <v>5c-2000-rnd-cloud-01;5c-2000-rnd-cloud-02;5c-2000-rnd-cloud-03</v>
      </c>
      <c r="K418" s="29" t="str">
        <f t="shared" si="40"/>
        <v>5c-2000-rnd-cloud</v>
      </c>
      <c r="L418" s="5" t="s">
        <v>123</v>
      </c>
      <c r="N418" s="5" t="s">
        <v>344</v>
      </c>
    </row>
    <row r="419" spans="1:18">
      <c r="A419" s="35">
        <v>42053</v>
      </c>
      <c r="B419" s="5">
        <v>24</v>
      </c>
      <c r="C419" s="34" t="s">
        <v>132</v>
      </c>
      <c r="D419" s="34">
        <v>1</v>
      </c>
      <c r="G419" s="25">
        <v>3000</v>
      </c>
      <c r="H419" s="27" t="s">
        <v>335</v>
      </c>
      <c r="J419" s="35" t="str" cm="1">
        <f t="array" ref="J419">IFERROR(_xlfn.TEXTJOIN(";",1,IF(D419,_xlfn.MAKEARRAY(D419,1,_xlfn.LAMBDA(_xlpm.x,_xlpm.y,K419&amp;"-"&amp;TEXT(_xlpm.x,"00"))),_xlfn.MAP(_xlfn.TEXTSPLIT(E419,{";","；"},,1),_xlfn.LAMBDA(_xlpm.x,K419&amp;"-"&amp;TEXT(_xlpm.x,"00"))))),"")</f>
        <v>5c-3000-fixed-sky-01</v>
      </c>
      <c r="K419" s="29" t="str">
        <f t="shared" si="40"/>
        <v>5c-3000-fixed-sky</v>
      </c>
      <c r="L419" s="5" t="s">
        <v>126</v>
      </c>
      <c r="M419" s="5">
        <v>25.6</v>
      </c>
    </row>
    <row r="421" spans="1:18">
      <c r="A421" s="35">
        <v>42061</v>
      </c>
      <c r="B421" s="5">
        <v>1</v>
      </c>
      <c r="C421" s="34" t="s">
        <v>125</v>
      </c>
      <c r="D421" s="34">
        <v>1</v>
      </c>
      <c r="G421" s="25">
        <v>11</v>
      </c>
      <c r="H421" s="27" t="s">
        <v>345</v>
      </c>
      <c r="J421" s="35" t="str" cm="1">
        <f t="array" ref="J421">IFERROR(_xlfn.TEXTJOIN(";",1,IF(D421,_xlfn.MAKEARRAY(D421,1,_xlfn.LAMBDA(_xlpm.x,_xlpm.y,K421&amp;"-"&amp;TEXT(_xlpm.x,"00"))),_xlfn.MAP(_xlfn.TEXTSPLIT(E421,{";","；"},,1),_xlfn.LAMBDA(_xlpm.x,K421&amp;"-"&amp;TEXT(_xlpm.x,"00"))))),"")</f>
        <v>6a-11-fixed-atm-01</v>
      </c>
      <c r="K421" s="29" t="str">
        <f t="shared" ref="K421:K422" si="41">_xlfn.TEXTJOIN("-",1,H421:I421,G421,IF(L421="FixedDistance","fixed","rnd"),C421)</f>
        <v>6a-11-fixed-atm</v>
      </c>
      <c r="L421" s="5" t="s">
        <v>126</v>
      </c>
      <c r="M421" s="5">
        <v>25.6</v>
      </c>
    </row>
    <row r="422" spans="1:18">
      <c r="A422" s="35">
        <v>42061</v>
      </c>
      <c r="B422" s="5">
        <v>2</v>
      </c>
      <c r="C422" s="34" t="s">
        <v>120</v>
      </c>
      <c r="D422" s="34">
        <v>2</v>
      </c>
      <c r="G422" s="25">
        <v>12</v>
      </c>
      <c r="H422" s="27" t="s">
        <v>345</v>
      </c>
      <c r="J422" s="35" t="str" cm="1">
        <f t="array" ref="J422">IFERROR(_xlfn.TEXTJOIN(";",1,IF(D422,_xlfn.MAKEARRAY(D422,1,_xlfn.LAMBDA(_xlpm.x,_xlpm.y,K422&amp;"-"&amp;TEXT(_xlpm.x,"00"))),_xlfn.MAP(_xlfn.TEXTSPLIT(E422,{";","；"},,1),_xlfn.LAMBDA(_xlpm.x,K422&amp;"-"&amp;TEXT(_xlpm.x,"00"))))),"")</f>
        <v>6a-12-rnd-grass-01;6a-12-rnd-grass-02</v>
      </c>
      <c r="K422" s="29" t="str">
        <f t="shared" si="41"/>
        <v>6a-12-rnd-grass</v>
      </c>
      <c r="L422" s="5" t="s">
        <v>123</v>
      </c>
      <c r="N422" s="5" t="s">
        <v>346</v>
      </c>
    </row>
    <row r="423" spans="1:18">
      <c r="A423" s="35">
        <v>42061</v>
      </c>
      <c r="B423" s="5">
        <v>3</v>
      </c>
      <c r="C423" s="34" t="s">
        <v>212</v>
      </c>
      <c r="D423" s="34">
        <v>1</v>
      </c>
      <c r="G423" s="25">
        <v>20</v>
      </c>
      <c r="H423" s="27" t="s">
        <v>345</v>
      </c>
      <c r="J423" s="35" t="str" cm="1">
        <f t="array" ref="J423">IFERROR(_xlfn.TEXTJOIN(";",1,IF(D423,_xlfn.MAKEARRAY(D423,1,_xlfn.LAMBDA(_xlpm.x,_xlpm.y,K423&amp;"-"&amp;TEXT(_xlpm.x,"00"))),_xlfn.MAP(_xlfn.TEXTSPLIT(E423,{";","；"},,1),_xlfn.LAMBDA(_xlpm.x,K423&amp;"-"&amp;TEXT(_xlpm.x,"00"))))),"")</f>
        <v>6a-20-rnd-plant-01</v>
      </c>
      <c r="K423" s="29" t="str">
        <f t="shared" ref="K423:K441" si="42">_xlfn.TEXTJOIN("-",1,H423:I423,G423,IF(L423="FixedDistance","fixed","rnd"),C423)</f>
        <v>6a-20-rnd-plant</v>
      </c>
      <c r="L423" s="5" t="s">
        <v>123</v>
      </c>
      <c r="N423" s="5" t="s">
        <v>347</v>
      </c>
      <c r="P423" s="5">
        <v>0.5</v>
      </c>
      <c r="Q423" s="5">
        <v>0.5</v>
      </c>
      <c r="R423" s="5">
        <v>40</v>
      </c>
    </row>
    <row r="424" spans="1:18">
      <c r="A424" s="35">
        <v>42061</v>
      </c>
      <c r="B424" s="5">
        <v>4</v>
      </c>
      <c r="C424" s="34" t="s">
        <v>219</v>
      </c>
      <c r="D424" s="34">
        <v>3</v>
      </c>
      <c r="G424" s="25">
        <v>23</v>
      </c>
      <c r="H424" s="27" t="s">
        <v>345</v>
      </c>
      <c r="J424" s="35" t="str" cm="1">
        <f t="array" ref="J424">IFERROR(_xlfn.TEXTJOIN(";",1,IF(D424,_xlfn.MAKEARRAY(D424,1,_xlfn.LAMBDA(_xlpm.x,_xlpm.y,K424&amp;"-"&amp;TEXT(_xlpm.x,"00"))),_xlfn.MAP(_xlfn.TEXTSPLIT(E424,{";","；"},,1),_xlfn.LAMBDA(_xlpm.x,K424&amp;"-"&amp;TEXT(_xlpm.x,"00"))))),"")</f>
        <v>6a-23-rnd-hill-01;6a-23-rnd-hill-02;6a-23-rnd-hill-03</v>
      </c>
      <c r="K424" s="29" t="str">
        <f t="shared" si="42"/>
        <v>6a-23-rnd-hill</v>
      </c>
      <c r="L424" s="5" t="s">
        <v>123</v>
      </c>
      <c r="N424" s="5" t="s">
        <v>348</v>
      </c>
      <c r="P424" s="5">
        <v>0.8</v>
      </c>
      <c r="Q424" s="5">
        <v>0.2</v>
      </c>
      <c r="R424" s="5">
        <v>45</v>
      </c>
    </row>
    <row r="425" spans="1:18">
      <c r="A425" s="35">
        <v>42061</v>
      </c>
      <c r="B425" s="5">
        <v>5</v>
      </c>
      <c r="C425" s="34" t="s">
        <v>131</v>
      </c>
      <c r="D425" s="34">
        <v>1</v>
      </c>
      <c r="G425" s="25">
        <v>28</v>
      </c>
      <c r="H425" s="27" t="s">
        <v>345</v>
      </c>
      <c r="J425" s="35" t="str" cm="1">
        <f t="array" ref="J425">IFERROR(_xlfn.TEXTJOIN(";",1,IF(D425,_xlfn.MAKEARRAY(D425,1,_xlfn.LAMBDA(_xlpm.x,_xlpm.y,K425&amp;"-"&amp;TEXT(_xlpm.x,"00"))),_xlfn.MAP(_xlfn.TEXTSPLIT(E425,{";","；"},,1),_xlfn.LAMBDA(_xlpm.x,K425&amp;"-"&amp;TEXT(_xlpm.x,"00"))))),"")</f>
        <v>6a-28-rnd-cloud-01</v>
      </c>
      <c r="K425" s="29" t="str">
        <f t="shared" si="42"/>
        <v>6a-28-rnd-cloud</v>
      </c>
      <c r="L425" s="5" t="s">
        <v>123</v>
      </c>
      <c r="N425" s="5" t="s">
        <v>349</v>
      </c>
      <c r="R425" s="5">
        <v>55</v>
      </c>
    </row>
    <row r="426" spans="1:18">
      <c r="A426" s="35">
        <v>42061</v>
      </c>
      <c r="B426" s="5">
        <v>6</v>
      </c>
      <c r="C426" s="34" t="s">
        <v>128</v>
      </c>
      <c r="D426" s="34">
        <v>3</v>
      </c>
      <c r="G426" s="25">
        <v>30</v>
      </c>
      <c r="H426" s="27" t="s">
        <v>345</v>
      </c>
      <c r="J426" s="35" t="str" cm="1">
        <f t="array" ref="J426">IFERROR(_xlfn.TEXTJOIN(";",1,IF(D426,_xlfn.MAKEARRAY(D426,1,_xlfn.LAMBDA(_xlpm.x,_xlpm.y,K426&amp;"-"&amp;TEXT(_xlpm.x,"00"))),_xlfn.MAP(_xlfn.TEXTSPLIT(E426,{";","；"},,1),_xlfn.LAMBDA(_xlpm.x,K426&amp;"-"&amp;TEXT(_xlpm.x,"00"))))),"")</f>
        <v>6a-30-rnd-tree-01;6a-30-rnd-tree-02;6a-30-rnd-tree-03</v>
      </c>
      <c r="K426" s="29" t="str">
        <f t="shared" si="42"/>
        <v>6a-30-rnd-tree</v>
      </c>
      <c r="L426" s="5" t="s">
        <v>123</v>
      </c>
      <c r="N426" s="5" t="s">
        <v>350</v>
      </c>
      <c r="P426" s="5">
        <v>0.8</v>
      </c>
      <c r="Q426" s="5">
        <v>0.2</v>
      </c>
    </row>
    <row r="427" spans="1:18">
      <c r="A427" s="35">
        <v>42061</v>
      </c>
      <c r="B427" s="5">
        <v>7</v>
      </c>
      <c r="C427" s="34" t="s">
        <v>212</v>
      </c>
      <c r="D427" s="34">
        <v>1</v>
      </c>
      <c r="G427" s="25">
        <v>38</v>
      </c>
      <c r="H427" s="27" t="s">
        <v>345</v>
      </c>
      <c r="J427" s="35" t="str" cm="1">
        <f t="array" ref="J427">IFERROR(_xlfn.TEXTJOIN(";",1,IF(D427,_xlfn.MAKEARRAY(D427,1,_xlfn.LAMBDA(_xlpm.x,_xlpm.y,K427&amp;"-"&amp;TEXT(_xlpm.x,"00"))),_xlfn.MAP(_xlfn.TEXTSPLIT(E427,{";","；"},,1),_xlfn.LAMBDA(_xlpm.x,K427&amp;"-"&amp;TEXT(_xlpm.x,"00"))))),"")</f>
        <v>6a-38-rnd-plant-01</v>
      </c>
      <c r="K427" s="29" t="str">
        <f t="shared" si="42"/>
        <v>6a-38-rnd-plant</v>
      </c>
      <c r="L427" s="5" t="s">
        <v>123</v>
      </c>
      <c r="N427" s="5" t="s">
        <v>351</v>
      </c>
      <c r="P427" s="5">
        <v>0.8</v>
      </c>
      <c r="Q427" s="5">
        <v>0.2</v>
      </c>
    </row>
    <row r="428" spans="1:18">
      <c r="A428" s="35">
        <v>42061</v>
      </c>
      <c r="B428" s="5">
        <v>8</v>
      </c>
      <c r="C428" s="34" t="s">
        <v>212</v>
      </c>
      <c r="D428" s="34">
        <v>1</v>
      </c>
      <c r="G428" s="25">
        <v>85</v>
      </c>
      <c r="H428" s="27" t="s">
        <v>345</v>
      </c>
      <c r="J428" s="35" t="str" cm="1">
        <f t="array" ref="J428">IFERROR(_xlfn.TEXTJOIN(";",1,IF(D428,_xlfn.MAKEARRAY(D428,1,_xlfn.LAMBDA(_xlpm.x,_xlpm.y,K428&amp;"-"&amp;TEXT(_xlpm.x,"00"))),_xlfn.MAP(_xlfn.TEXTSPLIT(E428,{";","；"},,1),_xlfn.LAMBDA(_xlpm.x,K428&amp;"-"&amp;TEXT(_xlpm.x,"00"))))),"")</f>
        <v>6a-85-rnd-plant-01</v>
      </c>
      <c r="K428" s="29" t="str">
        <f t="shared" si="42"/>
        <v>6a-85-rnd-plant</v>
      </c>
      <c r="L428" s="5" t="s">
        <v>123</v>
      </c>
      <c r="N428" s="5" t="s">
        <v>352</v>
      </c>
      <c r="P428" s="5">
        <v>0.5</v>
      </c>
      <c r="Q428" s="5">
        <v>0.5</v>
      </c>
    </row>
    <row r="429" spans="1:18">
      <c r="A429" s="35">
        <v>42061</v>
      </c>
      <c r="B429" s="5">
        <v>9</v>
      </c>
      <c r="C429" s="34" t="s">
        <v>212</v>
      </c>
      <c r="D429" s="34">
        <v>1</v>
      </c>
      <c r="G429" s="25">
        <v>86</v>
      </c>
      <c r="H429" s="27" t="s">
        <v>345</v>
      </c>
      <c r="J429" s="35" t="str" cm="1">
        <f t="array" ref="J429">IFERROR(_xlfn.TEXTJOIN(";",1,IF(D429,_xlfn.MAKEARRAY(D429,1,_xlfn.LAMBDA(_xlpm.x,_xlpm.y,K429&amp;"-"&amp;TEXT(_xlpm.x,"00"))),_xlfn.MAP(_xlfn.TEXTSPLIT(E429,{";","；"},,1),_xlfn.LAMBDA(_xlpm.x,K429&amp;"-"&amp;TEXT(_xlpm.x,"00"))))),"")</f>
        <v>6a-86-rnd-plant-01</v>
      </c>
      <c r="K429" s="29" t="str">
        <f t="shared" si="42"/>
        <v>6a-86-rnd-plant</v>
      </c>
      <c r="L429" s="5" t="s">
        <v>123</v>
      </c>
      <c r="N429" s="5" t="s">
        <v>306</v>
      </c>
    </row>
    <row r="430" spans="1:18">
      <c r="A430" s="35">
        <v>42061</v>
      </c>
      <c r="B430" s="5">
        <v>10</v>
      </c>
      <c r="C430" s="34" t="s">
        <v>353</v>
      </c>
      <c r="D430" s="34">
        <v>1</v>
      </c>
      <c r="G430" s="25">
        <v>87</v>
      </c>
      <c r="H430" s="27" t="s">
        <v>345</v>
      </c>
      <c r="J430" s="35" t="str" cm="1">
        <f t="array" ref="J430">IFERROR(_xlfn.TEXTJOIN(";",1,IF(D430,_xlfn.MAKEARRAY(D430,1,_xlfn.LAMBDA(_xlpm.x,_xlpm.y,K430&amp;"-"&amp;TEXT(_xlpm.x,"00"))),_xlfn.MAP(_xlfn.TEXTSPLIT(E430,{";","；"},,1),_xlfn.LAMBDA(_xlpm.x,K430&amp;"-"&amp;TEXT(_xlpm.x,"00"))))),"")</f>
        <v>6a-87-rnd-bone-01</v>
      </c>
      <c r="K430" s="29" t="str">
        <f t="shared" si="42"/>
        <v>6a-87-rnd-bone</v>
      </c>
      <c r="L430" s="5" t="s">
        <v>123</v>
      </c>
      <c r="N430" s="5" t="s">
        <v>354</v>
      </c>
      <c r="P430" s="5">
        <v>0.5</v>
      </c>
      <c r="Q430" s="5">
        <v>0.5</v>
      </c>
    </row>
    <row r="431" spans="1:18">
      <c r="A431" s="35">
        <v>42061</v>
      </c>
      <c r="B431" s="5">
        <v>11</v>
      </c>
      <c r="C431" s="34" t="s">
        <v>212</v>
      </c>
      <c r="D431" s="34">
        <v>2</v>
      </c>
      <c r="G431" s="25">
        <v>88</v>
      </c>
      <c r="H431" s="27" t="s">
        <v>345</v>
      </c>
      <c r="J431" s="35" t="str" cm="1">
        <f t="array" ref="J431">IFERROR(_xlfn.TEXTJOIN(";",1,IF(D431,_xlfn.MAKEARRAY(D431,1,_xlfn.LAMBDA(_xlpm.x,_xlpm.y,K431&amp;"-"&amp;TEXT(_xlpm.x,"00"))),_xlfn.MAP(_xlfn.TEXTSPLIT(E431,{";","；"},,1),_xlfn.LAMBDA(_xlpm.x,K431&amp;"-"&amp;TEXT(_xlpm.x,"00"))))),"")</f>
        <v>6a-88-rnd-plant-01;6a-88-rnd-plant-02</v>
      </c>
      <c r="K431" s="29" t="str">
        <f t="shared" si="42"/>
        <v>6a-88-rnd-plant</v>
      </c>
      <c r="L431" s="5" t="s">
        <v>123</v>
      </c>
      <c r="N431" s="5" t="s">
        <v>355</v>
      </c>
    </row>
    <row r="432" spans="1:18">
      <c r="A432" s="35">
        <v>42061</v>
      </c>
      <c r="B432" s="5">
        <v>12</v>
      </c>
      <c r="C432" s="34" t="s">
        <v>356</v>
      </c>
      <c r="D432" s="34">
        <v>2</v>
      </c>
      <c r="G432" s="25">
        <v>89</v>
      </c>
      <c r="H432" s="27" t="s">
        <v>345</v>
      </c>
      <c r="J432" s="35" t="str" cm="1">
        <f t="array" ref="J432">IFERROR(_xlfn.TEXTJOIN(";",1,IF(D432,_xlfn.MAKEARRAY(D432,1,_xlfn.LAMBDA(_xlpm.x,_xlpm.y,K432&amp;"-"&amp;TEXT(_xlpm.x,"00"))),_xlfn.MAP(_xlfn.TEXTSPLIT(E432,{";","；"},,1),_xlfn.LAMBDA(_xlpm.x,K432&amp;"-"&amp;TEXT(_xlpm.x,"00"))))),"")</f>
        <v>6a-89-rnd-sunshine-01;6a-89-rnd-sunshine-02</v>
      </c>
      <c r="K432" s="29" t="str">
        <f t="shared" si="42"/>
        <v>6a-89-rnd-sunshine</v>
      </c>
      <c r="L432" s="5" t="s">
        <v>123</v>
      </c>
      <c r="N432" s="5" t="s">
        <v>357</v>
      </c>
    </row>
    <row r="433" spans="1:18">
      <c r="A433" s="35">
        <v>42061</v>
      </c>
      <c r="B433" s="5">
        <v>13</v>
      </c>
      <c r="C433" s="34" t="s">
        <v>34</v>
      </c>
      <c r="D433" s="34">
        <v>1</v>
      </c>
      <c r="G433" s="25">
        <v>90</v>
      </c>
      <c r="H433" s="27" t="s">
        <v>345</v>
      </c>
      <c r="J433" s="35" t="str" cm="1">
        <f t="array" ref="J433">IFERROR(_xlfn.TEXTJOIN(";",1,IF(D433,_xlfn.MAKEARRAY(D433,1,_xlfn.LAMBDA(_xlpm.x,_xlpm.y,K433&amp;"-"&amp;TEXT(_xlpm.x,"00"))),_xlfn.MAP(_xlfn.TEXTSPLIT(E433,{";","；"},,1),_xlfn.LAMBDA(_xlpm.x,K433&amp;"-"&amp;TEXT(_xlpm.x,"00"))))),"")</f>
        <v>6a-90-fixed-water-01</v>
      </c>
      <c r="K433" s="29" t="str">
        <f t="shared" si="42"/>
        <v>6a-90-fixed-water</v>
      </c>
      <c r="L433" s="5" t="s">
        <v>126</v>
      </c>
      <c r="M433" s="5">
        <v>33.04</v>
      </c>
    </row>
    <row r="434" spans="1:18">
      <c r="A434" s="35">
        <v>42061</v>
      </c>
      <c r="B434" s="5">
        <v>14</v>
      </c>
      <c r="C434" s="34" t="s">
        <v>307</v>
      </c>
      <c r="D434" s="34">
        <v>1</v>
      </c>
      <c r="G434" s="25">
        <v>91</v>
      </c>
      <c r="H434" s="27" t="s">
        <v>345</v>
      </c>
      <c r="J434" s="35" t="str" cm="1">
        <f t="array" ref="J434">IFERROR(_xlfn.TEXTJOIN(";",1,IF(D434,_xlfn.MAKEARRAY(D434,1,_xlfn.LAMBDA(_xlpm.x,_xlpm.y,K434&amp;"-"&amp;TEXT(_xlpm.x,"00"))),_xlfn.MAP(_xlfn.TEXTSPLIT(E434,{";","；"},,1),_xlfn.LAMBDA(_xlpm.x,K434&amp;"-"&amp;TEXT(_xlpm.x,"00"))))),"")</f>
        <v>6a-91-rnd-house-01</v>
      </c>
      <c r="K434" s="29" t="str">
        <f t="shared" si="42"/>
        <v>6a-91-rnd-house</v>
      </c>
      <c r="L434" s="5" t="s">
        <v>123</v>
      </c>
      <c r="N434" s="5" t="s">
        <v>352</v>
      </c>
      <c r="P434" s="5">
        <v>0.5</v>
      </c>
      <c r="Q434" s="5">
        <v>0.5</v>
      </c>
    </row>
    <row r="435" spans="1:18">
      <c r="A435" s="35">
        <v>42061</v>
      </c>
      <c r="B435" s="5">
        <v>15</v>
      </c>
      <c r="C435" s="34" t="s">
        <v>212</v>
      </c>
      <c r="D435" s="34">
        <v>1</v>
      </c>
      <c r="G435" s="25">
        <v>110</v>
      </c>
      <c r="H435" s="27" t="s">
        <v>345</v>
      </c>
      <c r="J435" s="35" t="str" cm="1">
        <f t="array" ref="J435">IFERROR(_xlfn.TEXTJOIN(";",1,IF(D435,_xlfn.MAKEARRAY(D435,1,_xlfn.LAMBDA(_xlpm.x,_xlpm.y,K435&amp;"-"&amp;TEXT(_xlpm.x,"00"))),_xlfn.MAP(_xlfn.TEXTSPLIT(E435,{";","；"},,1),_xlfn.LAMBDA(_xlpm.x,K435&amp;"-"&amp;TEXT(_xlpm.x,"00"))))),"")</f>
        <v>6a-110-fixed-plant-01</v>
      </c>
      <c r="K435" s="29" t="str">
        <f t="shared" si="42"/>
        <v>6a-110-fixed-plant</v>
      </c>
      <c r="L435" s="5" t="s">
        <v>126</v>
      </c>
      <c r="M435" s="5">
        <v>25.6</v>
      </c>
    </row>
    <row r="436" spans="1:18">
      <c r="A436" s="35">
        <v>42061</v>
      </c>
      <c r="B436" s="5">
        <v>16</v>
      </c>
      <c r="C436" s="34" t="s">
        <v>125</v>
      </c>
      <c r="D436" s="34">
        <v>1</v>
      </c>
      <c r="G436" s="25">
        <v>111</v>
      </c>
      <c r="H436" s="27" t="s">
        <v>345</v>
      </c>
      <c r="J436" s="35" t="str" cm="1">
        <f t="array" ref="J436">IFERROR(_xlfn.TEXTJOIN(";",1,IF(D436,_xlfn.MAKEARRAY(D436,1,_xlfn.LAMBDA(_xlpm.x,_xlpm.y,K436&amp;"-"&amp;TEXT(_xlpm.x,"00"))),_xlfn.MAP(_xlfn.TEXTSPLIT(E436,{";","；"},,1),_xlfn.LAMBDA(_xlpm.x,K436&amp;"-"&amp;TEXT(_xlpm.x,"00"))))),"")</f>
        <v>6a-111-fixed-atm-01</v>
      </c>
      <c r="K436" s="29" t="str">
        <f t="shared" si="42"/>
        <v>6a-111-fixed-atm</v>
      </c>
      <c r="L436" s="5" t="s">
        <v>126</v>
      </c>
      <c r="M436" s="5">
        <v>25.6</v>
      </c>
    </row>
    <row r="437" spans="1:18">
      <c r="A437" s="35">
        <v>42061</v>
      </c>
      <c r="B437" s="5">
        <v>17</v>
      </c>
      <c r="C437" s="34" t="s">
        <v>131</v>
      </c>
      <c r="D437" s="34">
        <v>1</v>
      </c>
      <c r="G437" s="25">
        <v>115</v>
      </c>
      <c r="H437" s="27" t="s">
        <v>345</v>
      </c>
      <c r="J437" s="35" t="str" cm="1">
        <f t="array" ref="J437">IFERROR(_xlfn.TEXTJOIN(";",1,IF(D437,_xlfn.MAKEARRAY(D437,1,_xlfn.LAMBDA(_xlpm.x,_xlpm.y,K437&amp;"-"&amp;TEXT(_xlpm.x,"00"))),_xlfn.MAP(_xlfn.TEXTSPLIT(E437,{";","；"},,1),_xlfn.LAMBDA(_xlpm.x,K437&amp;"-"&amp;TEXT(_xlpm.x,"00"))))),"")</f>
        <v>6a-115-rnd-cloud-01</v>
      </c>
      <c r="K437" s="29" t="str">
        <f t="shared" si="42"/>
        <v>6a-115-rnd-cloud</v>
      </c>
      <c r="L437" s="5" t="s">
        <v>123</v>
      </c>
      <c r="N437" s="5" t="s">
        <v>287</v>
      </c>
    </row>
    <row r="438" spans="1:18">
      <c r="A438" s="35">
        <v>42061</v>
      </c>
      <c r="B438" s="5">
        <v>18</v>
      </c>
      <c r="C438" s="34" t="s">
        <v>212</v>
      </c>
      <c r="D438" s="34">
        <v>1</v>
      </c>
      <c r="G438" s="25">
        <v>150</v>
      </c>
      <c r="H438" s="27" t="s">
        <v>345</v>
      </c>
      <c r="J438" s="35" t="str" cm="1">
        <f t="array" ref="J438">IFERROR(_xlfn.TEXTJOIN(";",1,IF(D438,_xlfn.MAKEARRAY(D438,1,_xlfn.LAMBDA(_xlpm.x,_xlpm.y,K438&amp;"-"&amp;TEXT(_xlpm.x,"00"))),_xlfn.MAP(_xlfn.TEXTSPLIT(E438,{";","；"},,1),_xlfn.LAMBDA(_xlpm.x,K438&amp;"-"&amp;TEXT(_xlpm.x,"00"))))),"")</f>
        <v>6a-150-fixed-plant-01</v>
      </c>
      <c r="K438" s="29" t="str">
        <f t="shared" si="42"/>
        <v>6a-150-fixed-plant</v>
      </c>
      <c r="L438" s="5" t="s">
        <v>126</v>
      </c>
      <c r="M438" s="5">
        <v>25.6</v>
      </c>
    </row>
    <row r="439" spans="1:18">
      <c r="A439" s="35">
        <v>42061</v>
      </c>
      <c r="B439" s="5">
        <v>19</v>
      </c>
      <c r="C439" s="34" t="s">
        <v>125</v>
      </c>
      <c r="D439" s="34">
        <v>1</v>
      </c>
      <c r="G439" s="25">
        <v>155</v>
      </c>
      <c r="H439" s="27" t="s">
        <v>345</v>
      </c>
      <c r="J439" s="35" t="str" cm="1">
        <f t="array" ref="J439">IFERROR(_xlfn.TEXTJOIN(";",1,IF(D439,_xlfn.MAKEARRAY(D439,1,_xlfn.LAMBDA(_xlpm.x,_xlpm.y,K439&amp;"-"&amp;TEXT(_xlpm.x,"00"))),_xlfn.MAP(_xlfn.TEXTSPLIT(E439,{";","；"},,1),_xlfn.LAMBDA(_xlpm.x,K439&amp;"-"&amp;TEXT(_xlpm.x,"00"))))),"")</f>
        <v>6a-155-fixed-atm-01</v>
      </c>
      <c r="K439" s="29" t="str">
        <f t="shared" si="42"/>
        <v>6a-155-fixed-atm</v>
      </c>
      <c r="L439" s="5" t="s">
        <v>126</v>
      </c>
      <c r="M439" s="5">
        <v>25.6</v>
      </c>
    </row>
    <row r="440" spans="1:18">
      <c r="A440" s="35">
        <v>42061</v>
      </c>
      <c r="B440" s="5">
        <v>20</v>
      </c>
      <c r="C440" s="34" t="s">
        <v>212</v>
      </c>
      <c r="D440" s="34">
        <v>1</v>
      </c>
      <c r="G440" s="25">
        <v>220</v>
      </c>
      <c r="H440" s="27" t="s">
        <v>345</v>
      </c>
      <c r="J440" s="35" t="str" cm="1">
        <f t="array" ref="J440">IFERROR(_xlfn.TEXTJOIN(";",1,IF(D440,_xlfn.MAKEARRAY(D440,1,_xlfn.LAMBDA(_xlpm.x,_xlpm.y,K440&amp;"-"&amp;TEXT(_xlpm.x,"00"))),_xlfn.MAP(_xlfn.TEXTSPLIT(E440,{";","；"},,1),_xlfn.LAMBDA(_xlpm.x,K440&amp;"-"&amp;TEXT(_xlpm.x,"00"))))),"")</f>
        <v>6a-220-fixed-plant-01</v>
      </c>
      <c r="K440" s="29" t="str">
        <f t="shared" si="42"/>
        <v>6a-220-fixed-plant</v>
      </c>
      <c r="L440" s="5" t="s">
        <v>126</v>
      </c>
      <c r="M440" s="5">
        <v>27.92</v>
      </c>
    </row>
    <row r="441" spans="1:18">
      <c r="A441" s="35">
        <v>42061</v>
      </c>
      <c r="B441" s="5">
        <v>21</v>
      </c>
      <c r="C441" s="34" t="s">
        <v>212</v>
      </c>
      <c r="D441" s="34">
        <v>1</v>
      </c>
      <c r="G441" s="25">
        <v>290</v>
      </c>
      <c r="H441" s="27" t="s">
        <v>345</v>
      </c>
      <c r="J441" s="35" t="str" cm="1">
        <f t="array" ref="J441">IFERROR(_xlfn.TEXTJOIN(";",1,IF(D441,_xlfn.MAKEARRAY(D441,1,_xlfn.LAMBDA(_xlpm.x,_xlpm.y,K441&amp;"-"&amp;TEXT(_xlpm.x,"00"))),_xlfn.MAP(_xlfn.TEXTSPLIT(E441,{";","；"},,1),_xlfn.LAMBDA(_xlpm.x,K441&amp;"-"&amp;TEXT(_xlpm.x,"00"))))),"")</f>
        <v>6a-290-rnd-plant-01</v>
      </c>
      <c r="K441" s="29" t="str">
        <f t="shared" si="42"/>
        <v>6a-290-rnd-plant</v>
      </c>
      <c r="L441" s="5" t="s">
        <v>123</v>
      </c>
      <c r="N441" s="5" t="s">
        <v>347</v>
      </c>
    </row>
    <row r="442" spans="1:18">
      <c r="A442" s="35">
        <v>42061</v>
      </c>
      <c r="B442" s="5">
        <v>22</v>
      </c>
      <c r="C442" s="34" t="s">
        <v>131</v>
      </c>
      <c r="D442" s="34">
        <v>1</v>
      </c>
      <c r="G442" s="25">
        <v>550</v>
      </c>
      <c r="H442" s="27" t="s">
        <v>345</v>
      </c>
      <c r="J442" s="35" t="str" cm="1">
        <f t="array" ref="J442">IFERROR(_xlfn.TEXTJOIN(";",1,IF(D442,_xlfn.MAKEARRAY(D442,1,_xlfn.LAMBDA(_xlpm.x,_xlpm.y,K442&amp;"-"&amp;TEXT(_xlpm.x,"00"))),_xlfn.MAP(_xlfn.TEXTSPLIT(E442,{";","；"},,1),_xlfn.LAMBDA(_xlpm.x,K442&amp;"-"&amp;TEXT(_xlpm.x,"00"))))),"")</f>
        <v>6a-550-rnd-cloud-01</v>
      </c>
      <c r="K442" s="29" t="str">
        <f t="shared" ref="K442:K447" si="43">_xlfn.TEXTJOIN("-",1,H442:I442,G442,IF(L442="FixedDistance","fixed","rnd"),C442)</f>
        <v>6a-550-rnd-cloud</v>
      </c>
      <c r="L442" s="5" t="s">
        <v>123</v>
      </c>
      <c r="N442" s="5" t="s">
        <v>358</v>
      </c>
    </row>
    <row r="443" spans="1:18">
      <c r="A443" s="35">
        <v>42061</v>
      </c>
      <c r="B443" s="5">
        <v>23</v>
      </c>
      <c r="C443" s="34" t="s">
        <v>131</v>
      </c>
      <c r="D443" s="34">
        <v>1</v>
      </c>
      <c r="G443" s="25">
        <v>800</v>
      </c>
      <c r="H443" s="27" t="s">
        <v>345</v>
      </c>
      <c r="J443" s="35" t="str" cm="1">
        <f t="array" ref="J443">IFERROR(_xlfn.TEXTJOIN(";",1,IF(D443,_xlfn.MAKEARRAY(D443,1,_xlfn.LAMBDA(_xlpm.x,_xlpm.y,K443&amp;"-"&amp;TEXT(_xlpm.x,"00"))),_xlfn.MAP(_xlfn.TEXTSPLIT(E443,{";","；"},,1),_xlfn.LAMBDA(_xlpm.x,K443&amp;"-"&amp;TEXT(_xlpm.x,"00"))))),"")</f>
        <v>6a-800-rnd-cloud-01</v>
      </c>
      <c r="K443" s="29" t="str">
        <f t="shared" si="43"/>
        <v>6a-800-rnd-cloud</v>
      </c>
      <c r="L443" s="5" t="s">
        <v>123</v>
      </c>
      <c r="N443" s="5" t="s">
        <v>359</v>
      </c>
    </row>
    <row r="444" spans="1:18">
      <c r="A444" s="35">
        <v>42061</v>
      </c>
      <c r="B444" s="5">
        <v>24</v>
      </c>
      <c r="C444" s="34" t="s">
        <v>131</v>
      </c>
      <c r="D444" s="34">
        <v>2</v>
      </c>
      <c r="G444" s="25">
        <v>1400</v>
      </c>
      <c r="H444" s="27" t="s">
        <v>345</v>
      </c>
      <c r="J444" s="35" t="str" cm="1">
        <f t="array" ref="J444">IFERROR(_xlfn.TEXTJOIN(";",1,IF(D444,_xlfn.MAKEARRAY(D444,1,_xlfn.LAMBDA(_xlpm.x,_xlpm.y,K444&amp;"-"&amp;TEXT(_xlpm.x,"00"))),_xlfn.MAP(_xlfn.TEXTSPLIT(E444,{";","；"},,1),_xlfn.LAMBDA(_xlpm.x,K444&amp;"-"&amp;TEXT(_xlpm.x,"00"))))),"")</f>
        <v>6a-1400-rnd-cloud-01;6a-1400-rnd-cloud-02</v>
      </c>
      <c r="K444" s="29" t="str">
        <f t="shared" si="43"/>
        <v>6a-1400-rnd-cloud</v>
      </c>
      <c r="L444" s="5" t="s">
        <v>123</v>
      </c>
      <c r="N444" s="5" t="s">
        <v>147</v>
      </c>
    </row>
    <row r="445" spans="1:18">
      <c r="A445" s="35">
        <v>42061</v>
      </c>
      <c r="B445" s="5">
        <v>25</v>
      </c>
      <c r="C445" s="34" t="s">
        <v>131</v>
      </c>
      <c r="D445" s="34">
        <v>1</v>
      </c>
      <c r="G445" s="25">
        <v>1550</v>
      </c>
      <c r="H445" s="27" t="s">
        <v>345</v>
      </c>
      <c r="J445" s="35" t="str" cm="1">
        <f t="array" ref="J445">IFERROR(_xlfn.TEXTJOIN(";",1,IF(D445,_xlfn.MAKEARRAY(D445,1,_xlfn.LAMBDA(_xlpm.x,_xlpm.y,K445&amp;"-"&amp;TEXT(_xlpm.x,"00"))),_xlfn.MAP(_xlfn.TEXTSPLIT(E445,{";","；"},,1),_xlfn.LAMBDA(_xlpm.x,K445&amp;"-"&amp;TEXT(_xlpm.x,"00"))))),"")</f>
        <v>6a-1550-rnd-cloud-01</v>
      </c>
      <c r="K445" s="29" t="str">
        <f t="shared" si="43"/>
        <v>6a-1550-rnd-cloud</v>
      </c>
      <c r="L445" s="5" t="s">
        <v>123</v>
      </c>
      <c r="N445" s="5" t="s">
        <v>360</v>
      </c>
      <c r="P445" s="5">
        <v>0.5</v>
      </c>
      <c r="Q445" s="5">
        <v>0.5</v>
      </c>
      <c r="R445" s="5">
        <v>30</v>
      </c>
    </row>
    <row r="446" spans="1:18">
      <c r="A446" s="35">
        <v>42061</v>
      </c>
      <c r="B446" s="5">
        <v>26</v>
      </c>
      <c r="C446" s="34" t="s">
        <v>131</v>
      </c>
      <c r="D446" s="34">
        <v>1</v>
      </c>
      <c r="G446" s="25">
        <v>1700</v>
      </c>
      <c r="H446" s="27" t="s">
        <v>345</v>
      </c>
      <c r="J446" s="35" t="str" cm="1">
        <f t="array" ref="J446">IFERROR(_xlfn.TEXTJOIN(";",1,IF(D446,_xlfn.MAKEARRAY(D446,1,_xlfn.LAMBDA(_xlpm.x,_xlpm.y,K446&amp;"-"&amp;TEXT(_xlpm.x,"00"))),_xlfn.MAP(_xlfn.TEXTSPLIT(E446,{";","；"},,1),_xlfn.LAMBDA(_xlpm.x,K446&amp;"-"&amp;TEXT(_xlpm.x,"00"))))),"")</f>
        <v>6a-1700-rnd-cloud-01</v>
      </c>
      <c r="K446" s="29" t="str">
        <f t="shared" si="43"/>
        <v>6a-1700-rnd-cloud</v>
      </c>
      <c r="L446" s="5" t="s">
        <v>123</v>
      </c>
      <c r="N446" s="5" t="s">
        <v>361</v>
      </c>
      <c r="P446" s="5">
        <v>0.8</v>
      </c>
      <c r="Q446" s="5">
        <v>0.2</v>
      </c>
    </row>
    <row r="447" spans="1:18">
      <c r="A447" s="35">
        <v>42061</v>
      </c>
      <c r="B447" s="5">
        <v>27</v>
      </c>
      <c r="C447" s="34" t="s">
        <v>132</v>
      </c>
      <c r="D447" s="34">
        <v>1</v>
      </c>
      <c r="G447" s="25">
        <v>2000</v>
      </c>
      <c r="H447" s="27" t="s">
        <v>345</v>
      </c>
      <c r="J447" s="35" t="str" cm="1">
        <f t="array" ref="J447">IFERROR(_xlfn.TEXTJOIN(";",1,IF(D447,_xlfn.MAKEARRAY(D447,1,_xlfn.LAMBDA(_xlpm.x,_xlpm.y,K447&amp;"-"&amp;TEXT(_xlpm.x,"00"))),_xlfn.MAP(_xlfn.TEXTSPLIT(E447,{";","；"},,1),_xlfn.LAMBDA(_xlpm.x,K447&amp;"-"&amp;TEXT(_xlpm.x,"00"))))),"")</f>
        <v>6a-2000-fixed-sky-01</v>
      </c>
      <c r="K447" s="29" t="str">
        <f t="shared" si="43"/>
        <v>6a-2000-fixed-sky</v>
      </c>
      <c r="L447" s="5" t="s">
        <v>126</v>
      </c>
      <c r="M447" s="5">
        <v>25.6</v>
      </c>
    </row>
    <row r="449" spans="1:18">
      <c r="A449" s="35">
        <v>42062</v>
      </c>
      <c r="B449" s="5">
        <v>1</v>
      </c>
      <c r="C449" s="34" t="s">
        <v>362</v>
      </c>
      <c r="D449" s="34">
        <v>1</v>
      </c>
      <c r="G449" s="25">
        <v>15</v>
      </c>
      <c r="H449" s="27" t="s">
        <v>363</v>
      </c>
      <c r="J449" s="35" t="str" cm="1">
        <f t="array" ref="J449">IFERROR(_xlfn.TEXTJOIN(";",1,IF(D449,_xlfn.MAKEARRAY(D449,1,_xlfn.LAMBDA(_xlpm.x,_xlpm.y,K449&amp;"-"&amp;TEXT(_xlpm.x,"00"))),_xlfn.MAP(_xlfn.TEXTSPLIT(E449,{";","；"},,1),_xlfn.LAMBDA(_xlpm.x,K449&amp;"-"&amp;TEXT(_xlpm.x,"00"))))),"")</f>
        <v>6b-15-fixed-sparkle-01</v>
      </c>
      <c r="K449" s="29" t="str">
        <f t="shared" ref="K449:K450" si="44">_xlfn.TEXTJOIN("-",1,H449:I449,G449,IF(L449="FixedDistance","fixed","rnd"),C449)</f>
        <v>6b-15-fixed-sparkle</v>
      </c>
      <c r="L449" s="5" t="s">
        <v>126</v>
      </c>
      <c r="M449" s="5">
        <v>64.319999999999993</v>
      </c>
    </row>
    <row r="450" spans="1:18">
      <c r="A450" s="35">
        <v>42062</v>
      </c>
      <c r="B450" s="5">
        <v>2</v>
      </c>
      <c r="C450" s="34" t="s">
        <v>364</v>
      </c>
      <c r="D450" s="34">
        <v>2</v>
      </c>
      <c r="G450" s="25">
        <v>16</v>
      </c>
      <c r="H450" s="27" t="s">
        <v>363</v>
      </c>
      <c r="J450" s="35" t="str" cm="1">
        <f t="array" ref="J450">IFERROR(_xlfn.TEXTJOIN(";",1,IF(D450,_xlfn.MAKEARRAY(D450,1,_xlfn.LAMBDA(_xlpm.x,_xlpm.y,K450&amp;"-"&amp;TEXT(_xlpm.x,"00"))),_xlfn.MAP(_xlfn.TEXTSPLIT(E450,{";","；"},,1),_xlfn.LAMBDA(_xlpm.x,K450&amp;"-"&amp;TEXT(_xlpm.x,"00"))))),"")</f>
        <v>6b-16-rnd-candle-01;6b-16-rnd-candle-02</v>
      </c>
      <c r="K450" s="29" t="str">
        <f t="shared" si="44"/>
        <v>6b-16-rnd-candle</v>
      </c>
      <c r="L450" s="5" t="s">
        <v>123</v>
      </c>
      <c r="N450" s="5" t="s">
        <v>365</v>
      </c>
      <c r="P450" s="5">
        <v>0.3</v>
      </c>
      <c r="Q450" s="5">
        <v>0.7</v>
      </c>
    </row>
    <row r="451" spans="1:18">
      <c r="A451" s="35">
        <v>42062</v>
      </c>
      <c r="B451" s="5">
        <v>3</v>
      </c>
      <c r="C451" s="34" t="s">
        <v>286</v>
      </c>
      <c r="D451" s="34">
        <v>3</v>
      </c>
      <c r="G451" s="25">
        <v>22</v>
      </c>
      <c r="H451" s="27" t="s">
        <v>363</v>
      </c>
      <c r="J451" s="35" t="str" cm="1">
        <f t="array" ref="J451">IFERROR(_xlfn.TEXTJOIN(";",1,IF(D451,_xlfn.MAKEARRAY(D451,1,_xlfn.LAMBDA(_xlpm.x,_xlpm.y,K451&amp;"-"&amp;TEXT(_xlpm.x,"00"))),_xlfn.MAP(_xlfn.TEXTSPLIT(E451,{";","；"},,1),_xlfn.LAMBDA(_xlpm.x,K451&amp;"-"&amp;TEXT(_xlpm.x,"00"))))),"")</f>
        <v>6b-22-rnd-bush-01;6b-22-rnd-bush-02;6b-22-rnd-bush-03</v>
      </c>
      <c r="K451" s="29" t="str">
        <f t="shared" ref="K451:K468" si="45">_xlfn.TEXTJOIN("-",1,H451:I451,G451,IF(L451="FixedDistance","fixed","rnd"),C451)</f>
        <v>6b-22-rnd-bush</v>
      </c>
      <c r="L451" s="5" t="s">
        <v>123</v>
      </c>
      <c r="N451" s="5" t="s">
        <v>366</v>
      </c>
    </row>
    <row r="452" spans="1:18">
      <c r="A452" s="35">
        <v>42062</v>
      </c>
      <c r="B452" s="5">
        <v>4</v>
      </c>
      <c r="C452" s="34" t="s">
        <v>128</v>
      </c>
      <c r="D452" s="34">
        <v>3</v>
      </c>
      <c r="G452" s="25">
        <v>29</v>
      </c>
      <c r="H452" s="27" t="s">
        <v>363</v>
      </c>
      <c r="J452" s="35" t="str" cm="1">
        <f t="array" ref="J452">IFERROR(_xlfn.TEXTJOIN(";",1,IF(D452,_xlfn.MAKEARRAY(D452,1,_xlfn.LAMBDA(_xlpm.x,_xlpm.y,K452&amp;"-"&amp;TEXT(_xlpm.x,"00"))),_xlfn.MAP(_xlfn.TEXTSPLIT(E452,{";","；"},,1),_xlfn.LAMBDA(_xlpm.x,K452&amp;"-"&amp;TEXT(_xlpm.x,"00"))))),"")</f>
        <v>6b-29-rnd-tree-01;6b-29-rnd-tree-02;6b-29-rnd-tree-03</v>
      </c>
      <c r="K452" s="29" t="str">
        <f t="shared" si="45"/>
        <v>6b-29-rnd-tree</v>
      </c>
      <c r="L452" s="5" t="s">
        <v>123</v>
      </c>
      <c r="N452" s="5" t="s">
        <v>367</v>
      </c>
      <c r="P452" s="5">
        <v>0.6</v>
      </c>
      <c r="Q452" s="5">
        <v>0.4</v>
      </c>
    </row>
    <row r="453" spans="1:18">
      <c r="A453" s="35">
        <v>42062</v>
      </c>
      <c r="B453" s="5">
        <v>5</v>
      </c>
      <c r="C453" s="34" t="s">
        <v>219</v>
      </c>
      <c r="D453" s="34">
        <v>2</v>
      </c>
      <c r="G453" s="25">
        <v>30</v>
      </c>
      <c r="H453" s="27" t="s">
        <v>363</v>
      </c>
      <c r="J453" s="35" t="str" cm="1">
        <f t="array" ref="J453">IFERROR(_xlfn.TEXTJOIN(";",1,IF(D453,_xlfn.MAKEARRAY(D453,1,_xlfn.LAMBDA(_xlpm.x,_xlpm.y,K453&amp;"-"&amp;TEXT(_xlpm.x,"00"))),_xlfn.MAP(_xlfn.TEXTSPLIT(E453,{";","；"},,1),_xlfn.LAMBDA(_xlpm.x,K453&amp;"-"&amp;TEXT(_xlpm.x,"00"))))),"")</f>
        <v>6b-30-rnd-hill-01;6b-30-rnd-hill-02</v>
      </c>
      <c r="K453" s="29" t="str">
        <f t="shared" si="45"/>
        <v>6b-30-rnd-hill</v>
      </c>
      <c r="L453" s="5" t="s">
        <v>123</v>
      </c>
      <c r="N453" s="5" t="s">
        <v>143</v>
      </c>
      <c r="R453" s="5">
        <v>44</v>
      </c>
    </row>
    <row r="454" spans="1:18">
      <c r="A454" s="35">
        <v>42062</v>
      </c>
      <c r="B454" s="5">
        <v>6</v>
      </c>
      <c r="C454" s="34" t="s">
        <v>368</v>
      </c>
      <c r="D454" s="34">
        <v>1</v>
      </c>
      <c r="G454" s="25">
        <v>50</v>
      </c>
      <c r="H454" s="27" t="s">
        <v>363</v>
      </c>
      <c r="J454" s="35" t="str" cm="1">
        <f t="array" ref="J454">IFERROR(_xlfn.TEXTJOIN(";",1,IF(D454,_xlfn.MAKEARRAY(D454,1,_xlfn.LAMBDA(_xlpm.x,_xlpm.y,K454&amp;"-"&amp;TEXT(_xlpm.x,"00"))),_xlfn.MAP(_xlfn.TEXTSPLIT(E454,{";","；"},,1),_xlfn.LAMBDA(_xlpm.x,K454&amp;"-"&amp;TEXT(_xlpm.x,"00"))))),"")</f>
        <v>6b-50-rnd-fog-01</v>
      </c>
      <c r="K454" s="29" t="str">
        <f t="shared" ref="K454:K455" si="46">_xlfn.TEXTJOIN("-",1,H454:I454,G454,IF(L454="FixedDistance","fixed","rnd"),C454)</f>
        <v>6b-50-rnd-fog</v>
      </c>
      <c r="L454" s="5" t="s">
        <v>123</v>
      </c>
      <c r="N454" s="5" t="s">
        <v>369</v>
      </c>
      <c r="R454" s="5">
        <v>54</v>
      </c>
    </row>
    <row r="455" spans="1:18">
      <c r="A455" s="35">
        <v>42062</v>
      </c>
      <c r="B455" s="5">
        <v>7</v>
      </c>
      <c r="C455" s="34" t="s">
        <v>165</v>
      </c>
      <c r="D455" s="34">
        <v>2</v>
      </c>
      <c r="G455" s="25">
        <v>55</v>
      </c>
      <c r="H455" s="27" t="s">
        <v>363</v>
      </c>
      <c r="J455" s="35" t="str" cm="1">
        <f t="array" ref="J455">IFERROR(_xlfn.TEXTJOIN(";",1,IF(D455,_xlfn.MAKEARRAY(D455,1,_xlfn.LAMBDA(_xlpm.x,_xlpm.y,K455&amp;"-"&amp;TEXT(_xlpm.x,"00"))),_xlfn.MAP(_xlfn.TEXTSPLIT(E455,{";","；"},,1),_xlfn.LAMBDA(_xlpm.x,K455&amp;"-"&amp;TEXT(_xlpm.x,"00"))))),"")</f>
        <v>6b-55-rnd-light-01;6b-55-rnd-light-02</v>
      </c>
      <c r="K455" s="29" t="str">
        <f t="shared" si="46"/>
        <v>6b-55-rnd-light</v>
      </c>
      <c r="L455" s="5" t="s">
        <v>123</v>
      </c>
      <c r="N455" s="5" t="s">
        <v>370</v>
      </c>
      <c r="P455" s="5">
        <v>0.5</v>
      </c>
      <c r="Q455" s="5">
        <v>0.5</v>
      </c>
    </row>
    <row r="456" spans="1:18">
      <c r="A456" s="35">
        <v>42062</v>
      </c>
      <c r="B456" s="5">
        <v>8</v>
      </c>
      <c r="C456" s="34" t="s">
        <v>165</v>
      </c>
      <c r="D456" s="34">
        <v>3</v>
      </c>
      <c r="G456" s="25">
        <v>76</v>
      </c>
      <c r="H456" s="27" t="s">
        <v>363</v>
      </c>
      <c r="J456" s="35" t="str" cm="1">
        <f t="array" ref="J456">IFERROR(_xlfn.TEXTJOIN(";",1,IF(D456,_xlfn.MAKEARRAY(D456,1,_xlfn.LAMBDA(_xlpm.x,_xlpm.y,K456&amp;"-"&amp;TEXT(_xlpm.x,"00"))),_xlfn.MAP(_xlfn.TEXTSPLIT(E456,{";","；"},,1),_xlfn.LAMBDA(_xlpm.x,K456&amp;"-"&amp;TEXT(_xlpm.x,"00"))))),"")</f>
        <v>6b-76-rnd-light-01;6b-76-rnd-light-02;6b-76-rnd-light-03</v>
      </c>
      <c r="K456" s="29" t="str">
        <f t="shared" si="45"/>
        <v>6b-76-rnd-light</v>
      </c>
      <c r="L456" s="5" t="s">
        <v>123</v>
      </c>
      <c r="N456" s="5" t="s">
        <v>371</v>
      </c>
    </row>
    <row r="457" spans="1:18">
      <c r="A457" s="35">
        <v>42062</v>
      </c>
      <c r="B457" s="5">
        <v>9</v>
      </c>
      <c r="C457" s="34" t="s">
        <v>128</v>
      </c>
      <c r="D457" s="34">
        <v>4</v>
      </c>
      <c r="G457" s="25">
        <v>77</v>
      </c>
      <c r="H457" s="27" t="s">
        <v>363</v>
      </c>
      <c r="J457" s="35" t="str" cm="1">
        <f t="array" ref="J457">IFERROR(_xlfn.TEXTJOIN(";",1,IF(D457,_xlfn.MAKEARRAY(D457,1,_xlfn.LAMBDA(_xlpm.x,_xlpm.y,K457&amp;"-"&amp;TEXT(_xlpm.x,"00"))),_xlfn.MAP(_xlfn.TEXTSPLIT(E457,{";","；"},,1),_xlfn.LAMBDA(_xlpm.x,K457&amp;"-"&amp;TEXT(_xlpm.x,"00"))))),"")</f>
        <v>6b-77-rnd-tree-01;6b-77-rnd-tree-02;6b-77-rnd-tree-03;6b-77-rnd-tree-04</v>
      </c>
      <c r="K457" s="29" t="str">
        <f t="shared" si="45"/>
        <v>6b-77-rnd-tree</v>
      </c>
      <c r="L457" s="5" t="s">
        <v>123</v>
      </c>
      <c r="N457" s="5" t="s">
        <v>218</v>
      </c>
    </row>
    <row r="458" spans="1:18">
      <c r="A458" s="35">
        <v>42062</v>
      </c>
      <c r="B458" s="5">
        <v>10</v>
      </c>
      <c r="C458" s="34" t="s">
        <v>165</v>
      </c>
      <c r="D458" s="34">
        <v>1</v>
      </c>
      <c r="G458" s="25">
        <v>78</v>
      </c>
      <c r="H458" s="27" t="s">
        <v>363</v>
      </c>
      <c r="J458" s="35" t="str" cm="1">
        <f t="array" ref="J458">IFERROR(_xlfn.TEXTJOIN(";",1,IF(D458,_xlfn.MAKEARRAY(D458,1,_xlfn.LAMBDA(_xlpm.x,_xlpm.y,K458&amp;"-"&amp;TEXT(_xlpm.x,"00"))),_xlfn.MAP(_xlfn.TEXTSPLIT(E458,{";","；"},,1),_xlfn.LAMBDA(_xlpm.x,K458&amp;"-"&amp;TEXT(_xlpm.x,"00"))))),"")</f>
        <v>6b-78-rnd-light-01</v>
      </c>
      <c r="K458" s="29" t="str">
        <f t="shared" si="45"/>
        <v>6b-78-rnd-light</v>
      </c>
      <c r="L458" s="5" t="s">
        <v>123</v>
      </c>
      <c r="N458" s="5" t="s">
        <v>372</v>
      </c>
    </row>
    <row r="459" spans="1:18">
      <c r="A459" s="35">
        <v>42062</v>
      </c>
      <c r="B459" s="5">
        <v>11</v>
      </c>
      <c r="C459" s="34" t="s">
        <v>368</v>
      </c>
      <c r="D459" s="34">
        <v>1</v>
      </c>
      <c r="G459" s="25">
        <v>80</v>
      </c>
      <c r="H459" s="27" t="s">
        <v>363</v>
      </c>
      <c r="J459" s="35" t="str" cm="1">
        <f t="array" ref="J459">IFERROR(_xlfn.TEXTJOIN(";",1,IF(D459,_xlfn.MAKEARRAY(D459,1,_xlfn.LAMBDA(_xlpm.x,_xlpm.y,K459&amp;"-"&amp;TEXT(_xlpm.x,"00"))),_xlfn.MAP(_xlfn.TEXTSPLIT(E459,{";","；"},,1),_xlfn.LAMBDA(_xlpm.x,K459&amp;"-"&amp;TEXT(_xlpm.x,"00"))))),"")</f>
        <v>6b-80-rnd-fog-01</v>
      </c>
      <c r="K459" s="29" t="str">
        <f t="shared" si="45"/>
        <v>6b-80-rnd-fog</v>
      </c>
      <c r="L459" s="5" t="s">
        <v>123</v>
      </c>
      <c r="N459" s="5" t="s">
        <v>373</v>
      </c>
      <c r="R459" s="5">
        <v>54</v>
      </c>
    </row>
    <row r="460" spans="1:18">
      <c r="A460" s="35">
        <v>42062</v>
      </c>
      <c r="B460" s="5">
        <v>12</v>
      </c>
      <c r="C460" s="34" t="s">
        <v>168</v>
      </c>
      <c r="D460" s="34">
        <v>2</v>
      </c>
      <c r="G460" s="25">
        <v>87</v>
      </c>
      <c r="H460" s="27" t="s">
        <v>363</v>
      </c>
      <c r="J460" s="35" t="str" cm="1">
        <f t="array" ref="J460">IFERROR(_xlfn.TEXTJOIN(";",1,IF(D460,_xlfn.MAKEARRAY(D460,1,_xlfn.LAMBDA(_xlpm.x,_xlpm.y,K460&amp;"-"&amp;TEXT(_xlpm.x,"00"))),_xlfn.MAP(_xlfn.TEXTSPLIT(E460,{";","；"},,1),_xlfn.LAMBDA(_xlpm.x,K460&amp;"-"&amp;TEXT(_xlpm.x,"00"))))),"")</f>
        <v>6b-87-rnd-archi-01;6b-87-rnd-archi-02</v>
      </c>
      <c r="K460" s="29" t="str">
        <f t="shared" si="45"/>
        <v>6b-87-rnd-archi</v>
      </c>
      <c r="L460" s="5" t="s">
        <v>123</v>
      </c>
      <c r="N460" s="5" t="s">
        <v>374</v>
      </c>
      <c r="R460" s="5">
        <v>30</v>
      </c>
    </row>
    <row r="461" spans="1:18">
      <c r="A461" s="35">
        <v>42062</v>
      </c>
      <c r="B461" s="5">
        <v>13</v>
      </c>
      <c r="C461" s="34" t="s">
        <v>165</v>
      </c>
      <c r="D461" s="34">
        <v>1</v>
      </c>
      <c r="G461" s="25">
        <v>89</v>
      </c>
      <c r="H461" s="27" t="s">
        <v>363</v>
      </c>
      <c r="J461" s="35" t="str" cm="1">
        <f t="array" ref="J461">IFERROR(_xlfn.TEXTJOIN(";",1,IF(D461,_xlfn.MAKEARRAY(D461,1,_xlfn.LAMBDA(_xlpm.x,_xlpm.y,K461&amp;"-"&amp;TEXT(_xlpm.x,"00"))),_xlfn.MAP(_xlfn.TEXTSPLIT(E461,{";","；"},,1),_xlfn.LAMBDA(_xlpm.x,K461&amp;"-"&amp;TEXT(_xlpm.x,"00"))))),"")</f>
        <v>6b-89-rnd-light-01</v>
      </c>
      <c r="K461" s="29" t="str">
        <f t="shared" si="45"/>
        <v>6b-89-rnd-light</v>
      </c>
      <c r="L461" s="5" t="s">
        <v>123</v>
      </c>
      <c r="N461" s="5" t="s">
        <v>375</v>
      </c>
    </row>
    <row r="462" spans="1:18">
      <c r="A462" s="35">
        <v>42062</v>
      </c>
      <c r="B462" s="5">
        <v>14</v>
      </c>
      <c r="C462" s="34" t="s">
        <v>305</v>
      </c>
      <c r="D462" s="34">
        <v>1</v>
      </c>
      <c r="G462" s="25">
        <v>90</v>
      </c>
      <c r="H462" s="27" t="s">
        <v>363</v>
      </c>
      <c r="J462" s="35" t="str" cm="1">
        <f t="array" ref="J462">IFERROR(_xlfn.TEXTJOIN(";",1,IF(D462,_xlfn.MAKEARRAY(D462,1,_xlfn.LAMBDA(_xlpm.x,_xlpm.y,K462&amp;"-"&amp;TEXT(_xlpm.x,"00"))),_xlfn.MAP(_xlfn.TEXTSPLIT(E462,{";","；"},,1),_xlfn.LAMBDA(_xlpm.x,K462&amp;"-"&amp;TEXT(_xlpm.x,"00"))))),"")</f>
        <v>6b-90-fixed-lake-01</v>
      </c>
      <c r="K462" s="29" t="str">
        <f t="shared" si="45"/>
        <v>6b-90-fixed-lake</v>
      </c>
      <c r="L462" s="5" t="s">
        <v>126</v>
      </c>
      <c r="M462" s="5">
        <v>25.6</v>
      </c>
    </row>
    <row r="463" spans="1:18">
      <c r="A463" s="35">
        <v>42062</v>
      </c>
      <c r="B463" s="5">
        <v>15</v>
      </c>
      <c r="C463" s="34" t="s">
        <v>125</v>
      </c>
      <c r="D463" s="34">
        <v>1</v>
      </c>
      <c r="G463" s="25">
        <v>91</v>
      </c>
      <c r="H463" s="27" t="s">
        <v>363</v>
      </c>
      <c r="J463" s="35" t="str" cm="1">
        <f t="array" ref="J463">IFERROR(_xlfn.TEXTJOIN(";",1,IF(D463,_xlfn.MAKEARRAY(D463,1,_xlfn.LAMBDA(_xlpm.x,_xlpm.y,K463&amp;"-"&amp;TEXT(_xlpm.x,"00"))),_xlfn.MAP(_xlfn.TEXTSPLIT(E463,{";","；"},,1),_xlfn.LAMBDA(_xlpm.x,K463&amp;"-"&amp;TEXT(_xlpm.x,"00"))))),"")</f>
        <v>6b-91-fixed-atm-01</v>
      </c>
      <c r="K463" s="29" t="str">
        <f t="shared" si="45"/>
        <v>6b-91-fixed-atm</v>
      </c>
      <c r="L463" s="5" t="s">
        <v>126</v>
      </c>
      <c r="M463" s="5">
        <v>25.6</v>
      </c>
    </row>
    <row r="464" spans="1:18">
      <c r="A464" s="35">
        <v>42062</v>
      </c>
      <c r="B464" s="5">
        <v>16</v>
      </c>
      <c r="C464" s="34" t="s">
        <v>128</v>
      </c>
      <c r="D464" s="34">
        <v>2</v>
      </c>
      <c r="G464" s="25">
        <v>110</v>
      </c>
      <c r="H464" s="27" t="s">
        <v>363</v>
      </c>
      <c r="J464" s="35" t="str" cm="1">
        <f t="array" ref="J464">IFERROR(_xlfn.TEXTJOIN(";",1,IF(D464,_xlfn.MAKEARRAY(D464,1,_xlfn.LAMBDA(_xlpm.x,_xlpm.y,K464&amp;"-"&amp;TEXT(_xlpm.x,"00"))),_xlfn.MAP(_xlfn.TEXTSPLIT(E464,{";","；"},,1),_xlfn.LAMBDA(_xlpm.x,K464&amp;"-"&amp;TEXT(_xlpm.x,"00"))))),"")</f>
        <v>6b-110-rnd-tree-01;6b-110-rnd-tree-02</v>
      </c>
      <c r="K464" s="29" t="str">
        <f t="shared" si="45"/>
        <v>6b-110-rnd-tree</v>
      </c>
      <c r="L464" s="5" t="s">
        <v>123</v>
      </c>
      <c r="N464" s="5" t="s">
        <v>376</v>
      </c>
    </row>
    <row r="465" spans="1:17">
      <c r="A465" s="35">
        <v>42062</v>
      </c>
      <c r="B465" s="5">
        <v>17</v>
      </c>
      <c r="C465" s="34" t="s">
        <v>128</v>
      </c>
      <c r="D465" s="34">
        <v>4</v>
      </c>
      <c r="G465" s="25">
        <v>150</v>
      </c>
      <c r="H465" s="27" t="s">
        <v>363</v>
      </c>
      <c r="J465" s="35" t="str" cm="1">
        <f t="array" ref="J465">IFERROR(_xlfn.TEXTJOIN(";",1,IF(D465,_xlfn.MAKEARRAY(D465,1,_xlfn.LAMBDA(_xlpm.x,_xlpm.y,K465&amp;"-"&amp;TEXT(_xlpm.x,"00"))),_xlfn.MAP(_xlfn.TEXTSPLIT(E465,{";","；"},,1),_xlfn.LAMBDA(_xlpm.x,K465&amp;"-"&amp;TEXT(_xlpm.x,"00"))))),"")</f>
        <v>6b-150-rnd-tree-01;6b-150-rnd-tree-02;6b-150-rnd-tree-03;6b-150-rnd-tree-04</v>
      </c>
      <c r="K465" s="29" t="str">
        <f t="shared" si="45"/>
        <v>6b-150-rnd-tree</v>
      </c>
      <c r="L465" s="5" t="s">
        <v>123</v>
      </c>
      <c r="N465" s="5" t="s">
        <v>377</v>
      </c>
    </row>
    <row r="466" spans="1:17">
      <c r="A466" s="35">
        <v>42062</v>
      </c>
      <c r="B466" s="5">
        <v>18</v>
      </c>
      <c r="C466" s="34" t="s">
        <v>168</v>
      </c>
      <c r="D466" s="34">
        <v>2</v>
      </c>
      <c r="G466" s="25">
        <v>170</v>
      </c>
      <c r="H466" s="27" t="s">
        <v>363</v>
      </c>
      <c r="J466" s="35" t="str" cm="1">
        <f t="array" ref="J466">IFERROR(_xlfn.TEXTJOIN(";",1,IF(D466,_xlfn.MAKEARRAY(D466,1,_xlfn.LAMBDA(_xlpm.x,_xlpm.y,K466&amp;"-"&amp;TEXT(_xlpm.x,"00"))),_xlfn.MAP(_xlfn.TEXTSPLIT(E466,{";","；"},,1),_xlfn.LAMBDA(_xlpm.x,K466&amp;"-"&amp;TEXT(_xlpm.x,"00"))))),"")</f>
        <v>6b-170-rnd-archi-01;6b-170-rnd-archi-02</v>
      </c>
      <c r="K466" s="29" t="str">
        <f t="shared" si="45"/>
        <v>6b-170-rnd-archi</v>
      </c>
      <c r="L466" s="5" t="s">
        <v>123</v>
      </c>
      <c r="N466" s="5" t="s">
        <v>378</v>
      </c>
    </row>
    <row r="467" spans="1:17">
      <c r="A467" s="35">
        <v>42062</v>
      </c>
      <c r="B467" s="5">
        <v>19</v>
      </c>
      <c r="C467" s="34" t="s">
        <v>128</v>
      </c>
      <c r="D467" s="34">
        <v>5</v>
      </c>
      <c r="G467" s="25">
        <v>190</v>
      </c>
      <c r="H467" s="27" t="s">
        <v>363</v>
      </c>
      <c r="J467" s="35" t="str" cm="1">
        <f t="array" ref="J467">IFERROR(_xlfn.TEXTJOIN(";",1,IF(D467,_xlfn.MAKEARRAY(D467,1,_xlfn.LAMBDA(_xlpm.x,_xlpm.y,K467&amp;"-"&amp;TEXT(_xlpm.x,"00"))),_xlfn.MAP(_xlfn.TEXTSPLIT(E467,{";","；"},,1),_xlfn.LAMBDA(_xlpm.x,K467&amp;"-"&amp;TEXT(_xlpm.x,"00"))))),"")</f>
        <v>6b-190-rnd-tree-01;6b-190-rnd-tree-02;6b-190-rnd-tree-03;6b-190-rnd-tree-04;6b-190-rnd-tree-05</v>
      </c>
      <c r="K467" s="29" t="str">
        <f t="shared" si="45"/>
        <v>6b-190-rnd-tree</v>
      </c>
      <c r="L467" s="5" t="s">
        <v>123</v>
      </c>
      <c r="N467" s="5" t="s">
        <v>379</v>
      </c>
    </row>
    <row r="468" spans="1:17">
      <c r="A468" s="35">
        <v>42062</v>
      </c>
      <c r="B468" s="5">
        <v>20</v>
      </c>
      <c r="C468" s="34" t="s">
        <v>223</v>
      </c>
      <c r="D468" s="34">
        <v>5</v>
      </c>
      <c r="G468" s="25">
        <v>300</v>
      </c>
      <c r="H468" s="27" t="s">
        <v>363</v>
      </c>
      <c r="J468" s="35" t="str" cm="1">
        <f t="array" ref="J468">IFERROR(_xlfn.TEXTJOIN(";",1,IF(D468,_xlfn.MAKEARRAY(D468,1,_xlfn.LAMBDA(_xlpm.x,_xlpm.y,K468&amp;"-"&amp;TEXT(_xlpm.x,"00"))),_xlfn.MAP(_xlfn.TEXTSPLIT(E468,{";","；"},,1),_xlfn.LAMBDA(_xlpm.x,K468&amp;"-"&amp;TEXT(_xlpm.x,"00"))))),"")</f>
        <v>6b-300-rnd-smoke-01;6b-300-rnd-smoke-02;6b-300-rnd-smoke-03;6b-300-rnd-smoke-04;6b-300-rnd-smoke-05</v>
      </c>
      <c r="K468" s="29" t="str">
        <f t="shared" si="45"/>
        <v>6b-300-rnd-smoke</v>
      </c>
      <c r="L468" s="5" t="s">
        <v>123</v>
      </c>
      <c r="N468" s="5" t="s">
        <v>380</v>
      </c>
    </row>
    <row r="469" spans="1:17">
      <c r="A469" s="35">
        <v>42062</v>
      </c>
      <c r="B469" s="5">
        <v>21</v>
      </c>
      <c r="C469" s="34" t="s">
        <v>128</v>
      </c>
      <c r="D469" s="34">
        <v>2</v>
      </c>
      <c r="G469" s="25">
        <v>400</v>
      </c>
      <c r="H469" s="27" t="s">
        <v>363</v>
      </c>
      <c r="J469" s="35" t="str" cm="1">
        <f t="array" ref="J469">IFERROR(_xlfn.TEXTJOIN(";",1,IF(D469,_xlfn.MAKEARRAY(D469,1,_xlfn.LAMBDA(_xlpm.x,_xlpm.y,K469&amp;"-"&amp;TEXT(_xlpm.x,"00"))),_xlfn.MAP(_xlfn.TEXTSPLIT(E469,{";","；"},,1),_xlfn.LAMBDA(_xlpm.x,K469&amp;"-"&amp;TEXT(_xlpm.x,"00"))))),"")</f>
        <v>6b-400-rnd-tree-01;6b-400-rnd-tree-02</v>
      </c>
      <c r="K469" s="29" t="str">
        <f t="shared" ref="K469:K470" si="47">_xlfn.TEXTJOIN("-",1,H469:I469,G469,IF(L469="FixedDistance","fixed","rnd"),C469)</f>
        <v>6b-400-rnd-tree</v>
      </c>
      <c r="L469" s="5" t="s">
        <v>123</v>
      </c>
      <c r="N469" s="5" t="s">
        <v>381</v>
      </c>
    </row>
    <row r="470" spans="1:17">
      <c r="A470" s="35">
        <v>42062</v>
      </c>
      <c r="B470" s="5">
        <v>22</v>
      </c>
      <c r="C470" s="34" t="s">
        <v>132</v>
      </c>
      <c r="D470" s="34">
        <v>1</v>
      </c>
      <c r="G470" s="25">
        <v>800</v>
      </c>
      <c r="H470" s="27" t="s">
        <v>363</v>
      </c>
      <c r="J470" s="35" t="str" cm="1">
        <f t="array" ref="J470">IFERROR(_xlfn.TEXTJOIN(";",1,IF(D470,_xlfn.MAKEARRAY(D470,1,_xlfn.LAMBDA(_xlpm.x,_xlpm.y,K470&amp;"-"&amp;TEXT(_xlpm.x,"00"))),_xlfn.MAP(_xlfn.TEXTSPLIT(E470,{";","；"},,1),_xlfn.LAMBDA(_xlpm.x,K470&amp;"-"&amp;TEXT(_xlpm.x,"00"))))),"")</f>
        <v>6b-800-fixed-sky-01</v>
      </c>
      <c r="K470" s="29" t="str">
        <f t="shared" si="47"/>
        <v>6b-800-fixed-sky</v>
      </c>
      <c r="L470" s="5" t="s">
        <v>126</v>
      </c>
      <c r="M470" s="5">
        <v>25.6</v>
      </c>
    </row>
    <row r="471" spans="1:17">
      <c r="J471" s="35"/>
    </row>
    <row r="472" spans="1:17">
      <c r="A472" s="35">
        <v>42063</v>
      </c>
      <c r="B472" s="5">
        <v>1</v>
      </c>
      <c r="C472" s="34" t="s">
        <v>181</v>
      </c>
      <c r="D472" s="34">
        <v>3</v>
      </c>
      <c r="G472" s="25">
        <v>15</v>
      </c>
      <c r="H472" s="27" t="s">
        <v>382</v>
      </c>
      <c r="J472" s="35" t="str" cm="1">
        <f t="array" ref="J472">IFERROR(_xlfn.TEXTJOIN(";",1,IF(D472,_xlfn.MAKEARRAY(D472,1,_xlfn.LAMBDA(_xlpm.x,_xlpm.y,K472&amp;"-"&amp;TEXT(_xlpm.x,"00"))),_xlfn.MAP(_xlfn.TEXTSPLIT(E472,{";","；"},,1),_xlfn.LAMBDA(_xlpm.x,K472&amp;"-"&amp;TEXT(_xlpm.x,"00"))))),"")</f>
        <v>6c-15-rnd-gem-01;6c-15-rnd-gem-02;6c-15-rnd-gem-03</v>
      </c>
      <c r="K472" s="29" t="str">
        <f t="shared" ref="K472:K473" si="48">_xlfn.TEXTJOIN("-",1,H472:I472,G472,IF(L472="FixedDistance","fixed","rnd"),C472)</f>
        <v>6c-15-rnd-gem</v>
      </c>
      <c r="L472" s="5" t="s">
        <v>123</v>
      </c>
      <c r="N472" s="5" t="s">
        <v>245</v>
      </c>
    </row>
    <row r="473" spans="1:17">
      <c r="A473" s="35">
        <v>42063</v>
      </c>
      <c r="B473" s="5">
        <v>2</v>
      </c>
      <c r="C473" s="34" t="s">
        <v>128</v>
      </c>
      <c r="D473" s="34">
        <v>2</v>
      </c>
      <c r="G473" s="25">
        <v>20</v>
      </c>
      <c r="H473" s="27" t="s">
        <v>382</v>
      </c>
      <c r="J473" s="35" t="str" cm="1">
        <f t="array" ref="J473">IFERROR(_xlfn.TEXTJOIN(";",1,IF(D473,_xlfn.MAKEARRAY(D473,1,_xlfn.LAMBDA(_xlpm.x,_xlpm.y,K473&amp;"-"&amp;TEXT(_xlpm.x,"00"))),_xlfn.MAP(_xlfn.TEXTSPLIT(E473,{";","；"},,1),_xlfn.LAMBDA(_xlpm.x,K473&amp;"-"&amp;TEXT(_xlpm.x,"00"))))),"")</f>
        <v>6c-20-rnd-tree-01;6c-20-rnd-tree-02</v>
      </c>
      <c r="K473" s="29" t="str">
        <f t="shared" si="48"/>
        <v>6c-20-rnd-tree</v>
      </c>
      <c r="L473" s="5" t="s">
        <v>123</v>
      </c>
      <c r="N473" s="5" t="s">
        <v>383</v>
      </c>
    </row>
    <row r="474" spans="1:17">
      <c r="A474" s="35">
        <v>42063</v>
      </c>
      <c r="B474" s="5">
        <v>3</v>
      </c>
      <c r="C474" s="34" t="s">
        <v>384</v>
      </c>
      <c r="D474" s="34">
        <v>2</v>
      </c>
      <c r="G474" s="25">
        <v>22</v>
      </c>
      <c r="H474" s="27" t="s">
        <v>382</v>
      </c>
      <c r="J474" s="35" t="str" cm="1">
        <f t="array" ref="J474">IFERROR(_xlfn.TEXTJOIN(";",1,IF(D474,_xlfn.MAKEARRAY(D474,1,_xlfn.LAMBDA(_xlpm.x,_xlpm.y,K474&amp;"-"&amp;TEXT(_xlpm.x,"00"))),_xlfn.MAP(_xlfn.TEXTSPLIT(E474,{";","；"},,1),_xlfn.LAMBDA(_xlpm.x,K474&amp;"-"&amp;TEXT(_xlpm.x,"00"))))),"")</f>
        <v>6c-22-rnd-land-01;6c-22-rnd-land-02</v>
      </c>
      <c r="K474" s="29" t="str">
        <f t="shared" ref="K474:K490" si="49">_xlfn.TEXTJOIN("-",1,H474:I474,G474,IF(L474="FixedDistance","fixed","rnd"),C474)</f>
        <v>6c-22-rnd-land</v>
      </c>
      <c r="L474" s="5" t="s">
        <v>123</v>
      </c>
      <c r="N474" s="5" t="s">
        <v>385</v>
      </c>
    </row>
    <row r="475" spans="1:17">
      <c r="A475" s="35">
        <v>42063</v>
      </c>
      <c r="B475" s="5">
        <v>4</v>
      </c>
      <c r="C475" s="34" t="s">
        <v>205</v>
      </c>
      <c r="D475" s="34">
        <v>2</v>
      </c>
      <c r="G475" s="25">
        <v>58</v>
      </c>
      <c r="H475" s="27" t="s">
        <v>382</v>
      </c>
      <c r="J475" s="35" t="str" cm="1">
        <f t="array" ref="J475">IFERROR(_xlfn.TEXTJOIN(";",1,IF(D475,_xlfn.MAKEARRAY(D475,1,_xlfn.LAMBDA(_xlpm.x,_xlpm.y,K475&amp;"-"&amp;TEXT(_xlpm.x,"00"))),_xlfn.MAP(_xlfn.TEXTSPLIT(E475,{";","；"},,1),_xlfn.LAMBDA(_xlpm.x,K475&amp;"-"&amp;TEXT(_xlpm.x,"00"))))),"")</f>
        <v>6c-58-rnd-waterfall-01;6c-58-rnd-waterfall-02</v>
      </c>
      <c r="K475" s="29" t="str">
        <f t="shared" si="49"/>
        <v>6c-58-rnd-waterfall</v>
      </c>
      <c r="L475" s="5" t="s">
        <v>123</v>
      </c>
      <c r="N475" s="5" t="s">
        <v>386</v>
      </c>
      <c r="P475" s="5">
        <v>0.6</v>
      </c>
      <c r="Q475" s="5">
        <v>0.4</v>
      </c>
    </row>
    <row r="476" spans="1:17">
      <c r="A476" s="35">
        <v>42063</v>
      </c>
      <c r="B476" s="5">
        <v>5</v>
      </c>
      <c r="C476" s="34" t="s">
        <v>181</v>
      </c>
      <c r="D476" s="34">
        <v>2</v>
      </c>
      <c r="G476" s="25">
        <v>59</v>
      </c>
      <c r="H476" s="27" t="s">
        <v>382</v>
      </c>
      <c r="J476" s="35" t="str" cm="1">
        <f t="array" ref="J476">IFERROR(_xlfn.TEXTJOIN(";",1,IF(D476,_xlfn.MAKEARRAY(D476,1,_xlfn.LAMBDA(_xlpm.x,_xlpm.y,K476&amp;"-"&amp;TEXT(_xlpm.x,"00"))),_xlfn.MAP(_xlfn.TEXTSPLIT(E476,{";","；"},,1),_xlfn.LAMBDA(_xlpm.x,K476&amp;"-"&amp;TEXT(_xlpm.x,"00"))))),"")</f>
        <v>6c-59-rnd-gem-01;6c-59-rnd-gem-02</v>
      </c>
      <c r="K476" s="29" t="str">
        <f t="shared" si="49"/>
        <v>6c-59-rnd-gem</v>
      </c>
      <c r="L476" s="5" t="s">
        <v>123</v>
      </c>
      <c r="N476" s="5" t="s">
        <v>350</v>
      </c>
      <c r="P476" s="5">
        <v>0.6</v>
      </c>
      <c r="Q476" s="5">
        <v>0.4</v>
      </c>
    </row>
    <row r="477" spans="1:17">
      <c r="A477" s="35">
        <v>42063</v>
      </c>
      <c r="B477" s="5">
        <v>6</v>
      </c>
      <c r="C477" s="34" t="s">
        <v>305</v>
      </c>
      <c r="D477" s="34">
        <v>1</v>
      </c>
      <c r="G477" s="25">
        <v>60</v>
      </c>
      <c r="H477" s="27" t="s">
        <v>382</v>
      </c>
      <c r="J477" s="35" t="str" cm="1">
        <f t="array" ref="J477">IFERROR(_xlfn.TEXTJOIN(";",1,IF(D477,_xlfn.MAKEARRAY(D477,1,_xlfn.LAMBDA(_xlpm.x,_xlpm.y,K477&amp;"-"&amp;TEXT(_xlpm.x,"00"))),_xlfn.MAP(_xlfn.TEXTSPLIT(E477,{";","；"},,1),_xlfn.LAMBDA(_xlpm.x,K477&amp;"-"&amp;TEXT(_xlpm.x,"00"))))),"")</f>
        <v>6c-60-fixed-lake-01</v>
      </c>
      <c r="K477" s="29" t="str">
        <f t="shared" si="49"/>
        <v>6c-60-fixed-lake</v>
      </c>
      <c r="L477" s="5" t="s">
        <v>126</v>
      </c>
      <c r="M477" s="5">
        <v>25.6</v>
      </c>
    </row>
    <row r="478" spans="1:17">
      <c r="A478" s="35">
        <v>42063</v>
      </c>
      <c r="B478" s="5">
        <v>7</v>
      </c>
      <c r="C478" s="34" t="s">
        <v>145</v>
      </c>
      <c r="D478" s="34">
        <v>1</v>
      </c>
      <c r="G478" s="25">
        <v>61</v>
      </c>
      <c r="H478" s="27" t="s">
        <v>382</v>
      </c>
      <c r="J478" s="35" t="str" cm="1">
        <f t="array" ref="J478">IFERROR(_xlfn.TEXTJOIN(";",1,IF(D478,_xlfn.MAKEARRAY(D478,1,_xlfn.LAMBDA(_xlpm.x,_xlpm.y,K478&amp;"-"&amp;TEXT(_xlpm.x,"00"))),_xlfn.MAP(_xlfn.TEXTSPLIT(E478,{";","；"},,1),_xlfn.LAMBDA(_xlpm.x,K478&amp;"-"&amp;TEXT(_xlpm.x,"00"))))),"")</f>
        <v>6c-61-rnd-pillar-01</v>
      </c>
      <c r="K478" s="29" t="str">
        <f t="shared" si="49"/>
        <v>6c-61-rnd-pillar</v>
      </c>
      <c r="L478" s="5" t="s">
        <v>123</v>
      </c>
      <c r="N478" s="5" t="s">
        <v>386</v>
      </c>
      <c r="P478" s="5">
        <v>0.6</v>
      </c>
      <c r="Q478" s="5">
        <v>0.4</v>
      </c>
    </row>
    <row r="479" spans="1:17">
      <c r="A479" s="35">
        <v>42063</v>
      </c>
      <c r="B479" s="5">
        <v>8</v>
      </c>
      <c r="C479" s="34" t="s">
        <v>205</v>
      </c>
      <c r="D479" s="34">
        <v>1</v>
      </c>
      <c r="G479" s="25">
        <v>63</v>
      </c>
      <c r="H479" s="27" t="s">
        <v>382</v>
      </c>
      <c r="J479" s="35" t="str" cm="1">
        <f t="array" ref="J479">IFERROR(_xlfn.TEXTJOIN(";",1,IF(D479,_xlfn.MAKEARRAY(D479,1,_xlfn.LAMBDA(_xlpm.x,_xlpm.y,K479&amp;"-"&amp;TEXT(_xlpm.x,"00"))),_xlfn.MAP(_xlfn.TEXTSPLIT(E479,{";","；"},,1),_xlfn.LAMBDA(_xlpm.x,K479&amp;"-"&amp;TEXT(_xlpm.x,"00"))))),"")</f>
        <v>6c-63-rnd-waterfall-01</v>
      </c>
      <c r="K479" s="29" t="str">
        <f t="shared" si="49"/>
        <v>6c-63-rnd-waterfall</v>
      </c>
      <c r="L479" s="5" t="s">
        <v>123</v>
      </c>
      <c r="N479" s="5" t="s">
        <v>387</v>
      </c>
    </row>
    <row r="480" spans="1:17">
      <c r="A480" s="35">
        <v>42063</v>
      </c>
      <c r="B480" s="5">
        <v>9</v>
      </c>
      <c r="C480" s="34" t="s">
        <v>181</v>
      </c>
      <c r="D480" s="34">
        <v>2</v>
      </c>
      <c r="G480" s="25">
        <v>158</v>
      </c>
      <c r="H480" s="27" t="s">
        <v>382</v>
      </c>
      <c r="J480" s="35" t="str" cm="1">
        <f t="array" ref="J480">IFERROR(_xlfn.TEXTJOIN(";",1,IF(D480,_xlfn.MAKEARRAY(D480,1,_xlfn.LAMBDA(_xlpm.x,_xlpm.y,K480&amp;"-"&amp;TEXT(_xlpm.x,"00"))),_xlfn.MAP(_xlfn.TEXTSPLIT(E480,{";","；"},,1),_xlfn.LAMBDA(_xlpm.x,K480&amp;"-"&amp;TEXT(_xlpm.x,"00"))))),"")</f>
        <v>6c-158-rnd-gem-01;6c-158-rnd-gem-02</v>
      </c>
      <c r="K480" s="29" t="str">
        <f t="shared" si="49"/>
        <v>6c-158-rnd-gem</v>
      </c>
      <c r="L480" s="5" t="s">
        <v>123</v>
      </c>
      <c r="N480" s="5" t="s">
        <v>154</v>
      </c>
    </row>
    <row r="481" spans="1:18">
      <c r="A481" s="35">
        <v>42063</v>
      </c>
      <c r="B481" s="5">
        <v>10</v>
      </c>
      <c r="C481" s="34" t="s">
        <v>384</v>
      </c>
      <c r="D481" s="34">
        <v>1</v>
      </c>
      <c r="G481" s="25">
        <v>159</v>
      </c>
      <c r="H481" s="27" t="s">
        <v>382</v>
      </c>
      <c r="J481" s="35" t="str" cm="1">
        <f t="array" ref="J481">IFERROR(_xlfn.TEXTJOIN(";",1,IF(D481,_xlfn.MAKEARRAY(D481,1,_xlfn.LAMBDA(_xlpm.x,_xlpm.y,K481&amp;"-"&amp;TEXT(_xlpm.x,"00"))),_xlfn.MAP(_xlfn.TEXTSPLIT(E481,{";","；"},,1),_xlfn.LAMBDA(_xlpm.x,K481&amp;"-"&amp;TEXT(_xlpm.x,"00"))))),"")</f>
        <v>6c-159-rnd-land-01</v>
      </c>
      <c r="K481" s="29" t="str">
        <f t="shared" si="49"/>
        <v>6c-159-rnd-land</v>
      </c>
      <c r="L481" s="5" t="s">
        <v>123</v>
      </c>
      <c r="N481" s="5" t="s">
        <v>385</v>
      </c>
    </row>
    <row r="482" spans="1:18">
      <c r="A482" s="35">
        <v>42063</v>
      </c>
      <c r="B482" s="5">
        <v>11</v>
      </c>
      <c r="C482" s="34" t="s">
        <v>305</v>
      </c>
      <c r="D482" s="34">
        <v>1</v>
      </c>
      <c r="G482" s="25">
        <v>160</v>
      </c>
      <c r="H482" s="27" t="s">
        <v>382</v>
      </c>
      <c r="J482" s="35" t="str" cm="1">
        <f t="array" ref="J482">IFERROR(_xlfn.TEXTJOIN(";",1,IF(D482,_xlfn.MAKEARRAY(D482,1,_xlfn.LAMBDA(_xlpm.x,_xlpm.y,K482&amp;"-"&amp;TEXT(_xlpm.x,"00"))),_xlfn.MAP(_xlfn.TEXTSPLIT(E482,{";","；"},,1),_xlfn.LAMBDA(_xlpm.x,K482&amp;"-"&amp;TEXT(_xlpm.x,"00"))))),"")</f>
        <v>6c-160-fixed-lake-01</v>
      </c>
      <c r="K482" s="29" t="str">
        <f t="shared" si="49"/>
        <v>6c-160-fixed-lake</v>
      </c>
      <c r="L482" s="5" t="s">
        <v>126</v>
      </c>
      <c r="M482" s="5">
        <v>25.6</v>
      </c>
    </row>
    <row r="483" spans="1:18">
      <c r="A483" s="35">
        <v>42063</v>
      </c>
      <c r="B483" s="5">
        <v>12</v>
      </c>
      <c r="C483" s="34" t="s">
        <v>136</v>
      </c>
      <c r="D483" s="34">
        <v>2</v>
      </c>
      <c r="G483" s="25">
        <v>170</v>
      </c>
      <c r="H483" s="27" t="s">
        <v>382</v>
      </c>
      <c r="J483" s="35" t="str" cm="1">
        <f t="array" ref="J483">IFERROR(_xlfn.TEXTJOIN(";",1,IF(D483,_xlfn.MAKEARRAY(D483,1,_xlfn.LAMBDA(_xlpm.x,_xlpm.y,K483&amp;"-"&amp;TEXT(_xlpm.x,"00"))),_xlfn.MAP(_xlfn.TEXTSPLIT(E483,{";","；"},,1),_xlfn.LAMBDA(_xlpm.x,K483&amp;"-"&amp;TEXT(_xlpm.x,"00"))))),"")</f>
        <v>6c-170-rnd-stone-01;6c-170-rnd-stone-02</v>
      </c>
      <c r="K483" s="29" t="str">
        <f t="shared" si="49"/>
        <v>6c-170-rnd-stone</v>
      </c>
      <c r="L483" s="5" t="s">
        <v>123</v>
      </c>
      <c r="N483" s="5" t="s">
        <v>385</v>
      </c>
    </row>
    <row r="484" spans="1:18">
      <c r="A484" s="35">
        <v>42063</v>
      </c>
      <c r="B484" s="5">
        <v>13</v>
      </c>
      <c r="C484" s="34" t="s">
        <v>136</v>
      </c>
      <c r="D484" s="34">
        <v>1</v>
      </c>
      <c r="G484" s="25">
        <v>210</v>
      </c>
      <c r="H484" s="27" t="s">
        <v>382</v>
      </c>
      <c r="J484" s="35" t="str" cm="1">
        <f t="array" ref="J484">IFERROR(_xlfn.TEXTJOIN(";",1,IF(D484,_xlfn.MAKEARRAY(D484,1,_xlfn.LAMBDA(_xlpm.x,_xlpm.y,K484&amp;"-"&amp;TEXT(_xlpm.x,"00"))),_xlfn.MAP(_xlfn.TEXTSPLIT(E484,{";","；"},,1),_xlfn.LAMBDA(_xlpm.x,K484&amp;"-"&amp;TEXT(_xlpm.x,"00"))))),"")</f>
        <v>6c-210-rnd-stone-01</v>
      </c>
      <c r="K484" s="29" t="str">
        <f t="shared" si="49"/>
        <v>6c-210-rnd-stone</v>
      </c>
      <c r="L484" s="5" t="s">
        <v>123</v>
      </c>
      <c r="N484" s="5" t="s">
        <v>386</v>
      </c>
    </row>
    <row r="485" spans="1:18">
      <c r="A485" s="35">
        <v>42063</v>
      </c>
      <c r="B485" s="5">
        <v>14</v>
      </c>
      <c r="C485" s="34" t="s">
        <v>136</v>
      </c>
      <c r="D485" s="34">
        <v>3</v>
      </c>
      <c r="G485" s="25">
        <v>280</v>
      </c>
      <c r="H485" s="27" t="s">
        <v>382</v>
      </c>
      <c r="J485" s="35" t="str" cm="1">
        <f t="array" ref="J485">IFERROR(_xlfn.TEXTJOIN(";",1,IF(D485,_xlfn.MAKEARRAY(D485,1,_xlfn.LAMBDA(_xlpm.x,_xlpm.y,K485&amp;"-"&amp;TEXT(_xlpm.x,"00"))),_xlfn.MAP(_xlfn.TEXTSPLIT(E485,{";","；"},,1),_xlfn.LAMBDA(_xlpm.x,K485&amp;"-"&amp;TEXT(_xlpm.x,"00"))))),"")</f>
        <v>6c-280-rnd-stone-01;6c-280-rnd-stone-02;6c-280-rnd-stone-03</v>
      </c>
      <c r="K485" s="29" t="str">
        <f t="shared" si="49"/>
        <v>6c-280-rnd-stone</v>
      </c>
      <c r="L485" s="5" t="s">
        <v>123</v>
      </c>
      <c r="N485" s="5" t="s">
        <v>388</v>
      </c>
      <c r="R485" s="5">
        <v>35</v>
      </c>
    </row>
    <row r="486" spans="1:18">
      <c r="A486" s="35">
        <v>42063</v>
      </c>
      <c r="B486" s="5">
        <v>15</v>
      </c>
      <c r="C486" s="34" t="s">
        <v>136</v>
      </c>
      <c r="D486" s="34">
        <v>2</v>
      </c>
      <c r="G486" s="25">
        <v>400</v>
      </c>
      <c r="H486" s="27" t="s">
        <v>382</v>
      </c>
      <c r="J486" s="35" t="str" cm="1">
        <f t="array" ref="J486">IFERROR(_xlfn.TEXTJOIN(";",1,IF(D486,_xlfn.MAKEARRAY(D486,1,_xlfn.LAMBDA(_xlpm.x,_xlpm.y,K486&amp;"-"&amp;TEXT(_xlpm.x,"00"))),_xlfn.MAP(_xlfn.TEXTSPLIT(E486,{";","；"},,1),_xlfn.LAMBDA(_xlpm.x,K486&amp;"-"&amp;TEXT(_xlpm.x,"00"))))),"")</f>
        <v>6c-400-rnd-stone-01;6c-400-rnd-stone-02</v>
      </c>
      <c r="K486" s="29" t="str">
        <f t="shared" si="49"/>
        <v>6c-400-rnd-stone</v>
      </c>
      <c r="L486" s="5" t="s">
        <v>123</v>
      </c>
      <c r="N486" s="5" t="s">
        <v>389</v>
      </c>
    </row>
    <row r="487" spans="1:18">
      <c r="A487" s="35">
        <v>42063</v>
      </c>
      <c r="B487" s="5">
        <v>16</v>
      </c>
      <c r="C487" s="34" t="s">
        <v>390</v>
      </c>
      <c r="D487" s="34">
        <v>1</v>
      </c>
      <c r="G487" s="25">
        <v>3000</v>
      </c>
      <c r="H487" s="27" t="s">
        <v>382</v>
      </c>
      <c r="J487" s="35" t="str" cm="1">
        <f t="array" ref="J487">IFERROR(_xlfn.TEXTJOIN(";",1,IF(D487,_xlfn.MAKEARRAY(D487,1,_xlfn.LAMBDA(_xlpm.x,_xlpm.y,K487&amp;"-"&amp;TEXT(_xlpm.x,"00"))),_xlfn.MAP(_xlfn.TEXTSPLIT(E487,{";","；"},,1),_xlfn.LAMBDA(_xlpm.x,K487&amp;"-"&amp;TEXT(_xlpm.x,"00"))))),"")</f>
        <v>6c-3000-rnd-star-01</v>
      </c>
      <c r="K487" s="29" t="str">
        <f t="shared" si="49"/>
        <v>6c-3000-rnd-star</v>
      </c>
      <c r="L487" s="5" t="s">
        <v>123</v>
      </c>
      <c r="N487" s="5" t="s">
        <v>350</v>
      </c>
    </row>
    <row r="488" spans="1:18">
      <c r="A488" s="35">
        <v>42063</v>
      </c>
      <c r="B488" s="5">
        <v>17</v>
      </c>
      <c r="C488" s="34" t="s">
        <v>390</v>
      </c>
      <c r="D488" s="34">
        <v>1</v>
      </c>
      <c r="G488" s="25">
        <v>4000</v>
      </c>
      <c r="H488" s="27" t="s">
        <v>382</v>
      </c>
      <c r="J488" s="35" t="str" cm="1">
        <f t="array" ref="J488">IFERROR(_xlfn.TEXTJOIN(";",1,IF(D488,_xlfn.MAKEARRAY(D488,1,_xlfn.LAMBDA(_xlpm.x,_xlpm.y,K488&amp;"-"&amp;TEXT(_xlpm.x,"00"))),_xlfn.MAP(_xlfn.TEXTSPLIT(E488,{";","；"},,1),_xlfn.LAMBDA(_xlpm.x,K488&amp;"-"&amp;TEXT(_xlpm.x,"00"))))),"")</f>
        <v>6c-4000-rnd-star-01</v>
      </c>
      <c r="K488" s="29" t="str">
        <f t="shared" si="49"/>
        <v>6c-4000-rnd-star</v>
      </c>
      <c r="L488" s="5" t="s">
        <v>123</v>
      </c>
      <c r="N488" s="5" t="s">
        <v>391</v>
      </c>
    </row>
    <row r="489" spans="1:18">
      <c r="A489" s="35">
        <v>42063</v>
      </c>
      <c r="B489" s="5">
        <v>18</v>
      </c>
      <c r="C489" s="34" t="s">
        <v>390</v>
      </c>
      <c r="D489" s="34">
        <v>1</v>
      </c>
      <c r="G489" s="25">
        <v>4500</v>
      </c>
      <c r="H489" s="27" t="s">
        <v>382</v>
      </c>
      <c r="J489" s="35" t="str" cm="1">
        <f t="array" ref="J489">IFERROR(_xlfn.TEXTJOIN(";",1,IF(D489,_xlfn.MAKEARRAY(D489,1,_xlfn.LAMBDA(_xlpm.x,_xlpm.y,K489&amp;"-"&amp;TEXT(_xlpm.x,"00"))),_xlfn.MAP(_xlfn.TEXTSPLIT(E489,{";","；"},,1),_xlfn.LAMBDA(_xlpm.x,K489&amp;"-"&amp;TEXT(_xlpm.x,"00"))))),"")</f>
        <v>6c-4500-fixed-star-01</v>
      </c>
      <c r="K489" s="29" t="str">
        <f t="shared" si="49"/>
        <v>6c-4500-fixed-star</v>
      </c>
      <c r="L489" s="5" t="s">
        <v>126</v>
      </c>
      <c r="M489" s="5">
        <v>76</v>
      </c>
    </row>
    <row r="490" spans="1:18">
      <c r="A490" s="35">
        <v>42063</v>
      </c>
      <c r="B490" s="5">
        <v>19</v>
      </c>
      <c r="C490" s="34" t="s">
        <v>132</v>
      </c>
      <c r="D490" s="34">
        <v>1</v>
      </c>
      <c r="G490" s="25">
        <v>5000</v>
      </c>
      <c r="H490" s="27" t="s">
        <v>382</v>
      </c>
      <c r="J490" s="35" t="str" cm="1">
        <f t="array" ref="J490">IFERROR(_xlfn.TEXTJOIN(";",1,IF(D490,_xlfn.MAKEARRAY(D490,1,_xlfn.LAMBDA(_xlpm.x,_xlpm.y,K490&amp;"-"&amp;TEXT(_xlpm.x,"00"))),_xlfn.MAP(_xlfn.TEXTSPLIT(E490,{";","；"},,1),_xlfn.LAMBDA(_xlpm.x,K490&amp;"-"&amp;TEXT(_xlpm.x,"00"))))),"")</f>
        <v>6c-5000-fixed-sky-01</v>
      </c>
      <c r="K490" s="29" t="str">
        <f t="shared" si="49"/>
        <v>6c-5000-fixed-sky</v>
      </c>
      <c r="L490" s="5" t="s">
        <v>126</v>
      </c>
      <c r="M490" s="5">
        <v>25.6</v>
      </c>
    </row>
    <row r="491" spans="1:18">
      <c r="A491" s="5"/>
      <c r="C491" s="34"/>
      <c r="D491" s="34"/>
      <c r="J491" s="35"/>
    </row>
    <row r="492" spans="1:18">
      <c r="A492" s="35">
        <v>42071</v>
      </c>
      <c r="B492" s="5">
        <v>1</v>
      </c>
      <c r="C492" s="34" t="s">
        <v>128</v>
      </c>
      <c r="D492" s="34">
        <v>4</v>
      </c>
      <c r="G492" s="25">
        <v>8</v>
      </c>
      <c r="H492" s="27" t="s">
        <v>392</v>
      </c>
      <c r="J492" s="35" t="str" cm="1">
        <f t="array" ref="J492">IFERROR(_xlfn.TEXTJOIN(";",1,IF(D492,_xlfn.MAKEARRAY(D492,1,_xlfn.LAMBDA(_xlpm.x,_xlpm.y,K492&amp;"-"&amp;TEXT(_xlpm.x,"00"))),_xlfn.MAP(_xlfn.TEXTSPLIT(E492,{";","；"},,1),_xlfn.LAMBDA(_xlpm.x,K492&amp;"-"&amp;TEXT(_xlpm.x,"00"))))),"")</f>
        <v>7a-8-rnd-tree-01;7a-8-rnd-tree-02;7a-8-rnd-tree-03;7a-8-rnd-tree-04</v>
      </c>
      <c r="K492" s="29" t="str">
        <f t="shared" ref="K492:K510" si="50">_xlfn.TEXTJOIN("-",1,H492:I492,G492,IF(L492="FixedDistance","fixed","rnd"),C492)</f>
        <v>7a-8-rnd-tree</v>
      </c>
      <c r="L492" s="5" t="s">
        <v>123</v>
      </c>
      <c r="N492" s="5" t="s">
        <v>393</v>
      </c>
      <c r="P492" s="5">
        <v>0.6</v>
      </c>
      <c r="Q492" s="5">
        <v>0.4</v>
      </c>
    </row>
    <row r="493" spans="1:18">
      <c r="A493" s="35">
        <v>42071</v>
      </c>
      <c r="B493" s="5">
        <v>2</v>
      </c>
      <c r="C493" s="34" t="s">
        <v>286</v>
      </c>
      <c r="D493" s="34">
        <v>3</v>
      </c>
      <c r="G493" s="25">
        <v>12</v>
      </c>
      <c r="H493" s="27" t="s">
        <v>392</v>
      </c>
      <c r="J493" s="35" t="str" cm="1">
        <f t="array" ref="J493">IFERROR(_xlfn.TEXTJOIN(";",1,IF(D493,_xlfn.MAKEARRAY(D493,1,_xlfn.LAMBDA(_xlpm.x,_xlpm.y,K493&amp;"-"&amp;TEXT(_xlpm.x,"00"))),_xlfn.MAP(_xlfn.TEXTSPLIT(E493,{";","；"},,1),_xlfn.LAMBDA(_xlpm.x,K493&amp;"-"&amp;TEXT(_xlpm.x,"00"))))),"")</f>
        <v>7a-12-rnd-bush-01;7a-12-rnd-bush-02;7a-12-rnd-bush-03</v>
      </c>
      <c r="K493" s="29" t="str">
        <f t="shared" si="50"/>
        <v>7a-12-rnd-bush</v>
      </c>
      <c r="L493" s="5" t="s">
        <v>123</v>
      </c>
      <c r="N493" s="5" t="s">
        <v>394</v>
      </c>
      <c r="P493" s="5">
        <v>0.7</v>
      </c>
      <c r="Q493" s="5">
        <v>0.3</v>
      </c>
    </row>
    <row r="494" spans="1:18">
      <c r="A494" s="35">
        <v>42071</v>
      </c>
      <c r="B494" s="5">
        <v>3</v>
      </c>
      <c r="C494" s="34" t="s">
        <v>286</v>
      </c>
      <c r="D494" s="34">
        <v>6</v>
      </c>
      <c r="G494" s="25">
        <v>14</v>
      </c>
      <c r="H494" s="27" t="s">
        <v>392</v>
      </c>
      <c r="J494" s="35" t="str" cm="1">
        <f t="array" ref="J494">IFERROR(_xlfn.TEXTJOIN(";",1,IF(D494,_xlfn.MAKEARRAY(D494,1,_xlfn.LAMBDA(_xlpm.x,_xlpm.y,K494&amp;"-"&amp;TEXT(_xlpm.x,"00"))),_xlfn.MAP(_xlfn.TEXTSPLIT(E494,{";","；"},,1),_xlfn.LAMBDA(_xlpm.x,K494&amp;"-"&amp;TEXT(_xlpm.x,"00"))))),"")</f>
        <v>7a-14-rnd-bush-01;7a-14-rnd-bush-02;7a-14-rnd-bush-03;7a-14-rnd-bush-04;7a-14-rnd-bush-05;7a-14-rnd-bush-06</v>
      </c>
      <c r="K494" s="29" t="str">
        <f t="shared" si="50"/>
        <v>7a-14-rnd-bush</v>
      </c>
      <c r="L494" s="5" t="s">
        <v>123</v>
      </c>
      <c r="N494" s="5" t="s">
        <v>395</v>
      </c>
      <c r="P494" s="5">
        <v>0.8</v>
      </c>
      <c r="Q494" s="5">
        <v>0.2</v>
      </c>
    </row>
    <row r="495" spans="1:18">
      <c r="A495" s="35">
        <v>42071</v>
      </c>
      <c r="B495" s="5">
        <v>4</v>
      </c>
      <c r="C495" s="34" t="s">
        <v>136</v>
      </c>
      <c r="D495" s="34">
        <v>2</v>
      </c>
      <c r="G495" s="25">
        <v>18</v>
      </c>
      <c r="H495" s="27" t="s">
        <v>392</v>
      </c>
      <c r="J495" s="35" t="str" cm="1">
        <f t="array" ref="J495">IFERROR(_xlfn.TEXTJOIN(";",1,IF(D495,_xlfn.MAKEARRAY(D495,1,_xlfn.LAMBDA(_xlpm.x,_xlpm.y,K495&amp;"-"&amp;TEXT(_xlpm.x,"00"))),_xlfn.MAP(_xlfn.TEXTSPLIT(E495,{";","；"},,1),_xlfn.LAMBDA(_xlpm.x,K495&amp;"-"&amp;TEXT(_xlpm.x,"00"))))),"")</f>
        <v>7a-18-rnd-stone-01;7a-18-rnd-stone-02</v>
      </c>
      <c r="K495" s="29" t="str">
        <f t="shared" si="50"/>
        <v>7a-18-rnd-stone</v>
      </c>
      <c r="L495" s="5" t="s">
        <v>123</v>
      </c>
      <c r="N495" s="5" t="s">
        <v>304</v>
      </c>
    </row>
    <row r="496" spans="1:18">
      <c r="A496" s="35">
        <v>42071</v>
      </c>
      <c r="B496" s="5">
        <v>5</v>
      </c>
      <c r="C496" s="34" t="s">
        <v>168</v>
      </c>
      <c r="D496" s="34">
        <v>2</v>
      </c>
      <c r="G496" s="25">
        <v>28</v>
      </c>
      <c r="H496" s="27" t="s">
        <v>392</v>
      </c>
      <c r="J496" s="35" t="str" cm="1">
        <f t="array" ref="J496">IFERROR(_xlfn.TEXTJOIN(";",1,IF(D496,_xlfn.MAKEARRAY(D496,1,_xlfn.LAMBDA(_xlpm.x,_xlpm.y,K496&amp;"-"&amp;TEXT(_xlpm.x,"00"))),_xlfn.MAP(_xlfn.TEXTSPLIT(E496,{";","；"},,1),_xlfn.LAMBDA(_xlpm.x,K496&amp;"-"&amp;TEXT(_xlpm.x,"00"))))),"")</f>
        <v>7a-28-rnd-archi-01;7a-28-rnd-archi-02</v>
      </c>
      <c r="K496" s="29" t="str">
        <f t="shared" si="50"/>
        <v>7a-28-rnd-archi</v>
      </c>
      <c r="L496" s="5" t="s">
        <v>123</v>
      </c>
      <c r="N496" s="5" t="s">
        <v>396</v>
      </c>
      <c r="P496" s="5">
        <v>0.7</v>
      </c>
      <c r="Q496" s="5">
        <v>0.3</v>
      </c>
    </row>
    <row r="497" spans="1:18">
      <c r="A497" s="35">
        <v>42071</v>
      </c>
      <c r="B497" s="5">
        <v>6</v>
      </c>
      <c r="C497" s="34" t="s">
        <v>128</v>
      </c>
      <c r="D497" s="34">
        <v>6</v>
      </c>
      <c r="G497" s="25">
        <v>30</v>
      </c>
      <c r="H497" s="27" t="s">
        <v>392</v>
      </c>
      <c r="J497" s="35" t="str" cm="1">
        <f t="array" ref="J497">IFERROR(_xlfn.TEXTJOIN(";",1,IF(D497,_xlfn.MAKEARRAY(D497,1,_xlfn.LAMBDA(_xlpm.x,_xlpm.y,K497&amp;"-"&amp;TEXT(_xlpm.x,"00"))),_xlfn.MAP(_xlfn.TEXTSPLIT(E497,{";","；"},,1),_xlfn.LAMBDA(_xlpm.x,K497&amp;"-"&amp;TEXT(_xlpm.x,"00"))))),"")</f>
        <v>7a-30-rnd-tree-01;7a-30-rnd-tree-02;7a-30-rnd-tree-03;7a-30-rnd-tree-04;7a-30-rnd-tree-05;7a-30-rnd-tree-06</v>
      </c>
      <c r="K497" s="29" t="str">
        <f t="shared" si="50"/>
        <v>7a-30-rnd-tree</v>
      </c>
      <c r="L497" s="5" t="s">
        <v>123</v>
      </c>
      <c r="N497" s="5" t="s">
        <v>162</v>
      </c>
      <c r="P497" s="5">
        <v>0.8</v>
      </c>
      <c r="Q497" s="5">
        <v>0.2</v>
      </c>
    </row>
    <row r="498" spans="1:18">
      <c r="A498" s="35">
        <v>42071</v>
      </c>
      <c r="B498" s="5">
        <v>7</v>
      </c>
      <c r="C498" s="34" t="s">
        <v>286</v>
      </c>
      <c r="D498" s="34">
        <v>7</v>
      </c>
      <c r="G498" s="25">
        <v>38</v>
      </c>
      <c r="H498" s="27" t="s">
        <v>392</v>
      </c>
      <c r="J498" s="35" t="str" cm="1">
        <f t="array" ref="J498">IFERROR(_xlfn.TEXTJOIN(";",1,IF(D498,_xlfn.MAKEARRAY(D498,1,_xlfn.LAMBDA(_xlpm.x,_xlpm.y,K498&amp;"-"&amp;TEXT(_xlpm.x,"00"))),_xlfn.MAP(_xlfn.TEXTSPLIT(E498,{";","；"},,1),_xlfn.LAMBDA(_xlpm.x,K498&amp;"-"&amp;TEXT(_xlpm.x,"00"))))),"")</f>
        <v>7a-38-rnd-bush-01;7a-38-rnd-bush-02;7a-38-rnd-bush-03;7a-38-rnd-bush-04;7a-38-rnd-bush-05;7a-38-rnd-bush-06;7a-38-rnd-bush-07</v>
      </c>
      <c r="K498" s="29" t="str">
        <f t="shared" si="50"/>
        <v>7a-38-rnd-bush</v>
      </c>
      <c r="L498" s="5" t="s">
        <v>123</v>
      </c>
      <c r="N498" s="5" t="s">
        <v>397</v>
      </c>
      <c r="P498" s="5">
        <v>0.7</v>
      </c>
      <c r="Q498" s="5">
        <v>0.3</v>
      </c>
    </row>
    <row r="499" spans="1:18">
      <c r="A499" s="35">
        <v>42071</v>
      </c>
      <c r="B499" s="5">
        <v>8</v>
      </c>
      <c r="C499" s="34" t="s">
        <v>128</v>
      </c>
      <c r="D499" s="34">
        <v>3</v>
      </c>
      <c r="G499" s="25">
        <v>45</v>
      </c>
      <c r="H499" s="27" t="s">
        <v>392</v>
      </c>
      <c r="J499" s="35" t="str" cm="1">
        <f t="array" ref="J499">IFERROR(_xlfn.TEXTJOIN(";",1,IF(D499,_xlfn.MAKEARRAY(D499,1,_xlfn.LAMBDA(_xlpm.x,_xlpm.y,K499&amp;"-"&amp;TEXT(_xlpm.x,"00"))),_xlfn.MAP(_xlfn.TEXTSPLIT(E499,{";","；"},,1),_xlfn.LAMBDA(_xlpm.x,K499&amp;"-"&amp;TEXT(_xlpm.x,"00"))))),"")</f>
        <v>7a-45-rnd-tree-01;7a-45-rnd-tree-02;7a-45-rnd-tree-03</v>
      </c>
      <c r="K499" s="29" t="str">
        <f t="shared" si="50"/>
        <v>7a-45-rnd-tree</v>
      </c>
      <c r="L499" s="5" t="s">
        <v>123</v>
      </c>
      <c r="N499" s="5" t="s">
        <v>398</v>
      </c>
      <c r="R499" s="5">
        <v>35</v>
      </c>
    </row>
    <row r="500" spans="1:18">
      <c r="A500" s="35">
        <v>42071</v>
      </c>
      <c r="B500" s="5">
        <v>9</v>
      </c>
      <c r="C500" s="34" t="s">
        <v>219</v>
      </c>
      <c r="D500" s="34">
        <v>1</v>
      </c>
      <c r="G500" s="25">
        <v>77</v>
      </c>
      <c r="H500" s="27" t="s">
        <v>392</v>
      </c>
      <c r="J500" s="35" t="str" cm="1">
        <f t="array" ref="J500">IFERROR(_xlfn.TEXTJOIN(";",1,IF(D500,_xlfn.MAKEARRAY(D500,1,_xlfn.LAMBDA(_xlpm.x,_xlpm.y,K500&amp;"-"&amp;TEXT(_xlpm.x,"00"))),_xlfn.MAP(_xlfn.TEXTSPLIT(E500,{";","；"},,1),_xlfn.LAMBDA(_xlpm.x,K500&amp;"-"&amp;TEXT(_xlpm.x,"00"))))),"")</f>
        <v>7a-77-rnd-hill-01</v>
      </c>
      <c r="K500" s="29" t="str">
        <f t="shared" si="50"/>
        <v>7a-77-rnd-hill</v>
      </c>
      <c r="L500" s="5" t="s">
        <v>123</v>
      </c>
      <c r="N500" s="5" t="s">
        <v>399</v>
      </c>
      <c r="P500" s="5">
        <v>0.6</v>
      </c>
      <c r="Q500" s="5">
        <v>0.4</v>
      </c>
    </row>
    <row r="501" spans="1:18">
      <c r="A501" s="35">
        <v>42071</v>
      </c>
      <c r="B501" s="5">
        <v>10</v>
      </c>
      <c r="C501" s="34" t="s">
        <v>168</v>
      </c>
      <c r="D501" s="34">
        <v>1</v>
      </c>
      <c r="G501" s="25">
        <v>78</v>
      </c>
      <c r="H501" s="27" t="s">
        <v>392</v>
      </c>
      <c r="J501" s="35" t="str" cm="1">
        <f t="array" ref="J501">IFERROR(_xlfn.TEXTJOIN(";",1,IF(D501,_xlfn.MAKEARRAY(D501,1,_xlfn.LAMBDA(_xlpm.x,_xlpm.y,K501&amp;"-"&amp;TEXT(_xlpm.x,"00"))),_xlfn.MAP(_xlfn.TEXTSPLIT(E501,{";","；"},,1),_xlfn.LAMBDA(_xlpm.x,K501&amp;"-"&amp;TEXT(_xlpm.x,"00"))))),"")</f>
        <v>7a-78-rnd-archi-01</v>
      </c>
      <c r="K501" s="29" t="str">
        <f t="shared" si="50"/>
        <v>7a-78-rnd-archi</v>
      </c>
      <c r="L501" s="5" t="s">
        <v>123</v>
      </c>
      <c r="N501" s="5" t="s">
        <v>399</v>
      </c>
    </row>
    <row r="502" spans="1:18">
      <c r="A502" s="35">
        <v>42071</v>
      </c>
      <c r="B502" s="5">
        <v>11</v>
      </c>
      <c r="C502" s="34" t="s">
        <v>128</v>
      </c>
      <c r="D502" s="34">
        <v>2</v>
      </c>
      <c r="G502" s="25">
        <v>79</v>
      </c>
      <c r="H502" s="27" t="s">
        <v>392</v>
      </c>
      <c r="J502" s="35" t="str" cm="1">
        <f t="array" ref="J502">IFERROR(_xlfn.TEXTJOIN(";",1,IF(D502,_xlfn.MAKEARRAY(D502,1,_xlfn.LAMBDA(_xlpm.x,_xlpm.y,K502&amp;"-"&amp;TEXT(_xlpm.x,"00"))),_xlfn.MAP(_xlfn.TEXTSPLIT(E502,{";","；"},,1),_xlfn.LAMBDA(_xlpm.x,K502&amp;"-"&amp;TEXT(_xlpm.x,"00"))))),"")</f>
        <v>7a-79-rnd-tree-01;7a-79-rnd-tree-02</v>
      </c>
      <c r="K502" s="29" t="str">
        <f t="shared" si="50"/>
        <v>7a-79-rnd-tree</v>
      </c>
      <c r="L502" s="5" t="s">
        <v>123</v>
      </c>
      <c r="N502" s="5" t="s">
        <v>338</v>
      </c>
      <c r="P502" s="5">
        <v>0.6</v>
      </c>
      <c r="Q502" s="5">
        <v>0.4</v>
      </c>
    </row>
    <row r="503" spans="1:18">
      <c r="A503" s="35">
        <v>42071</v>
      </c>
      <c r="B503" s="5">
        <v>12</v>
      </c>
      <c r="C503" s="34" t="s">
        <v>127</v>
      </c>
      <c r="D503" s="34">
        <v>1</v>
      </c>
      <c r="G503" s="25">
        <v>80</v>
      </c>
      <c r="H503" s="27" t="s">
        <v>392</v>
      </c>
      <c r="J503" s="35" t="str" cm="1">
        <f t="array" ref="J503">IFERROR(_xlfn.TEXTJOIN(";",1,IF(D503,_xlfn.MAKEARRAY(D503,1,_xlfn.LAMBDA(_xlpm.x,_xlpm.y,K503&amp;"-"&amp;TEXT(_xlpm.x,"00"))),_xlfn.MAP(_xlfn.TEXTSPLIT(E503,{";","；"},,1),_xlfn.LAMBDA(_xlpm.x,K503&amp;"-"&amp;TEXT(_xlpm.x,"00"))))),"")</f>
        <v>7a-80-fixed-ground-01</v>
      </c>
      <c r="K503" s="29" t="str">
        <f t="shared" si="50"/>
        <v>7a-80-fixed-ground</v>
      </c>
      <c r="L503" s="5" t="s">
        <v>126</v>
      </c>
      <c r="M503" s="5">
        <v>25.6</v>
      </c>
    </row>
    <row r="504" spans="1:18">
      <c r="A504" s="35">
        <v>42071</v>
      </c>
      <c r="B504" s="5">
        <v>13</v>
      </c>
      <c r="C504" s="34" t="s">
        <v>219</v>
      </c>
      <c r="D504" s="34">
        <v>1</v>
      </c>
      <c r="G504" s="25">
        <v>82</v>
      </c>
      <c r="H504" s="27" t="s">
        <v>392</v>
      </c>
      <c r="J504" s="35" t="str" cm="1">
        <f t="array" ref="J504">IFERROR(_xlfn.TEXTJOIN(";",1,IF(D504,_xlfn.MAKEARRAY(D504,1,_xlfn.LAMBDA(_xlpm.x,_xlpm.y,K504&amp;"-"&amp;TEXT(_xlpm.x,"00"))),_xlfn.MAP(_xlfn.TEXTSPLIT(E504,{";","；"},,1),_xlfn.LAMBDA(_xlpm.x,K504&amp;"-"&amp;TEXT(_xlpm.x,"00"))))),"")</f>
        <v>7a-82-rnd-hill-01</v>
      </c>
      <c r="K504" s="29" t="str">
        <f t="shared" si="50"/>
        <v>7a-82-rnd-hill</v>
      </c>
      <c r="L504" s="5" t="s">
        <v>123</v>
      </c>
      <c r="N504" s="5" t="s">
        <v>400</v>
      </c>
      <c r="R504" s="5">
        <v>40</v>
      </c>
    </row>
    <row r="505" spans="1:18">
      <c r="A505" s="35">
        <v>42071</v>
      </c>
      <c r="B505" s="5">
        <v>14</v>
      </c>
      <c r="C505" s="34" t="s">
        <v>125</v>
      </c>
      <c r="D505" s="34">
        <v>1</v>
      </c>
      <c r="G505" s="25">
        <v>85</v>
      </c>
      <c r="H505" s="27" t="s">
        <v>392</v>
      </c>
      <c r="J505" s="35" t="str" cm="1">
        <f t="array" ref="J505">IFERROR(_xlfn.TEXTJOIN(";",1,IF(D505,_xlfn.MAKEARRAY(D505,1,_xlfn.LAMBDA(_xlpm.x,_xlpm.y,K505&amp;"-"&amp;TEXT(_xlpm.x,"00"))),_xlfn.MAP(_xlfn.TEXTSPLIT(E505,{";","；"},,1),_xlfn.LAMBDA(_xlpm.x,K505&amp;"-"&amp;TEXT(_xlpm.x,"00"))))),"")</f>
        <v>7a-85-fixed-atm-01</v>
      </c>
      <c r="K505" s="29" t="str">
        <f t="shared" si="50"/>
        <v>7a-85-fixed-atm</v>
      </c>
      <c r="L505" s="5" t="s">
        <v>126</v>
      </c>
      <c r="M505" s="5">
        <v>25.6</v>
      </c>
    </row>
    <row r="506" spans="1:18">
      <c r="A506" s="35">
        <v>42071</v>
      </c>
      <c r="B506" s="5">
        <v>15</v>
      </c>
      <c r="C506" s="34" t="s">
        <v>127</v>
      </c>
      <c r="D506" s="34">
        <v>1</v>
      </c>
      <c r="G506" s="25">
        <v>140</v>
      </c>
      <c r="H506" s="27" t="s">
        <v>392</v>
      </c>
      <c r="J506" s="35" t="str" cm="1">
        <f t="array" ref="J506">IFERROR(_xlfn.TEXTJOIN(";",1,IF(D506,_xlfn.MAKEARRAY(D506,1,_xlfn.LAMBDA(_xlpm.x,_xlpm.y,K506&amp;"-"&amp;TEXT(_xlpm.x,"00"))),_xlfn.MAP(_xlfn.TEXTSPLIT(E506,{";","；"},,1),_xlfn.LAMBDA(_xlpm.x,K506&amp;"-"&amp;TEXT(_xlpm.x,"00"))))),"")</f>
        <v>7a-140-fixed-ground-01</v>
      </c>
      <c r="K506" s="29" t="str">
        <f t="shared" si="50"/>
        <v>7a-140-fixed-ground</v>
      </c>
      <c r="L506" s="5" t="s">
        <v>126</v>
      </c>
      <c r="M506" s="5">
        <v>25.6</v>
      </c>
    </row>
    <row r="507" spans="1:18">
      <c r="A507" s="35">
        <v>42071</v>
      </c>
      <c r="B507" s="5">
        <v>16</v>
      </c>
      <c r="C507" s="34" t="s">
        <v>128</v>
      </c>
      <c r="D507" s="34">
        <v>4</v>
      </c>
      <c r="G507" s="25">
        <v>142</v>
      </c>
      <c r="H507" s="27" t="s">
        <v>392</v>
      </c>
      <c r="J507" s="35" t="str" cm="1">
        <f t="array" ref="J507">IFERROR(_xlfn.TEXTJOIN(";",1,IF(D507,_xlfn.MAKEARRAY(D507,1,_xlfn.LAMBDA(_xlpm.x,_xlpm.y,K507&amp;"-"&amp;TEXT(_xlpm.x,"00"))),_xlfn.MAP(_xlfn.TEXTSPLIT(E507,{";","；"},,1),_xlfn.LAMBDA(_xlpm.x,K507&amp;"-"&amp;TEXT(_xlpm.x,"00"))))),"")</f>
        <v>7a-142-rnd-tree-01;7a-142-rnd-tree-02;7a-142-rnd-tree-03;7a-142-rnd-tree-04</v>
      </c>
      <c r="K507" s="29" t="str">
        <f t="shared" si="50"/>
        <v>7a-142-rnd-tree</v>
      </c>
      <c r="L507" s="5" t="s">
        <v>123</v>
      </c>
      <c r="N507" s="5" t="s">
        <v>401</v>
      </c>
      <c r="P507" s="5">
        <v>0.8</v>
      </c>
      <c r="Q507" s="5">
        <v>0.2</v>
      </c>
    </row>
    <row r="508" spans="1:18">
      <c r="A508" s="35">
        <v>42071</v>
      </c>
      <c r="B508" s="5">
        <v>17</v>
      </c>
      <c r="C508" s="34" t="s">
        <v>286</v>
      </c>
      <c r="D508" s="34">
        <v>3</v>
      </c>
      <c r="G508" s="25">
        <v>143</v>
      </c>
      <c r="H508" s="27" t="s">
        <v>392</v>
      </c>
      <c r="J508" s="35" t="str" cm="1">
        <f t="array" ref="J508">IFERROR(_xlfn.TEXTJOIN(";",1,IF(D508,_xlfn.MAKEARRAY(D508,1,_xlfn.LAMBDA(_xlpm.x,_xlpm.y,K508&amp;"-"&amp;TEXT(_xlpm.x,"00"))),_xlfn.MAP(_xlfn.TEXTSPLIT(E508,{";","；"},,1),_xlfn.LAMBDA(_xlpm.x,K508&amp;"-"&amp;TEXT(_xlpm.x,"00"))))),"")</f>
        <v>7a-143-rnd-bush-01;7a-143-rnd-bush-02;7a-143-rnd-bush-03</v>
      </c>
      <c r="K508" s="29" t="str">
        <f t="shared" si="50"/>
        <v>7a-143-rnd-bush</v>
      </c>
      <c r="L508" s="5" t="s">
        <v>123</v>
      </c>
      <c r="N508" s="5" t="s">
        <v>402</v>
      </c>
    </row>
    <row r="509" spans="1:18">
      <c r="A509" s="35">
        <v>42071</v>
      </c>
      <c r="B509" s="5">
        <v>18</v>
      </c>
      <c r="C509" s="34" t="s">
        <v>128</v>
      </c>
      <c r="D509" s="34">
        <v>2</v>
      </c>
      <c r="G509" s="25">
        <v>145</v>
      </c>
      <c r="H509" s="27" t="s">
        <v>392</v>
      </c>
      <c r="J509" s="35" t="str" cm="1">
        <f t="array" ref="J509">IFERROR(_xlfn.TEXTJOIN(";",1,IF(D509,_xlfn.MAKEARRAY(D509,1,_xlfn.LAMBDA(_xlpm.x,_xlpm.y,K509&amp;"-"&amp;TEXT(_xlpm.x,"00"))),_xlfn.MAP(_xlfn.TEXTSPLIT(E509,{";","；"},,1),_xlfn.LAMBDA(_xlpm.x,K509&amp;"-"&amp;TEXT(_xlpm.x,"00"))))),"")</f>
        <v>7a-145-rnd-tree-01;7a-145-rnd-tree-02</v>
      </c>
      <c r="K509" s="29" t="str">
        <f t="shared" si="50"/>
        <v>7a-145-rnd-tree</v>
      </c>
      <c r="L509" s="5" t="s">
        <v>123</v>
      </c>
      <c r="N509" s="5" t="s">
        <v>162</v>
      </c>
      <c r="P509" s="5">
        <v>0.8</v>
      </c>
      <c r="Q509" s="5">
        <v>0.2</v>
      </c>
    </row>
    <row r="510" spans="1:18">
      <c r="A510" s="35">
        <v>42071</v>
      </c>
      <c r="B510" s="5">
        <v>19</v>
      </c>
      <c r="C510" s="34" t="s">
        <v>125</v>
      </c>
      <c r="D510" s="34">
        <v>1</v>
      </c>
      <c r="G510" s="25">
        <v>150</v>
      </c>
      <c r="H510" s="27" t="s">
        <v>392</v>
      </c>
      <c r="J510" s="35" t="str" cm="1">
        <f t="array" ref="J510">IFERROR(_xlfn.TEXTJOIN(";",1,IF(D510,_xlfn.MAKEARRAY(D510,1,_xlfn.LAMBDA(_xlpm.x,_xlpm.y,K510&amp;"-"&amp;TEXT(_xlpm.x,"00"))),_xlfn.MAP(_xlfn.TEXTSPLIT(E510,{";","；"},,1),_xlfn.LAMBDA(_xlpm.x,K510&amp;"-"&amp;TEXT(_xlpm.x,"00"))))),"")</f>
        <v>7a-150-fixed-atm-01</v>
      </c>
      <c r="K510" s="29" t="str">
        <f t="shared" si="50"/>
        <v>7a-150-fixed-atm</v>
      </c>
      <c r="L510" s="5" t="s">
        <v>126</v>
      </c>
      <c r="M510" s="5">
        <v>25.6</v>
      </c>
    </row>
    <row r="511" spans="1:18">
      <c r="A511" s="35">
        <v>42071</v>
      </c>
      <c r="B511" s="5">
        <v>20</v>
      </c>
      <c r="C511" s="34" t="s">
        <v>128</v>
      </c>
      <c r="D511" s="34">
        <v>1</v>
      </c>
      <c r="G511" s="25">
        <v>151</v>
      </c>
      <c r="H511" s="27" t="s">
        <v>392</v>
      </c>
      <c r="J511" s="35" t="str" cm="1">
        <f t="array" ref="J511">IFERROR(_xlfn.TEXTJOIN(";",1,IF(D511,_xlfn.MAKEARRAY(D511,1,_xlfn.LAMBDA(_xlpm.x,_xlpm.y,K511&amp;"-"&amp;TEXT(_xlpm.x,"00"))),_xlfn.MAP(_xlfn.TEXTSPLIT(E511,{";","；"},,1),_xlfn.LAMBDA(_xlpm.x,K511&amp;"-"&amp;TEXT(_xlpm.x,"00"))))),"")</f>
        <v>7a-151-rnd-tree-01</v>
      </c>
      <c r="K511" s="29" t="str">
        <f t="shared" ref="K511:K523" si="51">_xlfn.TEXTJOIN("-",1,H511:I511,G511,IF(L511="FixedDistance","fixed","rnd"),C511)</f>
        <v>7a-151-rnd-tree</v>
      </c>
      <c r="L511" s="5" t="s">
        <v>123</v>
      </c>
      <c r="N511" s="5" t="s">
        <v>397</v>
      </c>
      <c r="P511" s="5">
        <v>0.6</v>
      </c>
      <c r="Q511" s="5">
        <v>0.4</v>
      </c>
    </row>
    <row r="512" spans="1:18">
      <c r="A512" s="35">
        <v>42071</v>
      </c>
      <c r="B512" s="5">
        <v>21</v>
      </c>
      <c r="C512" s="34" t="s">
        <v>219</v>
      </c>
      <c r="D512" s="34">
        <v>1</v>
      </c>
      <c r="G512" s="25">
        <v>197</v>
      </c>
      <c r="H512" s="27" t="s">
        <v>392</v>
      </c>
      <c r="J512" s="35" t="str" cm="1">
        <f t="array" ref="J512">IFERROR(_xlfn.TEXTJOIN(";",1,IF(D512,_xlfn.MAKEARRAY(D512,1,_xlfn.LAMBDA(_xlpm.x,_xlpm.y,K512&amp;"-"&amp;TEXT(_xlpm.x,"00"))),_xlfn.MAP(_xlfn.TEXTSPLIT(E512,{";","；"},,1),_xlfn.LAMBDA(_xlpm.x,K512&amp;"-"&amp;TEXT(_xlpm.x,"00"))))),"")</f>
        <v>7a-197-rnd-hill-01</v>
      </c>
      <c r="K512" s="29" t="str">
        <f t="shared" si="51"/>
        <v>7a-197-rnd-hill</v>
      </c>
      <c r="L512" s="5" t="s">
        <v>123</v>
      </c>
      <c r="N512" s="5" t="s">
        <v>386</v>
      </c>
      <c r="R512" s="5">
        <v>30</v>
      </c>
    </row>
    <row r="513" spans="1:18">
      <c r="A513" s="35">
        <v>42071</v>
      </c>
      <c r="B513" s="5">
        <v>22</v>
      </c>
      <c r="C513" s="34" t="s">
        <v>286</v>
      </c>
      <c r="D513" s="34">
        <v>1</v>
      </c>
      <c r="G513" s="25">
        <v>198</v>
      </c>
      <c r="H513" s="27" t="s">
        <v>392</v>
      </c>
      <c r="J513" s="35" t="str" cm="1">
        <f t="array" ref="J513">IFERROR(_xlfn.TEXTJOIN(";",1,IF(D513,_xlfn.MAKEARRAY(D513,1,_xlfn.LAMBDA(_xlpm.x,_xlpm.y,K513&amp;"-"&amp;TEXT(_xlpm.x,"00"))),_xlfn.MAP(_xlfn.TEXTSPLIT(E513,{";","；"},,1),_xlfn.LAMBDA(_xlpm.x,K513&amp;"-"&amp;TEXT(_xlpm.x,"00"))))),"")</f>
        <v>7a-198-rnd-bush-01</v>
      </c>
      <c r="K513" s="29" t="str">
        <f t="shared" si="51"/>
        <v>7a-198-rnd-bush</v>
      </c>
      <c r="L513" s="5" t="s">
        <v>123</v>
      </c>
      <c r="N513" s="5" t="s">
        <v>403</v>
      </c>
      <c r="P513" s="5">
        <v>0.8</v>
      </c>
      <c r="Q513" s="5">
        <v>0.2</v>
      </c>
    </row>
    <row r="514" spans="1:18">
      <c r="A514" s="35">
        <v>42071</v>
      </c>
      <c r="B514" s="5">
        <v>23</v>
      </c>
      <c r="C514" s="34" t="s">
        <v>127</v>
      </c>
      <c r="D514" s="34">
        <v>1</v>
      </c>
      <c r="G514" s="25">
        <v>200</v>
      </c>
      <c r="H514" s="27" t="s">
        <v>392</v>
      </c>
      <c r="J514" s="35" t="str" cm="1">
        <f t="array" ref="J514">IFERROR(_xlfn.TEXTJOIN(";",1,IF(D514,_xlfn.MAKEARRAY(D514,1,_xlfn.LAMBDA(_xlpm.x,_xlpm.y,K514&amp;"-"&amp;TEXT(_xlpm.x,"00"))),_xlfn.MAP(_xlfn.TEXTSPLIT(E514,{";","；"},,1),_xlfn.LAMBDA(_xlpm.x,K514&amp;"-"&amp;TEXT(_xlpm.x,"00"))))),"")</f>
        <v>7a-200-fixed-ground-01</v>
      </c>
      <c r="K514" s="29" t="str">
        <f t="shared" si="51"/>
        <v>7a-200-fixed-ground</v>
      </c>
      <c r="L514" s="5" t="s">
        <v>126</v>
      </c>
      <c r="M514" s="5">
        <v>25.6</v>
      </c>
    </row>
    <row r="515" spans="1:18">
      <c r="A515" s="35">
        <v>42071</v>
      </c>
      <c r="B515" s="5">
        <v>24</v>
      </c>
      <c r="C515" s="34" t="s">
        <v>219</v>
      </c>
      <c r="D515" s="34">
        <v>1</v>
      </c>
      <c r="G515" s="25">
        <v>203</v>
      </c>
      <c r="H515" s="27" t="s">
        <v>392</v>
      </c>
      <c r="J515" s="35" t="str" cm="1">
        <f t="array" ref="J515">IFERROR(_xlfn.TEXTJOIN(";",1,IF(D515,_xlfn.MAKEARRAY(D515,1,_xlfn.LAMBDA(_xlpm.x,_xlpm.y,K515&amp;"-"&amp;TEXT(_xlpm.x,"00"))),_xlfn.MAP(_xlfn.TEXTSPLIT(E515,{";","；"},,1),_xlfn.LAMBDA(_xlpm.x,K515&amp;"-"&amp;TEXT(_xlpm.x,"00"))))),"")</f>
        <v>7a-203-rnd-hill-01</v>
      </c>
      <c r="K515" s="29" t="str">
        <f t="shared" si="51"/>
        <v>7a-203-rnd-hill</v>
      </c>
      <c r="L515" s="5" t="s">
        <v>123</v>
      </c>
      <c r="N515" s="5" t="s">
        <v>404</v>
      </c>
    </row>
    <row r="516" spans="1:18">
      <c r="A516" s="35">
        <v>42071</v>
      </c>
      <c r="B516" s="5">
        <v>25</v>
      </c>
      <c r="C516" s="34" t="s">
        <v>131</v>
      </c>
      <c r="D516" s="34">
        <v>3</v>
      </c>
      <c r="G516" s="25">
        <v>300</v>
      </c>
      <c r="H516" s="27" t="s">
        <v>392</v>
      </c>
      <c r="J516" s="35" t="str" cm="1">
        <f t="array" ref="J516">IFERROR(_xlfn.TEXTJOIN(";",1,IF(D516,_xlfn.MAKEARRAY(D516,1,_xlfn.LAMBDA(_xlpm.x,_xlpm.y,K516&amp;"-"&amp;TEXT(_xlpm.x,"00"))),_xlfn.MAP(_xlfn.TEXTSPLIT(E516,{";","；"},,1),_xlfn.LAMBDA(_xlpm.x,K516&amp;"-"&amp;TEXT(_xlpm.x,"00"))))),"")</f>
        <v>7a-300-rnd-cloud-01;7a-300-rnd-cloud-02;7a-300-rnd-cloud-03</v>
      </c>
      <c r="K516" s="29" t="str">
        <f t="shared" si="51"/>
        <v>7a-300-rnd-cloud</v>
      </c>
      <c r="L516" s="5" t="s">
        <v>123</v>
      </c>
      <c r="N516" s="5" t="s">
        <v>405</v>
      </c>
    </row>
    <row r="517" spans="1:18">
      <c r="A517" s="35">
        <v>42071</v>
      </c>
      <c r="B517" s="5">
        <v>26</v>
      </c>
      <c r="C517" s="34" t="s">
        <v>219</v>
      </c>
      <c r="D517" s="34">
        <v>1</v>
      </c>
      <c r="G517" s="25">
        <v>490</v>
      </c>
      <c r="H517" s="27" t="s">
        <v>392</v>
      </c>
      <c r="J517" s="35" t="str" cm="1">
        <f t="array" ref="J517">IFERROR(_xlfn.TEXTJOIN(";",1,IF(D517,_xlfn.MAKEARRAY(D517,1,_xlfn.LAMBDA(_xlpm.x,_xlpm.y,K517&amp;"-"&amp;TEXT(_xlpm.x,"00"))),_xlfn.MAP(_xlfn.TEXTSPLIT(E517,{";","；"},,1),_xlfn.LAMBDA(_xlpm.x,K517&amp;"-"&amp;TEXT(_xlpm.x,"00"))))),"")</f>
        <v>7a-490-fixed-hill-01</v>
      </c>
      <c r="K517" s="29" t="str">
        <f t="shared" si="51"/>
        <v>7a-490-fixed-hill</v>
      </c>
      <c r="L517" s="5" t="s">
        <v>126</v>
      </c>
      <c r="M517" s="5">
        <v>25.36</v>
      </c>
    </row>
    <row r="518" spans="1:18">
      <c r="A518" s="35">
        <v>42071</v>
      </c>
      <c r="B518" s="5">
        <v>27</v>
      </c>
      <c r="C518" s="34" t="s">
        <v>125</v>
      </c>
      <c r="D518" s="34">
        <v>1</v>
      </c>
      <c r="G518" s="25">
        <v>500</v>
      </c>
      <c r="H518" s="27" t="s">
        <v>392</v>
      </c>
      <c r="J518" s="35" t="str" cm="1">
        <f t="array" ref="J518">IFERROR(_xlfn.TEXTJOIN(";",1,IF(D518,_xlfn.MAKEARRAY(D518,1,_xlfn.LAMBDA(_xlpm.x,_xlpm.y,K518&amp;"-"&amp;TEXT(_xlpm.x,"00"))),_xlfn.MAP(_xlfn.TEXTSPLIT(E518,{";","；"},,1),_xlfn.LAMBDA(_xlpm.x,K518&amp;"-"&amp;TEXT(_xlpm.x,"00"))))),"")</f>
        <v>7a-500-fixed-atm-01</v>
      </c>
      <c r="K518" s="29" t="str">
        <f t="shared" si="51"/>
        <v>7a-500-fixed-atm</v>
      </c>
      <c r="L518" s="5" t="s">
        <v>126</v>
      </c>
      <c r="M518" s="5">
        <v>25.6</v>
      </c>
    </row>
    <row r="519" spans="1:18">
      <c r="A519" s="35">
        <v>42071</v>
      </c>
      <c r="B519" s="5">
        <v>28</v>
      </c>
      <c r="C519" s="34" t="s">
        <v>130</v>
      </c>
      <c r="D519" s="34">
        <v>2</v>
      </c>
      <c r="G519" s="25">
        <v>1680</v>
      </c>
      <c r="H519" s="27" t="s">
        <v>392</v>
      </c>
      <c r="J519" s="35" t="str" cm="1">
        <f t="array" ref="J519">IFERROR(_xlfn.TEXTJOIN(";",1,IF(D519,_xlfn.MAKEARRAY(D519,1,_xlfn.LAMBDA(_xlpm.x,_xlpm.y,K519&amp;"-"&amp;TEXT(_xlpm.x,"00"))),_xlfn.MAP(_xlfn.TEXTSPLIT(E519,{";","；"},,1),_xlfn.LAMBDA(_xlpm.x,K519&amp;"-"&amp;TEXT(_xlpm.x,"00"))))),"")</f>
        <v>7a-1680-rnd-mountain-01;7a-1680-rnd-mountain-02</v>
      </c>
      <c r="K519" s="29" t="str">
        <f t="shared" si="51"/>
        <v>7a-1680-rnd-mountain</v>
      </c>
      <c r="L519" s="5" t="s">
        <v>123</v>
      </c>
      <c r="N519" s="5" t="s">
        <v>406</v>
      </c>
    </row>
    <row r="520" spans="1:18">
      <c r="A520" s="35">
        <v>42071</v>
      </c>
      <c r="B520" s="5">
        <v>29</v>
      </c>
      <c r="C520" s="34" t="s">
        <v>125</v>
      </c>
      <c r="D520" s="34">
        <v>1</v>
      </c>
      <c r="G520" s="25">
        <v>1700</v>
      </c>
      <c r="H520" s="27" t="s">
        <v>392</v>
      </c>
      <c r="J520" s="35" t="str" cm="1">
        <f t="array" ref="J520">IFERROR(_xlfn.TEXTJOIN(";",1,IF(D520,_xlfn.MAKEARRAY(D520,1,_xlfn.LAMBDA(_xlpm.x,_xlpm.y,K520&amp;"-"&amp;TEXT(_xlpm.x,"00"))),_xlfn.MAP(_xlfn.TEXTSPLIT(E520,{";","；"},,1),_xlfn.LAMBDA(_xlpm.x,K520&amp;"-"&amp;TEXT(_xlpm.x,"00"))))),"")</f>
        <v>7a-1700-fixed-atm-01</v>
      </c>
      <c r="K520" s="29" t="str">
        <f t="shared" si="51"/>
        <v>7a-1700-fixed-atm</v>
      </c>
      <c r="L520" s="5" t="s">
        <v>126</v>
      </c>
      <c r="M520" s="5">
        <v>25.6</v>
      </c>
    </row>
    <row r="521" spans="1:18">
      <c r="A521" s="35">
        <v>42071</v>
      </c>
      <c r="B521" s="5">
        <v>30</v>
      </c>
      <c r="C521" s="34" t="s">
        <v>131</v>
      </c>
      <c r="D521" s="34">
        <v>1</v>
      </c>
      <c r="G521" s="25">
        <v>4790</v>
      </c>
      <c r="H521" s="27" t="s">
        <v>392</v>
      </c>
      <c r="J521" s="35" t="str" cm="1">
        <f t="array" ref="J521">IFERROR(_xlfn.TEXTJOIN(";",1,IF(D521,_xlfn.MAKEARRAY(D521,1,_xlfn.LAMBDA(_xlpm.x,_xlpm.y,K521&amp;"-"&amp;TEXT(_xlpm.x,"00"))),_xlfn.MAP(_xlfn.TEXTSPLIT(E521,{";","；"},,1),_xlfn.LAMBDA(_xlpm.x,K521&amp;"-"&amp;TEXT(_xlpm.x,"00"))))),"")</f>
        <v>7a-4790-fixed-cloud-01</v>
      </c>
      <c r="K521" s="29" t="str">
        <f t="shared" si="51"/>
        <v>7a-4790-fixed-cloud</v>
      </c>
      <c r="L521" s="5" t="s">
        <v>126</v>
      </c>
      <c r="M521" s="5">
        <v>70</v>
      </c>
    </row>
    <row r="522" spans="1:18">
      <c r="A522" s="35">
        <v>42071</v>
      </c>
      <c r="B522" s="5">
        <v>31</v>
      </c>
      <c r="C522" s="34" t="s">
        <v>407</v>
      </c>
      <c r="D522" s="34">
        <v>1</v>
      </c>
      <c r="G522" s="25">
        <v>4800</v>
      </c>
      <c r="H522" s="27" t="s">
        <v>392</v>
      </c>
      <c r="J522" s="35" t="str" cm="1">
        <f t="array" ref="J522">IFERROR(_xlfn.TEXTJOIN(";",1,IF(D522,_xlfn.MAKEARRAY(D522,1,_xlfn.LAMBDA(_xlpm.x,_xlpm.y,K522&amp;"-"&amp;TEXT(_xlpm.x,"00"))),_xlfn.MAP(_xlfn.TEXTSPLIT(E522,{";","；"},,1),_xlfn.LAMBDA(_xlpm.x,K522&amp;"-"&amp;TEXT(_xlpm.x,"00"))))),"")</f>
        <v>7a-4800-fixed-moon-01</v>
      </c>
      <c r="K522" s="29" t="str">
        <f t="shared" si="51"/>
        <v>7a-4800-fixed-moon</v>
      </c>
      <c r="L522" s="5" t="s">
        <v>126</v>
      </c>
      <c r="M522" s="5">
        <v>25.6</v>
      </c>
    </row>
    <row r="523" spans="1:18">
      <c r="A523" s="35">
        <v>42071</v>
      </c>
      <c r="B523" s="5">
        <v>32</v>
      </c>
      <c r="C523" s="34" t="s">
        <v>132</v>
      </c>
      <c r="D523" s="34">
        <v>1</v>
      </c>
      <c r="G523" s="25">
        <v>5000</v>
      </c>
      <c r="H523" s="27" t="s">
        <v>392</v>
      </c>
      <c r="J523" s="35" t="str" cm="1">
        <f t="array" ref="J523">IFERROR(_xlfn.TEXTJOIN(";",1,IF(D523,_xlfn.MAKEARRAY(D523,1,_xlfn.LAMBDA(_xlpm.x,_xlpm.y,K523&amp;"-"&amp;TEXT(_xlpm.x,"00"))),_xlfn.MAP(_xlfn.TEXTSPLIT(E523,{";","；"},,1),_xlfn.LAMBDA(_xlpm.x,K523&amp;"-"&amp;TEXT(_xlpm.x,"00"))))),"")</f>
        <v>7a-5000-fixed-sky-01</v>
      </c>
      <c r="K523" s="29" t="str">
        <f t="shared" si="51"/>
        <v>7a-5000-fixed-sky</v>
      </c>
      <c r="L523" s="5" t="s">
        <v>126</v>
      </c>
      <c r="M523" s="5">
        <v>25.6</v>
      </c>
    </row>
    <row r="525" spans="1:18">
      <c r="A525" s="35">
        <v>42072</v>
      </c>
      <c r="B525" s="5">
        <v>1</v>
      </c>
      <c r="C525" s="34" t="s">
        <v>136</v>
      </c>
      <c r="D525" s="34">
        <v>3</v>
      </c>
      <c r="G525" s="25">
        <v>12</v>
      </c>
      <c r="H525" s="27" t="s">
        <v>408</v>
      </c>
      <c r="J525" s="35" t="str" cm="1">
        <f t="array" ref="J525">IFERROR(_xlfn.TEXTJOIN(";",1,IF(D525,_xlfn.MAKEARRAY(D525,1,_xlfn.LAMBDA(_xlpm.x,_xlpm.y,K525&amp;"-"&amp;TEXT(_xlpm.x,"00"))),_xlfn.MAP(_xlfn.TEXTSPLIT(E525,{";","；"},,1),_xlfn.LAMBDA(_xlpm.x,K525&amp;"-"&amp;TEXT(_xlpm.x,"00"))))),"")</f>
        <v>7b-12-rnd-stone-01;7b-12-rnd-stone-02;7b-12-rnd-stone-03</v>
      </c>
      <c r="K525" s="29" t="str">
        <f t="shared" ref="K525:K544" si="52">_xlfn.TEXTJOIN("-",1,H525:I525,G525,IF(L525="FixedDistance","fixed","rnd"),C525)</f>
        <v>7b-12-rnd-stone</v>
      </c>
      <c r="L525" s="5" t="s">
        <v>123</v>
      </c>
      <c r="N525" s="5" t="s">
        <v>409</v>
      </c>
    </row>
    <row r="526" spans="1:18">
      <c r="A526" s="35">
        <v>42072</v>
      </c>
      <c r="B526" s="5">
        <v>2</v>
      </c>
      <c r="C526" s="34" t="s">
        <v>125</v>
      </c>
      <c r="D526" s="34">
        <v>1</v>
      </c>
      <c r="G526" s="25">
        <v>15</v>
      </c>
      <c r="H526" s="27" t="s">
        <v>408</v>
      </c>
      <c r="J526" s="35" t="str" cm="1">
        <f t="array" ref="J526">IFERROR(_xlfn.TEXTJOIN(";",1,IF(D526,_xlfn.MAKEARRAY(D526,1,_xlfn.LAMBDA(_xlpm.x,_xlpm.y,K526&amp;"-"&amp;TEXT(_xlpm.x,"00"))),_xlfn.MAP(_xlfn.TEXTSPLIT(E526,{";","；"},,1),_xlfn.LAMBDA(_xlpm.x,K526&amp;"-"&amp;TEXT(_xlpm.x,"00"))))),"")</f>
        <v>7b-15-fixed-atm-01</v>
      </c>
      <c r="K526" s="29" t="str">
        <f t="shared" si="52"/>
        <v>7b-15-fixed-atm</v>
      </c>
      <c r="L526" s="5" t="s">
        <v>126</v>
      </c>
      <c r="M526" s="5">
        <v>25.6</v>
      </c>
    </row>
    <row r="527" spans="1:18">
      <c r="A527" s="35">
        <v>42072</v>
      </c>
      <c r="B527" s="5">
        <v>3</v>
      </c>
      <c r="C527" s="34" t="s">
        <v>223</v>
      </c>
      <c r="D527" s="34">
        <v>1</v>
      </c>
      <c r="G527" s="25">
        <v>18</v>
      </c>
      <c r="H527" s="27" t="s">
        <v>408</v>
      </c>
      <c r="J527" s="35" t="str" cm="1">
        <f t="array" ref="J527">IFERROR(_xlfn.TEXTJOIN(";",1,IF(D527,_xlfn.MAKEARRAY(D527,1,_xlfn.LAMBDA(_xlpm.x,_xlpm.y,K527&amp;"-"&amp;TEXT(_xlpm.x,"00"))),_xlfn.MAP(_xlfn.TEXTSPLIT(E527,{";","；"},,1),_xlfn.LAMBDA(_xlpm.x,K527&amp;"-"&amp;TEXT(_xlpm.x,"00"))))),"")</f>
        <v>7b-18-rnd-smoke-01</v>
      </c>
      <c r="K527" s="29" t="str">
        <f t="shared" si="52"/>
        <v>7b-18-rnd-smoke</v>
      </c>
      <c r="L527" s="5" t="s">
        <v>123</v>
      </c>
      <c r="N527" s="5" t="s">
        <v>135</v>
      </c>
      <c r="P527" s="5">
        <v>0.8</v>
      </c>
      <c r="Q527" s="5">
        <v>0.2</v>
      </c>
    </row>
    <row r="528" spans="1:18">
      <c r="A528" s="35">
        <v>42072</v>
      </c>
      <c r="B528" s="5">
        <v>4</v>
      </c>
      <c r="C528" s="34" t="s">
        <v>219</v>
      </c>
      <c r="D528" s="34">
        <v>2</v>
      </c>
      <c r="G528" s="25">
        <v>35</v>
      </c>
      <c r="H528" s="27" t="s">
        <v>408</v>
      </c>
      <c r="J528" s="35" t="str" cm="1">
        <f t="array" ref="J528">IFERROR(_xlfn.TEXTJOIN(";",1,IF(D528,_xlfn.MAKEARRAY(D528,1,_xlfn.LAMBDA(_xlpm.x,_xlpm.y,K528&amp;"-"&amp;TEXT(_xlpm.x,"00"))),_xlfn.MAP(_xlfn.TEXTSPLIT(E528,{";","；"},,1),_xlfn.LAMBDA(_xlpm.x,K528&amp;"-"&amp;TEXT(_xlpm.x,"00"))))),"")</f>
        <v>7b-35-rnd-hill-01;7b-35-rnd-hill-02</v>
      </c>
      <c r="K528" s="29" t="str">
        <f t="shared" si="52"/>
        <v>7b-35-rnd-hill</v>
      </c>
      <c r="L528" s="5" t="s">
        <v>123</v>
      </c>
      <c r="N528" s="5" t="s">
        <v>410</v>
      </c>
      <c r="R528" s="5">
        <v>33</v>
      </c>
    </row>
    <row r="529" spans="1:17">
      <c r="A529" s="35">
        <v>42072</v>
      </c>
      <c r="B529" s="5">
        <v>5</v>
      </c>
      <c r="C529" s="34" t="s">
        <v>223</v>
      </c>
      <c r="D529" s="34">
        <v>1</v>
      </c>
      <c r="G529" s="25">
        <v>70</v>
      </c>
      <c r="H529" s="27" t="s">
        <v>408</v>
      </c>
      <c r="J529" s="35" t="str" cm="1">
        <f t="array" ref="J529">IFERROR(_xlfn.TEXTJOIN(";",1,IF(D529,_xlfn.MAKEARRAY(D529,1,_xlfn.LAMBDA(_xlpm.x,_xlpm.y,K529&amp;"-"&amp;TEXT(_xlpm.x,"00"))),_xlfn.MAP(_xlfn.TEXTSPLIT(E529,{";","；"},,1),_xlfn.LAMBDA(_xlpm.x,K529&amp;"-"&amp;TEXT(_xlpm.x,"00"))))),"")</f>
        <v>7b-70-rnd-smoke-01</v>
      </c>
      <c r="K529" s="29" t="str">
        <f t="shared" si="52"/>
        <v>7b-70-rnd-smoke</v>
      </c>
      <c r="L529" s="5" t="s">
        <v>123</v>
      </c>
      <c r="N529" s="5" t="s">
        <v>140</v>
      </c>
    </row>
    <row r="530" spans="1:17">
      <c r="A530" s="35">
        <v>42072</v>
      </c>
      <c r="B530" s="5">
        <v>6</v>
      </c>
      <c r="C530" s="34" t="s">
        <v>128</v>
      </c>
      <c r="D530" s="34">
        <v>2</v>
      </c>
      <c r="G530" s="25">
        <v>76</v>
      </c>
      <c r="H530" s="27" t="s">
        <v>408</v>
      </c>
      <c r="J530" s="35" t="str" cm="1">
        <f t="array" ref="J530">IFERROR(_xlfn.TEXTJOIN(";",1,IF(D530,_xlfn.MAKEARRAY(D530,1,_xlfn.LAMBDA(_xlpm.x,_xlpm.y,K530&amp;"-"&amp;TEXT(_xlpm.x,"00"))),_xlfn.MAP(_xlfn.TEXTSPLIT(E530,{";","；"},,1),_xlfn.LAMBDA(_xlpm.x,K530&amp;"-"&amp;TEXT(_xlpm.x,"00"))))),"")</f>
        <v>7b-76-rnd-tree-01;7b-76-rnd-tree-02</v>
      </c>
      <c r="K530" s="29" t="str">
        <f t="shared" si="52"/>
        <v>7b-76-rnd-tree</v>
      </c>
      <c r="L530" s="5" t="s">
        <v>123</v>
      </c>
      <c r="N530" s="5" t="s">
        <v>411</v>
      </c>
    </row>
    <row r="531" spans="1:17">
      <c r="A531" s="35">
        <v>42072</v>
      </c>
      <c r="B531" s="5">
        <v>7</v>
      </c>
      <c r="C531" s="34" t="s">
        <v>125</v>
      </c>
      <c r="D531" s="34">
        <v>1</v>
      </c>
      <c r="G531" s="25">
        <v>78</v>
      </c>
      <c r="H531" s="27" t="s">
        <v>408</v>
      </c>
      <c r="J531" s="35" t="str" cm="1">
        <f t="array" ref="J531">IFERROR(_xlfn.TEXTJOIN(";",1,IF(D531,_xlfn.MAKEARRAY(D531,1,_xlfn.LAMBDA(_xlpm.x,_xlpm.y,K531&amp;"-"&amp;TEXT(_xlpm.x,"00"))),_xlfn.MAP(_xlfn.TEXTSPLIT(E531,{";","；"},,1),_xlfn.LAMBDA(_xlpm.x,K531&amp;"-"&amp;TEXT(_xlpm.x,"00"))))),"")</f>
        <v>7b-78-fixed-atm-01</v>
      </c>
      <c r="K531" s="29" t="str">
        <f t="shared" si="52"/>
        <v>7b-78-fixed-atm</v>
      </c>
      <c r="L531" s="5" t="s">
        <v>126</v>
      </c>
      <c r="M531" s="5">
        <v>25.6</v>
      </c>
    </row>
    <row r="532" spans="1:17">
      <c r="A532" s="35">
        <v>42072</v>
      </c>
      <c r="B532" s="5">
        <v>8</v>
      </c>
      <c r="C532" s="34" t="s">
        <v>219</v>
      </c>
      <c r="D532" s="34">
        <v>1</v>
      </c>
      <c r="G532" s="25">
        <v>79</v>
      </c>
      <c r="H532" s="27" t="s">
        <v>408</v>
      </c>
      <c r="J532" s="35" t="str" cm="1">
        <f t="array" ref="J532">IFERROR(_xlfn.TEXTJOIN(";",1,IF(D532,_xlfn.MAKEARRAY(D532,1,_xlfn.LAMBDA(_xlpm.x,_xlpm.y,K532&amp;"-"&amp;TEXT(_xlpm.x,"00"))),_xlfn.MAP(_xlfn.TEXTSPLIT(E532,{";","；"},,1),_xlfn.LAMBDA(_xlpm.x,K532&amp;"-"&amp;TEXT(_xlpm.x,"00"))))),"")</f>
        <v>7b-79-rnd-hill-01</v>
      </c>
      <c r="K532" s="29" t="str">
        <f t="shared" si="52"/>
        <v>7b-79-rnd-hill</v>
      </c>
      <c r="L532" s="5" t="s">
        <v>123</v>
      </c>
      <c r="N532" s="5" t="s">
        <v>412</v>
      </c>
    </row>
    <row r="533" spans="1:17">
      <c r="A533" s="35">
        <v>42072</v>
      </c>
      <c r="B533" s="5">
        <v>9</v>
      </c>
      <c r="C533" s="34" t="s">
        <v>127</v>
      </c>
      <c r="D533" s="34">
        <v>1</v>
      </c>
      <c r="G533" s="25">
        <v>80</v>
      </c>
      <c r="H533" s="27" t="s">
        <v>408</v>
      </c>
      <c r="J533" s="35" t="str" cm="1">
        <f t="array" ref="J533">IFERROR(_xlfn.TEXTJOIN(";",1,IF(D533,_xlfn.MAKEARRAY(D533,1,_xlfn.LAMBDA(_xlpm.x,_xlpm.y,K533&amp;"-"&amp;TEXT(_xlpm.x,"00"))),_xlfn.MAP(_xlfn.TEXTSPLIT(E533,{";","；"},,1),_xlfn.LAMBDA(_xlpm.x,K533&amp;"-"&amp;TEXT(_xlpm.x,"00"))))),"")</f>
        <v>7b-80-fixed-ground-01</v>
      </c>
      <c r="K533" s="29" t="str">
        <f t="shared" si="52"/>
        <v>7b-80-fixed-ground</v>
      </c>
      <c r="L533" s="5" t="s">
        <v>126</v>
      </c>
      <c r="M533" s="5">
        <v>25.6</v>
      </c>
    </row>
    <row r="534" spans="1:17">
      <c r="A534" s="35">
        <v>42072</v>
      </c>
      <c r="B534" s="5">
        <v>10</v>
      </c>
      <c r="C534" s="34" t="s">
        <v>223</v>
      </c>
      <c r="D534" s="34">
        <v>1</v>
      </c>
      <c r="G534" s="25">
        <v>82</v>
      </c>
      <c r="H534" s="27" t="s">
        <v>408</v>
      </c>
      <c r="J534" s="35" t="str" cm="1">
        <f t="array" ref="J534">IFERROR(_xlfn.TEXTJOIN(";",1,IF(D534,_xlfn.MAKEARRAY(D534,1,_xlfn.LAMBDA(_xlpm.x,_xlpm.y,K534&amp;"-"&amp;TEXT(_xlpm.x,"00"))),_xlfn.MAP(_xlfn.TEXTSPLIT(E534,{";","；"},,1),_xlfn.LAMBDA(_xlpm.x,K534&amp;"-"&amp;TEXT(_xlpm.x,"00"))))),"")</f>
        <v>7b-82-rnd-smoke-01</v>
      </c>
      <c r="K534" s="29" t="str">
        <f t="shared" si="52"/>
        <v>7b-82-rnd-smoke</v>
      </c>
      <c r="L534" s="5" t="s">
        <v>123</v>
      </c>
      <c r="N534" s="5" t="s">
        <v>141</v>
      </c>
      <c r="P534" s="5">
        <v>0.8</v>
      </c>
      <c r="Q534" s="5">
        <v>0.2</v>
      </c>
    </row>
    <row r="535" spans="1:17">
      <c r="A535" s="35">
        <v>42072</v>
      </c>
      <c r="B535" s="5">
        <v>11</v>
      </c>
      <c r="C535" s="34" t="s">
        <v>125</v>
      </c>
      <c r="D535" s="34">
        <v>1</v>
      </c>
      <c r="G535" s="25">
        <v>85</v>
      </c>
      <c r="H535" s="27" t="s">
        <v>408</v>
      </c>
      <c r="J535" s="35" t="str" cm="1">
        <f t="array" ref="J535">IFERROR(_xlfn.TEXTJOIN(";",1,IF(D535,_xlfn.MAKEARRAY(D535,1,_xlfn.LAMBDA(_xlpm.x,_xlpm.y,K535&amp;"-"&amp;TEXT(_xlpm.x,"00"))),_xlfn.MAP(_xlfn.TEXTSPLIT(E535,{";","；"},,1),_xlfn.LAMBDA(_xlpm.x,K535&amp;"-"&amp;TEXT(_xlpm.x,"00"))))),"")</f>
        <v>7b-85-fixed-atm-01</v>
      </c>
      <c r="K535" s="29" t="str">
        <f t="shared" si="52"/>
        <v>7b-85-fixed-atm</v>
      </c>
      <c r="L535" s="5" t="s">
        <v>126</v>
      </c>
      <c r="M535" s="5">
        <v>25.6</v>
      </c>
    </row>
    <row r="536" spans="1:17">
      <c r="A536" s="35">
        <v>42072</v>
      </c>
      <c r="B536" s="5">
        <v>12</v>
      </c>
      <c r="C536" s="34" t="s">
        <v>136</v>
      </c>
      <c r="D536" s="34">
        <v>4</v>
      </c>
      <c r="G536" s="25">
        <v>90</v>
      </c>
      <c r="H536" s="27" t="s">
        <v>408</v>
      </c>
      <c r="J536" s="35" t="str" cm="1">
        <f t="array" ref="J536">IFERROR(_xlfn.TEXTJOIN(";",1,IF(D536,_xlfn.MAKEARRAY(D536,1,_xlfn.LAMBDA(_xlpm.x,_xlpm.y,K536&amp;"-"&amp;TEXT(_xlpm.x,"00"))),_xlfn.MAP(_xlfn.TEXTSPLIT(E536,{";","；"},,1),_xlfn.LAMBDA(_xlpm.x,K536&amp;"-"&amp;TEXT(_xlpm.x,"00"))))),"")</f>
        <v>7b-90-rnd-stone-01;7b-90-rnd-stone-02;7b-90-rnd-stone-03;7b-90-rnd-stone-04</v>
      </c>
      <c r="K536" s="29" t="str">
        <f t="shared" si="52"/>
        <v>7b-90-rnd-stone</v>
      </c>
      <c r="L536" s="5" t="s">
        <v>123</v>
      </c>
      <c r="N536" s="5" t="s">
        <v>413</v>
      </c>
      <c r="P536" s="5">
        <v>0.8</v>
      </c>
      <c r="Q536" s="5">
        <v>0.2</v>
      </c>
    </row>
    <row r="537" spans="1:17">
      <c r="A537" s="35">
        <v>42072</v>
      </c>
      <c r="B537" s="5">
        <v>13</v>
      </c>
      <c r="C537" s="34" t="s">
        <v>223</v>
      </c>
      <c r="D537" s="34">
        <v>1</v>
      </c>
      <c r="G537" s="25">
        <v>138</v>
      </c>
      <c r="H537" s="27" t="s">
        <v>408</v>
      </c>
      <c r="J537" s="35" t="str" cm="1">
        <f t="array" ref="J537">IFERROR(_xlfn.TEXTJOIN(";",1,IF(D537,_xlfn.MAKEARRAY(D537,1,_xlfn.LAMBDA(_xlpm.x,_xlpm.y,K537&amp;"-"&amp;TEXT(_xlpm.x,"00"))),_xlfn.MAP(_xlfn.TEXTSPLIT(E537,{";","；"},,1),_xlfn.LAMBDA(_xlpm.x,K537&amp;"-"&amp;TEXT(_xlpm.x,"00"))))),"")</f>
        <v>7b-138-rnd-smoke-01</v>
      </c>
      <c r="K537" s="29" t="str">
        <f t="shared" si="52"/>
        <v>7b-138-rnd-smoke</v>
      </c>
      <c r="L537" s="5" t="s">
        <v>123</v>
      </c>
      <c r="N537" s="5" t="s">
        <v>414</v>
      </c>
    </row>
    <row r="538" spans="1:17">
      <c r="A538" s="35">
        <v>42072</v>
      </c>
      <c r="B538" s="5">
        <v>14</v>
      </c>
      <c r="C538" s="34" t="s">
        <v>127</v>
      </c>
      <c r="D538" s="34">
        <v>1</v>
      </c>
      <c r="G538" s="25">
        <v>140</v>
      </c>
      <c r="H538" s="27" t="s">
        <v>408</v>
      </c>
      <c r="J538" s="35" t="str" cm="1">
        <f t="array" ref="J538">IFERROR(_xlfn.TEXTJOIN(";",1,IF(D538,_xlfn.MAKEARRAY(D538,1,_xlfn.LAMBDA(_xlpm.x,_xlpm.y,K538&amp;"-"&amp;TEXT(_xlpm.x,"00"))),_xlfn.MAP(_xlfn.TEXTSPLIT(E538,{";","；"},,1),_xlfn.LAMBDA(_xlpm.x,K538&amp;"-"&amp;TEXT(_xlpm.x,"00"))))),"")</f>
        <v>7b-140-fixed-ground-01</v>
      </c>
      <c r="K538" s="29" t="str">
        <f t="shared" si="52"/>
        <v>7b-140-fixed-ground</v>
      </c>
      <c r="L538" s="5" t="s">
        <v>126</v>
      </c>
      <c r="M538" s="5">
        <v>32.04</v>
      </c>
    </row>
    <row r="539" spans="1:17">
      <c r="A539" s="35">
        <v>42072</v>
      </c>
      <c r="B539" s="5">
        <v>15</v>
      </c>
      <c r="C539" s="34" t="s">
        <v>223</v>
      </c>
      <c r="D539" s="34">
        <v>1</v>
      </c>
      <c r="G539" s="25">
        <v>150</v>
      </c>
      <c r="H539" s="27" t="s">
        <v>408</v>
      </c>
      <c r="J539" s="35" t="str" cm="1">
        <f t="array" ref="J539">IFERROR(_xlfn.TEXTJOIN(";",1,IF(D539,_xlfn.MAKEARRAY(D539,1,_xlfn.LAMBDA(_xlpm.x,_xlpm.y,K539&amp;"-"&amp;TEXT(_xlpm.x,"00"))),_xlfn.MAP(_xlfn.TEXTSPLIT(E539,{";","；"},,1),_xlfn.LAMBDA(_xlpm.x,K539&amp;"-"&amp;TEXT(_xlpm.x,"00"))))),"")</f>
        <v>7b-150-rnd-smoke-01</v>
      </c>
      <c r="K539" s="29" t="str">
        <f t="shared" si="52"/>
        <v>7b-150-rnd-smoke</v>
      </c>
      <c r="L539" s="5" t="s">
        <v>123</v>
      </c>
      <c r="N539" s="5" t="s">
        <v>124</v>
      </c>
    </row>
    <row r="540" spans="1:17">
      <c r="A540" s="35">
        <v>42072</v>
      </c>
      <c r="B540" s="5">
        <v>16</v>
      </c>
      <c r="C540" s="34" t="s">
        <v>136</v>
      </c>
      <c r="D540" s="34">
        <v>3</v>
      </c>
      <c r="G540" s="25">
        <v>160</v>
      </c>
      <c r="H540" s="27" t="s">
        <v>408</v>
      </c>
      <c r="J540" s="35" t="str" cm="1">
        <f t="array" ref="J540">IFERROR(_xlfn.TEXTJOIN(";",1,IF(D540,_xlfn.MAKEARRAY(D540,1,_xlfn.LAMBDA(_xlpm.x,_xlpm.y,K540&amp;"-"&amp;TEXT(_xlpm.x,"00"))),_xlfn.MAP(_xlfn.TEXTSPLIT(E540,{";","；"},,1),_xlfn.LAMBDA(_xlpm.x,K540&amp;"-"&amp;TEXT(_xlpm.x,"00"))))),"")</f>
        <v>7b-160-rnd-stone-01;7b-160-rnd-stone-02;7b-160-rnd-stone-03</v>
      </c>
      <c r="K540" s="29" t="str">
        <f t="shared" si="52"/>
        <v>7b-160-rnd-stone</v>
      </c>
      <c r="L540" s="5" t="s">
        <v>123</v>
      </c>
      <c r="N540" s="5" t="s">
        <v>375</v>
      </c>
    </row>
    <row r="541" spans="1:17">
      <c r="A541" s="35">
        <v>42072</v>
      </c>
      <c r="B541" s="5">
        <v>17</v>
      </c>
      <c r="C541" s="34" t="s">
        <v>223</v>
      </c>
      <c r="D541" s="34">
        <v>1</v>
      </c>
      <c r="G541" s="25">
        <v>220</v>
      </c>
      <c r="H541" s="27" t="s">
        <v>408</v>
      </c>
      <c r="J541" s="35" t="str" cm="1">
        <f t="array" ref="J541">IFERROR(_xlfn.TEXTJOIN(";",1,IF(D541,_xlfn.MAKEARRAY(D541,1,_xlfn.LAMBDA(_xlpm.x,_xlpm.y,K541&amp;"-"&amp;TEXT(_xlpm.x,"00"))),_xlfn.MAP(_xlfn.TEXTSPLIT(E541,{";","；"},,1),_xlfn.LAMBDA(_xlpm.x,K541&amp;"-"&amp;TEXT(_xlpm.x,"00"))))),"")</f>
        <v>7b-220-fixed-smoke-01</v>
      </c>
      <c r="K541" s="29" t="str">
        <f t="shared" si="52"/>
        <v>7b-220-fixed-smoke</v>
      </c>
      <c r="L541" s="5" t="s">
        <v>126</v>
      </c>
      <c r="M541" s="5">
        <v>62</v>
      </c>
    </row>
    <row r="542" spans="1:17">
      <c r="A542" s="35">
        <v>42072</v>
      </c>
      <c r="B542" s="5">
        <v>18</v>
      </c>
      <c r="C542" s="34" t="s">
        <v>136</v>
      </c>
      <c r="D542" s="34">
        <v>1</v>
      </c>
      <c r="G542" s="25">
        <v>240</v>
      </c>
      <c r="H542" s="27" t="s">
        <v>408</v>
      </c>
      <c r="J542" s="35" t="str" cm="1">
        <f t="array" ref="J542">IFERROR(_xlfn.TEXTJOIN(";",1,IF(D542,_xlfn.MAKEARRAY(D542,1,_xlfn.LAMBDA(_xlpm.x,_xlpm.y,K542&amp;"-"&amp;TEXT(_xlpm.x,"00"))),_xlfn.MAP(_xlfn.TEXTSPLIT(E542,{";","；"},,1),_xlfn.LAMBDA(_xlpm.x,K542&amp;"-"&amp;TEXT(_xlpm.x,"00"))))),"")</f>
        <v>7b-240-fixed-stone-01</v>
      </c>
      <c r="K542" s="29" t="str">
        <f t="shared" si="52"/>
        <v>7b-240-fixed-stone</v>
      </c>
      <c r="L542" s="5" t="s">
        <v>126</v>
      </c>
      <c r="M542" s="5">
        <v>28</v>
      </c>
    </row>
    <row r="543" spans="1:17">
      <c r="A543" s="35">
        <v>42072</v>
      </c>
      <c r="B543" s="5">
        <v>19</v>
      </c>
      <c r="C543" s="34" t="s">
        <v>125</v>
      </c>
      <c r="D543" s="34">
        <v>1</v>
      </c>
      <c r="G543" s="25">
        <v>242</v>
      </c>
      <c r="H543" s="27" t="s">
        <v>408</v>
      </c>
      <c r="J543" s="35" t="str" cm="1">
        <f t="array" ref="J543">IFERROR(_xlfn.TEXTJOIN(";",1,IF(D543,_xlfn.MAKEARRAY(D543,1,_xlfn.LAMBDA(_xlpm.x,_xlpm.y,K543&amp;"-"&amp;TEXT(_xlpm.x,"00"))),_xlfn.MAP(_xlfn.TEXTSPLIT(E543,{";","；"},,1),_xlfn.LAMBDA(_xlpm.x,K543&amp;"-"&amp;TEXT(_xlpm.x,"00"))))),"")</f>
        <v>7b-242-fixed-atm-01</v>
      </c>
      <c r="K543" s="29" t="str">
        <f t="shared" si="52"/>
        <v>7b-242-fixed-atm</v>
      </c>
      <c r="L543" s="5" t="s">
        <v>126</v>
      </c>
      <c r="M543" s="5">
        <v>25.6</v>
      </c>
    </row>
    <row r="544" spans="1:17">
      <c r="A544" s="35">
        <v>42072</v>
      </c>
      <c r="B544" s="5">
        <v>20</v>
      </c>
      <c r="C544" s="34" t="s">
        <v>219</v>
      </c>
      <c r="D544" s="34">
        <v>1</v>
      </c>
      <c r="G544" s="25">
        <v>280</v>
      </c>
      <c r="H544" s="27" t="s">
        <v>408</v>
      </c>
      <c r="J544" s="35" t="str" cm="1">
        <f t="array" ref="J544">IFERROR(_xlfn.TEXTJOIN(";",1,IF(D544,_xlfn.MAKEARRAY(D544,1,_xlfn.LAMBDA(_xlpm.x,_xlpm.y,K544&amp;"-"&amp;TEXT(_xlpm.x,"00"))),_xlfn.MAP(_xlfn.TEXTSPLIT(E544,{";","；"},,1),_xlfn.LAMBDA(_xlpm.x,K544&amp;"-"&amp;TEXT(_xlpm.x,"00"))))),"")</f>
        <v>7b-280-fixed-hill-01</v>
      </c>
      <c r="K544" s="29" t="str">
        <f t="shared" si="52"/>
        <v>7b-280-fixed-hill</v>
      </c>
      <c r="L544" s="5" t="s">
        <v>126</v>
      </c>
      <c r="M544" s="5">
        <v>34</v>
      </c>
    </row>
    <row r="545" spans="1:18">
      <c r="A545" s="35">
        <v>42072</v>
      </c>
      <c r="B545" s="5">
        <v>21</v>
      </c>
      <c r="C545" s="34" t="s">
        <v>131</v>
      </c>
      <c r="D545" s="34">
        <v>3</v>
      </c>
      <c r="G545" s="25">
        <v>1000</v>
      </c>
      <c r="H545" s="27" t="s">
        <v>408</v>
      </c>
      <c r="J545" s="35" t="str" cm="1">
        <f t="array" ref="J545">IFERROR(_xlfn.TEXTJOIN(";",1,IF(D545,_xlfn.MAKEARRAY(D545,1,_xlfn.LAMBDA(_xlpm.x,_xlpm.y,K545&amp;"-"&amp;TEXT(_xlpm.x,"00"))),_xlfn.MAP(_xlfn.TEXTSPLIT(E545,{";","；"},,1),_xlfn.LAMBDA(_xlpm.x,K545&amp;"-"&amp;TEXT(_xlpm.x,"00"))))),"")</f>
        <v>7b-1000-rnd-cloud-01;7b-1000-rnd-cloud-02;7b-1000-rnd-cloud-03</v>
      </c>
      <c r="K545" s="29" t="str">
        <f t="shared" ref="K545:K552" si="53">_xlfn.TEXTJOIN("-",1,H545:I545,G545,IF(L545="FixedDistance","fixed","rnd"),C545)</f>
        <v>7b-1000-rnd-cloud</v>
      </c>
      <c r="L545" s="5" t="s">
        <v>123</v>
      </c>
      <c r="N545" s="5" t="s">
        <v>415</v>
      </c>
    </row>
    <row r="546" spans="1:18">
      <c r="A546" s="35">
        <v>42072</v>
      </c>
      <c r="B546" s="5">
        <v>22</v>
      </c>
      <c r="C546" s="34" t="s">
        <v>219</v>
      </c>
      <c r="D546" s="34">
        <v>2</v>
      </c>
      <c r="G546" s="25">
        <v>1600</v>
      </c>
      <c r="H546" s="27" t="s">
        <v>408</v>
      </c>
      <c r="J546" s="35" t="str" cm="1">
        <f t="array" ref="J546">IFERROR(_xlfn.TEXTJOIN(";",1,IF(D546,_xlfn.MAKEARRAY(D546,1,_xlfn.LAMBDA(_xlpm.x,_xlpm.y,K546&amp;"-"&amp;TEXT(_xlpm.x,"00"))),_xlfn.MAP(_xlfn.TEXTSPLIT(E546,{";","；"},,1),_xlfn.LAMBDA(_xlpm.x,K546&amp;"-"&amp;TEXT(_xlpm.x,"00"))))),"")</f>
        <v>7b-1600-rnd-hill-01;7b-1600-rnd-hill-02</v>
      </c>
      <c r="K546" s="29" t="str">
        <f t="shared" si="53"/>
        <v>7b-1600-rnd-hill</v>
      </c>
      <c r="L546" s="5" t="s">
        <v>123</v>
      </c>
      <c r="N546" s="5" t="s">
        <v>416</v>
      </c>
      <c r="R546" s="5">
        <v>32</v>
      </c>
    </row>
    <row r="547" spans="1:18">
      <c r="A547" s="35">
        <v>42072</v>
      </c>
      <c r="B547" s="5">
        <v>23</v>
      </c>
      <c r="C547" s="34" t="s">
        <v>125</v>
      </c>
      <c r="D547" s="34">
        <v>1</v>
      </c>
      <c r="G547" s="25">
        <v>1602</v>
      </c>
      <c r="H547" s="27" t="s">
        <v>408</v>
      </c>
      <c r="J547" s="35" t="str" cm="1">
        <f t="array" ref="J547">IFERROR(_xlfn.TEXTJOIN(";",1,IF(D547,_xlfn.MAKEARRAY(D547,1,_xlfn.LAMBDA(_xlpm.x,_xlpm.y,K547&amp;"-"&amp;TEXT(_xlpm.x,"00"))),_xlfn.MAP(_xlfn.TEXTSPLIT(E547,{";","；"},,1),_xlfn.LAMBDA(_xlpm.x,K547&amp;"-"&amp;TEXT(_xlpm.x,"00"))))),"")</f>
        <v>7b-1602-fixed-atm-01</v>
      </c>
      <c r="K547" s="29" t="str">
        <f t="shared" si="53"/>
        <v>7b-1602-fixed-atm</v>
      </c>
      <c r="L547" s="5" t="s">
        <v>126</v>
      </c>
      <c r="M547" s="5">
        <v>25.6</v>
      </c>
    </row>
    <row r="548" spans="1:18">
      <c r="A548" s="35">
        <v>42072</v>
      </c>
      <c r="B548" s="5">
        <v>24</v>
      </c>
      <c r="C548" s="34" t="s">
        <v>219</v>
      </c>
      <c r="D548" s="34">
        <v>1</v>
      </c>
      <c r="G548" s="25">
        <v>2800</v>
      </c>
      <c r="H548" s="27" t="s">
        <v>408</v>
      </c>
      <c r="J548" s="35" t="str" cm="1">
        <f t="array" ref="J548">IFERROR(_xlfn.TEXTJOIN(";",1,IF(D548,_xlfn.MAKEARRAY(D548,1,_xlfn.LAMBDA(_xlpm.x,_xlpm.y,K548&amp;"-"&amp;TEXT(_xlpm.x,"00"))),_xlfn.MAP(_xlfn.TEXTSPLIT(E548,{";","；"},,1),_xlfn.LAMBDA(_xlpm.x,K548&amp;"-"&amp;TEXT(_xlpm.x,"00"))))),"")</f>
        <v>7b-2800-fixed-hill-01</v>
      </c>
      <c r="K548" s="29" t="str">
        <f t="shared" si="53"/>
        <v>7b-2800-fixed-hill</v>
      </c>
      <c r="L548" s="5" t="s">
        <v>126</v>
      </c>
      <c r="M548" s="5">
        <v>35.76</v>
      </c>
    </row>
    <row r="549" spans="1:18">
      <c r="A549" s="35">
        <v>42072</v>
      </c>
      <c r="B549" s="5">
        <v>25</v>
      </c>
      <c r="C549" s="34" t="s">
        <v>131</v>
      </c>
      <c r="D549" s="34">
        <v>1</v>
      </c>
      <c r="G549" s="25">
        <v>3500</v>
      </c>
      <c r="H549" s="27" t="s">
        <v>408</v>
      </c>
      <c r="J549" s="35" t="str" cm="1">
        <f t="array" ref="J549">IFERROR(_xlfn.TEXTJOIN(";",1,IF(D549,_xlfn.MAKEARRAY(D549,1,_xlfn.LAMBDA(_xlpm.x,_xlpm.y,K549&amp;"-"&amp;TEXT(_xlpm.x,"00"))),_xlfn.MAP(_xlfn.TEXTSPLIT(E549,{";","；"},,1),_xlfn.LAMBDA(_xlpm.x,K549&amp;"-"&amp;TEXT(_xlpm.x,"00"))))),"")</f>
        <v>7b-3500-fixed-cloud-01</v>
      </c>
      <c r="K549" s="29" t="str">
        <f t="shared" si="53"/>
        <v>7b-3500-fixed-cloud</v>
      </c>
      <c r="L549" s="5" t="s">
        <v>126</v>
      </c>
      <c r="M549" s="5">
        <v>45</v>
      </c>
    </row>
    <row r="550" spans="1:18">
      <c r="A550" s="35">
        <v>42072</v>
      </c>
      <c r="B550" s="5">
        <v>26</v>
      </c>
      <c r="C550" s="34" t="s">
        <v>125</v>
      </c>
      <c r="D550" s="34">
        <v>1</v>
      </c>
      <c r="G550" s="25">
        <v>3980</v>
      </c>
      <c r="H550" s="27" t="s">
        <v>408</v>
      </c>
      <c r="J550" s="35" t="str" cm="1">
        <f t="array" ref="J550">IFERROR(_xlfn.TEXTJOIN(";",1,IF(D550,_xlfn.MAKEARRAY(D550,1,_xlfn.LAMBDA(_xlpm.x,_xlpm.y,K550&amp;"-"&amp;TEXT(_xlpm.x,"00"))),_xlfn.MAP(_xlfn.TEXTSPLIT(E550,{";","；"},,1),_xlfn.LAMBDA(_xlpm.x,K550&amp;"-"&amp;TEXT(_xlpm.x,"00"))))),"")</f>
        <v>7b-3980-fixed-atm-01</v>
      </c>
      <c r="K550" s="29" t="str">
        <f t="shared" si="53"/>
        <v>7b-3980-fixed-atm</v>
      </c>
      <c r="L550" s="5" t="s">
        <v>126</v>
      </c>
      <c r="M550" s="5">
        <v>25.6</v>
      </c>
    </row>
    <row r="551" spans="1:18">
      <c r="A551" s="35">
        <v>42072</v>
      </c>
      <c r="B551" s="5">
        <v>27</v>
      </c>
      <c r="C551" s="34" t="s">
        <v>131</v>
      </c>
      <c r="D551" s="34">
        <v>1</v>
      </c>
      <c r="G551" s="25">
        <v>4000</v>
      </c>
      <c r="H551" s="27" t="s">
        <v>408</v>
      </c>
      <c r="J551" s="35" t="str" cm="1">
        <f t="array" ref="J551">IFERROR(_xlfn.TEXTJOIN(";",1,IF(D551,_xlfn.MAKEARRAY(D551,1,_xlfn.LAMBDA(_xlpm.x,_xlpm.y,K551&amp;"-"&amp;TEXT(_xlpm.x,"00"))),_xlfn.MAP(_xlfn.TEXTSPLIT(E551,{";","；"},,1),_xlfn.LAMBDA(_xlpm.x,K551&amp;"-"&amp;TEXT(_xlpm.x,"00"))))),"")</f>
        <v>7b-4000-fixed-cloud-01</v>
      </c>
      <c r="K551" s="29" t="str">
        <f t="shared" si="53"/>
        <v>7b-4000-fixed-cloud</v>
      </c>
      <c r="L551" s="5" t="s">
        <v>126</v>
      </c>
      <c r="M551" s="5">
        <v>63</v>
      </c>
    </row>
    <row r="552" spans="1:18">
      <c r="A552" s="35">
        <v>42072</v>
      </c>
      <c r="B552" s="5">
        <v>28</v>
      </c>
      <c r="C552" s="34" t="s">
        <v>132</v>
      </c>
      <c r="D552" s="34">
        <v>1</v>
      </c>
      <c r="G552" s="25">
        <v>5000</v>
      </c>
      <c r="H552" s="27" t="s">
        <v>408</v>
      </c>
      <c r="J552" s="35" t="str" cm="1">
        <f t="array" ref="J552">IFERROR(_xlfn.TEXTJOIN(";",1,IF(D552,_xlfn.MAKEARRAY(D552,1,_xlfn.LAMBDA(_xlpm.x,_xlpm.y,K552&amp;"-"&amp;TEXT(_xlpm.x,"00"))),_xlfn.MAP(_xlfn.TEXTSPLIT(E552,{";","；"},,1),_xlfn.LAMBDA(_xlpm.x,K552&amp;"-"&amp;TEXT(_xlpm.x,"00"))))),"")</f>
        <v>7b-5000-fixed-sky-01</v>
      </c>
      <c r="K552" s="29" t="str">
        <f t="shared" si="53"/>
        <v>7b-5000-fixed-sky</v>
      </c>
      <c r="L552" s="5" t="s">
        <v>126</v>
      </c>
      <c r="M552" s="5">
        <v>25.6</v>
      </c>
    </row>
    <row r="554" spans="1:18">
      <c r="A554" s="35">
        <v>42073</v>
      </c>
      <c r="B554" s="5">
        <v>1</v>
      </c>
      <c r="C554" s="34" t="s">
        <v>125</v>
      </c>
      <c r="D554" s="34">
        <v>1</v>
      </c>
      <c r="G554" s="25">
        <v>11</v>
      </c>
      <c r="H554" s="27" t="s">
        <v>417</v>
      </c>
      <c r="J554" s="35" t="str" cm="1">
        <f t="array" ref="J554">IFERROR(_xlfn.TEXTJOIN(";",1,IF(D554,_xlfn.MAKEARRAY(D554,1,_xlfn.LAMBDA(_xlpm.x,_xlpm.y,K554&amp;"-"&amp;TEXT(_xlpm.x,"00"))),_xlfn.MAP(_xlfn.TEXTSPLIT(E554,{";","；"},,1),_xlfn.LAMBDA(_xlpm.x,K554&amp;"-"&amp;TEXT(_xlpm.x,"00"))))),"")</f>
        <v>7c-11-fixed-atm-01</v>
      </c>
      <c r="K554" s="29" t="str">
        <f t="shared" ref="K554:K572" si="54">_xlfn.TEXTJOIN("-",1,H554:I554,G554,IF(L554="FixedDistance","fixed","rnd"),C554)</f>
        <v>7c-11-fixed-atm</v>
      </c>
      <c r="L554" s="5" t="s">
        <v>126</v>
      </c>
      <c r="M554" s="5">
        <v>25.6</v>
      </c>
    </row>
    <row r="555" spans="1:18">
      <c r="A555" s="35">
        <v>42073</v>
      </c>
      <c r="B555" s="5">
        <v>2</v>
      </c>
      <c r="C555" s="34" t="s">
        <v>133</v>
      </c>
      <c r="D555" s="34">
        <v>2</v>
      </c>
      <c r="G555" s="25">
        <v>20</v>
      </c>
      <c r="H555" s="27" t="s">
        <v>417</v>
      </c>
      <c r="J555" s="35" t="str" cm="1">
        <f t="array" ref="J555">IFERROR(_xlfn.TEXTJOIN(";",1,IF(D555,_xlfn.MAKEARRAY(D555,1,_xlfn.LAMBDA(_xlpm.x,_xlpm.y,K555&amp;"-"&amp;TEXT(_xlpm.x,"00"))),_xlfn.MAP(_xlfn.TEXTSPLIT(E555,{";","；"},,1),_xlfn.LAMBDA(_xlpm.x,K555&amp;"-"&amp;TEXT(_xlpm.x,"00"))))),"")</f>
        <v>7c-20-rnd-obj-01;7c-20-rnd-obj-02</v>
      </c>
      <c r="K555" s="29" t="str">
        <f t="shared" si="54"/>
        <v>7c-20-rnd-obj</v>
      </c>
      <c r="L555" s="5" t="s">
        <v>123</v>
      </c>
      <c r="N555" s="5" t="s">
        <v>213</v>
      </c>
    </row>
    <row r="556" spans="1:18">
      <c r="A556" s="35">
        <v>42073</v>
      </c>
      <c r="B556" s="5">
        <v>3</v>
      </c>
      <c r="C556" s="34" t="s">
        <v>219</v>
      </c>
      <c r="D556" s="34">
        <v>2</v>
      </c>
      <c r="G556" s="25">
        <v>30</v>
      </c>
      <c r="H556" s="27" t="s">
        <v>417</v>
      </c>
      <c r="J556" s="35" t="str" cm="1">
        <f t="array" ref="J556">IFERROR(_xlfn.TEXTJOIN(";",1,IF(D556,_xlfn.MAKEARRAY(D556,1,_xlfn.LAMBDA(_xlpm.x,_xlpm.y,K556&amp;"-"&amp;TEXT(_xlpm.x,"00"))),_xlfn.MAP(_xlfn.TEXTSPLIT(E556,{";","；"},,1),_xlfn.LAMBDA(_xlpm.x,K556&amp;"-"&amp;TEXT(_xlpm.x,"00"))))),"")</f>
        <v>7c-30-rnd-hill-01;7c-30-rnd-hill-02</v>
      </c>
      <c r="K556" s="29" t="str">
        <f t="shared" si="54"/>
        <v>7c-30-rnd-hill</v>
      </c>
      <c r="L556" s="5" t="s">
        <v>123</v>
      </c>
      <c r="N556" s="5" t="s">
        <v>418</v>
      </c>
      <c r="R556" s="5">
        <v>40</v>
      </c>
    </row>
    <row r="557" spans="1:18">
      <c r="A557" s="35">
        <v>42073</v>
      </c>
      <c r="B557" s="5">
        <v>4</v>
      </c>
      <c r="C557" s="34" t="s">
        <v>133</v>
      </c>
      <c r="D557" s="34">
        <v>1</v>
      </c>
      <c r="G557" s="25">
        <v>35</v>
      </c>
      <c r="H557" s="27" t="s">
        <v>417</v>
      </c>
      <c r="J557" s="35" t="str" cm="1">
        <f t="array" ref="J557">IFERROR(_xlfn.TEXTJOIN(";",1,IF(D557,_xlfn.MAKEARRAY(D557,1,_xlfn.LAMBDA(_xlpm.x,_xlpm.y,K557&amp;"-"&amp;TEXT(_xlpm.x,"00"))),_xlfn.MAP(_xlfn.TEXTSPLIT(E557,{";","；"},,1),_xlfn.LAMBDA(_xlpm.x,K557&amp;"-"&amp;TEXT(_xlpm.x,"00"))))),"")</f>
        <v>7c-35-rnd-obj-01</v>
      </c>
      <c r="K557" s="29" t="str">
        <f t="shared" si="54"/>
        <v>7c-35-rnd-obj</v>
      </c>
      <c r="L557" s="5" t="s">
        <v>123</v>
      </c>
      <c r="N557" s="5" t="s">
        <v>419</v>
      </c>
      <c r="P557" s="5">
        <v>0.7</v>
      </c>
      <c r="Q557" s="5">
        <v>0.3</v>
      </c>
    </row>
    <row r="558" spans="1:18">
      <c r="A558" s="35">
        <v>42073</v>
      </c>
      <c r="B558" s="5">
        <v>5</v>
      </c>
      <c r="C558" s="34" t="s">
        <v>125</v>
      </c>
      <c r="D558" s="34">
        <v>1</v>
      </c>
      <c r="G558" s="25">
        <v>36</v>
      </c>
      <c r="H558" s="27" t="s">
        <v>417</v>
      </c>
      <c r="J558" s="35" t="str" cm="1">
        <f t="array" ref="J558">IFERROR(_xlfn.TEXTJOIN(";",1,IF(D558,_xlfn.MAKEARRAY(D558,1,_xlfn.LAMBDA(_xlpm.x,_xlpm.y,K558&amp;"-"&amp;TEXT(_xlpm.x,"00"))),_xlfn.MAP(_xlfn.TEXTSPLIT(E558,{";","；"},,1),_xlfn.LAMBDA(_xlpm.x,K558&amp;"-"&amp;TEXT(_xlpm.x,"00"))))),"")</f>
        <v>7c-36-fixed-atm-01</v>
      </c>
      <c r="K558" s="29" t="str">
        <f t="shared" si="54"/>
        <v>7c-36-fixed-atm</v>
      </c>
      <c r="L558" s="5" t="s">
        <v>126</v>
      </c>
      <c r="M558" s="5">
        <v>25.6</v>
      </c>
    </row>
    <row r="559" spans="1:18">
      <c r="A559" s="35">
        <v>42073</v>
      </c>
      <c r="B559" s="5">
        <v>6</v>
      </c>
      <c r="C559" s="34" t="s">
        <v>136</v>
      </c>
      <c r="D559" s="34">
        <v>1</v>
      </c>
      <c r="G559" s="25">
        <v>65</v>
      </c>
      <c r="H559" s="27" t="s">
        <v>417</v>
      </c>
      <c r="J559" s="35" t="str" cm="1">
        <f t="array" ref="J559">IFERROR(_xlfn.TEXTJOIN(";",1,IF(D559,_xlfn.MAKEARRAY(D559,1,_xlfn.LAMBDA(_xlpm.x,_xlpm.y,K559&amp;"-"&amp;TEXT(_xlpm.x,"00"))),_xlfn.MAP(_xlfn.TEXTSPLIT(E559,{";","；"},,1),_xlfn.LAMBDA(_xlpm.x,K559&amp;"-"&amp;TEXT(_xlpm.x,"00"))))),"")</f>
        <v>7c-65-rnd-stone-01</v>
      </c>
      <c r="K559" s="29" t="str">
        <f t="shared" si="54"/>
        <v>7c-65-rnd-stone</v>
      </c>
      <c r="L559" s="5" t="s">
        <v>123</v>
      </c>
      <c r="N559" s="5" t="s">
        <v>124</v>
      </c>
      <c r="P559" s="5">
        <v>0.7</v>
      </c>
      <c r="Q559" s="5">
        <v>0.3</v>
      </c>
    </row>
    <row r="560" spans="1:18">
      <c r="A560" s="35">
        <v>42073</v>
      </c>
      <c r="B560" s="5">
        <v>7</v>
      </c>
      <c r="C560" s="34" t="s">
        <v>219</v>
      </c>
      <c r="D560" s="34">
        <v>2</v>
      </c>
      <c r="G560" s="25">
        <v>100</v>
      </c>
      <c r="H560" s="27" t="s">
        <v>417</v>
      </c>
      <c r="J560" s="35" t="str" cm="1">
        <f t="array" ref="J560">IFERROR(_xlfn.TEXTJOIN(";",1,IF(D560,_xlfn.MAKEARRAY(D560,1,_xlfn.LAMBDA(_xlpm.x,_xlpm.y,K560&amp;"-"&amp;TEXT(_xlpm.x,"00"))),_xlfn.MAP(_xlfn.TEXTSPLIT(E560,{";","；"},,1),_xlfn.LAMBDA(_xlpm.x,K560&amp;"-"&amp;TEXT(_xlpm.x,"00"))))),"")</f>
        <v>7c-100-rnd-hill-01;7c-100-rnd-hill-02</v>
      </c>
      <c r="K560" s="29" t="str">
        <f t="shared" si="54"/>
        <v>7c-100-rnd-hill</v>
      </c>
      <c r="L560" s="5" t="s">
        <v>123</v>
      </c>
      <c r="N560" s="5" t="s">
        <v>420</v>
      </c>
      <c r="R560" s="5">
        <v>55</v>
      </c>
    </row>
    <row r="561" spans="1:18">
      <c r="A561" s="35">
        <v>42073</v>
      </c>
      <c r="B561" s="5">
        <v>8</v>
      </c>
      <c r="C561" s="34" t="s">
        <v>125</v>
      </c>
      <c r="D561" s="34">
        <v>1</v>
      </c>
      <c r="G561" s="25">
        <v>105</v>
      </c>
      <c r="H561" s="27" t="s">
        <v>417</v>
      </c>
      <c r="J561" s="35" t="str" cm="1">
        <f t="array" ref="J561">IFERROR(_xlfn.TEXTJOIN(";",1,IF(D561,_xlfn.MAKEARRAY(D561,1,_xlfn.LAMBDA(_xlpm.x,_xlpm.y,K561&amp;"-"&amp;TEXT(_xlpm.x,"00"))),_xlfn.MAP(_xlfn.TEXTSPLIT(E561,{";","；"},,1),_xlfn.LAMBDA(_xlpm.x,K561&amp;"-"&amp;TEXT(_xlpm.x,"00"))))),"")</f>
        <v>7c-105-fixed-atm-01</v>
      </c>
      <c r="K561" s="29" t="str">
        <f t="shared" si="54"/>
        <v>7c-105-fixed-atm</v>
      </c>
      <c r="L561" s="5" t="s">
        <v>126</v>
      </c>
      <c r="M561" s="5">
        <v>25.6</v>
      </c>
    </row>
    <row r="562" spans="1:18">
      <c r="A562" s="35">
        <v>42073</v>
      </c>
      <c r="B562" s="5">
        <v>9</v>
      </c>
      <c r="C562" s="34" t="s">
        <v>219</v>
      </c>
      <c r="D562" s="34">
        <v>3</v>
      </c>
      <c r="G562" s="25">
        <v>200</v>
      </c>
      <c r="H562" s="27" t="s">
        <v>417</v>
      </c>
      <c r="J562" s="35" t="str" cm="1">
        <f t="array" ref="J562">IFERROR(_xlfn.TEXTJOIN(";",1,IF(D562,_xlfn.MAKEARRAY(D562,1,_xlfn.LAMBDA(_xlpm.x,_xlpm.y,K562&amp;"-"&amp;TEXT(_xlpm.x,"00"))),_xlfn.MAP(_xlfn.TEXTSPLIT(E562,{";","；"},,1),_xlfn.LAMBDA(_xlpm.x,K562&amp;"-"&amp;TEXT(_xlpm.x,"00"))))),"")</f>
        <v>7c-200-rnd-hill-01;7c-200-rnd-hill-02;7c-200-rnd-hill-03</v>
      </c>
      <c r="K562" s="29" t="str">
        <f t="shared" si="54"/>
        <v>7c-200-rnd-hill</v>
      </c>
      <c r="L562" s="5" t="s">
        <v>123</v>
      </c>
      <c r="N562" s="5" t="s">
        <v>396</v>
      </c>
      <c r="R562" s="5">
        <v>65</v>
      </c>
    </row>
    <row r="563" spans="1:18">
      <c r="A563" s="35">
        <v>42073</v>
      </c>
      <c r="B563" s="5">
        <v>10</v>
      </c>
      <c r="C563" s="34" t="s">
        <v>133</v>
      </c>
      <c r="D563" s="34">
        <v>3</v>
      </c>
      <c r="G563" s="25">
        <v>205</v>
      </c>
      <c r="H563" s="27" t="s">
        <v>417</v>
      </c>
      <c r="J563" s="35" t="str" cm="1">
        <f t="array" ref="J563">IFERROR(_xlfn.TEXTJOIN(";",1,IF(D563,_xlfn.MAKEARRAY(D563,1,_xlfn.LAMBDA(_xlpm.x,_xlpm.y,K563&amp;"-"&amp;TEXT(_xlpm.x,"00"))),_xlfn.MAP(_xlfn.TEXTSPLIT(E563,{";","；"},,1),_xlfn.LAMBDA(_xlpm.x,K563&amp;"-"&amp;TEXT(_xlpm.x,"00"))))),"")</f>
        <v>7c-205-rnd-obj-01;7c-205-rnd-obj-02;7c-205-rnd-obj-03</v>
      </c>
      <c r="K563" s="29" t="str">
        <f t="shared" si="54"/>
        <v>7c-205-rnd-obj</v>
      </c>
      <c r="L563" s="5" t="s">
        <v>123</v>
      </c>
      <c r="N563" s="5" t="s">
        <v>154</v>
      </c>
    </row>
    <row r="564" spans="1:18">
      <c r="A564" s="35">
        <v>42073</v>
      </c>
      <c r="B564" s="5">
        <v>11</v>
      </c>
      <c r="C564" s="34" t="s">
        <v>125</v>
      </c>
      <c r="D564" s="34">
        <v>1</v>
      </c>
      <c r="G564" s="25">
        <v>210</v>
      </c>
      <c r="H564" s="27" t="s">
        <v>417</v>
      </c>
      <c r="J564" s="35" t="str" cm="1">
        <f t="array" ref="J564">IFERROR(_xlfn.TEXTJOIN(";",1,IF(D564,_xlfn.MAKEARRAY(D564,1,_xlfn.LAMBDA(_xlpm.x,_xlpm.y,K564&amp;"-"&amp;TEXT(_xlpm.x,"00"))),_xlfn.MAP(_xlfn.TEXTSPLIT(E564,{";","；"},,1),_xlfn.LAMBDA(_xlpm.x,K564&amp;"-"&amp;TEXT(_xlpm.x,"00"))))),"")</f>
        <v>7c-210-fixed-atm-01</v>
      </c>
      <c r="K564" s="29" t="str">
        <f t="shared" si="54"/>
        <v>7c-210-fixed-atm</v>
      </c>
      <c r="L564" s="5" t="s">
        <v>126</v>
      </c>
      <c r="M564" s="5">
        <v>25.6</v>
      </c>
    </row>
    <row r="565" spans="1:18">
      <c r="A565" s="35">
        <v>42073</v>
      </c>
      <c r="B565" s="5">
        <v>12</v>
      </c>
      <c r="C565" s="34" t="s">
        <v>133</v>
      </c>
      <c r="D565" s="34">
        <v>1</v>
      </c>
      <c r="G565" s="25">
        <v>340</v>
      </c>
      <c r="H565" s="27" t="s">
        <v>417</v>
      </c>
      <c r="J565" s="35" t="str" cm="1">
        <f t="array" ref="J565">IFERROR(_xlfn.TEXTJOIN(";",1,IF(D565,_xlfn.MAKEARRAY(D565,1,_xlfn.LAMBDA(_xlpm.x,_xlpm.y,K565&amp;"-"&amp;TEXT(_xlpm.x,"00"))),_xlfn.MAP(_xlfn.TEXTSPLIT(E565,{";","；"},,1),_xlfn.LAMBDA(_xlpm.x,K565&amp;"-"&amp;TEXT(_xlpm.x,"00"))))),"")</f>
        <v>7c-340-rnd-obj-01</v>
      </c>
      <c r="K565" s="29" t="str">
        <f t="shared" si="54"/>
        <v>7c-340-rnd-obj</v>
      </c>
      <c r="L565" s="5" t="s">
        <v>123</v>
      </c>
      <c r="N565" s="5" t="s">
        <v>421</v>
      </c>
      <c r="P565" s="5">
        <v>0.7</v>
      </c>
      <c r="Q565" s="5">
        <v>0.3</v>
      </c>
      <c r="R565" s="5">
        <v>28</v>
      </c>
    </row>
    <row r="566" spans="1:18">
      <c r="A566" s="35">
        <v>42073</v>
      </c>
      <c r="B566" s="5">
        <v>13</v>
      </c>
      <c r="C566" s="34" t="s">
        <v>145</v>
      </c>
      <c r="D566" s="34">
        <v>3</v>
      </c>
      <c r="G566" s="25">
        <v>349</v>
      </c>
      <c r="H566" s="27" t="s">
        <v>417</v>
      </c>
      <c r="J566" s="35" t="str" cm="1">
        <f t="array" ref="J566">IFERROR(_xlfn.TEXTJOIN(";",1,IF(D566,_xlfn.MAKEARRAY(D566,1,_xlfn.LAMBDA(_xlpm.x,_xlpm.y,K566&amp;"-"&amp;TEXT(_xlpm.x,"00"))),_xlfn.MAP(_xlfn.TEXTSPLIT(E566,{";","；"},,1),_xlfn.LAMBDA(_xlpm.x,K566&amp;"-"&amp;TEXT(_xlpm.x,"00"))))),"")</f>
        <v>7c-349-rnd-pillar-01;7c-349-rnd-pillar-02;7c-349-rnd-pillar-03</v>
      </c>
      <c r="K566" s="29" t="str">
        <f t="shared" si="54"/>
        <v>7c-349-rnd-pillar</v>
      </c>
      <c r="L566" s="5" t="s">
        <v>123</v>
      </c>
      <c r="N566" s="5" t="s">
        <v>343</v>
      </c>
      <c r="P566" s="5">
        <v>0.8</v>
      </c>
      <c r="Q566" s="5">
        <v>0.2</v>
      </c>
    </row>
    <row r="567" spans="1:18">
      <c r="A567" s="35">
        <v>42073</v>
      </c>
      <c r="B567" s="5">
        <v>14</v>
      </c>
      <c r="C567" s="34" t="s">
        <v>127</v>
      </c>
      <c r="D567" s="34">
        <v>1</v>
      </c>
      <c r="G567" s="25">
        <v>350</v>
      </c>
      <c r="H567" s="27" t="s">
        <v>417</v>
      </c>
      <c r="J567" s="35" t="str" cm="1">
        <f t="array" ref="J567">IFERROR(_xlfn.TEXTJOIN(";",1,IF(D567,_xlfn.MAKEARRAY(D567,1,_xlfn.LAMBDA(_xlpm.x,_xlpm.y,K567&amp;"-"&amp;TEXT(_xlpm.x,"00"))),_xlfn.MAP(_xlfn.TEXTSPLIT(E567,{";","；"},,1),_xlfn.LAMBDA(_xlpm.x,K567&amp;"-"&amp;TEXT(_xlpm.x,"00"))))),"")</f>
        <v>7c-350-fixed-ground-01</v>
      </c>
      <c r="K567" s="29" t="str">
        <f t="shared" si="54"/>
        <v>7c-350-fixed-ground</v>
      </c>
      <c r="L567" s="5" t="s">
        <v>126</v>
      </c>
      <c r="M567" s="5">
        <v>25.6</v>
      </c>
    </row>
    <row r="568" spans="1:18">
      <c r="A568" s="35">
        <v>42073</v>
      </c>
      <c r="B568" s="5">
        <v>15</v>
      </c>
      <c r="C568" s="34" t="s">
        <v>133</v>
      </c>
      <c r="D568" s="34">
        <v>1</v>
      </c>
      <c r="G568" s="25">
        <v>355</v>
      </c>
      <c r="H568" s="27" t="s">
        <v>417</v>
      </c>
      <c r="J568" s="35" t="str" cm="1">
        <f t="array" ref="J568">IFERROR(_xlfn.TEXTJOIN(";",1,IF(D568,_xlfn.MAKEARRAY(D568,1,_xlfn.LAMBDA(_xlpm.x,_xlpm.y,K568&amp;"-"&amp;TEXT(_xlpm.x,"00"))),_xlfn.MAP(_xlfn.TEXTSPLIT(E568,{";","；"},,1),_xlfn.LAMBDA(_xlpm.x,K568&amp;"-"&amp;TEXT(_xlpm.x,"00"))))),"")</f>
        <v>7c-355-rnd-obj-01</v>
      </c>
      <c r="K568" s="29" t="str">
        <f t="shared" si="54"/>
        <v>7c-355-rnd-obj</v>
      </c>
      <c r="L568" s="5" t="s">
        <v>123</v>
      </c>
      <c r="N568" s="5" t="s">
        <v>422</v>
      </c>
      <c r="P568" s="5">
        <v>0.7</v>
      </c>
      <c r="Q568" s="5">
        <v>0.3</v>
      </c>
    </row>
    <row r="569" spans="1:18">
      <c r="A569" s="35">
        <v>42073</v>
      </c>
      <c r="B569" s="5">
        <v>16</v>
      </c>
      <c r="C569" s="34" t="s">
        <v>219</v>
      </c>
      <c r="D569" s="34">
        <v>1</v>
      </c>
      <c r="G569" s="25">
        <v>700</v>
      </c>
      <c r="H569" s="27" t="s">
        <v>417</v>
      </c>
      <c r="J569" s="35" t="str" cm="1">
        <f t="array" ref="J569">IFERROR(_xlfn.TEXTJOIN(";",1,IF(D569,_xlfn.MAKEARRAY(D569,1,_xlfn.LAMBDA(_xlpm.x,_xlpm.y,K569&amp;"-"&amp;TEXT(_xlpm.x,"00"))),_xlfn.MAP(_xlfn.TEXTSPLIT(E569,{";","；"},,1),_xlfn.LAMBDA(_xlpm.x,K569&amp;"-"&amp;TEXT(_xlpm.x,"00"))))),"")</f>
        <v>7c-700-rnd-hill-01</v>
      </c>
      <c r="K569" s="29" t="str">
        <f t="shared" si="54"/>
        <v>7c-700-rnd-hill</v>
      </c>
      <c r="L569" s="5" t="s">
        <v>123</v>
      </c>
      <c r="N569" s="5" t="s">
        <v>288</v>
      </c>
      <c r="R569" s="5">
        <v>60</v>
      </c>
    </row>
    <row r="570" spans="1:18">
      <c r="A570" s="35">
        <v>42073</v>
      </c>
      <c r="B570" s="5">
        <v>17</v>
      </c>
      <c r="C570" s="34" t="s">
        <v>133</v>
      </c>
      <c r="D570" s="34">
        <v>1</v>
      </c>
      <c r="G570" s="25">
        <v>800</v>
      </c>
      <c r="H570" s="27" t="s">
        <v>417</v>
      </c>
      <c r="J570" s="35" t="str" cm="1">
        <f t="array" ref="J570">IFERROR(_xlfn.TEXTJOIN(";",1,IF(D570,_xlfn.MAKEARRAY(D570,1,_xlfn.LAMBDA(_xlpm.x,_xlpm.y,K570&amp;"-"&amp;TEXT(_xlpm.x,"00"))),_xlfn.MAP(_xlfn.TEXTSPLIT(E570,{";","；"},,1),_xlfn.LAMBDA(_xlpm.x,K570&amp;"-"&amp;TEXT(_xlpm.x,"00"))))),"")</f>
        <v>7c-800-rnd-obj-01</v>
      </c>
      <c r="K570" s="29" t="str">
        <f t="shared" si="54"/>
        <v>7c-800-rnd-obj</v>
      </c>
      <c r="L570" s="5" t="s">
        <v>123</v>
      </c>
      <c r="N570" s="5" t="s">
        <v>423</v>
      </c>
      <c r="P570" s="5">
        <v>0.6</v>
      </c>
      <c r="Q570" s="5">
        <v>0.4</v>
      </c>
    </row>
    <row r="571" spans="1:18">
      <c r="A571" s="35">
        <v>42073</v>
      </c>
      <c r="B571" s="5">
        <v>18</v>
      </c>
      <c r="C571" s="34" t="s">
        <v>219</v>
      </c>
      <c r="D571" s="34">
        <v>3</v>
      </c>
      <c r="G571" s="25">
        <v>1600</v>
      </c>
      <c r="H571" s="27" t="s">
        <v>417</v>
      </c>
      <c r="J571" s="35" t="str" cm="1">
        <f t="array" ref="J571">IFERROR(_xlfn.TEXTJOIN(";",1,IF(D571,_xlfn.MAKEARRAY(D571,1,_xlfn.LAMBDA(_xlpm.x,_xlpm.y,K571&amp;"-"&amp;TEXT(_xlpm.x,"00"))),_xlfn.MAP(_xlfn.TEXTSPLIT(E571,{";","；"},,1),_xlfn.LAMBDA(_xlpm.x,K571&amp;"-"&amp;TEXT(_xlpm.x,"00"))))),"")</f>
        <v>7c-1600-rnd-hill-01;7c-1600-rnd-hill-02;7c-1600-rnd-hill-03</v>
      </c>
      <c r="K571" s="29" t="str">
        <f t="shared" si="54"/>
        <v>7c-1600-rnd-hill</v>
      </c>
      <c r="L571" s="5" t="s">
        <v>123</v>
      </c>
      <c r="N571" s="5" t="s">
        <v>424</v>
      </c>
      <c r="R571" s="5">
        <v>38</v>
      </c>
    </row>
    <row r="572" spans="1:18">
      <c r="A572" s="35">
        <v>42073</v>
      </c>
      <c r="B572" s="5">
        <v>19</v>
      </c>
      <c r="C572" s="34" t="s">
        <v>219</v>
      </c>
      <c r="D572" s="34">
        <v>1</v>
      </c>
      <c r="G572" s="25">
        <v>2000</v>
      </c>
      <c r="H572" s="27" t="s">
        <v>417</v>
      </c>
      <c r="J572" s="35" t="str" cm="1">
        <f t="array" ref="J572">IFERROR(_xlfn.TEXTJOIN(";",1,IF(D572,_xlfn.MAKEARRAY(D572,1,_xlfn.LAMBDA(_xlpm.x,_xlpm.y,K572&amp;"-"&amp;TEXT(_xlpm.x,"00"))),_xlfn.MAP(_xlfn.TEXTSPLIT(E572,{";","；"},,1),_xlfn.LAMBDA(_xlpm.x,K572&amp;"-"&amp;TEXT(_xlpm.x,"00"))))),"")</f>
        <v>7c-2000-rnd-hill-01</v>
      </c>
      <c r="K572" s="29" t="str">
        <f t="shared" si="54"/>
        <v>7c-2000-rnd-hill</v>
      </c>
      <c r="L572" s="5" t="s">
        <v>123</v>
      </c>
      <c r="N572" s="5" t="s">
        <v>425</v>
      </c>
      <c r="R572" s="5">
        <v>50</v>
      </c>
    </row>
    <row r="573" spans="1:18">
      <c r="A573" s="35">
        <v>42073</v>
      </c>
      <c r="B573" s="5">
        <v>20</v>
      </c>
      <c r="C573" s="34" t="s">
        <v>125</v>
      </c>
      <c r="D573" s="34">
        <v>1</v>
      </c>
      <c r="G573" s="25">
        <v>2010</v>
      </c>
      <c r="H573" s="27" t="s">
        <v>417</v>
      </c>
      <c r="J573" s="35" t="str" cm="1">
        <f t="array" ref="J573">IFERROR(_xlfn.TEXTJOIN(";",1,IF(D573,_xlfn.MAKEARRAY(D573,1,_xlfn.LAMBDA(_xlpm.x,_xlpm.y,K573&amp;"-"&amp;TEXT(_xlpm.x,"00"))),_xlfn.MAP(_xlfn.TEXTSPLIT(E573,{";","；"},,1),_xlfn.LAMBDA(_xlpm.x,K573&amp;"-"&amp;TEXT(_xlpm.x,"00"))))),"")</f>
        <v>7c-2010-fixed-atm-01</v>
      </c>
      <c r="K573" s="29" t="str">
        <f t="shared" ref="K573:K579" si="55">_xlfn.TEXTJOIN("-",1,H573:I573,G573,IF(L573="FixedDistance","fixed","rnd"),C573)</f>
        <v>7c-2010-fixed-atm</v>
      </c>
      <c r="L573" s="5" t="s">
        <v>126</v>
      </c>
      <c r="M573" s="5">
        <v>25.6</v>
      </c>
    </row>
    <row r="574" spans="1:18">
      <c r="A574" s="35">
        <v>42073</v>
      </c>
      <c r="B574" s="5">
        <v>21</v>
      </c>
      <c r="C574" s="34" t="s">
        <v>133</v>
      </c>
      <c r="D574" s="34">
        <v>1</v>
      </c>
      <c r="G574" s="25">
        <v>2300</v>
      </c>
      <c r="H574" s="27" t="s">
        <v>417</v>
      </c>
      <c r="J574" s="35" t="str" cm="1">
        <f t="array" ref="J574">IFERROR(_xlfn.TEXTJOIN(";",1,IF(D574,_xlfn.MAKEARRAY(D574,1,_xlfn.LAMBDA(_xlpm.x,_xlpm.y,K574&amp;"-"&amp;TEXT(_xlpm.x,"00"))),_xlfn.MAP(_xlfn.TEXTSPLIT(E574,{";","；"},,1),_xlfn.LAMBDA(_xlpm.x,K574&amp;"-"&amp;TEXT(_xlpm.x,"00"))))),"")</f>
        <v>7c-2300-rnd-obj-01</v>
      </c>
      <c r="K574" s="29" t="str">
        <f t="shared" si="55"/>
        <v>7c-2300-rnd-obj</v>
      </c>
      <c r="L574" s="5" t="s">
        <v>123</v>
      </c>
      <c r="N574" s="5" t="s">
        <v>426</v>
      </c>
      <c r="P574" s="5">
        <v>0.7</v>
      </c>
      <c r="Q574" s="5">
        <v>0.3</v>
      </c>
    </row>
    <row r="575" spans="1:18">
      <c r="A575" s="35">
        <v>42073</v>
      </c>
      <c r="B575" s="5">
        <v>22</v>
      </c>
      <c r="C575" s="34" t="s">
        <v>219</v>
      </c>
      <c r="D575" s="34">
        <v>1</v>
      </c>
      <c r="G575" s="25">
        <v>2500</v>
      </c>
      <c r="H575" s="27" t="s">
        <v>417</v>
      </c>
      <c r="J575" s="35" t="str" cm="1">
        <f t="array" ref="J575">IFERROR(_xlfn.TEXTJOIN(";",1,IF(D575,_xlfn.MAKEARRAY(D575,1,_xlfn.LAMBDA(_xlpm.x,_xlpm.y,K575&amp;"-"&amp;TEXT(_xlpm.x,"00"))),_xlfn.MAP(_xlfn.TEXTSPLIT(E575,{";","；"},,1),_xlfn.LAMBDA(_xlpm.x,K575&amp;"-"&amp;TEXT(_xlpm.x,"00"))))),"")</f>
        <v>7c-2500-fixed-hill-01</v>
      </c>
      <c r="K575" s="29" t="str">
        <f t="shared" si="55"/>
        <v>7c-2500-fixed-hill</v>
      </c>
      <c r="L575" s="5" t="s">
        <v>126</v>
      </c>
      <c r="M575" s="5">
        <v>55.65</v>
      </c>
    </row>
    <row r="576" spans="1:18">
      <c r="A576" s="35">
        <v>42073</v>
      </c>
      <c r="B576" s="5">
        <v>23</v>
      </c>
      <c r="C576" s="34" t="s">
        <v>131</v>
      </c>
      <c r="D576" s="34">
        <v>1</v>
      </c>
      <c r="G576" s="25">
        <v>2700</v>
      </c>
      <c r="H576" s="27" t="s">
        <v>417</v>
      </c>
      <c r="J576" s="35" t="str" cm="1">
        <f t="array" ref="J576">IFERROR(_xlfn.TEXTJOIN(";",1,IF(D576,_xlfn.MAKEARRAY(D576,1,_xlfn.LAMBDA(_xlpm.x,_xlpm.y,K576&amp;"-"&amp;TEXT(_xlpm.x,"00"))),_xlfn.MAP(_xlfn.TEXTSPLIT(E576,{";","；"},,1),_xlfn.LAMBDA(_xlpm.x,K576&amp;"-"&amp;TEXT(_xlpm.x,"00"))))),"")</f>
        <v>7c-2700-rnd-cloud-01</v>
      </c>
      <c r="K576" s="29" t="str">
        <f t="shared" si="55"/>
        <v>7c-2700-rnd-cloud</v>
      </c>
      <c r="L576" s="5" t="s">
        <v>123</v>
      </c>
      <c r="N576" s="5" t="s">
        <v>426</v>
      </c>
      <c r="R576" s="5">
        <v>33</v>
      </c>
    </row>
    <row r="577" spans="1:18">
      <c r="A577" s="35">
        <v>42073</v>
      </c>
      <c r="B577" s="5">
        <v>24</v>
      </c>
      <c r="C577" s="34" t="s">
        <v>133</v>
      </c>
      <c r="D577" s="34">
        <v>1</v>
      </c>
      <c r="G577" s="25">
        <v>3000</v>
      </c>
      <c r="H577" s="27" t="s">
        <v>417</v>
      </c>
      <c r="J577" s="35" t="str" cm="1">
        <f t="array" ref="J577">IFERROR(_xlfn.TEXTJOIN(";",1,IF(D577,_xlfn.MAKEARRAY(D577,1,_xlfn.LAMBDA(_xlpm.x,_xlpm.y,K577&amp;"-"&amp;TEXT(_xlpm.x,"00"))),_xlfn.MAP(_xlfn.TEXTSPLIT(E577,{";","；"},,1),_xlfn.LAMBDA(_xlpm.x,K577&amp;"-"&amp;TEXT(_xlpm.x,"00"))))),"")</f>
        <v>7c-3000-rnd-obj-01</v>
      </c>
      <c r="K577" s="29" t="str">
        <f t="shared" si="55"/>
        <v>7c-3000-rnd-obj</v>
      </c>
      <c r="L577" s="5" t="s">
        <v>123</v>
      </c>
      <c r="N577" s="5" t="s">
        <v>288</v>
      </c>
      <c r="P577" s="5">
        <v>0.8</v>
      </c>
      <c r="Q577" s="5">
        <v>0.2</v>
      </c>
    </row>
    <row r="578" spans="1:18">
      <c r="A578" s="35">
        <v>42073</v>
      </c>
      <c r="B578" s="5">
        <v>25</v>
      </c>
      <c r="C578" s="34" t="s">
        <v>131</v>
      </c>
      <c r="D578" s="34">
        <v>1</v>
      </c>
      <c r="G578" s="25">
        <v>3100</v>
      </c>
      <c r="H578" s="27" t="s">
        <v>417</v>
      </c>
      <c r="J578" s="35" t="str" cm="1">
        <f t="array" ref="J578">IFERROR(_xlfn.TEXTJOIN(";",1,IF(D578,_xlfn.MAKEARRAY(D578,1,_xlfn.LAMBDA(_xlpm.x,_xlpm.y,K578&amp;"-"&amp;TEXT(_xlpm.x,"00"))),_xlfn.MAP(_xlfn.TEXTSPLIT(E578,{";","；"},,1),_xlfn.LAMBDA(_xlpm.x,K578&amp;"-"&amp;TEXT(_xlpm.x,"00"))))),"")</f>
        <v>7c-3100-rnd-cloud-01</v>
      </c>
      <c r="K578" s="29" t="str">
        <f t="shared" si="55"/>
        <v>7c-3100-rnd-cloud</v>
      </c>
      <c r="L578" s="5" t="s">
        <v>123</v>
      </c>
      <c r="N578" s="5" t="s">
        <v>426</v>
      </c>
      <c r="R578" s="5">
        <v>33</v>
      </c>
    </row>
    <row r="579" spans="1:18">
      <c r="A579" s="35">
        <v>42073</v>
      </c>
      <c r="B579" s="5">
        <v>26</v>
      </c>
      <c r="C579" s="34" t="s">
        <v>132</v>
      </c>
      <c r="D579" s="34">
        <v>1</v>
      </c>
      <c r="G579" s="25">
        <v>5000</v>
      </c>
      <c r="H579" s="27" t="s">
        <v>417</v>
      </c>
      <c r="J579" s="35" t="str" cm="1">
        <f t="array" ref="J579">IFERROR(_xlfn.TEXTJOIN(";",1,IF(D579,_xlfn.MAKEARRAY(D579,1,_xlfn.LAMBDA(_xlpm.x,_xlpm.y,K579&amp;"-"&amp;TEXT(_xlpm.x,"00"))),_xlfn.MAP(_xlfn.TEXTSPLIT(E579,{";","；"},,1),_xlfn.LAMBDA(_xlpm.x,K579&amp;"-"&amp;TEXT(_xlpm.x,"00"))))),"")</f>
        <v>7c-5000-fixed-sky-01</v>
      </c>
      <c r="K579" s="29" t="str">
        <f t="shared" si="55"/>
        <v>7c-5000-fixed-sky</v>
      </c>
      <c r="L579" s="5" t="s">
        <v>126</v>
      </c>
      <c r="M579" s="5">
        <v>25.6</v>
      </c>
    </row>
    <row r="581" spans="1:18">
      <c r="A581" s="35">
        <v>42081</v>
      </c>
      <c r="B581" s="5">
        <v>1</v>
      </c>
      <c r="C581" s="34" t="s">
        <v>136</v>
      </c>
      <c r="D581" s="34">
        <v>3</v>
      </c>
      <c r="G581" s="25">
        <v>12</v>
      </c>
      <c r="H581" s="27" t="s">
        <v>427</v>
      </c>
      <c r="J581" s="35" t="str" cm="1">
        <f t="array" ref="J581">IFERROR(_xlfn.TEXTJOIN(";",1,IF(D581,_xlfn.MAKEARRAY(D581,1,_xlfn.LAMBDA(_xlpm.x,_xlpm.y,K581&amp;"-"&amp;TEXT(_xlpm.x,"00"))),_xlfn.MAP(_xlfn.TEXTSPLIT(E581,{";","；"},,1),_xlfn.LAMBDA(_xlpm.x,K581&amp;"-"&amp;TEXT(_xlpm.x,"00"))))),"")</f>
        <v>8a-12-rnd-stone-01;8a-12-rnd-stone-02;8a-12-rnd-stone-03</v>
      </c>
      <c r="K581" s="29" t="str">
        <f t="shared" ref="K581:K601" si="56">_xlfn.TEXTJOIN("-",1,H581:I581,G581,IF(L581="FixedDistance","fixed","rnd"),C581)</f>
        <v>8a-12-rnd-stone</v>
      </c>
      <c r="L581" s="5" t="s">
        <v>123</v>
      </c>
      <c r="N581" s="5" t="s">
        <v>213</v>
      </c>
    </row>
    <row r="582" spans="1:18">
      <c r="A582" s="35">
        <v>42081</v>
      </c>
      <c r="B582" s="5">
        <v>2</v>
      </c>
      <c r="C582" s="34" t="s">
        <v>186</v>
      </c>
      <c r="D582" s="34">
        <v>2</v>
      </c>
      <c r="G582" s="25">
        <v>18</v>
      </c>
      <c r="H582" s="27" t="s">
        <v>427</v>
      </c>
      <c r="J582" s="35" t="str" cm="1">
        <f t="array" ref="J582">IFERROR(_xlfn.TEXTJOIN(";",1,IF(D582,_xlfn.MAKEARRAY(D582,1,_xlfn.LAMBDA(_xlpm.x,_xlpm.y,K582&amp;"-"&amp;TEXT(_xlpm.x,"00"))),_xlfn.MAP(_xlfn.TEXTSPLIT(E582,{";","；"},,1),_xlfn.LAMBDA(_xlpm.x,K582&amp;"-"&amp;TEXT(_xlpm.x,"00"))))),"")</f>
        <v>8a-18-rnd-stick-01;8a-18-rnd-stick-02</v>
      </c>
      <c r="K582" s="29" t="str">
        <f t="shared" si="56"/>
        <v>8a-18-rnd-stick</v>
      </c>
      <c r="L582" s="5" t="s">
        <v>123</v>
      </c>
      <c r="N582" s="5" t="s">
        <v>420</v>
      </c>
    </row>
    <row r="583" spans="1:18">
      <c r="A583" s="35">
        <v>42081</v>
      </c>
      <c r="B583" s="5">
        <v>3</v>
      </c>
      <c r="C583" s="34" t="s">
        <v>136</v>
      </c>
      <c r="D583" s="34">
        <v>3</v>
      </c>
      <c r="G583" s="25">
        <v>30</v>
      </c>
      <c r="H583" s="27" t="s">
        <v>427</v>
      </c>
      <c r="J583" s="35" t="str" cm="1">
        <f t="array" ref="J583">IFERROR(_xlfn.TEXTJOIN(";",1,IF(D583,_xlfn.MAKEARRAY(D583,1,_xlfn.LAMBDA(_xlpm.x,_xlpm.y,K583&amp;"-"&amp;TEXT(_xlpm.x,"00"))),_xlfn.MAP(_xlfn.TEXTSPLIT(E583,{";","；"},,1),_xlfn.LAMBDA(_xlpm.x,K583&amp;"-"&amp;TEXT(_xlpm.x,"00"))))),"")</f>
        <v>8a-30-rnd-stone-01;8a-30-rnd-stone-02;8a-30-rnd-stone-03</v>
      </c>
      <c r="K583" s="29" t="str">
        <f t="shared" si="56"/>
        <v>8a-30-rnd-stone</v>
      </c>
      <c r="L583" s="5" t="s">
        <v>123</v>
      </c>
      <c r="N583" s="5" t="s">
        <v>177</v>
      </c>
    </row>
    <row r="584" spans="1:18">
      <c r="A584" s="35">
        <v>42081</v>
      </c>
      <c r="B584" s="5">
        <v>4</v>
      </c>
      <c r="C584" s="34" t="s">
        <v>384</v>
      </c>
      <c r="D584" s="34">
        <v>3</v>
      </c>
      <c r="G584" s="25">
        <v>32</v>
      </c>
      <c r="H584" s="27" t="s">
        <v>427</v>
      </c>
      <c r="J584" s="35" t="str" cm="1">
        <f t="array" ref="J584">IFERROR(_xlfn.TEXTJOIN(";",1,IF(D584,_xlfn.MAKEARRAY(D584,1,_xlfn.LAMBDA(_xlpm.x,_xlpm.y,K584&amp;"-"&amp;TEXT(_xlpm.x,"00"))),_xlfn.MAP(_xlfn.TEXTSPLIT(E584,{";","；"},,1),_xlfn.LAMBDA(_xlpm.x,K584&amp;"-"&amp;TEXT(_xlpm.x,"00"))))),"")</f>
        <v>8a-32-rnd-land-01;8a-32-rnd-land-02;8a-32-rnd-land-03</v>
      </c>
      <c r="K584" s="29" t="str">
        <f t="shared" si="56"/>
        <v>8a-32-rnd-land</v>
      </c>
      <c r="L584" s="5" t="s">
        <v>123</v>
      </c>
      <c r="N584" s="5" t="s">
        <v>124</v>
      </c>
      <c r="R584" s="5">
        <v>42</v>
      </c>
    </row>
    <row r="585" spans="1:18">
      <c r="A585" s="35">
        <v>42081</v>
      </c>
      <c r="B585" s="5">
        <v>5</v>
      </c>
      <c r="C585" s="34" t="s">
        <v>212</v>
      </c>
      <c r="D585" s="34">
        <v>1</v>
      </c>
      <c r="G585" s="25">
        <v>40</v>
      </c>
      <c r="H585" s="27" t="s">
        <v>427</v>
      </c>
      <c r="J585" s="35" t="str" cm="1">
        <f t="array" ref="J585">IFERROR(_xlfn.TEXTJOIN(";",1,IF(D585,_xlfn.MAKEARRAY(D585,1,_xlfn.LAMBDA(_xlpm.x,_xlpm.y,K585&amp;"-"&amp;TEXT(_xlpm.x,"00"))),_xlfn.MAP(_xlfn.TEXTSPLIT(E585,{";","；"},,1),_xlfn.LAMBDA(_xlpm.x,K585&amp;"-"&amp;TEXT(_xlpm.x,"00"))))),"")</f>
        <v>8a-40-rnd-plant-01</v>
      </c>
      <c r="K585" s="29" t="str">
        <f t="shared" si="56"/>
        <v>8a-40-rnd-plant</v>
      </c>
      <c r="L585" s="5" t="s">
        <v>123</v>
      </c>
      <c r="N585" s="5" t="s">
        <v>428</v>
      </c>
    </row>
    <row r="586" spans="1:18">
      <c r="A586" s="35">
        <v>42081</v>
      </c>
      <c r="B586" s="5">
        <v>6</v>
      </c>
      <c r="C586" s="34" t="s">
        <v>133</v>
      </c>
      <c r="D586" s="34">
        <v>3</v>
      </c>
      <c r="G586" s="25">
        <v>90</v>
      </c>
      <c r="H586" s="27" t="s">
        <v>427</v>
      </c>
      <c r="J586" s="35" t="str" cm="1">
        <f t="array" ref="J586">IFERROR(_xlfn.TEXTJOIN(";",1,IF(D586,_xlfn.MAKEARRAY(D586,1,_xlfn.LAMBDA(_xlpm.x,_xlpm.y,K586&amp;"-"&amp;TEXT(_xlpm.x,"00"))),_xlfn.MAP(_xlfn.TEXTSPLIT(E586,{";","；"},,1),_xlfn.LAMBDA(_xlpm.x,K586&amp;"-"&amp;TEXT(_xlpm.x,"00"))))),"")</f>
        <v>8a-90-rnd-obj-01;8a-90-rnd-obj-02;8a-90-rnd-obj-03</v>
      </c>
      <c r="K586" s="29" t="str">
        <f t="shared" si="56"/>
        <v>8a-90-rnd-obj</v>
      </c>
      <c r="L586" s="5" t="s">
        <v>123</v>
      </c>
      <c r="N586" s="5" t="s">
        <v>157</v>
      </c>
    </row>
    <row r="587" spans="1:18">
      <c r="A587" s="35">
        <v>42081</v>
      </c>
      <c r="B587" s="5">
        <v>7</v>
      </c>
      <c r="C587" s="34" t="s">
        <v>136</v>
      </c>
      <c r="D587" s="34">
        <v>2</v>
      </c>
      <c r="G587" s="25">
        <v>98</v>
      </c>
      <c r="H587" s="27" t="s">
        <v>427</v>
      </c>
      <c r="J587" s="35" t="str" cm="1">
        <f t="array" ref="J587">IFERROR(_xlfn.TEXTJOIN(";",1,IF(D587,_xlfn.MAKEARRAY(D587,1,_xlfn.LAMBDA(_xlpm.x,_xlpm.y,K587&amp;"-"&amp;TEXT(_xlpm.x,"00"))),_xlfn.MAP(_xlfn.TEXTSPLIT(E587,{";","；"},,1),_xlfn.LAMBDA(_xlpm.x,K587&amp;"-"&amp;TEXT(_xlpm.x,"00"))))),"")</f>
        <v>8a-98-rnd-stone-01;8a-98-rnd-stone-02</v>
      </c>
      <c r="K587" s="29" t="str">
        <f t="shared" si="56"/>
        <v>8a-98-rnd-stone</v>
      </c>
      <c r="L587" s="5" t="s">
        <v>123</v>
      </c>
      <c r="N587" s="5" t="s">
        <v>429</v>
      </c>
    </row>
    <row r="588" spans="1:18">
      <c r="A588" s="35">
        <v>42081</v>
      </c>
      <c r="B588" s="5">
        <v>8</v>
      </c>
      <c r="C588" s="34" t="s">
        <v>384</v>
      </c>
      <c r="D588" s="34">
        <v>3</v>
      </c>
      <c r="G588" s="25">
        <v>99</v>
      </c>
      <c r="H588" s="27" t="s">
        <v>427</v>
      </c>
      <c r="J588" s="35" t="str" cm="1">
        <f t="array" ref="J588">IFERROR(_xlfn.TEXTJOIN(";",1,IF(D588,_xlfn.MAKEARRAY(D588,1,_xlfn.LAMBDA(_xlpm.x,_xlpm.y,K588&amp;"-"&amp;TEXT(_xlpm.x,"00"))),_xlfn.MAP(_xlfn.TEXTSPLIT(E588,{";","；"},,1),_xlfn.LAMBDA(_xlpm.x,K588&amp;"-"&amp;TEXT(_xlpm.x,"00"))))),"")</f>
        <v>8a-99-rnd-land-01;8a-99-rnd-land-02;8a-99-rnd-land-03</v>
      </c>
      <c r="K588" s="29" t="str">
        <f t="shared" si="56"/>
        <v>8a-99-rnd-land</v>
      </c>
      <c r="L588" s="5" t="s">
        <v>123</v>
      </c>
      <c r="N588" s="5" t="s">
        <v>341</v>
      </c>
    </row>
    <row r="589" spans="1:18">
      <c r="A589" s="35">
        <v>42081</v>
      </c>
      <c r="B589" s="5">
        <v>9</v>
      </c>
      <c r="C589" s="34" t="s">
        <v>305</v>
      </c>
      <c r="D589" s="34">
        <v>1</v>
      </c>
      <c r="G589" s="25">
        <v>100</v>
      </c>
      <c r="H589" s="27" t="s">
        <v>427</v>
      </c>
      <c r="J589" s="35" t="str" cm="1">
        <f t="array" ref="J589">IFERROR(_xlfn.TEXTJOIN(";",1,IF(D589,_xlfn.MAKEARRAY(D589,1,_xlfn.LAMBDA(_xlpm.x,_xlpm.y,K589&amp;"-"&amp;TEXT(_xlpm.x,"00"))),_xlfn.MAP(_xlfn.TEXTSPLIT(E589,{";","；"},,1),_xlfn.LAMBDA(_xlpm.x,K589&amp;"-"&amp;TEXT(_xlpm.x,"00"))))),"")</f>
        <v>8a-100-fixed-lake-01</v>
      </c>
      <c r="K589" s="29" t="str">
        <f t="shared" si="56"/>
        <v>8a-100-fixed-lake</v>
      </c>
      <c r="L589" s="5" t="s">
        <v>126</v>
      </c>
      <c r="M589" s="5">
        <v>25.6</v>
      </c>
    </row>
    <row r="590" spans="1:18">
      <c r="A590" s="35">
        <v>42081</v>
      </c>
      <c r="B590" s="5">
        <v>10</v>
      </c>
      <c r="C590" s="34" t="s">
        <v>384</v>
      </c>
      <c r="D590" s="34">
        <v>3</v>
      </c>
      <c r="G590" s="25">
        <v>120</v>
      </c>
      <c r="H590" s="27" t="s">
        <v>427</v>
      </c>
      <c r="J590" s="35" t="str" cm="1">
        <f t="array" ref="J590">IFERROR(_xlfn.TEXTJOIN(";",1,IF(D590,_xlfn.MAKEARRAY(D590,1,_xlfn.LAMBDA(_xlpm.x,_xlpm.y,K590&amp;"-"&amp;TEXT(_xlpm.x,"00"))),_xlfn.MAP(_xlfn.TEXTSPLIT(E590,{";","；"},,1),_xlfn.LAMBDA(_xlpm.x,K590&amp;"-"&amp;TEXT(_xlpm.x,"00"))))),"")</f>
        <v>8a-120-rnd-land-01;8a-120-rnd-land-02;8a-120-rnd-land-03</v>
      </c>
      <c r="K590" s="29" t="str">
        <f t="shared" si="56"/>
        <v>8a-120-rnd-land</v>
      </c>
      <c r="L590" s="5" t="s">
        <v>123</v>
      </c>
      <c r="N590" s="5" t="s">
        <v>430</v>
      </c>
      <c r="R590" s="5">
        <v>35</v>
      </c>
    </row>
    <row r="591" spans="1:18">
      <c r="A591" s="35">
        <v>42081</v>
      </c>
      <c r="B591" s="5">
        <v>11</v>
      </c>
      <c r="C591" s="34" t="s">
        <v>125</v>
      </c>
      <c r="D591" s="34">
        <v>1</v>
      </c>
      <c r="G591" s="25">
        <v>150</v>
      </c>
      <c r="H591" s="27" t="s">
        <v>427</v>
      </c>
      <c r="J591" s="35" t="str" cm="1">
        <f t="array" ref="J591">IFERROR(_xlfn.TEXTJOIN(";",1,IF(D591,_xlfn.MAKEARRAY(D591,1,_xlfn.LAMBDA(_xlpm.x,_xlpm.y,K591&amp;"-"&amp;TEXT(_xlpm.x,"00"))),_xlfn.MAP(_xlfn.TEXTSPLIT(E591,{";","；"},,1),_xlfn.LAMBDA(_xlpm.x,K591&amp;"-"&amp;TEXT(_xlpm.x,"00"))))),"")</f>
        <v>8a-150-fixed-atm-01</v>
      </c>
      <c r="K591" s="29" t="str">
        <f t="shared" si="56"/>
        <v>8a-150-fixed-atm</v>
      </c>
      <c r="L591" s="5" t="s">
        <v>126</v>
      </c>
      <c r="M591" s="5">
        <v>25.6</v>
      </c>
    </row>
    <row r="592" spans="1:18">
      <c r="A592" s="35">
        <v>42081</v>
      </c>
      <c r="B592" s="5">
        <v>12</v>
      </c>
      <c r="C592" s="34" t="s">
        <v>136</v>
      </c>
      <c r="D592" s="34">
        <v>3</v>
      </c>
      <c r="G592" s="25">
        <v>200</v>
      </c>
      <c r="H592" s="27" t="s">
        <v>427</v>
      </c>
      <c r="J592" s="35" t="str" cm="1">
        <f t="array" ref="J592">IFERROR(_xlfn.TEXTJOIN(";",1,IF(D592,_xlfn.MAKEARRAY(D592,1,_xlfn.LAMBDA(_xlpm.x,_xlpm.y,K592&amp;"-"&amp;TEXT(_xlpm.x,"00"))),_xlfn.MAP(_xlfn.TEXTSPLIT(E592,{";","；"},,1),_xlfn.LAMBDA(_xlpm.x,K592&amp;"-"&amp;TEXT(_xlpm.x,"00"))))),"")</f>
        <v>8a-200-rnd-stone-01;8a-200-rnd-stone-02;8a-200-rnd-stone-03</v>
      </c>
      <c r="K592" s="29" t="str">
        <f t="shared" si="56"/>
        <v>8a-200-rnd-stone</v>
      </c>
      <c r="L592" s="5" t="s">
        <v>123</v>
      </c>
      <c r="N592" s="5" t="s">
        <v>431</v>
      </c>
      <c r="P592" s="5">
        <v>0.8</v>
      </c>
      <c r="Q592" s="5">
        <v>0.2</v>
      </c>
    </row>
    <row r="593" spans="1:18">
      <c r="A593" s="35">
        <v>42081</v>
      </c>
      <c r="B593" s="5">
        <v>13</v>
      </c>
      <c r="C593" s="34" t="s">
        <v>212</v>
      </c>
      <c r="D593" s="34">
        <v>2</v>
      </c>
      <c r="G593" s="25">
        <v>248</v>
      </c>
      <c r="H593" s="27" t="s">
        <v>427</v>
      </c>
      <c r="J593" s="35" t="str" cm="1">
        <f t="array" ref="J593">IFERROR(_xlfn.TEXTJOIN(";",1,IF(D593,_xlfn.MAKEARRAY(D593,1,_xlfn.LAMBDA(_xlpm.x,_xlpm.y,K593&amp;"-"&amp;TEXT(_xlpm.x,"00"))),_xlfn.MAP(_xlfn.TEXTSPLIT(E593,{";","；"},,1),_xlfn.LAMBDA(_xlpm.x,K593&amp;"-"&amp;TEXT(_xlpm.x,"00"))))),"")</f>
        <v>8a-248-rnd-plant-01;8a-248-rnd-plant-02</v>
      </c>
      <c r="K593" s="29" t="str">
        <f t="shared" ref="K593" si="57">_xlfn.TEXTJOIN("-",1,H593:I593,G593,IF(L593="FixedDistance","fixed","rnd"),C593)</f>
        <v>8a-248-rnd-plant</v>
      </c>
      <c r="L593" s="5" t="s">
        <v>123</v>
      </c>
      <c r="N593" s="5" t="s">
        <v>375</v>
      </c>
    </row>
    <row r="594" spans="1:18">
      <c r="A594" s="35">
        <v>42081</v>
      </c>
      <c r="B594" s="5">
        <v>14</v>
      </c>
      <c r="C594" s="34" t="s">
        <v>136</v>
      </c>
      <c r="D594" s="34">
        <v>2</v>
      </c>
      <c r="G594" s="25">
        <v>249</v>
      </c>
      <c r="H594" s="27" t="s">
        <v>427</v>
      </c>
      <c r="J594" s="35" t="str" cm="1">
        <f t="array" ref="J594">IFERROR(_xlfn.TEXTJOIN(";",1,IF(D594,_xlfn.MAKEARRAY(D594,1,_xlfn.LAMBDA(_xlpm.x,_xlpm.y,K594&amp;"-"&amp;TEXT(_xlpm.x,"00"))),_xlfn.MAP(_xlfn.TEXTSPLIT(E594,{";","；"},,1),_xlfn.LAMBDA(_xlpm.x,K594&amp;"-"&amp;TEXT(_xlpm.x,"00"))))),"")</f>
        <v>8a-249-rnd-stone-01;8a-249-rnd-stone-02</v>
      </c>
      <c r="K594" s="29" t="str">
        <f t="shared" si="56"/>
        <v>8a-249-rnd-stone</v>
      </c>
      <c r="L594" s="5" t="s">
        <v>123</v>
      </c>
      <c r="N594" s="5" t="s">
        <v>432</v>
      </c>
    </row>
    <row r="595" spans="1:18">
      <c r="A595" s="35">
        <v>42081</v>
      </c>
      <c r="B595" s="5">
        <v>15</v>
      </c>
      <c r="C595" s="34" t="s">
        <v>305</v>
      </c>
      <c r="D595" s="34">
        <v>1</v>
      </c>
      <c r="G595" s="25">
        <v>250</v>
      </c>
      <c r="H595" s="27" t="s">
        <v>427</v>
      </c>
      <c r="J595" s="35" t="str" cm="1">
        <f t="array" ref="J595">IFERROR(_xlfn.TEXTJOIN(";",1,IF(D595,_xlfn.MAKEARRAY(D595,1,_xlfn.LAMBDA(_xlpm.x,_xlpm.y,K595&amp;"-"&amp;TEXT(_xlpm.x,"00"))),_xlfn.MAP(_xlfn.TEXTSPLIT(E595,{";","；"},,1),_xlfn.LAMBDA(_xlpm.x,K595&amp;"-"&amp;TEXT(_xlpm.x,"00"))))),"")</f>
        <v>8a-250-fixed-lake-01</v>
      </c>
      <c r="K595" s="29" t="str">
        <f t="shared" si="56"/>
        <v>8a-250-fixed-lake</v>
      </c>
      <c r="L595" s="5" t="s">
        <v>126</v>
      </c>
      <c r="M595" s="5">
        <v>25.6</v>
      </c>
    </row>
    <row r="596" spans="1:18">
      <c r="A596" s="35">
        <v>42081</v>
      </c>
      <c r="B596" s="5">
        <v>16</v>
      </c>
      <c r="C596" s="34" t="s">
        <v>131</v>
      </c>
      <c r="D596" s="34">
        <v>2</v>
      </c>
      <c r="G596" s="25">
        <v>300</v>
      </c>
      <c r="H596" s="27" t="s">
        <v>427</v>
      </c>
      <c r="J596" s="35" t="str" cm="1">
        <f t="array" ref="J596">IFERROR(_xlfn.TEXTJOIN(";",1,IF(D596,_xlfn.MAKEARRAY(D596,1,_xlfn.LAMBDA(_xlpm.x,_xlpm.y,K596&amp;"-"&amp;TEXT(_xlpm.x,"00"))),_xlfn.MAP(_xlfn.TEXTSPLIT(E596,{";","；"},,1),_xlfn.LAMBDA(_xlpm.x,K596&amp;"-"&amp;TEXT(_xlpm.x,"00"))))),"")</f>
        <v>8a-300-rnd-cloud-01;8a-300-rnd-cloud-02</v>
      </c>
      <c r="K596" s="29" t="str">
        <f t="shared" si="56"/>
        <v>8a-300-rnd-cloud</v>
      </c>
      <c r="L596" s="5" t="s">
        <v>123</v>
      </c>
      <c r="N596" s="5" t="s">
        <v>341</v>
      </c>
    </row>
    <row r="597" spans="1:18">
      <c r="A597" s="35">
        <v>42081</v>
      </c>
      <c r="B597" s="5">
        <v>17</v>
      </c>
      <c r="C597" s="34" t="s">
        <v>125</v>
      </c>
      <c r="D597" s="34">
        <v>1</v>
      </c>
      <c r="G597" s="25">
        <v>310</v>
      </c>
      <c r="H597" s="27" t="s">
        <v>427</v>
      </c>
      <c r="J597" s="35" t="str" cm="1">
        <f t="array" ref="J597">IFERROR(_xlfn.TEXTJOIN(";",1,IF(D597,_xlfn.MAKEARRAY(D597,1,_xlfn.LAMBDA(_xlpm.x,_xlpm.y,K597&amp;"-"&amp;TEXT(_xlpm.x,"00"))),_xlfn.MAP(_xlfn.TEXTSPLIT(E597,{";","；"},,1),_xlfn.LAMBDA(_xlpm.x,K597&amp;"-"&amp;TEXT(_xlpm.x,"00"))))),"")</f>
        <v>8a-310-fixed-atm-01</v>
      </c>
      <c r="K597" s="29" t="str">
        <f t="shared" si="56"/>
        <v>8a-310-fixed-atm</v>
      </c>
      <c r="L597" s="5" t="s">
        <v>126</v>
      </c>
      <c r="M597" s="5">
        <v>25.6</v>
      </c>
    </row>
    <row r="598" spans="1:18">
      <c r="A598" s="35">
        <v>42081</v>
      </c>
      <c r="B598" s="5">
        <v>18</v>
      </c>
      <c r="C598" s="34" t="s">
        <v>136</v>
      </c>
      <c r="D598" s="34">
        <v>3</v>
      </c>
      <c r="G598" s="25">
        <v>650</v>
      </c>
      <c r="H598" s="27" t="s">
        <v>427</v>
      </c>
      <c r="J598" s="35" t="str" cm="1">
        <f t="array" ref="J598">IFERROR(_xlfn.TEXTJOIN(";",1,IF(D598,_xlfn.MAKEARRAY(D598,1,_xlfn.LAMBDA(_xlpm.x,_xlpm.y,K598&amp;"-"&amp;TEXT(_xlpm.x,"00"))),_xlfn.MAP(_xlfn.TEXTSPLIT(E598,{";","；"},,1),_xlfn.LAMBDA(_xlpm.x,K598&amp;"-"&amp;TEXT(_xlpm.x,"00"))))),"")</f>
        <v>8a-650-rnd-stone-01;8a-650-rnd-stone-02;8a-650-rnd-stone-03</v>
      </c>
      <c r="K598" s="29" t="str">
        <f t="shared" si="56"/>
        <v>8a-650-rnd-stone</v>
      </c>
      <c r="L598" s="5" t="s">
        <v>123</v>
      </c>
      <c r="N598" s="5" t="s">
        <v>375</v>
      </c>
      <c r="P598" s="5">
        <v>0.8</v>
      </c>
      <c r="Q598" s="5">
        <v>0.2</v>
      </c>
    </row>
    <row r="599" spans="1:18">
      <c r="A599" s="35">
        <v>42081</v>
      </c>
      <c r="B599" s="5">
        <v>19</v>
      </c>
      <c r="C599" s="34" t="s">
        <v>131</v>
      </c>
      <c r="D599" s="34">
        <v>3</v>
      </c>
      <c r="G599" s="25">
        <v>800</v>
      </c>
      <c r="H599" s="27" t="s">
        <v>427</v>
      </c>
      <c r="J599" s="35" t="str" cm="1">
        <f t="array" ref="J599">IFERROR(_xlfn.TEXTJOIN(";",1,IF(D599,_xlfn.MAKEARRAY(D599,1,_xlfn.LAMBDA(_xlpm.x,_xlpm.y,K599&amp;"-"&amp;TEXT(_xlpm.x,"00"))),_xlfn.MAP(_xlfn.TEXTSPLIT(E599,{";","；"},,1),_xlfn.LAMBDA(_xlpm.x,K599&amp;"-"&amp;TEXT(_xlpm.x,"00"))))),"")</f>
        <v>8a-800-rnd-cloud-01;8a-800-rnd-cloud-02;8a-800-rnd-cloud-03</v>
      </c>
      <c r="K599" s="29" t="str">
        <f t="shared" si="56"/>
        <v>8a-800-rnd-cloud</v>
      </c>
      <c r="L599" s="5" t="s">
        <v>123</v>
      </c>
      <c r="N599" s="5" t="s">
        <v>141</v>
      </c>
      <c r="R599" s="5">
        <v>40</v>
      </c>
    </row>
    <row r="600" spans="1:18">
      <c r="A600" s="35">
        <v>42081</v>
      </c>
      <c r="B600" s="5">
        <v>20</v>
      </c>
      <c r="C600" s="34" t="s">
        <v>130</v>
      </c>
      <c r="D600" s="34">
        <v>1</v>
      </c>
      <c r="G600" s="25">
        <v>1250</v>
      </c>
      <c r="H600" s="27" t="s">
        <v>427</v>
      </c>
      <c r="J600" s="35" t="str" cm="1">
        <f t="array" ref="J600">IFERROR(_xlfn.TEXTJOIN(";",1,IF(D600,_xlfn.MAKEARRAY(D600,1,_xlfn.LAMBDA(_xlpm.x,_xlpm.y,K600&amp;"-"&amp;TEXT(_xlpm.x,"00"))),_xlfn.MAP(_xlfn.TEXTSPLIT(E600,{";","；"},,1),_xlfn.LAMBDA(_xlpm.x,K600&amp;"-"&amp;TEXT(_xlpm.x,"00"))))),"")</f>
        <v>8a-1250-fixed-mountain-01</v>
      </c>
      <c r="K600" s="29" t="str">
        <f t="shared" si="56"/>
        <v>8a-1250-fixed-mountain</v>
      </c>
      <c r="L600" s="5" t="s">
        <v>126</v>
      </c>
      <c r="M600" s="5">
        <v>32</v>
      </c>
    </row>
    <row r="601" spans="1:18">
      <c r="A601" s="35">
        <v>42081</v>
      </c>
      <c r="B601" s="5">
        <v>21</v>
      </c>
      <c r="C601" s="34" t="s">
        <v>130</v>
      </c>
      <c r="D601" s="34">
        <v>2</v>
      </c>
      <c r="G601" s="25">
        <v>1600</v>
      </c>
      <c r="H601" s="27" t="s">
        <v>427</v>
      </c>
      <c r="J601" s="35" t="str" cm="1">
        <f t="array" ref="J601">IFERROR(_xlfn.TEXTJOIN(";",1,IF(D601,_xlfn.MAKEARRAY(D601,1,_xlfn.LAMBDA(_xlpm.x,_xlpm.y,K601&amp;"-"&amp;TEXT(_xlpm.x,"00"))),_xlfn.MAP(_xlfn.TEXTSPLIT(E601,{";","；"},,1),_xlfn.LAMBDA(_xlpm.x,K601&amp;"-"&amp;TEXT(_xlpm.x,"00"))))),"")</f>
        <v>8a-1600-rnd-mountain-01;8a-1600-rnd-mountain-02</v>
      </c>
      <c r="K601" s="29" t="str">
        <f t="shared" si="56"/>
        <v>8a-1600-rnd-mountain</v>
      </c>
      <c r="L601" s="5" t="s">
        <v>123</v>
      </c>
      <c r="N601" s="5" t="s">
        <v>340</v>
      </c>
    </row>
    <row r="602" spans="1:18">
      <c r="A602" s="35">
        <v>42081</v>
      </c>
      <c r="B602" s="5">
        <v>22</v>
      </c>
      <c r="C602" s="34" t="s">
        <v>132</v>
      </c>
      <c r="D602" s="34">
        <v>1</v>
      </c>
      <c r="G602" s="25">
        <v>5000</v>
      </c>
      <c r="H602" s="27" t="s">
        <v>427</v>
      </c>
      <c r="J602" s="35" t="str" cm="1">
        <f t="array" ref="J602">IFERROR(_xlfn.TEXTJOIN(";",1,IF(D602,_xlfn.MAKEARRAY(D602,1,_xlfn.LAMBDA(_xlpm.x,_xlpm.y,K602&amp;"-"&amp;TEXT(_xlpm.x,"00"))),_xlfn.MAP(_xlfn.TEXTSPLIT(E602,{";","；"},,1),_xlfn.LAMBDA(_xlpm.x,K602&amp;"-"&amp;TEXT(_xlpm.x,"00"))))),"")</f>
        <v>8a-5000-fixed-sky-01</v>
      </c>
      <c r="K602" s="29" t="str">
        <f t="shared" ref="K602" si="58">_xlfn.TEXTJOIN("-",1,H602:I602,G602,IF(L602="FixedDistance","fixed","rnd"),C602)</f>
        <v>8a-5000-fixed-sky</v>
      </c>
      <c r="L602" s="5" t="s">
        <v>126</v>
      </c>
      <c r="M602" s="5">
        <v>25.6</v>
      </c>
    </row>
    <row r="604" spans="1:18">
      <c r="A604" s="35">
        <v>42082</v>
      </c>
      <c r="B604" s="5">
        <v>1</v>
      </c>
      <c r="C604" s="34" t="s">
        <v>133</v>
      </c>
      <c r="D604" s="34">
        <v>2</v>
      </c>
      <c r="G604" s="25">
        <v>18</v>
      </c>
      <c r="H604" s="27" t="s">
        <v>433</v>
      </c>
      <c r="J604" s="35" t="str" cm="1">
        <f t="array" ref="J604">IFERROR(_xlfn.TEXTJOIN(";",1,IF(D604,_xlfn.MAKEARRAY(D604,1,_xlfn.LAMBDA(_xlpm.x,_xlpm.y,K604&amp;"-"&amp;TEXT(_xlpm.x,"00"))),_xlfn.MAP(_xlfn.TEXTSPLIT(E604,{";","；"},,1),_xlfn.LAMBDA(_xlpm.x,K604&amp;"-"&amp;TEXT(_xlpm.x,"00"))))),"")</f>
        <v>8b-18-rnd-obj-01;8b-18-rnd-obj-02</v>
      </c>
      <c r="K604" s="29" t="str">
        <f t="shared" ref="K604:K605" si="59">_xlfn.TEXTJOIN("-",1,H604:I604,G604,IF(L604="FixedDistance","fixed","rnd"),C604)</f>
        <v>8b-18-rnd-obj</v>
      </c>
      <c r="L604" s="5" t="s">
        <v>123</v>
      </c>
      <c r="N604" s="5" t="s">
        <v>213</v>
      </c>
    </row>
    <row r="605" spans="1:18">
      <c r="A605" s="35">
        <v>42082</v>
      </c>
      <c r="B605" s="5">
        <v>2</v>
      </c>
      <c r="C605" s="34" t="s">
        <v>136</v>
      </c>
      <c r="D605" s="34">
        <v>3</v>
      </c>
      <c r="G605" s="25">
        <v>30</v>
      </c>
      <c r="H605" s="27" t="s">
        <v>433</v>
      </c>
      <c r="J605" s="35" t="str" cm="1">
        <f t="array" ref="J605">IFERROR(_xlfn.TEXTJOIN(";",1,IF(D605,_xlfn.MAKEARRAY(D605,1,_xlfn.LAMBDA(_xlpm.x,_xlpm.y,K605&amp;"-"&amp;TEXT(_xlpm.x,"00"))),_xlfn.MAP(_xlfn.TEXTSPLIT(E605,{";","；"},,1),_xlfn.LAMBDA(_xlpm.x,K605&amp;"-"&amp;TEXT(_xlpm.x,"00"))))),"")</f>
        <v>8b-30-rnd-stone-01;8b-30-rnd-stone-02;8b-30-rnd-stone-03</v>
      </c>
      <c r="K605" s="29" t="str">
        <f t="shared" si="59"/>
        <v>8b-30-rnd-stone</v>
      </c>
      <c r="L605" s="5" t="s">
        <v>123</v>
      </c>
      <c r="N605" s="5" t="s">
        <v>434</v>
      </c>
    </row>
    <row r="606" spans="1:18">
      <c r="A606" s="35">
        <v>42082</v>
      </c>
      <c r="B606" s="5">
        <v>3</v>
      </c>
      <c r="C606" s="34" t="s">
        <v>133</v>
      </c>
      <c r="D606" s="34">
        <v>2</v>
      </c>
      <c r="G606" s="25">
        <v>48</v>
      </c>
      <c r="H606" s="27" t="s">
        <v>433</v>
      </c>
      <c r="J606" s="35" t="str" cm="1">
        <f t="array" ref="J606">IFERROR(_xlfn.TEXTJOIN(";",1,IF(D606,_xlfn.MAKEARRAY(D606,1,_xlfn.LAMBDA(_xlpm.x,_xlpm.y,K606&amp;"-"&amp;TEXT(_xlpm.x,"00"))),_xlfn.MAP(_xlfn.TEXTSPLIT(E606,{";","；"},,1),_xlfn.LAMBDA(_xlpm.x,K606&amp;"-"&amp;TEXT(_xlpm.x,"00"))))),"")</f>
        <v>8b-48-rnd-obj-01;8b-48-rnd-obj-02</v>
      </c>
      <c r="K606" s="29" t="str">
        <f t="shared" ref="K606:K618" si="60">_xlfn.TEXTJOIN("-",1,H606:I606,G606,IF(L606="FixedDistance","fixed","rnd"),C606)</f>
        <v>8b-48-rnd-obj</v>
      </c>
      <c r="L606" s="5" t="s">
        <v>123</v>
      </c>
      <c r="N606" s="5" t="s">
        <v>386</v>
      </c>
    </row>
    <row r="607" spans="1:18">
      <c r="A607" s="35">
        <v>42082</v>
      </c>
      <c r="B607" s="5">
        <v>4</v>
      </c>
      <c r="C607" s="34" t="s">
        <v>133</v>
      </c>
      <c r="D607" s="34">
        <v>1</v>
      </c>
      <c r="G607" s="25">
        <v>49</v>
      </c>
      <c r="H607" s="27" t="s">
        <v>433</v>
      </c>
      <c r="J607" s="35" t="str" cm="1">
        <f t="array" ref="J607">IFERROR(_xlfn.TEXTJOIN(";",1,IF(D607,_xlfn.MAKEARRAY(D607,1,_xlfn.LAMBDA(_xlpm.x,_xlpm.y,K607&amp;"-"&amp;TEXT(_xlpm.x,"00"))),_xlfn.MAP(_xlfn.TEXTSPLIT(E607,{";","；"},,1),_xlfn.LAMBDA(_xlpm.x,K607&amp;"-"&amp;TEXT(_xlpm.x,"00"))))),"")</f>
        <v>8b-49-rnd-obj-01</v>
      </c>
      <c r="K607" s="29" t="str">
        <f t="shared" si="60"/>
        <v>8b-49-rnd-obj</v>
      </c>
      <c r="L607" s="5" t="s">
        <v>123</v>
      </c>
      <c r="N607" s="5" t="s">
        <v>435</v>
      </c>
    </row>
    <row r="608" spans="1:18">
      <c r="A608" s="35">
        <v>42082</v>
      </c>
      <c r="B608" s="5">
        <v>5</v>
      </c>
      <c r="C608" s="34" t="s">
        <v>305</v>
      </c>
      <c r="D608" s="34">
        <v>1</v>
      </c>
      <c r="G608" s="25">
        <v>50</v>
      </c>
      <c r="H608" s="27" t="s">
        <v>433</v>
      </c>
      <c r="J608" s="35" t="str" cm="1">
        <f t="array" ref="J608">IFERROR(_xlfn.TEXTJOIN(";",1,IF(D608,_xlfn.MAKEARRAY(D608,1,_xlfn.LAMBDA(_xlpm.x,_xlpm.y,K608&amp;"-"&amp;TEXT(_xlpm.x,"00"))),_xlfn.MAP(_xlfn.TEXTSPLIT(E608,{";","；"},,1),_xlfn.LAMBDA(_xlpm.x,K608&amp;"-"&amp;TEXT(_xlpm.x,"00"))))),"")</f>
        <v>8b-50-fixed-lake-01</v>
      </c>
      <c r="K608" s="29" t="str">
        <f t="shared" si="60"/>
        <v>8b-50-fixed-lake</v>
      </c>
      <c r="L608" s="5" t="s">
        <v>126</v>
      </c>
      <c r="M608" s="5">
        <v>39.479999999999997</v>
      </c>
    </row>
    <row r="609" spans="1:18">
      <c r="A609" s="35">
        <v>42082</v>
      </c>
      <c r="B609" s="5">
        <v>6</v>
      </c>
      <c r="C609" s="34" t="s">
        <v>136</v>
      </c>
      <c r="D609" s="34">
        <v>2</v>
      </c>
      <c r="G609" s="25">
        <v>100</v>
      </c>
      <c r="H609" s="27" t="s">
        <v>433</v>
      </c>
      <c r="J609" s="35" t="str" cm="1">
        <f t="array" ref="J609">IFERROR(_xlfn.TEXTJOIN(";",1,IF(D609,_xlfn.MAKEARRAY(D609,1,_xlfn.LAMBDA(_xlpm.x,_xlpm.y,K609&amp;"-"&amp;TEXT(_xlpm.x,"00"))),_xlfn.MAP(_xlfn.TEXTSPLIT(E609,{";","；"},,1),_xlfn.LAMBDA(_xlpm.x,K609&amp;"-"&amp;TEXT(_xlpm.x,"00"))))),"")</f>
        <v>8b-100-rnd-stone-01;8b-100-rnd-stone-02</v>
      </c>
      <c r="K609" s="29" t="str">
        <f t="shared" ref="K609" si="61">_xlfn.TEXTJOIN("-",1,H609:I609,G609,IF(L609="FixedDistance","fixed","rnd"),C609)</f>
        <v>8b-100-rnd-stone</v>
      </c>
      <c r="L609" s="5" t="s">
        <v>123</v>
      </c>
      <c r="N609" s="5" t="s">
        <v>436</v>
      </c>
    </row>
    <row r="610" spans="1:18">
      <c r="A610" s="35">
        <v>42082</v>
      </c>
      <c r="B610" s="5">
        <v>7</v>
      </c>
      <c r="C610" s="34" t="s">
        <v>136</v>
      </c>
      <c r="D610" s="34">
        <v>2</v>
      </c>
      <c r="G610" s="25">
        <v>120</v>
      </c>
      <c r="H610" s="27" t="s">
        <v>433</v>
      </c>
      <c r="J610" s="35" t="str" cm="1">
        <f t="array" ref="J610">IFERROR(_xlfn.TEXTJOIN(";",1,IF(D610,_xlfn.MAKEARRAY(D610,1,_xlfn.LAMBDA(_xlpm.x,_xlpm.y,K610&amp;"-"&amp;TEXT(_xlpm.x,"00"))),_xlfn.MAP(_xlfn.TEXTSPLIT(E610,{";","；"},,1),_xlfn.LAMBDA(_xlpm.x,K610&amp;"-"&amp;TEXT(_xlpm.x,"00"))))),"")</f>
        <v>8b-120-rnd-stone-01;8b-120-rnd-stone-02</v>
      </c>
      <c r="K610" s="29" t="str">
        <f t="shared" si="60"/>
        <v>8b-120-rnd-stone</v>
      </c>
      <c r="L610" s="5" t="s">
        <v>123</v>
      </c>
      <c r="N610" s="5" t="s">
        <v>437</v>
      </c>
      <c r="R610" s="5">
        <v>40</v>
      </c>
    </row>
    <row r="611" spans="1:18">
      <c r="A611" s="35">
        <v>42082</v>
      </c>
      <c r="B611" s="5">
        <v>8</v>
      </c>
      <c r="C611" s="34" t="s">
        <v>305</v>
      </c>
      <c r="D611" s="34">
        <v>1</v>
      </c>
      <c r="G611" s="25">
        <v>150</v>
      </c>
      <c r="H611" s="27" t="s">
        <v>433</v>
      </c>
      <c r="J611" s="35" t="str" cm="1">
        <f t="array" ref="J611">IFERROR(_xlfn.TEXTJOIN(";",1,IF(D611,_xlfn.MAKEARRAY(D611,1,_xlfn.LAMBDA(_xlpm.x,_xlpm.y,K611&amp;"-"&amp;TEXT(_xlpm.x,"00"))),_xlfn.MAP(_xlfn.TEXTSPLIT(E611,{";","；"},,1),_xlfn.LAMBDA(_xlpm.x,K611&amp;"-"&amp;TEXT(_xlpm.x,"00"))))),"")</f>
        <v>8b-150-fixed-lake-01</v>
      </c>
      <c r="K611" s="29" t="str">
        <f t="shared" si="60"/>
        <v>8b-150-fixed-lake</v>
      </c>
      <c r="L611" s="5" t="s">
        <v>126</v>
      </c>
      <c r="M611" s="5">
        <v>44.6</v>
      </c>
    </row>
    <row r="612" spans="1:18">
      <c r="A612" s="35">
        <v>42082</v>
      </c>
      <c r="B612" s="5">
        <v>9</v>
      </c>
      <c r="C612" s="34" t="s">
        <v>125</v>
      </c>
      <c r="D612" s="34">
        <v>1</v>
      </c>
      <c r="G612" s="25">
        <v>152</v>
      </c>
      <c r="H612" s="27" t="s">
        <v>433</v>
      </c>
      <c r="J612" s="35" t="str" cm="1">
        <f t="array" ref="J612">IFERROR(_xlfn.TEXTJOIN(";",1,IF(D612,_xlfn.MAKEARRAY(D612,1,_xlfn.LAMBDA(_xlpm.x,_xlpm.y,K612&amp;"-"&amp;TEXT(_xlpm.x,"00"))),_xlfn.MAP(_xlfn.TEXTSPLIT(E612,{";","；"},,1),_xlfn.LAMBDA(_xlpm.x,K612&amp;"-"&amp;TEXT(_xlpm.x,"00"))))),"")</f>
        <v>8b-152-fixed-atm-01</v>
      </c>
      <c r="K612" s="29" t="str">
        <f t="shared" si="60"/>
        <v>8b-152-fixed-atm</v>
      </c>
      <c r="L612" s="5" t="s">
        <v>126</v>
      </c>
      <c r="M612" s="5">
        <v>25.6</v>
      </c>
    </row>
    <row r="613" spans="1:18">
      <c r="A613" s="35">
        <v>42082</v>
      </c>
      <c r="B613" s="5">
        <v>10</v>
      </c>
      <c r="C613" s="34" t="s">
        <v>136</v>
      </c>
      <c r="D613" s="34">
        <v>2</v>
      </c>
      <c r="G613" s="25">
        <v>320</v>
      </c>
      <c r="H613" s="27" t="s">
        <v>433</v>
      </c>
      <c r="J613" s="35" t="str" cm="1">
        <f t="array" ref="J613">IFERROR(_xlfn.TEXTJOIN(";",1,IF(D613,_xlfn.MAKEARRAY(D613,1,_xlfn.LAMBDA(_xlpm.x,_xlpm.y,K613&amp;"-"&amp;TEXT(_xlpm.x,"00"))),_xlfn.MAP(_xlfn.TEXTSPLIT(E613,{";","；"},,1),_xlfn.LAMBDA(_xlpm.x,K613&amp;"-"&amp;TEXT(_xlpm.x,"00"))))),"")</f>
        <v>8b-320-rnd-stone-01;8b-320-rnd-stone-02</v>
      </c>
      <c r="K613" s="29" t="str">
        <f t="shared" si="60"/>
        <v>8b-320-rnd-stone</v>
      </c>
      <c r="L613" s="5" t="s">
        <v>123</v>
      </c>
      <c r="N613" s="5" t="s">
        <v>341</v>
      </c>
    </row>
    <row r="614" spans="1:18">
      <c r="A614" s="35">
        <v>42082</v>
      </c>
      <c r="B614" s="5">
        <v>11</v>
      </c>
      <c r="C614" s="34" t="s">
        <v>136</v>
      </c>
      <c r="D614" s="34">
        <v>3</v>
      </c>
      <c r="G614" s="25">
        <v>450</v>
      </c>
      <c r="H614" s="27" t="s">
        <v>433</v>
      </c>
      <c r="J614" s="35" t="str" cm="1">
        <f t="array" ref="J614">IFERROR(_xlfn.TEXTJOIN(";",1,IF(D614,_xlfn.MAKEARRAY(D614,1,_xlfn.LAMBDA(_xlpm.x,_xlpm.y,K614&amp;"-"&amp;TEXT(_xlpm.x,"00"))),_xlfn.MAP(_xlfn.TEXTSPLIT(E614,{";","；"},,1),_xlfn.LAMBDA(_xlpm.x,K614&amp;"-"&amp;TEXT(_xlpm.x,"00"))))),"")</f>
        <v>8b-450-rnd-stone-01;8b-450-rnd-stone-02;8b-450-rnd-stone-03</v>
      </c>
      <c r="K614" s="29" t="str">
        <f t="shared" si="60"/>
        <v>8b-450-rnd-stone</v>
      </c>
      <c r="L614" s="5" t="s">
        <v>123</v>
      </c>
      <c r="N614" s="5" t="s">
        <v>438</v>
      </c>
    </row>
    <row r="615" spans="1:18">
      <c r="A615" s="35">
        <v>42082</v>
      </c>
      <c r="B615" s="5">
        <v>12</v>
      </c>
      <c r="C615" s="34" t="s">
        <v>305</v>
      </c>
      <c r="D615" s="34">
        <v>1</v>
      </c>
      <c r="G615" s="25">
        <v>570</v>
      </c>
      <c r="H615" s="27" t="s">
        <v>433</v>
      </c>
      <c r="J615" s="35" t="str" cm="1">
        <f t="array" ref="J615">IFERROR(_xlfn.TEXTJOIN(";",1,IF(D615,_xlfn.MAKEARRAY(D615,1,_xlfn.LAMBDA(_xlpm.x,_xlpm.y,K615&amp;"-"&amp;TEXT(_xlpm.x,"00"))),_xlfn.MAP(_xlfn.TEXTSPLIT(E615,{";","；"},,1),_xlfn.LAMBDA(_xlpm.x,K615&amp;"-"&amp;TEXT(_xlpm.x,"00"))))),"")</f>
        <v>8b-570-fixed-lake-01</v>
      </c>
      <c r="K615" s="29" t="str">
        <f t="shared" si="60"/>
        <v>8b-570-fixed-lake</v>
      </c>
      <c r="L615" s="5" t="s">
        <v>126</v>
      </c>
      <c r="M615" s="5">
        <v>25.6</v>
      </c>
    </row>
    <row r="616" spans="1:18">
      <c r="A616" s="35">
        <v>42082</v>
      </c>
      <c r="B616" s="5">
        <v>13</v>
      </c>
      <c r="C616" s="34" t="s">
        <v>131</v>
      </c>
      <c r="D616" s="34">
        <v>2</v>
      </c>
      <c r="G616" s="25">
        <v>600</v>
      </c>
      <c r="H616" s="27" t="s">
        <v>433</v>
      </c>
      <c r="J616" s="35" t="str" cm="1">
        <f t="array" ref="J616">IFERROR(_xlfn.TEXTJOIN(";",1,IF(D616,_xlfn.MAKEARRAY(D616,1,_xlfn.LAMBDA(_xlpm.x,_xlpm.y,K616&amp;"-"&amp;TEXT(_xlpm.x,"00"))),_xlfn.MAP(_xlfn.TEXTSPLIT(E616,{";","；"},,1),_xlfn.LAMBDA(_xlpm.x,K616&amp;"-"&amp;TEXT(_xlpm.x,"00"))))),"")</f>
        <v>8b-600-rnd-cloud-01;8b-600-rnd-cloud-02</v>
      </c>
      <c r="K616" s="29" t="str">
        <f t="shared" si="60"/>
        <v>8b-600-rnd-cloud</v>
      </c>
      <c r="L616" s="5" t="s">
        <v>123</v>
      </c>
      <c r="N616" s="5" t="s">
        <v>420</v>
      </c>
      <c r="R616" s="5">
        <v>35</v>
      </c>
    </row>
    <row r="617" spans="1:18">
      <c r="A617" s="35">
        <v>42082</v>
      </c>
      <c r="B617" s="5">
        <v>14</v>
      </c>
      <c r="C617" s="34" t="s">
        <v>136</v>
      </c>
      <c r="D617" s="34">
        <v>2</v>
      </c>
      <c r="G617" s="25">
        <v>800</v>
      </c>
      <c r="H617" s="27" t="s">
        <v>433</v>
      </c>
      <c r="J617" s="35" t="str" cm="1">
        <f t="array" ref="J617">IFERROR(_xlfn.TEXTJOIN(";",1,IF(D617,_xlfn.MAKEARRAY(D617,1,_xlfn.LAMBDA(_xlpm.x,_xlpm.y,K617&amp;"-"&amp;TEXT(_xlpm.x,"00"))),_xlfn.MAP(_xlfn.TEXTSPLIT(E617,{";","；"},,1),_xlfn.LAMBDA(_xlpm.x,K617&amp;"-"&amp;TEXT(_xlpm.x,"00"))))),"")</f>
        <v>8b-800-rnd-stone-01;8b-800-rnd-stone-02</v>
      </c>
      <c r="K617" s="29" t="str">
        <f t="shared" si="60"/>
        <v>8b-800-rnd-stone</v>
      </c>
      <c r="L617" s="5" t="s">
        <v>123</v>
      </c>
      <c r="N617" s="5" t="s">
        <v>439</v>
      </c>
      <c r="R617" s="5">
        <v>35</v>
      </c>
    </row>
    <row r="618" spans="1:18">
      <c r="A618" s="35">
        <v>42082</v>
      </c>
      <c r="B618" s="5">
        <v>15</v>
      </c>
      <c r="C618" s="34" t="s">
        <v>132</v>
      </c>
      <c r="D618" s="34">
        <v>1</v>
      </c>
      <c r="G618" s="25">
        <v>2000</v>
      </c>
      <c r="H618" s="27" t="s">
        <v>433</v>
      </c>
      <c r="J618" s="35" t="str" cm="1">
        <f t="array" ref="J618">IFERROR(_xlfn.TEXTJOIN(";",1,IF(D618,_xlfn.MAKEARRAY(D618,1,_xlfn.LAMBDA(_xlpm.x,_xlpm.y,K618&amp;"-"&amp;TEXT(_xlpm.x,"00"))),_xlfn.MAP(_xlfn.TEXTSPLIT(E618,{";","；"},,1),_xlfn.LAMBDA(_xlpm.x,K618&amp;"-"&amp;TEXT(_xlpm.x,"00"))))),"")</f>
        <v>8b-2000-fixed-sky-01</v>
      </c>
      <c r="K618" s="29" t="str">
        <f t="shared" si="60"/>
        <v>8b-2000-fixed-sky</v>
      </c>
      <c r="L618" s="5" t="s">
        <v>126</v>
      </c>
      <c r="M618" s="5">
        <v>25.6</v>
      </c>
    </row>
    <row r="619" spans="1:18">
      <c r="A619" s="5"/>
      <c r="C619" s="34"/>
      <c r="D619" s="34"/>
      <c r="J619" s="35"/>
    </row>
    <row r="620" spans="1:18">
      <c r="A620" s="35">
        <v>42083</v>
      </c>
      <c r="B620" s="5">
        <v>1</v>
      </c>
      <c r="C620" s="34" t="s">
        <v>128</v>
      </c>
      <c r="D620" s="34">
        <v>3</v>
      </c>
      <c r="G620" s="25">
        <v>25</v>
      </c>
      <c r="H620" s="27" t="s">
        <v>440</v>
      </c>
      <c r="J620" s="35" t="str" cm="1">
        <f t="array" ref="J620">IFERROR(_xlfn.TEXTJOIN(";",1,IF(D620,_xlfn.MAKEARRAY(D620,1,_xlfn.LAMBDA(_xlpm.x,_xlpm.y,K620&amp;"-"&amp;TEXT(_xlpm.x,"00"))),_xlfn.MAP(_xlfn.TEXTSPLIT(E620,{";","；"},,1),_xlfn.LAMBDA(_xlpm.x,K620&amp;"-"&amp;TEXT(_xlpm.x,"00"))))),"")</f>
        <v>8c-25-rnd-tree-01;8c-25-rnd-tree-02;8c-25-rnd-tree-03</v>
      </c>
      <c r="K620" s="29" t="str">
        <f t="shared" ref="K620:K633" si="62">_xlfn.TEXTJOIN("-",1,H620:I620,G620,IF(L620="FixedDistance","fixed","rnd"),C620)</f>
        <v>8c-25-rnd-tree</v>
      </c>
      <c r="L620" s="5" t="s">
        <v>123</v>
      </c>
      <c r="N620" s="5" t="s">
        <v>251</v>
      </c>
    </row>
    <row r="621" spans="1:18">
      <c r="A621" s="35">
        <v>42083</v>
      </c>
      <c r="B621" s="5">
        <v>2</v>
      </c>
      <c r="C621" s="34" t="s">
        <v>136</v>
      </c>
      <c r="D621" s="34">
        <v>2</v>
      </c>
      <c r="G621" s="25">
        <v>30</v>
      </c>
      <c r="H621" s="27" t="s">
        <v>440</v>
      </c>
      <c r="J621" s="35" t="str" cm="1">
        <f t="array" ref="J621">IFERROR(_xlfn.TEXTJOIN(";",1,IF(D621,_xlfn.MAKEARRAY(D621,1,_xlfn.LAMBDA(_xlpm.x,_xlpm.y,K621&amp;"-"&amp;TEXT(_xlpm.x,"00"))),_xlfn.MAP(_xlfn.TEXTSPLIT(E621,{";","；"},,1),_xlfn.LAMBDA(_xlpm.x,K621&amp;"-"&amp;TEXT(_xlpm.x,"00"))))),"")</f>
        <v>8c-30-rnd-stone-01;8c-30-rnd-stone-02</v>
      </c>
      <c r="K621" s="29" t="str">
        <f t="shared" si="62"/>
        <v>8c-30-rnd-stone</v>
      </c>
      <c r="L621" s="5" t="s">
        <v>123</v>
      </c>
      <c r="N621" s="5" t="s">
        <v>142</v>
      </c>
    </row>
    <row r="622" spans="1:18">
      <c r="A622" s="35">
        <v>42083</v>
      </c>
      <c r="B622" s="5">
        <v>3</v>
      </c>
      <c r="C622" s="34" t="s">
        <v>131</v>
      </c>
      <c r="D622" s="34">
        <v>2</v>
      </c>
      <c r="G622" s="25">
        <v>45</v>
      </c>
      <c r="H622" s="27" t="s">
        <v>440</v>
      </c>
      <c r="J622" s="35" t="str" cm="1">
        <f t="array" ref="J622">IFERROR(_xlfn.TEXTJOIN(";",1,IF(D622,_xlfn.MAKEARRAY(D622,1,_xlfn.LAMBDA(_xlpm.x,_xlpm.y,K622&amp;"-"&amp;TEXT(_xlpm.x,"00"))),_xlfn.MAP(_xlfn.TEXTSPLIT(E622,{";","；"},,1),_xlfn.LAMBDA(_xlpm.x,K622&amp;"-"&amp;TEXT(_xlpm.x,"00"))))),"")</f>
        <v>8c-45-rnd-cloud-01;8c-45-rnd-cloud-02</v>
      </c>
      <c r="K622" s="29" t="str">
        <f t="shared" si="62"/>
        <v>8c-45-rnd-cloud</v>
      </c>
      <c r="L622" s="5" t="s">
        <v>123</v>
      </c>
      <c r="N622" s="5" t="s">
        <v>441</v>
      </c>
    </row>
    <row r="623" spans="1:18">
      <c r="A623" s="35">
        <v>42083</v>
      </c>
      <c r="B623" s="5">
        <v>4</v>
      </c>
      <c r="C623" s="34" t="s">
        <v>125</v>
      </c>
      <c r="D623" s="34">
        <v>1</v>
      </c>
      <c r="G623" s="25">
        <v>49</v>
      </c>
      <c r="H623" s="27" t="s">
        <v>440</v>
      </c>
      <c r="J623" s="35" t="str" cm="1">
        <f t="array" ref="J623">IFERROR(_xlfn.TEXTJOIN(";",1,IF(D623,_xlfn.MAKEARRAY(D623,1,_xlfn.LAMBDA(_xlpm.x,_xlpm.y,K623&amp;"-"&amp;TEXT(_xlpm.x,"00"))),_xlfn.MAP(_xlfn.TEXTSPLIT(E623,{";","；"},,1),_xlfn.LAMBDA(_xlpm.x,K623&amp;"-"&amp;TEXT(_xlpm.x,"00"))))),"")</f>
        <v>8c-49-fixed-atm-01</v>
      </c>
      <c r="K623" s="29" t="str">
        <f t="shared" si="62"/>
        <v>8c-49-fixed-atm</v>
      </c>
      <c r="L623" s="5" t="s">
        <v>126</v>
      </c>
      <c r="M623" s="5">
        <v>25.6</v>
      </c>
    </row>
    <row r="624" spans="1:18">
      <c r="A624" s="35">
        <v>42083</v>
      </c>
      <c r="B624" s="5">
        <v>5</v>
      </c>
      <c r="C624" s="34" t="s">
        <v>136</v>
      </c>
      <c r="D624" s="34">
        <v>4</v>
      </c>
      <c r="G624" s="25">
        <v>78</v>
      </c>
      <c r="H624" s="27" t="s">
        <v>440</v>
      </c>
      <c r="J624" s="35" t="str" cm="1">
        <f t="array" ref="J624">IFERROR(_xlfn.TEXTJOIN(";",1,IF(D624,_xlfn.MAKEARRAY(D624,1,_xlfn.LAMBDA(_xlpm.x,_xlpm.y,K624&amp;"-"&amp;TEXT(_xlpm.x,"00"))),_xlfn.MAP(_xlfn.TEXTSPLIT(E624,{";","；"},,1),_xlfn.LAMBDA(_xlpm.x,K624&amp;"-"&amp;TEXT(_xlpm.x,"00"))))),"")</f>
        <v>8c-78-rnd-stone-01;8c-78-rnd-stone-02;8c-78-rnd-stone-03;8c-78-rnd-stone-04</v>
      </c>
      <c r="K624" s="29" t="str">
        <f t="shared" si="62"/>
        <v>8c-78-rnd-stone</v>
      </c>
      <c r="L624" s="5" t="s">
        <v>123</v>
      </c>
      <c r="N624" s="5" t="s">
        <v>350</v>
      </c>
    </row>
    <row r="625" spans="1:17">
      <c r="A625" s="35">
        <v>42083</v>
      </c>
      <c r="B625" s="5">
        <v>6</v>
      </c>
      <c r="C625" s="34" t="s">
        <v>305</v>
      </c>
      <c r="D625" s="34">
        <v>1</v>
      </c>
      <c r="G625" s="25">
        <v>80</v>
      </c>
      <c r="H625" s="27" t="s">
        <v>440</v>
      </c>
      <c r="J625" s="35" t="str" cm="1">
        <f t="array" ref="J625">IFERROR(_xlfn.TEXTJOIN(";",1,IF(D625,_xlfn.MAKEARRAY(D625,1,_xlfn.LAMBDA(_xlpm.x,_xlpm.y,K625&amp;"-"&amp;TEXT(_xlpm.x,"00"))),_xlfn.MAP(_xlfn.TEXTSPLIT(E625,{";","；"},,1),_xlfn.LAMBDA(_xlpm.x,K625&amp;"-"&amp;TEXT(_xlpm.x,"00"))))),"")</f>
        <v>8c-80-fixed-lake-01</v>
      </c>
      <c r="K625" s="29" t="str">
        <f t="shared" si="62"/>
        <v>8c-80-fixed-lake</v>
      </c>
      <c r="L625" s="5" t="s">
        <v>126</v>
      </c>
      <c r="M625" s="5">
        <v>25.6</v>
      </c>
    </row>
    <row r="626" spans="1:17">
      <c r="A626" s="35">
        <v>42083</v>
      </c>
      <c r="B626" s="5">
        <v>7</v>
      </c>
      <c r="C626" s="34" t="s">
        <v>125</v>
      </c>
      <c r="D626" s="34">
        <v>1</v>
      </c>
      <c r="G626" s="25">
        <v>82</v>
      </c>
      <c r="H626" s="27" t="s">
        <v>440</v>
      </c>
      <c r="J626" s="35" t="str" cm="1">
        <f t="array" ref="J626">IFERROR(_xlfn.TEXTJOIN(";",1,IF(D626,_xlfn.MAKEARRAY(D626,1,_xlfn.LAMBDA(_xlpm.x,_xlpm.y,K626&amp;"-"&amp;TEXT(_xlpm.x,"00"))),_xlfn.MAP(_xlfn.TEXTSPLIT(E626,{";","；"},,1),_xlfn.LAMBDA(_xlpm.x,K626&amp;"-"&amp;TEXT(_xlpm.x,"00"))))),"")</f>
        <v>8c-82-fixed-atm-01</v>
      </c>
      <c r="K626" s="29" t="str">
        <f t="shared" si="62"/>
        <v>8c-82-fixed-atm</v>
      </c>
      <c r="L626" s="5" t="s">
        <v>126</v>
      </c>
      <c r="M626" s="5">
        <v>25.6</v>
      </c>
    </row>
    <row r="627" spans="1:17">
      <c r="A627" s="35">
        <v>42083</v>
      </c>
      <c r="B627" s="5">
        <v>8</v>
      </c>
      <c r="C627" s="34" t="s">
        <v>136</v>
      </c>
      <c r="D627" s="34">
        <v>4</v>
      </c>
      <c r="G627" s="25">
        <v>85</v>
      </c>
      <c r="H627" s="27" t="s">
        <v>440</v>
      </c>
      <c r="J627" s="35" t="str" cm="1">
        <f t="array" ref="J627">IFERROR(_xlfn.TEXTJOIN(";",1,IF(D627,_xlfn.MAKEARRAY(D627,1,_xlfn.LAMBDA(_xlpm.x,_xlpm.y,K627&amp;"-"&amp;TEXT(_xlpm.x,"00"))),_xlfn.MAP(_xlfn.TEXTSPLIT(E627,{";","；"},,1),_xlfn.LAMBDA(_xlpm.x,K627&amp;"-"&amp;TEXT(_xlpm.x,"00"))))),"")</f>
        <v>8c-85-rnd-stone-01;8c-85-rnd-stone-02;8c-85-rnd-stone-03;8c-85-rnd-stone-04</v>
      </c>
      <c r="K627" s="29" t="str">
        <f t="shared" si="62"/>
        <v>8c-85-rnd-stone</v>
      </c>
      <c r="L627" s="5" t="s">
        <v>123</v>
      </c>
      <c r="N627" s="5" t="s">
        <v>172</v>
      </c>
      <c r="P627" s="5">
        <v>0.8</v>
      </c>
      <c r="Q627" s="5">
        <v>0.2</v>
      </c>
    </row>
    <row r="628" spans="1:17">
      <c r="A628" s="35">
        <v>42083</v>
      </c>
      <c r="B628" s="5">
        <v>9</v>
      </c>
      <c r="C628" s="34" t="s">
        <v>131</v>
      </c>
      <c r="D628" s="34">
        <v>1</v>
      </c>
      <c r="G628" s="25">
        <v>120</v>
      </c>
      <c r="H628" s="27" t="s">
        <v>440</v>
      </c>
      <c r="J628" s="35" t="str" cm="1">
        <f t="array" ref="J628">IFERROR(_xlfn.TEXTJOIN(";",1,IF(D628,_xlfn.MAKEARRAY(D628,1,_xlfn.LAMBDA(_xlpm.x,_xlpm.y,K628&amp;"-"&amp;TEXT(_xlpm.x,"00"))),_xlfn.MAP(_xlfn.TEXTSPLIT(E628,{";","；"},,1),_xlfn.LAMBDA(_xlpm.x,K628&amp;"-"&amp;TEXT(_xlpm.x,"00"))))),"")</f>
        <v>8c-120-fixed-cloud-01</v>
      </c>
      <c r="K628" s="29" t="str">
        <f t="shared" si="62"/>
        <v>8c-120-fixed-cloud</v>
      </c>
      <c r="L628" s="5" t="s">
        <v>126</v>
      </c>
      <c r="M628" s="5">
        <v>27.64</v>
      </c>
    </row>
    <row r="629" spans="1:17">
      <c r="A629" s="35">
        <v>42083</v>
      </c>
      <c r="B629" s="5">
        <v>10</v>
      </c>
      <c r="C629" s="34" t="s">
        <v>125</v>
      </c>
      <c r="D629" s="34">
        <v>1</v>
      </c>
      <c r="G629" s="25">
        <v>128</v>
      </c>
      <c r="H629" s="27" t="s">
        <v>440</v>
      </c>
      <c r="J629" s="35" t="str" cm="1">
        <f t="array" ref="J629">IFERROR(_xlfn.TEXTJOIN(";",1,IF(D629,_xlfn.MAKEARRAY(D629,1,_xlfn.LAMBDA(_xlpm.x,_xlpm.y,K629&amp;"-"&amp;TEXT(_xlpm.x,"00"))),_xlfn.MAP(_xlfn.TEXTSPLIT(E629,{";","；"},,1),_xlfn.LAMBDA(_xlpm.x,K629&amp;"-"&amp;TEXT(_xlpm.x,"00"))))),"")</f>
        <v>8c-128-fixed-atm-01</v>
      </c>
      <c r="K629" s="29" t="str">
        <f t="shared" si="62"/>
        <v>8c-128-fixed-atm</v>
      </c>
      <c r="L629" s="5" t="s">
        <v>126</v>
      </c>
      <c r="M629" s="5">
        <v>25.6</v>
      </c>
    </row>
    <row r="630" spans="1:17">
      <c r="A630" s="35">
        <v>42083</v>
      </c>
      <c r="B630" s="5">
        <v>11</v>
      </c>
      <c r="C630" s="34" t="s">
        <v>136</v>
      </c>
      <c r="D630" s="34">
        <v>3</v>
      </c>
      <c r="G630" s="25">
        <v>220</v>
      </c>
      <c r="H630" s="27" t="s">
        <v>440</v>
      </c>
      <c r="J630" s="35" t="str" cm="1">
        <f t="array" ref="J630">IFERROR(_xlfn.TEXTJOIN(";",1,IF(D630,_xlfn.MAKEARRAY(D630,1,_xlfn.LAMBDA(_xlpm.x,_xlpm.y,K630&amp;"-"&amp;TEXT(_xlpm.x,"00"))),_xlfn.MAP(_xlfn.TEXTSPLIT(E630,{";","；"},,1),_xlfn.LAMBDA(_xlpm.x,K630&amp;"-"&amp;TEXT(_xlpm.x,"00"))))),"")</f>
        <v>8c-220-rnd-stone-01;8c-220-rnd-stone-02;8c-220-rnd-stone-03</v>
      </c>
      <c r="K630" s="29" t="str">
        <f t="shared" si="62"/>
        <v>8c-220-rnd-stone</v>
      </c>
      <c r="L630" s="5" t="s">
        <v>123</v>
      </c>
      <c r="N630" s="5" t="s">
        <v>442</v>
      </c>
    </row>
    <row r="631" spans="1:17">
      <c r="A631" s="35">
        <v>42083</v>
      </c>
      <c r="B631" s="5">
        <v>12</v>
      </c>
      <c r="C631" s="34" t="s">
        <v>136</v>
      </c>
      <c r="D631" s="34">
        <v>5</v>
      </c>
      <c r="G631" s="25">
        <v>400</v>
      </c>
      <c r="H631" s="27" t="s">
        <v>440</v>
      </c>
      <c r="J631" s="35" t="str" cm="1">
        <f t="array" ref="J631">IFERROR(_xlfn.TEXTJOIN(";",1,IF(D631,_xlfn.MAKEARRAY(D631,1,_xlfn.LAMBDA(_xlpm.x,_xlpm.y,K631&amp;"-"&amp;TEXT(_xlpm.x,"00"))),_xlfn.MAP(_xlfn.TEXTSPLIT(E631,{";","；"},,1),_xlfn.LAMBDA(_xlpm.x,K631&amp;"-"&amp;TEXT(_xlpm.x,"00"))))),"")</f>
        <v>8c-400-rnd-stone-01;8c-400-rnd-stone-02;8c-400-rnd-stone-03;8c-400-rnd-stone-04;8c-400-rnd-stone-05</v>
      </c>
      <c r="K631" s="29" t="str">
        <f t="shared" si="62"/>
        <v>8c-400-rnd-stone</v>
      </c>
      <c r="L631" s="5" t="s">
        <v>123</v>
      </c>
      <c r="N631" s="5" t="s">
        <v>443</v>
      </c>
    </row>
    <row r="632" spans="1:17">
      <c r="A632" s="35">
        <v>42083</v>
      </c>
      <c r="B632" s="5">
        <v>13</v>
      </c>
      <c r="C632" s="34" t="s">
        <v>131</v>
      </c>
      <c r="D632" s="34">
        <v>1</v>
      </c>
      <c r="G632" s="25">
        <v>420</v>
      </c>
      <c r="H632" s="27" t="s">
        <v>440</v>
      </c>
      <c r="J632" s="35" t="str" cm="1">
        <f t="array" ref="J632">IFERROR(_xlfn.TEXTJOIN(";",1,IF(D632,_xlfn.MAKEARRAY(D632,1,_xlfn.LAMBDA(_xlpm.x,_xlpm.y,K632&amp;"-"&amp;TEXT(_xlpm.x,"00"))),_xlfn.MAP(_xlfn.TEXTSPLIT(E632,{";","；"},,1),_xlfn.LAMBDA(_xlpm.x,K632&amp;"-"&amp;TEXT(_xlpm.x,"00"))))),"")</f>
        <v>8c-420-fixed-cloud-01</v>
      </c>
      <c r="K632" s="29" t="str">
        <f t="shared" si="62"/>
        <v>8c-420-fixed-cloud</v>
      </c>
      <c r="L632" s="5" t="s">
        <v>126</v>
      </c>
      <c r="M632" s="5">
        <v>32.200000000000003</v>
      </c>
    </row>
    <row r="633" spans="1:17">
      <c r="A633" s="35">
        <v>42083</v>
      </c>
      <c r="B633" s="5">
        <v>14</v>
      </c>
      <c r="C633" s="34" t="s">
        <v>125</v>
      </c>
      <c r="D633" s="34">
        <v>1</v>
      </c>
      <c r="G633" s="25">
        <v>490</v>
      </c>
      <c r="H633" s="27" t="s">
        <v>440</v>
      </c>
      <c r="J633" s="35" t="str" cm="1">
        <f t="array" ref="J633">IFERROR(_xlfn.TEXTJOIN(";",1,IF(D633,_xlfn.MAKEARRAY(D633,1,_xlfn.LAMBDA(_xlpm.x,_xlpm.y,K633&amp;"-"&amp;TEXT(_xlpm.x,"00"))),_xlfn.MAP(_xlfn.TEXTSPLIT(E633,{";","；"},,1),_xlfn.LAMBDA(_xlpm.x,K633&amp;"-"&amp;TEXT(_xlpm.x,"00"))))),"")</f>
        <v>8c-490-fixed-atm-01</v>
      </c>
      <c r="K633" s="29" t="str">
        <f t="shared" si="62"/>
        <v>8c-490-fixed-atm</v>
      </c>
      <c r="L633" s="5" t="s">
        <v>126</v>
      </c>
      <c r="M633" s="5">
        <v>25.6</v>
      </c>
    </row>
    <row r="634" spans="1:17">
      <c r="A634" s="35">
        <v>42083</v>
      </c>
      <c r="B634" s="5">
        <v>15</v>
      </c>
      <c r="C634" s="34" t="s">
        <v>136</v>
      </c>
      <c r="D634" s="34">
        <v>3</v>
      </c>
      <c r="G634" s="25">
        <v>540</v>
      </c>
      <c r="H634" s="27" t="s">
        <v>440</v>
      </c>
      <c r="J634" s="35" t="str" cm="1">
        <f t="array" ref="J634">IFERROR(_xlfn.TEXTJOIN(";",1,IF(D634,_xlfn.MAKEARRAY(D634,1,_xlfn.LAMBDA(_xlpm.x,_xlpm.y,K634&amp;"-"&amp;TEXT(_xlpm.x,"00"))),_xlfn.MAP(_xlfn.TEXTSPLIT(E634,{";","；"},,1),_xlfn.LAMBDA(_xlpm.x,K634&amp;"-"&amp;TEXT(_xlpm.x,"00"))))),"")</f>
        <v>8c-540-rnd-stone-01;8c-540-rnd-stone-02;8c-540-rnd-stone-03</v>
      </c>
      <c r="K634" s="29" t="str">
        <f t="shared" ref="K634:K641" si="63">_xlfn.TEXTJOIN("-",1,H634:I634,G634,IF(L634="FixedDistance","fixed","rnd"),C634)</f>
        <v>8c-540-rnd-stone</v>
      </c>
      <c r="L634" s="5" t="s">
        <v>123</v>
      </c>
      <c r="N634" s="5" t="s">
        <v>423</v>
      </c>
    </row>
    <row r="635" spans="1:17">
      <c r="A635" s="35">
        <v>42083</v>
      </c>
      <c r="B635" s="5">
        <v>16</v>
      </c>
      <c r="C635" s="34" t="s">
        <v>131</v>
      </c>
      <c r="D635" s="34">
        <v>1</v>
      </c>
      <c r="G635" s="25">
        <v>600</v>
      </c>
      <c r="H635" s="27" t="s">
        <v>440</v>
      </c>
      <c r="J635" s="35" t="str" cm="1">
        <f t="array" ref="J635">IFERROR(_xlfn.TEXTJOIN(";",1,IF(D635,_xlfn.MAKEARRAY(D635,1,_xlfn.LAMBDA(_xlpm.x,_xlpm.y,K635&amp;"-"&amp;TEXT(_xlpm.x,"00"))),_xlfn.MAP(_xlfn.TEXTSPLIT(E635,{";","；"},,1),_xlfn.LAMBDA(_xlpm.x,K635&amp;"-"&amp;TEXT(_xlpm.x,"00"))))),"")</f>
        <v>8c-600-fixed-cloud-01</v>
      </c>
      <c r="K635" s="29" t="str">
        <f t="shared" si="63"/>
        <v>8c-600-fixed-cloud</v>
      </c>
      <c r="L635" s="5" t="s">
        <v>126</v>
      </c>
      <c r="M635" s="5">
        <v>37.479999999999997</v>
      </c>
    </row>
    <row r="636" spans="1:17">
      <c r="A636" s="35">
        <v>42083</v>
      </c>
      <c r="B636" s="5">
        <v>17</v>
      </c>
      <c r="C636" s="34" t="s">
        <v>165</v>
      </c>
      <c r="D636" s="34">
        <v>2</v>
      </c>
      <c r="G636" s="25">
        <v>930</v>
      </c>
      <c r="H636" s="27" t="s">
        <v>440</v>
      </c>
      <c r="J636" s="35" t="str" cm="1">
        <f t="array" ref="J636">IFERROR(_xlfn.TEXTJOIN(";",1,IF(D636,_xlfn.MAKEARRAY(D636,1,_xlfn.LAMBDA(_xlpm.x,_xlpm.y,K636&amp;"-"&amp;TEXT(_xlpm.x,"00"))),_xlfn.MAP(_xlfn.TEXTSPLIT(E636,{";","；"},,1),_xlfn.LAMBDA(_xlpm.x,K636&amp;"-"&amp;TEXT(_xlpm.x,"00"))))),"")</f>
        <v>8c-930-rnd-light-01;8c-930-rnd-light-02</v>
      </c>
      <c r="K636" s="29" t="str">
        <f t="shared" si="63"/>
        <v>8c-930-rnd-light</v>
      </c>
      <c r="L636" s="5" t="s">
        <v>123</v>
      </c>
      <c r="N636" s="5" t="s">
        <v>277</v>
      </c>
    </row>
    <row r="637" spans="1:17">
      <c r="A637" s="35">
        <v>42083</v>
      </c>
      <c r="B637" s="5">
        <v>18</v>
      </c>
      <c r="C637" s="34" t="s">
        <v>125</v>
      </c>
      <c r="D637" s="34">
        <v>1</v>
      </c>
      <c r="G637" s="25">
        <v>940</v>
      </c>
      <c r="H637" s="27" t="s">
        <v>440</v>
      </c>
      <c r="J637" s="35" t="str" cm="1">
        <f t="array" ref="J637">IFERROR(_xlfn.TEXTJOIN(";",1,IF(D637,_xlfn.MAKEARRAY(D637,1,_xlfn.LAMBDA(_xlpm.x,_xlpm.y,K637&amp;"-"&amp;TEXT(_xlpm.x,"00"))),_xlfn.MAP(_xlfn.TEXTSPLIT(E637,{";","；"},,1),_xlfn.LAMBDA(_xlpm.x,K637&amp;"-"&amp;TEXT(_xlpm.x,"00"))))),"")</f>
        <v>8c-940-fixed-atm-01</v>
      </c>
      <c r="K637" s="29" t="str">
        <f t="shared" si="63"/>
        <v>8c-940-fixed-atm</v>
      </c>
      <c r="L637" s="5" t="s">
        <v>126</v>
      </c>
      <c r="M637" s="5">
        <v>25.6</v>
      </c>
    </row>
    <row r="638" spans="1:17">
      <c r="A638" s="35">
        <v>42083</v>
      </c>
      <c r="B638" s="5">
        <v>19</v>
      </c>
      <c r="C638" s="34" t="s">
        <v>131</v>
      </c>
      <c r="D638" s="34">
        <v>1</v>
      </c>
      <c r="G638" s="25">
        <v>1600</v>
      </c>
      <c r="H638" s="27" t="s">
        <v>440</v>
      </c>
      <c r="J638" s="35" t="str" cm="1">
        <f t="array" ref="J638">IFERROR(_xlfn.TEXTJOIN(";",1,IF(D638,_xlfn.MAKEARRAY(D638,1,_xlfn.LAMBDA(_xlpm.x,_xlpm.y,K638&amp;"-"&amp;TEXT(_xlpm.x,"00"))),_xlfn.MAP(_xlfn.TEXTSPLIT(E638,{";","；"},,1),_xlfn.LAMBDA(_xlpm.x,K638&amp;"-"&amp;TEXT(_xlpm.x,"00"))))),"")</f>
        <v>8c-1600-fixed-cloud-01</v>
      </c>
      <c r="K638" s="29" t="str">
        <f t="shared" si="63"/>
        <v>8c-1600-fixed-cloud</v>
      </c>
      <c r="L638" s="5" t="s">
        <v>126</v>
      </c>
      <c r="M638" s="5">
        <v>50</v>
      </c>
    </row>
    <row r="639" spans="1:17">
      <c r="A639" s="35">
        <v>42083</v>
      </c>
      <c r="B639" s="5">
        <v>20</v>
      </c>
      <c r="C639" s="34" t="s">
        <v>125</v>
      </c>
      <c r="D639" s="34">
        <v>1</v>
      </c>
      <c r="G639" s="25">
        <v>1700</v>
      </c>
      <c r="H639" s="27" t="s">
        <v>440</v>
      </c>
      <c r="J639" s="35" t="str" cm="1">
        <f t="array" ref="J639">IFERROR(_xlfn.TEXTJOIN(";",1,IF(D639,_xlfn.MAKEARRAY(D639,1,_xlfn.LAMBDA(_xlpm.x,_xlpm.y,K639&amp;"-"&amp;TEXT(_xlpm.x,"00"))),_xlfn.MAP(_xlfn.TEXTSPLIT(E639,{";","；"},,1),_xlfn.LAMBDA(_xlpm.x,K639&amp;"-"&amp;TEXT(_xlpm.x,"00"))))),"")</f>
        <v>8c-1700-fixed-atm-01</v>
      </c>
      <c r="K639" s="29" t="str">
        <f t="shared" si="63"/>
        <v>8c-1700-fixed-atm</v>
      </c>
      <c r="L639" s="5" t="s">
        <v>126</v>
      </c>
      <c r="M639" s="5">
        <v>25.6</v>
      </c>
    </row>
    <row r="640" spans="1:17">
      <c r="A640" s="35">
        <v>42083</v>
      </c>
      <c r="B640" s="5">
        <v>21</v>
      </c>
      <c r="C640" s="34" t="s">
        <v>131</v>
      </c>
      <c r="D640" s="34">
        <v>2</v>
      </c>
      <c r="G640" s="25">
        <v>2100</v>
      </c>
      <c r="H640" s="27" t="s">
        <v>440</v>
      </c>
      <c r="J640" s="35" t="str" cm="1">
        <f t="array" ref="J640">IFERROR(_xlfn.TEXTJOIN(";",1,IF(D640,_xlfn.MAKEARRAY(D640,1,_xlfn.LAMBDA(_xlpm.x,_xlpm.y,K640&amp;"-"&amp;TEXT(_xlpm.x,"00"))),_xlfn.MAP(_xlfn.TEXTSPLIT(E640,{";","；"},,1),_xlfn.LAMBDA(_xlpm.x,K640&amp;"-"&amp;TEXT(_xlpm.x,"00"))))),"")</f>
        <v>8c-2100-rnd-cloud-01;8c-2100-rnd-cloud-02</v>
      </c>
      <c r="K640" s="29" t="str">
        <f t="shared" si="63"/>
        <v>8c-2100-rnd-cloud</v>
      </c>
      <c r="L640" s="5" t="s">
        <v>123</v>
      </c>
      <c r="N640" s="5" t="s">
        <v>375</v>
      </c>
    </row>
    <row r="641" spans="1:13">
      <c r="A641" s="35">
        <v>42083</v>
      </c>
      <c r="B641" s="5">
        <v>22</v>
      </c>
      <c r="C641" s="34" t="s">
        <v>130</v>
      </c>
      <c r="D641" s="34">
        <v>1</v>
      </c>
      <c r="G641" s="25">
        <v>2200</v>
      </c>
      <c r="H641" s="27" t="s">
        <v>440</v>
      </c>
      <c r="J641" s="35" t="str" cm="1">
        <f t="array" ref="J641">IFERROR(_xlfn.TEXTJOIN(";",1,IF(D641,_xlfn.MAKEARRAY(D641,1,_xlfn.LAMBDA(_xlpm.x,_xlpm.y,K641&amp;"-"&amp;TEXT(_xlpm.x,"00"))),_xlfn.MAP(_xlfn.TEXTSPLIT(E641,{";","；"},,1),_xlfn.LAMBDA(_xlpm.x,K641&amp;"-"&amp;TEXT(_xlpm.x,"00"))))),"")</f>
        <v>8c-2200-fixed-mountain-01</v>
      </c>
      <c r="K641" s="29" t="str">
        <f t="shared" si="63"/>
        <v>8c-2200-fixed-mountain</v>
      </c>
      <c r="L641" s="5" t="s">
        <v>126</v>
      </c>
      <c r="M641" s="5">
        <v>32.1</v>
      </c>
    </row>
    <row r="642" spans="1:13">
      <c r="A642" s="35">
        <v>42083</v>
      </c>
      <c r="B642" s="5">
        <v>23</v>
      </c>
      <c r="C642" s="34" t="s">
        <v>132</v>
      </c>
      <c r="D642" s="34">
        <v>1</v>
      </c>
      <c r="G642" s="25">
        <v>3000</v>
      </c>
      <c r="H642" s="27" t="s">
        <v>440</v>
      </c>
      <c r="J642" s="35" t="str" cm="1">
        <f t="array" ref="J642">IFERROR(_xlfn.TEXTJOIN(";",1,IF(D642,_xlfn.MAKEARRAY(D642,1,_xlfn.LAMBDA(_xlpm.x,_xlpm.y,K642&amp;"-"&amp;TEXT(_xlpm.x,"00"))),_xlfn.MAP(_xlfn.TEXTSPLIT(E642,{";","；"},,1),_xlfn.LAMBDA(_xlpm.x,K642&amp;"-"&amp;TEXT(_xlpm.x,"00"))))),"")</f>
        <v>8c-3000-fixed-sky-01</v>
      </c>
      <c r="K642" s="29" t="str">
        <f t="shared" ref="K642" si="64">_xlfn.TEXTJOIN("-",1,H642:I642,G642,IF(L642="FixedDistance","fixed","rnd"),C642)</f>
        <v>8c-3000-fixed-sky</v>
      </c>
      <c r="L642" s="5" t="s">
        <v>126</v>
      </c>
      <c r="M642" s="5">
        <v>25.6</v>
      </c>
    </row>
  </sheetData>
  <phoneticPr fontId="25" type="noConversion"/>
  <conditionalFormatting sqref="A129 B311:XFD325 B326:B341 C329:K330 L329:XFD340 B343:XFD394 B449:XFD453 C454:XFD463 B454:B470 B525:XFD552 B554:XFD579 B604:XFD642">
    <cfRule type="expression" dxfId="20" priority="25">
      <formula>AND($A129="",$B129="",ROW()&gt;4)</formula>
    </cfRule>
  </conditionalFormatting>
  <conditionalFormatting sqref="A491">
    <cfRule type="expression" dxfId="19" priority="23">
      <formula>AND($A491="",$B491="",ROW()&gt;4)</formula>
    </cfRule>
  </conditionalFormatting>
  <conditionalFormatting sqref="A619">
    <cfRule type="expression" dxfId="18" priority="22">
      <formula>AND($A619="",$B619="",ROW()&gt;4)</formula>
    </cfRule>
  </conditionalFormatting>
  <conditionalFormatting sqref="A1:XFD20 B21:XFD51 A52:XFD52 B53:XFD91 A92:XFD92 A146 A167:XFD167 A185:XFD185 B186:XFD214 A215:XFD215 A240:XFD240 A264:XFD264 B265:XFD287 A288:XFD288 B289:XFD309 A310:XFD310 E331:G337 H331:K340 C331:D341 E338:F341 H341:XFD341 A342:XFD342 A395:XFD395 B396:XFD419 A420:XFD420 B421:XFD447 A448:XFD448 C464:K468 L464:XFD469 H469:K469 C469:G470 H470:XFD471 A471:G471 B472:XFD523 A524:XFD524 A553:XFD553 A580:XFD580 B581:XFD602 A603:XFD603 A643:XFD9983">
    <cfRule type="expression" dxfId="17" priority="27">
      <formula>AND($A1="",$B1="",ROW()&gt;4)</formula>
    </cfRule>
  </conditionalFormatting>
  <conditionalFormatting sqref="B93:XFD166 B168:XFD184 B216:XFD239 B241:XFD263 A370">
    <cfRule type="expression" dxfId="16" priority="24">
      <formula>AND($A93="",$B93="",ROW()&gt;4)</formula>
    </cfRule>
  </conditionalFormatting>
  <conditionalFormatting sqref="C326:XFD328">
    <cfRule type="expression" dxfId="15" priority="7">
      <formula>AND($A326="",$B326="",ROW()&gt;4)</formula>
    </cfRule>
  </conditionalFormatting>
  <conditionalFormatting sqref="G339:G341">
    <cfRule type="expression" dxfId="14" priority="59">
      <formula>AND($A338="",$B338="",ROW()&gt;4)</formula>
    </cfRule>
  </conditionalFormatting>
  <conditionalFormatting sqref="M1:M1048576">
    <cfRule type="expression" dxfId="13" priority="56">
      <formula>AND($A1&lt;&gt;"",$L1&lt;&gt;"FixedDistance",ROW()&gt;4)</formula>
    </cfRule>
  </conditionalFormatting>
  <conditionalFormatting sqref="N266:N269 N271:N273 N275:N280 N282:N284 N286">
    <cfRule type="expression" dxfId="12" priority="20">
      <formula>AND($A266="",$B266="",ROW()&gt;4)</formula>
    </cfRule>
  </conditionalFormatting>
  <conditionalFormatting sqref="N290">
    <cfRule type="expression" dxfId="11" priority="19">
      <formula>AND($A290="",$B290="",ROW()&gt;4)</formula>
    </cfRule>
  </conditionalFormatting>
  <conditionalFormatting sqref="N298">
    <cfRule type="expression" dxfId="10" priority="18">
      <formula>AND($A298="",$B298="",ROW()&gt;4)</formula>
    </cfRule>
  </conditionalFormatting>
  <conditionalFormatting sqref="N311:N315">
    <cfRule type="expression" dxfId="9" priority="17">
      <formula>AND($A311="",$B311="",ROW()&gt;4)</formula>
    </cfRule>
  </conditionalFormatting>
  <conditionalFormatting sqref="N320">
    <cfRule type="expression" dxfId="8" priority="8">
      <formula>AND($A320="",$B320="",ROW()&gt;4)</formula>
    </cfRule>
  </conditionalFormatting>
  <conditionalFormatting sqref="N343:N349">
    <cfRule type="expression" dxfId="7" priority="4">
      <formula>AND($A343="",$B343="",ROW()&gt;4)</formula>
    </cfRule>
  </conditionalFormatting>
  <conditionalFormatting sqref="N361:N362 N364:N367">
    <cfRule type="expression" dxfId="6" priority="5">
      <formula>AND($A361="",$B361="",ROW()&gt;4)</formula>
    </cfRule>
  </conditionalFormatting>
  <conditionalFormatting sqref="N393">
    <cfRule type="expression" dxfId="5" priority="9">
      <formula>AND($A393="",$B393="",ROW()&gt;4)</formula>
    </cfRule>
  </conditionalFormatting>
  <conditionalFormatting sqref="N606:N607 N609:N610 N613:N614 N616:N617 N620:N622 N624 N627 N630:N631 N634 N636 N640">
    <cfRule type="expression" dxfId="4" priority="1">
      <formula>AND($A606="",$B606="",ROW()&gt;4)</formula>
    </cfRule>
  </conditionalFormatting>
  <conditionalFormatting sqref="N1:AB1048576">
    <cfRule type="expression" dxfId="3" priority="57">
      <formula>AND($A1&lt;&gt;"",$L1&lt;&gt;"RndPosition",ROW()&gt;4)</formula>
    </cfRule>
  </conditionalFormatting>
  <conditionalFormatting sqref="O268">
    <cfRule type="expression" dxfId="2" priority="21">
      <formula>AND($A268="",$B268="",ROW()&gt;4)</formula>
    </cfRule>
  </conditionalFormatting>
  <conditionalFormatting sqref="P402:Q402">
    <cfRule type="expression" dxfId="1" priority="3">
      <formula>AND($A402="",$B402="",ROW()&gt;4)</formula>
    </cfRule>
  </conditionalFormatting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7"/>
  <sheetViews>
    <sheetView workbookViewId="0">
      <pane xSplit="6" ySplit="3" topLeftCell="G25" activePane="bottomRight" state="frozen"/>
      <selection pane="topRight"/>
      <selection pane="bottomLeft"/>
      <selection pane="bottomRight" activeCell="R13" sqref="R13"/>
    </sheetView>
  </sheetViews>
  <sheetFormatPr defaultColWidth="9" defaultRowHeight="14.25"/>
  <cols>
    <col min="1" max="1" width="8.75" style="5" customWidth="1"/>
    <col min="2" max="2" width="7.75" style="5" customWidth="1"/>
    <col min="3" max="4" width="9.25" style="6" customWidth="1"/>
    <col min="5" max="6" width="10.625" style="6" customWidth="1"/>
    <col min="7" max="7" width="15.625" style="7" customWidth="1"/>
    <col min="8" max="8" width="16.125" style="7" customWidth="1"/>
    <col min="9" max="9" width="24.875" style="5" customWidth="1"/>
    <col min="10" max="12" width="9.5" style="8" customWidth="1"/>
    <col min="13" max="13" width="19.5" style="9" customWidth="1"/>
    <col min="14" max="14" width="9" style="7" customWidth="1"/>
    <col min="15" max="15" width="11.75" style="7" customWidth="1"/>
  </cols>
  <sheetData>
    <row r="1" spans="1:16" s="2" customFormat="1">
      <c r="A1" s="2" t="s">
        <v>76</v>
      </c>
      <c r="B1" s="2" t="s">
        <v>77</v>
      </c>
      <c r="C1" s="10"/>
      <c r="D1" s="10"/>
      <c r="E1" s="10"/>
      <c r="F1" s="10"/>
      <c r="G1" s="2" t="s">
        <v>444</v>
      </c>
      <c r="H1" s="2" t="s">
        <v>445</v>
      </c>
      <c r="I1" s="2" t="s">
        <v>446</v>
      </c>
      <c r="J1" s="15"/>
      <c r="K1" s="15"/>
      <c r="L1" s="15"/>
      <c r="M1" s="16"/>
      <c r="P1" s="2" t="s">
        <v>447</v>
      </c>
    </row>
    <row r="2" spans="1:16" s="3" customFormat="1">
      <c r="A2" s="11" t="s">
        <v>9</v>
      </c>
      <c r="B2" s="11" t="s">
        <v>9</v>
      </c>
      <c r="C2" s="10"/>
      <c r="D2" s="10"/>
      <c r="E2" s="10"/>
      <c r="F2" s="10"/>
      <c r="G2" s="3" t="s">
        <v>448</v>
      </c>
      <c r="H2" s="3" t="s">
        <v>88</v>
      </c>
      <c r="I2" s="3" t="s">
        <v>10</v>
      </c>
      <c r="J2" s="17"/>
      <c r="K2" s="17"/>
      <c r="L2" s="17"/>
      <c r="M2" s="18"/>
      <c r="P2" s="3" t="s">
        <v>449</v>
      </c>
    </row>
    <row r="3" spans="1:16" s="4" customFormat="1" ht="38.25">
      <c r="A3" s="4" t="s">
        <v>450</v>
      </c>
      <c r="B3" s="4" t="s">
        <v>451</v>
      </c>
      <c r="C3" s="12" t="s">
        <v>452</v>
      </c>
      <c r="D3" s="12" t="s">
        <v>453</v>
      </c>
      <c r="E3" s="12" t="s">
        <v>454</v>
      </c>
      <c r="F3" s="12" t="s">
        <v>455</v>
      </c>
      <c r="G3" s="13" t="s">
        <v>456</v>
      </c>
      <c r="H3" s="14" t="s">
        <v>457</v>
      </c>
      <c r="I3" s="19" t="s">
        <v>458</v>
      </c>
      <c r="J3" s="20" t="s">
        <v>459</v>
      </c>
      <c r="K3" s="20" t="s">
        <v>460</v>
      </c>
      <c r="L3" s="20" t="s">
        <v>461</v>
      </c>
      <c r="M3" s="21" t="s">
        <v>462</v>
      </c>
      <c r="N3" s="14" t="s">
        <v>463</v>
      </c>
      <c r="O3" s="14" t="s">
        <v>464</v>
      </c>
      <c r="P3" s="22" t="s">
        <v>465</v>
      </c>
    </row>
    <row r="4" spans="1:16">
      <c r="A4" s="5">
        <v>121101</v>
      </c>
      <c r="B4" s="5">
        <v>1</v>
      </c>
      <c r="C4" s="6" t="s">
        <v>466</v>
      </c>
      <c r="D4" s="6" t="s">
        <v>32</v>
      </c>
      <c r="E4" s="6" t="s">
        <v>467</v>
      </c>
      <c r="F4" s="6" t="s">
        <v>468</v>
      </c>
      <c r="G4" s="7">
        <v>10</v>
      </c>
      <c r="I4" s="5" t="str">
        <f>_xlfn.TEXTJOIN("_",1,"rd",J4:K4)</f>
        <v>rd_spring_tanggu_1</v>
      </c>
      <c r="J4" s="8" t="s">
        <v>469</v>
      </c>
      <c r="K4" s="8" t="s">
        <v>470</v>
      </c>
    </row>
    <row r="5" spans="1:16">
      <c r="A5" s="5">
        <v>121101</v>
      </c>
      <c r="B5" s="5">
        <v>2</v>
      </c>
      <c r="C5" s="6" t="s">
        <v>466</v>
      </c>
      <c r="D5" s="6" t="s">
        <v>32</v>
      </c>
      <c r="E5" s="6" t="s">
        <v>467</v>
      </c>
      <c r="F5" s="6" t="s">
        <v>468</v>
      </c>
      <c r="G5" s="7">
        <v>10</v>
      </c>
      <c r="I5" s="5" t="str">
        <f t="shared" ref="I5:I6" si="0">_xlfn.TEXTJOIN("_",1,"rd",J5:K5)</f>
        <v>rd_spring_tanggu_2</v>
      </c>
      <c r="J5" s="8" t="s">
        <v>469</v>
      </c>
      <c r="K5" s="8" t="s">
        <v>471</v>
      </c>
    </row>
    <row r="6" spans="1:16">
      <c r="A6" s="5">
        <v>121102</v>
      </c>
      <c r="B6" s="5">
        <v>1</v>
      </c>
      <c r="C6" s="6" t="s">
        <v>466</v>
      </c>
      <c r="D6" s="6" t="s">
        <v>32</v>
      </c>
      <c r="E6" s="6" t="s">
        <v>472</v>
      </c>
      <c r="F6" s="6" t="s">
        <v>473</v>
      </c>
      <c r="G6" s="7">
        <v>10</v>
      </c>
      <c r="I6" s="5" t="str">
        <f t="shared" si="0"/>
        <v>rd_spring_bridge_1</v>
      </c>
      <c r="J6" s="8" t="s">
        <v>469</v>
      </c>
      <c r="K6" s="8" t="s">
        <v>474</v>
      </c>
    </row>
    <row r="7" spans="1:16">
      <c r="A7" s="5">
        <v>121102</v>
      </c>
      <c r="B7" s="5">
        <v>2</v>
      </c>
      <c r="C7" s="6" t="s">
        <v>466</v>
      </c>
      <c r="D7" s="6" t="s">
        <v>32</v>
      </c>
      <c r="E7" s="6" t="s">
        <v>472</v>
      </c>
      <c r="F7" s="6" t="s">
        <v>473</v>
      </c>
      <c r="G7" s="7">
        <v>10</v>
      </c>
      <c r="I7" s="5" t="str">
        <f t="shared" ref="I7:I9" si="1">_xlfn.TEXTJOIN("_",1,"rd",J7:K7)</f>
        <v>rd_spring_bridge_2</v>
      </c>
      <c r="J7" s="8" t="s">
        <v>469</v>
      </c>
      <c r="K7" s="8" t="s">
        <v>475</v>
      </c>
    </row>
    <row r="8" spans="1:16">
      <c r="A8" s="5">
        <v>121102</v>
      </c>
      <c r="B8" s="5">
        <v>3</v>
      </c>
      <c r="C8" s="6" t="s">
        <v>466</v>
      </c>
      <c r="D8" s="6" t="s">
        <v>32</v>
      </c>
      <c r="E8" s="6" t="s">
        <v>476</v>
      </c>
      <c r="F8" s="6" t="s">
        <v>473</v>
      </c>
      <c r="G8" s="7">
        <v>10</v>
      </c>
      <c r="I8" s="5" t="str">
        <f t="shared" si="1"/>
        <v>rd_spring_bridge_broken_1</v>
      </c>
      <c r="J8" s="8" t="s">
        <v>469</v>
      </c>
      <c r="K8" s="8" t="s">
        <v>477</v>
      </c>
      <c r="P8" t="b">
        <v>1</v>
      </c>
    </row>
    <row r="9" spans="1:16">
      <c r="A9" s="5">
        <v>121102</v>
      </c>
      <c r="B9" s="5">
        <v>4</v>
      </c>
      <c r="C9" s="6" t="s">
        <v>466</v>
      </c>
      <c r="D9" s="6" t="s">
        <v>32</v>
      </c>
      <c r="E9" s="6" t="s">
        <v>476</v>
      </c>
      <c r="F9" s="6" t="s">
        <v>473</v>
      </c>
      <c r="G9" s="7">
        <v>10</v>
      </c>
      <c r="I9" s="5" t="str">
        <f t="shared" si="1"/>
        <v>rd_spring_bridge_broken_2</v>
      </c>
      <c r="J9" s="8" t="s">
        <v>469</v>
      </c>
      <c r="K9" s="8" t="s">
        <v>478</v>
      </c>
      <c r="P9" t="b">
        <v>1</v>
      </c>
    </row>
    <row r="11" spans="1:16">
      <c r="A11" s="5">
        <v>10086</v>
      </c>
      <c r="B11" s="5">
        <v>1</v>
      </c>
      <c r="C11" s="6" t="s">
        <v>41</v>
      </c>
      <c r="G11" s="7">
        <v>10</v>
      </c>
      <c r="I11" s="5" t="s">
        <v>479</v>
      </c>
    </row>
    <row r="14" spans="1:16" s="66" customFormat="1">
      <c r="A14" s="61"/>
      <c r="B14" s="61"/>
      <c r="C14" s="67" t="s">
        <v>514</v>
      </c>
      <c r="D14" s="62"/>
      <c r="E14" s="62"/>
      <c r="F14" s="62"/>
      <c r="G14" s="63"/>
      <c r="H14" s="63"/>
      <c r="I14" s="61"/>
      <c r="J14" s="64"/>
      <c r="K14" s="64"/>
      <c r="L14" s="64"/>
      <c r="M14" s="65"/>
      <c r="N14" s="63"/>
      <c r="O14" s="63"/>
    </row>
    <row r="16" spans="1:16">
      <c r="A16" s="5">
        <v>42011</v>
      </c>
      <c r="B16" s="5">
        <v>100</v>
      </c>
      <c r="C16" s="6" t="str">
        <f>IFERROR(VLOOKUP(VALUE(MID(A16,4,1)),tb_world[[id]:[name]],2,0),"")</f>
        <v>地宫</v>
      </c>
      <c r="D16" s="6" t="str">
        <f>IF($A16&lt;&gt;"",MID($A16,4,1)&amp;CHAR(96+MOD($A16,10)),"")</f>
        <v>1a</v>
      </c>
      <c r="E16" s="6" t="str" cm="1">
        <f t="array" ref="E16">_xlfn.IFS($J16&gt;0,"上坡",$J16&lt;0,"下坡",TRUE,"")</f>
        <v/>
      </c>
      <c r="G16" s="7">
        <v>100</v>
      </c>
      <c r="H16" s="7">
        <v>0</v>
      </c>
      <c r="I16" s="5" t="str">
        <f>_xlfn.LET(_xlpm.ascend,$J16,_xlpm.expr,_xlfn.TEXTJOIN("-",1,D16,_xlfn.IFS(_xlpm.ascend&gt;0,"p"&amp;_xlpm.ascend,_xlpm.ascend&lt;0,"n"&amp;-_xlpm.ascend,TRUE,"flat"),"w"&amp;_xlfn.TEXTJOIN("_",1,K16,L16)),IF($A16&lt;&gt;"",_xlpm.expr,""))</f>
        <v>1a-flat-w1020</v>
      </c>
      <c r="K16" s="8">
        <v>1020</v>
      </c>
      <c r="M16" s="9">
        <f>IF($A16&lt;&gt;"",$J16/$K16,"")</f>
        <v>0</v>
      </c>
    </row>
    <row r="17" spans="1:13">
      <c r="A17" s="5">
        <v>42011</v>
      </c>
      <c r="B17" s="5">
        <v>101</v>
      </c>
      <c r="C17" s="6" t="str">
        <f>IFERROR(VLOOKUP(VALUE(MID(A17,4,1)),tb_world[[id]:[name]],2,0),"")</f>
        <v>地宫</v>
      </c>
      <c r="D17" s="6" t="str">
        <f t="shared" ref="D17:D45" si="2">IF($A17&lt;&gt;"",MID($A17,4,1)&amp;CHAR(96+MOD($A17,10)),"")</f>
        <v>1a</v>
      </c>
      <c r="E17" s="6" t="str" cm="1">
        <f t="array" ref="E17">_xlfn.IFS($J17&gt;0,"上坡",$J17&lt;0,"下坡",TRUE,"")</f>
        <v/>
      </c>
      <c r="G17" s="7">
        <v>100</v>
      </c>
      <c r="H17" s="7">
        <v>0</v>
      </c>
      <c r="I17" s="5" t="str">
        <f t="shared" ref="I17:I45" si="3">_xlfn.LET(_xlpm.ascend,$J17,_xlpm.expr,_xlfn.TEXTJOIN("-",1,D17,_xlfn.IFS(_xlpm.ascend&gt;0,"p"&amp;_xlpm.ascend,_xlpm.ascend&lt;0,"n"&amp;-_xlpm.ascend,TRUE,"flat"),"w"&amp;_xlfn.TEXTJOIN("_",1,K17,L17)),IF($A17&lt;&gt;"",_xlpm.expr,""))</f>
        <v>1a-flat-w2048</v>
      </c>
      <c r="K17" s="8">
        <v>2048</v>
      </c>
      <c r="M17" s="9">
        <f t="shared" ref="M17:M45" si="4">IF($A17&lt;&gt;"",$J17/$K17,"")</f>
        <v>0</v>
      </c>
    </row>
    <row r="18" spans="1:13">
      <c r="A18" s="5">
        <v>42011</v>
      </c>
      <c r="B18" s="5">
        <v>102</v>
      </c>
      <c r="C18" s="6" t="str">
        <f>IFERROR(VLOOKUP(VALUE(MID(A18,4,1)),tb_world[[id]:[name]],2,0),"")</f>
        <v>地宫</v>
      </c>
      <c r="D18" s="6" t="str">
        <f t="shared" si="2"/>
        <v>1a</v>
      </c>
      <c r="E18" s="6" t="str" cm="1">
        <f t="array" ref="E18">_xlfn.IFS($J18&gt;0,"上坡",$J18&lt;0,"下坡",TRUE,"")</f>
        <v/>
      </c>
      <c r="G18" s="7">
        <v>100</v>
      </c>
      <c r="H18" s="7">
        <v>0</v>
      </c>
      <c r="I18" s="5" t="str">
        <f t="shared" si="3"/>
        <v>1a-flat-w2048_2</v>
      </c>
      <c r="K18" s="8">
        <v>2048</v>
      </c>
      <c r="L18" s="8">
        <v>2</v>
      </c>
      <c r="M18" s="9">
        <f t="shared" si="4"/>
        <v>0</v>
      </c>
    </row>
    <row r="19" spans="1:13">
      <c r="A19" s="5">
        <v>42011</v>
      </c>
      <c r="B19" s="5">
        <v>202</v>
      </c>
      <c r="C19" s="6" t="str">
        <f>IFERROR(VLOOKUP(VALUE(MID(A19,4,1)),tb_world[[id]:[name]],2,0),"")</f>
        <v>地宫</v>
      </c>
      <c r="D19" s="6" t="str">
        <f t="shared" si="2"/>
        <v>1a</v>
      </c>
      <c r="E19" s="6" t="str" cm="1">
        <f t="array" ref="E19">_xlfn.IFS($J19&gt;0,"上坡",$J19&lt;0,"下坡",TRUE,"")</f>
        <v>上坡</v>
      </c>
      <c r="G19" s="7">
        <v>50</v>
      </c>
      <c r="H19" s="7">
        <v>0</v>
      </c>
      <c r="I19" s="5" t="str">
        <f t="shared" si="3"/>
        <v>1a-p30-w512</v>
      </c>
      <c r="J19" s="8">
        <v>30</v>
      </c>
      <c r="K19" s="8">
        <v>512</v>
      </c>
      <c r="M19" s="9">
        <f t="shared" si="4"/>
        <v>5.859375E-2</v>
      </c>
    </row>
    <row r="20" spans="1:13">
      <c r="A20" s="5">
        <v>42011</v>
      </c>
      <c r="B20" s="5">
        <v>203</v>
      </c>
      <c r="C20" s="6" t="str">
        <f>IFERROR(VLOOKUP(VALUE(MID(A20,4,1)),tb_world[[id]:[name]],2,0),"")</f>
        <v>地宫</v>
      </c>
      <c r="D20" s="6" t="str">
        <f t="shared" si="2"/>
        <v>1a</v>
      </c>
      <c r="E20" s="6" t="str" cm="1">
        <f t="array" ref="E20">_xlfn.IFS($J20&gt;0,"上坡",$J20&lt;0,"下坡",TRUE,"")</f>
        <v>上坡</v>
      </c>
      <c r="G20" s="7">
        <v>250</v>
      </c>
      <c r="H20" s="7">
        <v>150</v>
      </c>
      <c r="I20" s="5" t="str">
        <f t="shared" si="3"/>
        <v>1a-p80-w1024</v>
      </c>
      <c r="J20" s="8">
        <v>80</v>
      </c>
      <c r="K20" s="8">
        <v>1024</v>
      </c>
      <c r="M20" s="9">
        <f t="shared" si="4"/>
        <v>7.8125E-2</v>
      </c>
    </row>
    <row r="21" spans="1:13">
      <c r="A21" s="5">
        <v>42011</v>
      </c>
      <c r="B21" s="5">
        <v>204</v>
      </c>
      <c r="C21" s="6" t="str">
        <f>IFERROR(VLOOKUP(VALUE(MID(A21,4,1)),tb_world[[id]:[name]],2,0),"")</f>
        <v>地宫</v>
      </c>
      <c r="D21" s="6" t="str">
        <f t="shared" si="2"/>
        <v>1a</v>
      </c>
      <c r="E21" s="6" t="str" cm="1">
        <f t="array" ref="E21">_xlfn.IFS($J21&gt;0,"上坡",$J21&lt;0,"下坡",TRUE,"")</f>
        <v>上坡</v>
      </c>
      <c r="G21" s="7">
        <v>100</v>
      </c>
      <c r="H21" s="7">
        <v>0</v>
      </c>
      <c r="I21" s="5" t="str">
        <f t="shared" si="3"/>
        <v>1a-p100-w2048</v>
      </c>
      <c r="J21" s="8">
        <v>100</v>
      </c>
      <c r="K21" s="8">
        <v>2048</v>
      </c>
      <c r="M21" s="9">
        <f t="shared" si="4"/>
        <v>4.8828125E-2</v>
      </c>
    </row>
    <row r="22" spans="1:13">
      <c r="A22" s="5">
        <v>42011</v>
      </c>
      <c r="B22" s="5">
        <v>302</v>
      </c>
      <c r="C22" s="6" t="str">
        <f>IFERROR(VLOOKUP(VALUE(MID(A22,4,1)),tb_world[[id]:[name]],2,0),"")</f>
        <v>地宫</v>
      </c>
      <c r="D22" s="6" t="str">
        <f t="shared" si="2"/>
        <v>1a</v>
      </c>
      <c r="E22" s="6" t="str" cm="1">
        <f t="array" ref="E22">_xlfn.IFS($J22&gt;0,"上坡",$J22&lt;0,"下坡",TRUE,"")</f>
        <v>下坡</v>
      </c>
      <c r="G22" s="7">
        <v>280</v>
      </c>
      <c r="H22" s="7">
        <v>0</v>
      </c>
      <c r="I22" s="5" t="str">
        <f t="shared" si="3"/>
        <v>1a-n60-w1024</v>
      </c>
      <c r="J22" s="8">
        <v>-60</v>
      </c>
      <c r="K22" s="8">
        <v>1024</v>
      </c>
      <c r="M22" s="9">
        <f t="shared" si="4"/>
        <v>-5.859375E-2</v>
      </c>
    </row>
    <row r="23" spans="1:13">
      <c r="A23" s="5">
        <v>42011</v>
      </c>
      <c r="B23" s="5">
        <v>303</v>
      </c>
      <c r="C23" s="6" t="str">
        <f>IFERROR(VLOOKUP(VALUE(MID(A23,4,1)),tb_world[[id]:[name]],2,0),"")</f>
        <v>地宫</v>
      </c>
      <c r="D23" s="6" t="str">
        <f t="shared" si="2"/>
        <v>1a</v>
      </c>
      <c r="E23" s="6" t="str" cm="1">
        <f t="array" ref="E23">_xlfn.IFS($J23&gt;0,"上坡",$J23&lt;0,"下坡",TRUE,"")</f>
        <v>下坡</v>
      </c>
      <c r="G23" s="7">
        <v>140</v>
      </c>
      <c r="H23" s="7">
        <v>0</v>
      </c>
      <c r="I23" s="5" t="str">
        <f t="shared" ref="I23" si="5">_xlfn.LET(_xlpm.ascend,$J23,_xlpm.expr,_xlfn.TEXTJOIN("-",1,D23,_xlfn.IFS(_xlpm.ascend&gt;0,"p"&amp;_xlpm.ascend,_xlpm.ascend&lt;0,"n"&amp;-_xlpm.ascend,TRUE,"flat"),"w"&amp;_xlfn.TEXTJOIN("_",1,K23,L23)),IF($A23&lt;&gt;"",_xlpm.expr,""))</f>
        <v>1a-n40-w1024</v>
      </c>
      <c r="J23" s="8">
        <v>-40</v>
      </c>
      <c r="K23" s="8">
        <v>1024</v>
      </c>
      <c r="M23" s="9">
        <f t="shared" si="4"/>
        <v>-3.90625E-2</v>
      </c>
    </row>
    <row r="24" spans="1:13">
      <c r="A24" s="5">
        <v>42011</v>
      </c>
      <c r="B24" s="5">
        <v>304</v>
      </c>
      <c r="C24" s="6" t="str">
        <f>IFERROR(VLOOKUP(VALUE(MID(A24,4,1)),tb_world[[id]:[name]],2,0),"")</f>
        <v>地宫</v>
      </c>
      <c r="D24" s="6" t="str">
        <f t="shared" si="2"/>
        <v>1a</v>
      </c>
      <c r="E24" s="6" t="str" cm="1">
        <f t="array" ref="E24">_xlfn.IFS($J24&gt;0,"上坡",$J24&lt;0,"下坡",TRUE,"")</f>
        <v>下坡</v>
      </c>
      <c r="G24" s="7">
        <v>140</v>
      </c>
      <c r="H24" s="7">
        <v>0</v>
      </c>
      <c r="I24" s="5" t="str">
        <f t="shared" ref="I24" si="6">_xlfn.LET(_xlpm.ascend,$J24,_xlpm.expr,_xlfn.TEXTJOIN("-",1,D24,_xlfn.IFS(_xlpm.ascend&gt;0,"p"&amp;_xlpm.ascend,_xlpm.ascend&lt;0,"n"&amp;-_xlpm.ascend,TRUE,"flat"),"w"&amp;_xlfn.TEXTJOIN("_",1,K24,L24)),IF($A24&lt;&gt;"",_xlpm.expr,""))</f>
        <v>1a-n100-w2048</v>
      </c>
      <c r="J24" s="8">
        <v>-100</v>
      </c>
      <c r="K24" s="8">
        <v>2048</v>
      </c>
      <c r="M24" s="9">
        <f t="shared" si="4"/>
        <v>-4.8828125E-2</v>
      </c>
    </row>
    <row r="25" spans="1:13">
      <c r="C25" s="6" t="str">
        <f>IFERROR(VLOOKUP(VALUE(MID(A25,4,1)),tb_world[[id]:[name]],2,0),"")</f>
        <v/>
      </c>
      <c r="D25" s="6" t="str">
        <f t="shared" si="2"/>
        <v/>
      </c>
      <c r="E25" s="6" t="str" cm="1">
        <f t="array" ref="E25">_xlfn.IFS($J25&gt;0,"上坡",$J25&lt;0,"下坡",TRUE,"")</f>
        <v/>
      </c>
      <c r="I25" s="5" t="str">
        <f t="shared" si="3"/>
        <v/>
      </c>
      <c r="M25" s="9" t="str">
        <f t="shared" si="4"/>
        <v/>
      </c>
    </row>
    <row r="26" spans="1:13">
      <c r="A26" s="5">
        <v>42012</v>
      </c>
      <c r="B26" s="5">
        <v>100</v>
      </c>
      <c r="C26" s="6" t="str">
        <f>IFERROR(VLOOKUP(VALUE(MID(A26,4,1)),tb_world[[id]:[name]],2,0),"")</f>
        <v>地宫</v>
      </c>
      <c r="D26" s="6" t="str">
        <f t="shared" si="2"/>
        <v>1b</v>
      </c>
      <c r="E26" s="6" t="str" cm="1">
        <f t="array" ref="E26">_xlfn.IFS($J26&gt;0,"上坡",$J26&lt;0,"下坡",TRUE,"")</f>
        <v/>
      </c>
      <c r="G26" s="7">
        <v>29</v>
      </c>
      <c r="H26" s="7">
        <v>0</v>
      </c>
      <c r="I26" s="5" t="str">
        <f t="shared" si="3"/>
        <v>1b-flat-w512</v>
      </c>
      <c r="K26" s="8">
        <v>512</v>
      </c>
      <c r="M26" s="9">
        <f t="shared" si="4"/>
        <v>0</v>
      </c>
    </row>
    <row r="27" spans="1:13">
      <c r="A27" s="5">
        <v>42012</v>
      </c>
      <c r="B27" s="5">
        <v>101</v>
      </c>
      <c r="C27" s="6" t="str">
        <f>IFERROR(VLOOKUP(VALUE(MID(A27,4,1)),tb_world[[id]:[name]],2,0),"")</f>
        <v>地宫</v>
      </c>
      <c r="D27" s="6" t="str">
        <f t="shared" si="2"/>
        <v>1b</v>
      </c>
      <c r="E27" s="6" t="str" cm="1">
        <f t="array" ref="E27">_xlfn.IFS($J27&gt;0,"上坡",$J27&lt;0,"下坡",TRUE,"")</f>
        <v/>
      </c>
      <c r="G27" s="7">
        <v>29</v>
      </c>
      <c r="H27" s="7">
        <v>0</v>
      </c>
      <c r="I27" s="5" t="str">
        <f t="shared" si="3"/>
        <v>1b-flat-w1024</v>
      </c>
      <c r="K27" s="8">
        <v>1024</v>
      </c>
      <c r="M27" s="9">
        <f t="shared" si="4"/>
        <v>0</v>
      </c>
    </row>
    <row r="28" spans="1:13">
      <c r="A28" s="5">
        <v>42012</v>
      </c>
      <c r="B28" s="5">
        <v>102</v>
      </c>
      <c r="C28" s="6" t="str">
        <f>IFERROR(VLOOKUP(VALUE(MID(A28,4,1)),tb_world[[id]:[name]],2,0),"")</f>
        <v>地宫</v>
      </c>
      <c r="D28" s="6" t="str">
        <f t="shared" si="2"/>
        <v>1b</v>
      </c>
      <c r="E28" s="6" t="str" cm="1">
        <f t="array" ref="E28">_xlfn.IFS($J28&gt;0,"上坡",$J28&lt;0,"下坡",TRUE,"")</f>
        <v/>
      </c>
      <c r="G28" s="7">
        <v>29</v>
      </c>
      <c r="H28" s="7">
        <v>0</v>
      </c>
      <c r="I28" s="5" t="str">
        <f t="shared" si="3"/>
        <v>1b-flat-w1024_2</v>
      </c>
      <c r="K28" s="8">
        <v>1024</v>
      </c>
      <c r="L28" s="8">
        <v>2</v>
      </c>
      <c r="M28" s="9">
        <f t="shared" si="4"/>
        <v>0</v>
      </c>
    </row>
    <row r="29" spans="1:13">
      <c r="A29" s="5">
        <v>42012</v>
      </c>
      <c r="B29" s="5">
        <v>103</v>
      </c>
      <c r="C29" s="6" t="str">
        <f>IFERROR(VLOOKUP(VALUE(MID(A29,4,1)),tb_world[[id]:[name]],2,0),"")</f>
        <v>地宫</v>
      </c>
      <c r="D29" s="6" t="str">
        <f t="shared" si="2"/>
        <v>1b</v>
      </c>
      <c r="E29" s="6" t="str" cm="1">
        <f t="array" ref="E29">_xlfn.IFS($J29&gt;0,"上坡",$J29&lt;0,"下坡",TRUE,"")</f>
        <v/>
      </c>
      <c r="G29" s="7">
        <v>29</v>
      </c>
      <c r="H29" s="7">
        <v>0</v>
      </c>
      <c r="I29" s="5" t="str">
        <f t="shared" si="3"/>
        <v>1b-flat-w1024_3</v>
      </c>
      <c r="K29" s="8">
        <v>1024</v>
      </c>
      <c r="L29" s="8">
        <v>3</v>
      </c>
      <c r="M29" s="9">
        <f t="shared" si="4"/>
        <v>0</v>
      </c>
    </row>
    <row r="30" spans="1:13">
      <c r="A30" s="5">
        <v>42012</v>
      </c>
      <c r="B30" s="5">
        <v>104</v>
      </c>
      <c r="C30" s="6" t="str">
        <f>IFERROR(VLOOKUP(VALUE(MID(A30,4,1)),tb_world[[id]:[name]],2,0),"")</f>
        <v>地宫</v>
      </c>
      <c r="D30" s="6" t="str">
        <f t="shared" si="2"/>
        <v>1b</v>
      </c>
      <c r="E30" s="6" t="str" cm="1">
        <f t="array" ref="E30">_xlfn.IFS($J30&gt;0,"上坡",$J30&lt;0,"下坡",TRUE,"")</f>
        <v/>
      </c>
      <c r="G30" s="7">
        <v>29</v>
      </c>
      <c r="H30" s="7">
        <v>0</v>
      </c>
      <c r="I30" s="5" t="str">
        <f t="shared" si="3"/>
        <v>1b-flat-w2048</v>
      </c>
      <c r="K30" s="8">
        <v>2048</v>
      </c>
      <c r="M30" s="9">
        <f t="shared" si="4"/>
        <v>0</v>
      </c>
    </row>
    <row r="31" spans="1:13">
      <c r="A31" s="5">
        <v>42012</v>
      </c>
      <c r="B31" s="5">
        <v>105</v>
      </c>
      <c r="C31" s="6" t="str">
        <f>IFERROR(VLOOKUP(VALUE(MID(A31,4,1)),tb_world[[id]:[name]],2,0),"")</f>
        <v>地宫</v>
      </c>
      <c r="D31" s="6" t="str">
        <f t="shared" si="2"/>
        <v>1b</v>
      </c>
      <c r="E31" s="6" t="str" cm="1">
        <f t="array" ref="E31">_xlfn.IFS($J31&gt;0,"上坡",$J31&lt;0,"下坡",TRUE,"")</f>
        <v/>
      </c>
      <c r="G31" s="7">
        <v>29</v>
      </c>
      <c r="H31" s="7">
        <v>0</v>
      </c>
      <c r="I31" s="5" t="str">
        <f t="shared" si="3"/>
        <v>1b-flat-w2048_2</v>
      </c>
      <c r="K31" s="8">
        <v>2048</v>
      </c>
      <c r="L31" s="8">
        <v>2</v>
      </c>
      <c r="M31" s="9">
        <f t="shared" si="4"/>
        <v>0</v>
      </c>
    </row>
    <row r="32" spans="1:13">
      <c r="A32" s="5">
        <v>42012</v>
      </c>
      <c r="B32" s="5">
        <v>106</v>
      </c>
      <c r="C32" s="6" t="str">
        <f>IFERROR(VLOOKUP(VALUE(MID(A32,4,1)),tb_world[[id]:[name]],2,0),"")</f>
        <v>地宫</v>
      </c>
      <c r="D32" s="6" t="str">
        <f t="shared" si="2"/>
        <v>1b</v>
      </c>
      <c r="E32" s="6" t="str" cm="1">
        <f t="array" ref="E32">_xlfn.IFS($J32&gt;0,"上坡",$J32&lt;0,"下坡",TRUE,"")</f>
        <v/>
      </c>
      <c r="G32" s="7">
        <v>29</v>
      </c>
      <c r="H32" s="7">
        <v>0</v>
      </c>
      <c r="I32" s="5" t="str">
        <f t="shared" si="3"/>
        <v>1b-flat-w2048_3</v>
      </c>
      <c r="K32" s="8">
        <v>2048</v>
      </c>
      <c r="L32" s="8">
        <v>3</v>
      </c>
      <c r="M32" s="9">
        <f t="shared" si="4"/>
        <v>0</v>
      </c>
    </row>
    <row r="33" spans="1:15">
      <c r="A33" s="5">
        <v>42012</v>
      </c>
      <c r="B33" s="5">
        <v>200</v>
      </c>
      <c r="C33" s="6" t="str">
        <f>IFERROR(VLOOKUP(VALUE(MID(A33,4,1)),tb_world[[id]:[name]],2,0),"")</f>
        <v>地宫</v>
      </c>
      <c r="D33" s="6" t="str">
        <f t="shared" si="2"/>
        <v>1b</v>
      </c>
      <c r="E33" s="6" t="str" cm="1">
        <f t="array" ref="E33">_xlfn.IFS($J33&gt;0,"上坡",$J33&lt;0,"下坡",TRUE,"")</f>
        <v>上坡</v>
      </c>
      <c r="G33" s="7">
        <v>333</v>
      </c>
      <c r="H33" s="7">
        <v>120</v>
      </c>
      <c r="I33" s="5" t="str">
        <f t="shared" si="3"/>
        <v>1b-p56-w512</v>
      </c>
      <c r="J33" s="8">
        <v>56</v>
      </c>
      <c r="K33" s="8">
        <v>512</v>
      </c>
      <c r="M33" s="9">
        <f t="shared" si="4"/>
        <v>0.109375</v>
      </c>
    </row>
    <row r="34" spans="1:15">
      <c r="A34" s="5">
        <v>42012</v>
      </c>
      <c r="B34" s="5">
        <v>201</v>
      </c>
      <c r="C34" s="6" t="str">
        <f>IFERROR(VLOOKUP(VALUE(MID(A34,4,1)),tb_world[[id]:[name]],2,0),"")</f>
        <v>地宫</v>
      </c>
      <c r="D34" s="6" t="str">
        <f t="shared" si="2"/>
        <v>1b</v>
      </c>
      <c r="E34" s="6" t="str" cm="1">
        <f t="array" ref="E34">_xlfn.IFS($J34&gt;0,"上坡",$J34&lt;0,"下坡",TRUE,"")</f>
        <v>上坡</v>
      </c>
      <c r="G34" s="7">
        <v>20</v>
      </c>
      <c r="H34" s="7">
        <v>0</v>
      </c>
      <c r="I34" s="5" t="str">
        <f t="shared" si="3"/>
        <v>1b-p72-w2048</v>
      </c>
      <c r="J34" s="8">
        <v>72</v>
      </c>
      <c r="K34" s="8">
        <v>2048</v>
      </c>
      <c r="M34" s="9">
        <f t="shared" si="4"/>
        <v>3.515625E-2</v>
      </c>
    </row>
    <row r="35" spans="1:15">
      <c r="A35" s="5">
        <v>42012</v>
      </c>
      <c r="B35" s="5">
        <v>300</v>
      </c>
      <c r="C35" s="6" t="str">
        <f>IFERROR(VLOOKUP(VALUE(MID(A35,4,1)),tb_world[[id]:[name]],2,0),"")</f>
        <v>地宫</v>
      </c>
      <c r="D35" s="6" t="str">
        <f t="shared" si="2"/>
        <v>1b</v>
      </c>
      <c r="E35" s="6" t="str" cm="1">
        <f t="array" ref="E35">_xlfn.IFS($J35&gt;0,"上坡",$J35&lt;0,"下坡",TRUE,"")</f>
        <v>下坡</v>
      </c>
      <c r="G35" s="7">
        <v>110</v>
      </c>
      <c r="H35" s="7">
        <v>0</v>
      </c>
      <c r="I35" s="5" t="str">
        <f t="shared" si="3"/>
        <v>1b-n72-w512</v>
      </c>
      <c r="J35" s="8">
        <v>-72</v>
      </c>
      <c r="K35" s="8">
        <v>512</v>
      </c>
      <c r="M35" s="9">
        <f t="shared" si="4"/>
        <v>-0.140625</v>
      </c>
    </row>
    <row r="36" spans="1:15">
      <c r="A36" s="5">
        <v>42012</v>
      </c>
      <c r="B36" s="5">
        <v>301</v>
      </c>
      <c r="C36" s="6" t="str">
        <f>IFERROR(VLOOKUP(VALUE(MID(A36,4,1)),tb_world[[id]:[name]],2,0),"")</f>
        <v>地宫</v>
      </c>
      <c r="D36" s="6" t="str">
        <f t="shared" si="2"/>
        <v>1b</v>
      </c>
      <c r="E36" s="6" t="str" cm="1">
        <f t="array" ref="E36">_xlfn.IFS($J36&gt;0,"上坡",$J36&lt;0,"下坡",TRUE,"")</f>
        <v>下坡</v>
      </c>
      <c r="G36" s="7">
        <v>160</v>
      </c>
      <c r="H36" s="7">
        <v>0</v>
      </c>
      <c r="I36" s="5" t="str">
        <f t="shared" si="3"/>
        <v>1b-n72-w2048</v>
      </c>
      <c r="J36" s="8">
        <v>-72</v>
      </c>
      <c r="K36" s="8">
        <v>2048</v>
      </c>
      <c r="M36" s="9">
        <f t="shared" si="4"/>
        <v>-3.515625E-2</v>
      </c>
    </row>
    <row r="37" spans="1:15">
      <c r="C37" s="6" t="str">
        <f>IFERROR(VLOOKUP(VALUE(MID(A37,4,1)),tb_world[[id]:[name]],2,0),"")</f>
        <v/>
      </c>
      <c r="D37" s="6" t="str">
        <f t="shared" si="2"/>
        <v/>
      </c>
      <c r="E37" s="6" t="str" cm="1">
        <f t="array" ref="E37">_xlfn.IFS($J37&gt;0,"上坡",$J37&lt;0,"下坡",TRUE,"")</f>
        <v/>
      </c>
      <c r="I37" s="5" t="str">
        <f t="shared" si="3"/>
        <v/>
      </c>
      <c r="M37" s="9" t="str">
        <f t="shared" si="4"/>
        <v/>
      </c>
    </row>
    <row r="38" spans="1:15">
      <c r="A38" s="5">
        <v>42013</v>
      </c>
      <c r="B38" s="5">
        <v>100</v>
      </c>
      <c r="C38" s="6" t="str">
        <f>IFERROR(VLOOKUP(VALUE(MID(A38,4,1)),tb_world[[id]:[name]],2,0),"")</f>
        <v>地宫</v>
      </c>
      <c r="D38" s="6" t="str">
        <f t="shared" si="2"/>
        <v>1c</v>
      </c>
      <c r="E38" s="6" t="str" cm="1">
        <f t="array" ref="E38">_xlfn.IFS($J38&gt;0,"上坡",$J38&lt;0,"下坡",TRUE,"")</f>
        <v/>
      </c>
      <c r="G38" s="7">
        <v>67</v>
      </c>
      <c r="H38" s="7">
        <v>0</v>
      </c>
      <c r="I38" s="5" t="str">
        <f t="shared" si="3"/>
        <v>1c-flat-w1024</v>
      </c>
      <c r="K38" s="8">
        <v>1024</v>
      </c>
      <c r="M38" s="9">
        <f t="shared" si="4"/>
        <v>0</v>
      </c>
    </row>
    <row r="39" spans="1:15">
      <c r="A39" s="5">
        <v>42013</v>
      </c>
      <c r="B39" s="5">
        <v>101</v>
      </c>
      <c r="C39" s="6" t="str">
        <f>IFERROR(VLOOKUP(VALUE(MID(A39,4,1)),tb_world[[id]:[name]],2,0),"")</f>
        <v>地宫</v>
      </c>
      <c r="D39" s="6" t="str">
        <f t="shared" si="2"/>
        <v>1c</v>
      </c>
      <c r="E39" s="6" t="str" cm="1">
        <f t="array" ref="E39">_xlfn.IFS($J39&gt;0,"上坡",$J39&lt;0,"下坡",TRUE,"")</f>
        <v/>
      </c>
      <c r="G39" s="7">
        <v>67</v>
      </c>
      <c r="H39" s="7">
        <v>0</v>
      </c>
      <c r="I39" s="5" t="str">
        <f t="shared" si="3"/>
        <v>1c-flat-w1024_2</v>
      </c>
      <c r="K39" s="8">
        <v>1024</v>
      </c>
      <c r="L39" s="8">
        <v>2</v>
      </c>
      <c r="M39" s="9">
        <f t="shared" si="4"/>
        <v>0</v>
      </c>
    </row>
    <row r="40" spans="1:15">
      <c r="A40" s="5">
        <v>42013</v>
      </c>
      <c r="B40" s="5">
        <v>102</v>
      </c>
      <c r="C40" s="6" t="str">
        <f>IFERROR(VLOOKUP(VALUE(MID(A40,4,1)),tb_world[[id]:[name]],2,0),"")</f>
        <v>地宫</v>
      </c>
      <c r="D40" s="6" t="str">
        <f t="shared" si="2"/>
        <v>1c</v>
      </c>
      <c r="E40" s="6" t="str" cm="1">
        <f t="array" ref="E40">_xlfn.IFS($J40&gt;0,"上坡",$J40&lt;0,"下坡",TRUE,"")</f>
        <v/>
      </c>
      <c r="G40" s="7">
        <v>67</v>
      </c>
      <c r="H40" s="7">
        <v>0</v>
      </c>
      <c r="I40" s="5" t="str">
        <f t="shared" si="3"/>
        <v>1c-flat-w2048</v>
      </c>
      <c r="K40" s="8">
        <v>2048</v>
      </c>
      <c r="M40" s="9">
        <f t="shared" si="4"/>
        <v>0</v>
      </c>
    </row>
    <row r="41" spans="1:15">
      <c r="A41" s="5">
        <v>42013</v>
      </c>
      <c r="B41" s="5">
        <v>103</v>
      </c>
      <c r="C41" s="6" t="str">
        <f>IFERROR(VLOOKUP(VALUE(MID(A41,4,1)),tb_world[[id]:[name]],2,0),"")</f>
        <v>地宫</v>
      </c>
      <c r="D41" s="6" t="str">
        <f t="shared" si="2"/>
        <v>1c</v>
      </c>
      <c r="E41" s="6" t="str" cm="1">
        <f t="array" ref="E41">_xlfn.IFS($J41&gt;0,"上坡",$J41&lt;0,"下坡",TRUE,"")</f>
        <v/>
      </c>
      <c r="G41" s="7">
        <v>67</v>
      </c>
      <c r="H41" s="7">
        <v>0</v>
      </c>
      <c r="I41" s="5" t="str">
        <f t="shared" ref="I41" si="7">_xlfn.LET(_xlpm.ascend,$J41,_xlpm.expr,_xlfn.TEXTJOIN("-",1,D41,_xlfn.IFS(_xlpm.ascend&gt;0,"p"&amp;_xlpm.ascend,_xlpm.ascend&lt;0,"n"&amp;-_xlpm.ascend,TRUE,"flat"),"w"&amp;_xlfn.TEXTJOIN("_",1,K41,L41)),IF($A41&lt;&gt;"",_xlpm.expr,""))</f>
        <v>1c-flat-w2048_2</v>
      </c>
      <c r="K41" s="8">
        <v>2048</v>
      </c>
      <c r="L41" s="8">
        <v>2</v>
      </c>
      <c r="M41" s="9">
        <f t="shared" si="4"/>
        <v>0</v>
      </c>
    </row>
    <row r="42" spans="1:15">
      <c r="A42" s="5">
        <v>42013</v>
      </c>
      <c r="B42" s="5">
        <v>200</v>
      </c>
      <c r="C42" s="6" t="str">
        <f>IFERROR(VLOOKUP(VALUE(MID(A42,4,1)),tb_world[[id]:[name]],2,0),"")</f>
        <v>地宫</v>
      </c>
      <c r="D42" s="6" t="str">
        <f t="shared" si="2"/>
        <v>1c</v>
      </c>
      <c r="E42" s="6" t="str" cm="1">
        <f t="array" ref="E42">_xlfn.IFS($J42&gt;0,"上坡",$J42&lt;0,"下坡",TRUE,"")</f>
        <v>上坡</v>
      </c>
      <c r="G42" s="7">
        <v>333</v>
      </c>
      <c r="H42" s="7">
        <v>90</v>
      </c>
      <c r="I42" s="5" t="str">
        <f t="shared" si="3"/>
        <v>1c-p72-w512</v>
      </c>
      <c r="J42" s="8">
        <v>72</v>
      </c>
      <c r="K42" s="8">
        <v>512</v>
      </c>
      <c r="M42" s="9">
        <f t="shared" si="4"/>
        <v>0.140625</v>
      </c>
    </row>
    <row r="43" spans="1:15">
      <c r="A43" s="5">
        <v>42013</v>
      </c>
      <c r="B43" s="5">
        <v>201</v>
      </c>
      <c r="C43" s="6" t="str">
        <f>IFERROR(VLOOKUP(VALUE(MID(A43,4,1)),tb_world[[id]:[name]],2,0),"")</f>
        <v>地宫</v>
      </c>
      <c r="D43" s="6" t="str">
        <f t="shared" si="2"/>
        <v>1c</v>
      </c>
      <c r="E43" s="6" t="str" cm="1">
        <f t="array" ref="E43">_xlfn.IFS($J43&gt;0,"上坡",$J43&lt;0,"下坡",TRUE,"")</f>
        <v>上坡</v>
      </c>
      <c r="G43" s="7">
        <v>33</v>
      </c>
      <c r="H43" s="7">
        <v>0</v>
      </c>
      <c r="I43" s="5" t="str">
        <f t="shared" si="3"/>
        <v>1c-p96-w2048</v>
      </c>
      <c r="J43" s="8">
        <v>96</v>
      </c>
      <c r="K43" s="8">
        <v>2048</v>
      </c>
      <c r="M43" s="9">
        <f t="shared" si="4"/>
        <v>4.6875E-2</v>
      </c>
    </row>
    <row r="44" spans="1:15">
      <c r="A44" s="5">
        <v>42013</v>
      </c>
      <c r="B44" s="5">
        <v>300</v>
      </c>
      <c r="C44" s="6" t="str">
        <f>IFERROR(VLOOKUP(VALUE(MID(A44,4,1)),tb_world[[id]:[name]],2,0),"")</f>
        <v>地宫</v>
      </c>
      <c r="D44" s="6" t="str">
        <f t="shared" si="2"/>
        <v>1c</v>
      </c>
      <c r="E44" s="6" t="str" cm="1">
        <f t="array" ref="E44">_xlfn.IFS($J44&gt;0,"上坡",$J44&lt;0,"下坡",TRUE,"")</f>
        <v>下坡</v>
      </c>
      <c r="G44" s="7">
        <v>110</v>
      </c>
      <c r="H44" s="7">
        <v>0</v>
      </c>
      <c r="I44" s="5" t="str">
        <f t="shared" si="3"/>
        <v>1c-n36-w512</v>
      </c>
      <c r="J44" s="8">
        <v>-36</v>
      </c>
      <c r="K44" s="8">
        <v>512</v>
      </c>
      <c r="M44" s="9">
        <f t="shared" si="4"/>
        <v>-7.03125E-2</v>
      </c>
    </row>
    <row r="45" spans="1:15">
      <c r="A45" s="5">
        <v>42013</v>
      </c>
      <c r="B45" s="5">
        <v>301</v>
      </c>
      <c r="C45" s="6" t="str">
        <f>IFERROR(VLOOKUP(VALUE(MID(A45,4,1)),tb_world[[id]:[name]],2,0),"")</f>
        <v>地宫</v>
      </c>
      <c r="D45" s="6" t="str">
        <f t="shared" si="2"/>
        <v>1c</v>
      </c>
      <c r="E45" s="6" t="str" cm="1">
        <f t="array" ref="E45">_xlfn.IFS($J45&gt;0,"上坡",$J45&lt;0,"下坡",TRUE,"")</f>
        <v>下坡</v>
      </c>
      <c r="G45" s="7">
        <v>160</v>
      </c>
      <c r="H45" s="7">
        <v>0</v>
      </c>
      <c r="I45" s="5" t="str">
        <f t="shared" si="3"/>
        <v>1c-n180-w2048</v>
      </c>
      <c r="J45" s="8">
        <v>-180</v>
      </c>
      <c r="K45" s="8">
        <v>2048</v>
      </c>
      <c r="M45" s="9">
        <f t="shared" si="4"/>
        <v>-8.7890625E-2</v>
      </c>
    </row>
    <row r="48" spans="1:15" s="66" customFormat="1">
      <c r="A48" s="61"/>
      <c r="B48" s="61"/>
      <c r="C48" s="67" t="s">
        <v>515</v>
      </c>
      <c r="D48" s="62"/>
      <c r="E48" s="62"/>
      <c r="F48" s="62"/>
      <c r="G48" s="63"/>
      <c r="H48" s="63"/>
      <c r="I48" s="61"/>
      <c r="J48" s="64"/>
      <c r="K48" s="64"/>
      <c r="L48" s="64"/>
      <c r="M48" s="65"/>
      <c r="N48" s="63"/>
      <c r="O48" s="63"/>
    </row>
    <row r="50" spans="1:13">
      <c r="A50" s="5">
        <v>42041</v>
      </c>
      <c r="B50" s="5">
        <v>101</v>
      </c>
      <c r="C50" s="6" t="str">
        <f>IFERROR(VLOOKUP(VALUE(MID(A50,4,1)),tb_world[[id]:[name]],2,0),"")</f>
        <v>树梢</v>
      </c>
      <c r="D50" s="6" t="str">
        <f t="shared" ref="D50:D75" si="8">IF($A50&lt;&gt;"",MID($A50,4,1)&amp;CHAR(96+MOD($A50,10)),"")</f>
        <v>4a</v>
      </c>
      <c r="E50" s="6" t="str" cm="1">
        <f t="array" ref="E50">_xlfn.IFS($J50&gt;0,"上坡",$J50&lt;0,"下坡",TRUE,"")</f>
        <v/>
      </c>
      <c r="G50" s="7">
        <v>100</v>
      </c>
      <c r="H50" s="7">
        <v>0</v>
      </c>
      <c r="I50" s="5" t="str">
        <f>_xlfn.LET(_xlpm.ascend,$J50,_xlpm.expr,_xlfn.TEXTJOIN("-",1,D50,_xlfn.IFS(_xlpm.ascend&gt;0,"p"&amp;_xlpm.ascend,_xlpm.ascend&lt;0,"n"&amp;-_xlpm.ascend,TRUE,"flat"),"w"&amp;_xlfn.TEXTJOIN("_",1,K50,L50)),IF($A50&lt;&gt;"",_xlpm.expr,""))</f>
        <v>4a-flat-w512</v>
      </c>
      <c r="K50" s="8">
        <v>512</v>
      </c>
      <c r="M50" s="9">
        <f>IF($A50&lt;&gt;"",$J50/$K50,"")</f>
        <v>0</v>
      </c>
    </row>
    <row r="51" spans="1:13">
      <c r="A51" s="5">
        <v>42041</v>
      </c>
      <c r="B51" s="5">
        <v>102</v>
      </c>
      <c r="C51" s="6" t="str">
        <f>IFERROR(VLOOKUP(VALUE(MID(A51,4,1)),tb_world[[id]:[name]],2,0),"")</f>
        <v>树梢</v>
      </c>
      <c r="D51" s="6" t="str">
        <f t="shared" si="8"/>
        <v>4a</v>
      </c>
      <c r="E51" s="6" t="str" cm="1">
        <f t="array" ref="E51">_xlfn.IFS($J51&gt;0,"上坡",$J51&lt;0,"下坡",TRUE,"")</f>
        <v/>
      </c>
      <c r="G51" s="7">
        <v>100</v>
      </c>
      <c r="H51" s="7">
        <v>0</v>
      </c>
      <c r="I51" s="5" t="str">
        <f t="shared" ref="I51:I57" si="9">_xlfn.LET(_xlpm.ascend,$J51,_xlpm.expr,_xlfn.TEXTJOIN("-",1,D51,_xlfn.IFS(_xlpm.ascend&gt;0,"p"&amp;_xlpm.ascend,_xlpm.ascend&lt;0,"n"&amp;-_xlpm.ascend,TRUE,"flat"),"w"&amp;_xlfn.TEXTJOIN("_",1,K51,L51)),IF($A51&lt;&gt;"",_xlpm.expr,""))</f>
        <v>4a-flat-w2048</v>
      </c>
      <c r="K51" s="8">
        <v>2048</v>
      </c>
      <c r="M51" s="9">
        <f t="shared" ref="M51:M57" si="10">IF($A51&lt;&gt;"",$J51/$K51,"")</f>
        <v>0</v>
      </c>
    </row>
    <row r="52" spans="1:13">
      <c r="A52" s="5">
        <v>42041</v>
      </c>
      <c r="B52" s="5">
        <v>103</v>
      </c>
      <c r="C52" s="6" t="str">
        <f>IFERROR(VLOOKUP(VALUE(MID(A52,4,1)),tb_world[[id]:[name]],2,0),"")</f>
        <v>树梢</v>
      </c>
      <c r="D52" s="6" t="str">
        <f t="shared" si="8"/>
        <v>4a</v>
      </c>
      <c r="E52" s="6" t="str" cm="1">
        <f t="array" ref="E52">_xlfn.IFS($J52&gt;0,"上坡",$J52&lt;0,"下坡",TRUE,"")</f>
        <v/>
      </c>
      <c r="G52" s="7">
        <v>100</v>
      </c>
      <c r="H52" s="7">
        <v>0</v>
      </c>
      <c r="I52" s="5" t="str">
        <f t="shared" si="9"/>
        <v>4a-flat-w2048_2</v>
      </c>
      <c r="K52" s="8">
        <v>2048</v>
      </c>
      <c r="L52" s="8">
        <v>2</v>
      </c>
      <c r="M52" s="9">
        <f t="shared" si="10"/>
        <v>0</v>
      </c>
    </row>
    <row r="53" spans="1:13">
      <c r="A53" s="5">
        <v>42041</v>
      </c>
      <c r="B53" s="5">
        <v>104</v>
      </c>
      <c r="C53" s="6" t="str">
        <f>IFERROR(VLOOKUP(VALUE(MID(A53,4,1)),tb_world[[id]:[name]],2,0),"")</f>
        <v>树梢</v>
      </c>
      <c r="D53" s="6" t="str">
        <f t="shared" si="8"/>
        <v>4a</v>
      </c>
      <c r="E53" s="6" t="str" cm="1">
        <f t="array" ref="E53">_xlfn.IFS($J53&gt;0,"上坡",$J53&lt;0,"下坡",TRUE,"")</f>
        <v/>
      </c>
      <c r="G53" s="7">
        <v>50</v>
      </c>
      <c r="H53" s="7">
        <v>0</v>
      </c>
      <c r="I53" s="5" t="str">
        <f t="shared" si="9"/>
        <v>4a-flat-w1024</v>
      </c>
      <c r="K53" s="8">
        <v>1024</v>
      </c>
      <c r="M53" s="9">
        <f t="shared" si="10"/>
        <v>0</v>
      </c>
    </row>
    <row r="54" spans="1:13">
      <c r="A54" s="5">
        <v>42041</v>
      </c>
      <c r="B54" s="5">
        <v>201</v>
      </c>
      <c r="C54" s="6" t="str">
        <f>IFERROR(VLOOKUP(VALUE(MID(A54,4,1)),tb_world[[id]:[name]],2,0),"")</f>
        <v>树梢</v>
      </c>
      <c r="D54" s="6" t="str">
        <f t="shared" si="8"/>
        <v>4a</v>
      </c>
      <c r="E54" s="6" t="str" cm="1">
        <f t="array" ref="E54">_xlfn.IFS($J54&gt;0,"上坡",$J54&lt;0,"下坡",TRUE,"")</f>
        <v>上坡</v>
      </c>
      <c r="G54" s="7">
        <v>250</v>
      </c>
      <c r="H54" s="7">
        <v>150</v>
      </c>
      <c r="I54" s="5" t="str">
        <f t="shared" si="9"/>
        <v>4a-p64-w512</v>
      </c>
      <c r="J54" s="8">
        <v>64</v>
      </c>
      <c r="K54" s="8">
        <v>512</v>
      </c>
      <c r="M54" s="9">
        <f t="shared" si="10"/>
        <v>0.125</v>
      </c>
    </row>
    <row r="55" spans="1:13">
      <c r="A55" s="5">
        <v>42041</v>
      </c>
      <c r="B55" s="5">
        <v>202</v>
      </c>
      <c r="C55" s="6" t="str">
        <f>IFERROR(VLOOKUP(VALUE(MID(A55,4,1)),tb_world[[id]:[name]],2,0),"")</f>
        <v>树梢</v>
      </c>
      <c r="D55" s="6" t="str">
        <f t="shared" si="8"/>
        <v>4a</v>
      </c>
      <c r="E55" s="6" t="str" cm="1">
        <f t="array" ref="E55">_xlfn.IFS($J55&gt;0,"上坡",$J55&lt;0,"下坡",TRUE,"")</f>
        <v>上坡</v>
      </c>
      <c r="G55" s="7">
        <v>100</v>
      </c>
      <c r="H55" s="7">
        <v>0</v>
      </c>
      <c r="I55" s="5" t="str">
        <f t="shared" si="9"/>
        <v>4a-p40-w2048</v>
      </c>
      <c r="J55" s="8">
        <v>40</v>
      </c>
      <c r="K55" s="8">
        <v>2048</v>
      </c>
      <c r="M55" s="9">
        <f t="shared" si="10"/>
        <v>1.953125E-2</v>
      </c>
    </row>
    <row r="56" spans="1:13">
      <c r="A56" s="5">
        <v>42041</v>
      </c>
      <c r="B56" s="5">
        <v>301</v>
      </c>
      <c r="C56" s="6" t="str">
        <f>IFERROR(VLOOKUP(VALUE(MID(A56,4,1)),tb_world[[id]:[name]],2,0),"")</f>
        <v>树梢</v>
      </c>
      <c r="D56" s="6" t="str">
        <f t="shared" si="8"/>
        <v>4a</v>
      </c>
      <c r="E56" s="6" t="str" cm="1">
        <f t="array" ref="E56">_xlfn.IFS($J56&gt;0,"上坡",$J56&lt;0,"下坡",TRUE,"")</f>
        <v>下坡</v>
      </c>
      <c r="G56" s="7">
        <v>280</v>
      </c>
      <c r="H56" s="7">
        <v>0</v>
      </c>
      <c r="I56" s="5" t="str">
        <f t="shared" si="9"/>
        <v>4a-n68-w1024</v>
      </c>
      <c r="J56" s="8">
        <v>-68</v>
      </c>
      <c r="K56" s="8">
        <v>1024</v>
      </c>
      <c r="M56" s="9">
        <f t="shared" si="10"/>
        <v>-6.640625E-2</v>
      </c>
    </row>
    <row r="57" spans="1:13">
      <c r="A57" s="5">
        <v>42041</v>
      </c>
      <c r="B57" s="5">
        <v>302</v>
      </c>
      <c r="C57" s="6" t="str">
        <f>IFERROR(VLOOKUP(VALUE(MID(A57,4,1)),tb_world[[id]:[name]],2,0),"")</f>
        <v>树梢</v>
      </c>
      <c r="D57" s="6" t="str">
        <f t="shared" si="8"/>
        <v>4a</v>
      </c>
      <c r="E57" s="6" t="str" cm="1">
        <f t="array" ref="E57">_xlfn.IFS($J57&gt;0,"上坡",$J57&lt;0,"下坡",TRUE,"")</f>
        <v>下坡</v>
      </c>
      <c r="G57" s="7">
        <v>140</v>
      </c>
      <c r="H57" s="7">
        <v>0</v>
      </c>
      <c r="I57" s="5" t="str">
        <f t="shared" si="9"/>
        <v>4a-n56-w1024</v>
      </c>
      <c r="J57" s="8">
        <v>-56</v>
      </c>
      <c r="K57" s="8">
        <v>1024</v>
      </c>
      <c r="M57" s="9">
        <f t="shared" si="10"/>
        <v>-5.46875E-2</v>
      </c>
    </row>
    <row r="58" spans="1:13">
      <c r="C58" s="6" t="str">
        <f>IFERROR(VLOOKUP(VALUE(MID(A58,4,1)),tb_world[[id]:[name]],2,0),"")</f>
        <v/>
      </c>
      <c r="D58" s="6" t="str">
        <f t="shared" si="8"/>
        <v/>
      </c>
      <c r="E58" s="6" t="str" cm="1">
        <f t="array" ref="E58">_xlfn.IFS($J58&gt;0,"上坡",$J58&lt;0,"下坡",TRUE,"")</f>
        <v/>
      </c>
    </row>
    <row r="59" spans="1:13">
      <c r="A59" s="5">
        <v>42042</v>
      </c>
      <c r="B59" s="5">
        <v>101</v>
      </c>
      <c r="C59" s="6" t="str">
        <f>IFERROR(VLOOKUP(VALUE(MID(A59,4,1)),tb_world[[id]:[name]],2,0),"")</f>
        <v>树梢</v>
      </c>
      <c r="D59" s="6" t="str">
        <f t="shared" si="8"/>
        <v>4b</v>
      </c>
      <c r="E59" s="6" t="str" cm="1">
        <f t="array" ref="E59">_xlfn.IFS($J59&gt;0,"上坡",$J59&lt;0,"下坡",TRUE,"")</f>
        <v/>
      </c>
      <c r="G59" s="7">
        <v>100</v>
      </c>
      <c r="H59" s="7">
        <v>0</v>
      </c>
      <c r="I59" s="5" t="str">
        <f>_xlfn.LET(_xlpm.ascend,$J59,_xlpm.expr,_xlfn.TEXTJOIN("-",1,D59,_xlfn.IFS(_xlpm.ascend&gt;0,"p"&amp;_xlpm.ascend,_xlpm.ascend&lt;0,"n"&amp;-_xlpm.ascend,TRUE,"flat"),"w"&amp;_xlfn.TEXTJOIN("_",1,K59,L59)),IF($A59&lt;&gt;"",_xlpm.expr,""))</f>
        <v>4b-flat-w512</v>
      </c>
      <c r="K59" s="8">
        <v>512</v>
      </c>
      <c r="M59" s="9">
        <f>IF($A59&lt;&gt;"",$J59/$K59,"")</f>
        <v>0</v>
      </c>
    </row>
    <row r="60" spans="1:13">
      <c r="A60" s="5">
        <v>42042</v>
      </c>
      <c r="B60" s="5">
        <v>102</v>
      </c>
      <c r="C60" s="6" t="str">
        <f>IFERROR(VLOOKUP(VALUE(MID(A60,4,1)),tb_world[[id]:[name]],2,0),"")</f>
        <v>树梢</v>
      </c>
      <c r="D60" s="6" t="str">
        <f t="shared" si="8"/>
        <v>4b</v>
      </c>
      <c r="E60" s="6" t="str" cm="1">
        <f t="array" ref="E60">_xlfn.IFS($J60&gt;0,"上坡",$J60&lt;0,"下坡",TRUE,"")</f>
        <v/>
      </c>
      <c r="G60" s="7">
        <v>100</v>
      </c>
      <c r="H60" s="7">
        <v>0</v>
      </c>
      <c r="I60" s="5" t="str">
        <f t="shared" ref="I60:I66" si="11">_xlfn.LET(_xlpm.ascend,$J60,_xlpm.expr,_xlfn.TEXTJOIN("-",1,D60,_xlfn.IFS(_xlpm.ascend&gt;0,"p"&amp;_xlpm.ascend,_xlpm.ascend&lt;0,"n"&amp;-_xlpm.ascend,TRUE,"flat"),"w"&amp;_xlfn.TEXTJOIN("_",1,K60,L60)),IF($A60&lt;&gt;"",_xlpm.expr,""))</f>
        <v>4b-flat-w1024</v>
      </c>
      <c r="K60" s="8">
        <v>1024</v>
      </c>
      <c r="M60" s="9">
        <f t="shared" ref="M60:M66" si="12">IF($A60&lt;&gt;"",$J60/$K60,"")</f>
        <v>0</v>
      </c>
    </row>
    <row r="61" spans="1:13">
      <c r="A61" s="5">
        <v>42042</v>
      </c>
      <c r="B61" s="5">
        <v>103</v>
      </c>
      <c r="C61" s="6" t="str">
        <f>IFERROR(VLOOKUP(VALUE(MID(A61,4,1)),tb_world[[id]:[name]],2,0),"")</f>
        <v>树梢</v>
      </c>
      <c r="D61" s="6" t="str">
        <f t="shared" si="8"/>
        <v>4b</v>
      </c>
      <c r="E61" s="6" t="str" cm="1">
        <f t="array" ref="E61">_xlfn.IFS($J61&gt;0,"上坡",$J61&lt;0,"下坡",TRUE,"")</f>
        <v/>
      </c>
      <c r="G61" s="7">
        <v>100</v>
      </c>
      <c r="H61" s="7">
        <v>0</v>
      </c>
      <c r="I61" s="5" t="str">
        <f t="shared" si="11"/>
        <v>4b-flat-w2048</v>
      </c>
      <c r="K61" s="8">
        <v>2048</v>
      </c>
      <c r="M61" s="9">
        <f t="shared" si="12"/>
        <v>0</v>
      </c>
    </row>
    <row r="62" spans="1:13">
      <c r="A62" s="5">
        <v>42042</v>
      </c>
      <c r="B62" s="5">
        <v>201</v>
      </c>
      <c r="C62" s="6" t="str">
        <f>IFERROR(VLOOKUP(VALUE(MID(A62,4,1)),tb_world[[id]:[name]],2,0),"")</f>
        <v>树梢</v>
      </c>
      <c r="D62" s="6" t="str">
        <f t="shared" si="8"/>
        <v>4b</v>
      </c>
      <c r="E62" s="6" t="str" cm="1">
        <f t="array" ref="E62">_xlfn.IFS($J62&gt;0,"上坡",$J62&lt;0,"下坡",TRUE,"")</f>
        <v>上坡</v>
      </c>
      <c r="G62" s="7">
        <v>50</v>
      </c>
      <c r="H62" s="7">
        <v>0</v>
      </c>
      <c r="I62" s="5" t="str">
        <f t="shared" si="11"/>
        <v>4b-p20-w2048</v>
      </c>
      <c r="J62" s="8">
        <v>20</v>
      </c>
      <c r="K62" s="8">
        <v>2048</v>
      </c>
      <c r="M62" s="9">
        <f t="shared" si="12"/>
        <v>9.765625E-3</v>
      </c>
    </row>
    <row r="63" spans="1:13">
      <c r="A63" s="5">
        <v>42042</v>
      </c>
      <c r="B63" s="5">
        <v>202</v>
      </c>
      <c r="C63" s="6" t="str">
        <f>IFERROR(VLOOKUP(VALUE(MID(A63,4,1)),tb_world[[id]:[name]],2,0),"")</f>
        <v>树梢</v>
      </c>
      <c r="D63" s="6" t="str">
        <f t="shared" si="8"/>
        <v>4b</v>
      </c>
      <c r="E63" s="6" t="str" cm="1">
        <f t="array" ref="E63">_xlfn.IFS($J63&gt;0,"上坡",$J63&lt;0,"下坡",TRUE,"")</f>
        <v>上坡</v>
      </c>
      <c r="G63" s="7">
        <v>250</v>
      </c>
      <c r="H63" s="7">
        <v>150</v>
      </c>
      <c r="I63" s="5" t="str">
        <f t="shared" si="11"/>
        <v>4b-p60-w1024</v>
      </c>
      <c r="J63" s="8">
        <v>60</v>
      </c>
      <c r="K63" s="8">
        <v>1024</v>
      </c>
      <c r="M63" s="9">
        <f t="shared" si="12"/>
        <v>5.859375E-2</v>
      </c>
    </row>
    <row r="64" spans="1:13">
      <c r="A64" s="5">
        <v>42042</v>
      </c>
      <c r="B64" s="5">
        <v>301</v>
      </c>
      <c r="C64" s="6" t="str">
        <f>IFERROR(VLOOKUP(VALUE(MID(A64,4,1)),tb_world[[id]:[name]],2,0),"")</f>
        <v>树梢</v>
      </c>
      <c r="D64" s="6" t="str">
        <f t="shared" si="8"/>
        <v>4b</v>
      </c>
      <c r="E64" s="6" t="str" cm="1">
        <f t="array" ref="E64">_xlfn.IFS($J64&gt;0,"上坡",$J64&lt;0,"下坡",TRUE,"")</f>
        <v>下坡</v>
      </c>
      <c r="G64" s="7">
        <v>100</v>
      </c>
      <c r="H64" s="7">
        <v>0</v>
      </c>
      <c r="I64" s="5" t="str">
        <f t="shared" si="11"/>
        <v>4b-n36-w512</v>
      </c>
      <c r="J64" s="8">
        <v>-36</v>
      </c>
      <c r="K64" s="8">
        <v>512</v>
      </c>
      <c r="M64" s="9">
        <f t="shared" si="12"/>
        <v>-7.03125E-2</v>
      </c>
    </row>
    <row r="65" spans="1:15">
      <c r="A65" s="5">
        <v>42042</v>
      </c>
      <c r="B65" s="5">
        <v>302</v>
      </c>
      <c r="C65" s="6" t="str">
        <f>IFERROR(VLOOKUP(VALUE(MID(A65,4,1)),tb_world[[id]:[name]],2,0),"")</f>
        <v>树梢</v>
      </c>
      <c r="D65" s="6" t="str">
        <f t="shared" si="8"/>
        <v>4b</v>
      </c>
      <c r="E65" s="6" t="str" cm="1">
        <f t="array" ref="E65">_xlfn.IFS($J65&gt;0,"上坡",$J65&lt;0,"下坡",TRUE,"")</f>
        <v>下坡</v>
      </c>
      <c r="G65" s="7">
        <v>280</v>
      </c>
      <c r="H65" s="7">
        <v>0</v>
      </c>
      <c r="I65" s="5" t="str">
        <f t="shared" si="11"/>
        <v>4b-n48-w512</v>
      </c>
      <c r="J65" s="8">
        <v>-48</v>
      </c>
      <c r="K65" s="8">
        <v>512</v>
      </c>
      <c r="M65" s="9">
        <f t="shared" si="12"/>
        <v>-9.375E-2</v>
      </c>
    </row>
    <row r="66" spans="1:15">
      <c r="A66" s="5">
        <v>42042</v>
      </c>
      <c r="B66" s="5">
        <v>303</v>
      </c>
      <c r="C66" s="6" t="str">
        <f>IFERROR(VLOOKUP(VALUE(MID(A66,4,1)),tb_world[[id]:[name]],2,0),"")</f>
        <v>树梢</v>
      </c>
      <c r="D66" s="6" t="str">
        <f t="shared" si="8"/>
        <v>4b</v>
      </c>
      <c r="E66" s="6" t="str" cm="1">
        <f t="array" ref="E66">_xlfn.IFS($J66&gt;0,"上坡",$J66&lt;0,"下坡",TRUE,"")</f>
        <v>下坡</v>
      </c>
      <c r="G66" s="7">
        <v>140</v>
      </c>
      <c r="H66" s="7">
        <v>0</v>
      </c>
      <c r="I66" s="5" t="str">
        <f t="shared" si="11"/>
        <v>4b-n72-w1024</v>
      </c>
      <c r="J66" s="8">
        <v>-72</v>
      </c>
      <c r="K66" s="8">
        <v>1024</v>
      </c>
      <c r="M66" s="9">
        <f t="shared" si="12"/>
        <v>-7.03125E-2</v>
      </c>
    </row>
    <row r="67" spans="1:15">
      <c r="C67" s="6" t="str">
        <f>IFERROR(VLOOKUP(VALUE(MID(A67,4,1)),tb_world[[id]:[name]],2,0),"")</f>
        <v/>
      </c>
      <c r="D67" s="6" t="str">
        <f t="shared" si="8"/>
        <v/>
      </c>
      <c r="E67" s="6" t="str" cm="1">
        <f t="array" ref="E67">_xlfn.IFS($J67&gt;0,"上坡",$J67&lt;0,"下坡",TRUE,"")</f>
        <v/>
      </c>
    </row>
    <row r="68" spans="1:15">
      <c r="A68" s="5">
        <v>42043</v>
      </c>
      <c r="B68" s="5">
        <v>101</v>
      </c>
      <c r="C68" s="6" t="str">
        <f>IFERROR(VLOOKUP(VALUE(MID(A68,4,1)),tb_world[[id]:[name]],2,0),"")</f>
        <v>树梢</v>
      </c>
      <c r="D68" s="6" t="str">
        <f t="shared" si="8"/>
        <v>4c</v>
      </c>
      <c r="E68" s="6" t="str" cm="1">
        <f t="array" ref="E68">_xlfn.IFS($J68&gt;0,"上坡",$J68&lt;0,"下坡",TRUE,"")</f>
        <v/>
      </c>
      <c r="G68" s="7">
        <v>100</v>
      </c>
      <c r="H68" s="7">
        <v>0</v>
      </c>
      <c r="I68" s="5" t="str">
        <f>_xlfn.LET(_xlpm.ascend,$J68,_xlpm.expr,_xlfn.TEXTJOIN("-",1,D68,_xlfn.IFS(_xlpm.ascend&gt;0,"p"&amp;_xlpm.ascend,_xlpm.ascend&lt;0,"n"&amp;-_xlpm.ascend,TRUE,"flat"),"w"&amp;_xlfn.TEXTJOIN("_",1,K68,L68)),IF($A68&lt;&gt;"",_xlpm.expr,""))</f>
        <v>4c-flat-w512</v>
      </c>
      <c r="K68" s="8">
        <v>512</v>
      </c>
      <c r="M68" s="9">
        <f>IF($A68&lt;&gt;"",$J68/$K68,"")</f>
        <v>0</v>
      </c>
    </row>
    <row r="69" spans="1:15">
      <c r="A69" s="5">
        <v>42043</v>
      </c>
      <c r="B69" s="5">
        <v>102</v>
      </c>
      <c r="C69" s="6" t="str">
        <f>IFERROR(VLOOKUP(VALUE(MID(A69,4,1)),tb_world[[id]:[name]],2,0),"")</f>
        <v>树梢</v>
      </c>
      <c r="D69" s="6" t="str">
        <f t="shared" si="8"/>
        <v>4c</v>
      </c>
      <c r="E69" s="6" t="str" cm="1">
        <f t="array" ref="E69">_xlfn.IFS($J69&gt;0,"上坡",$J69&lt;0,"下坡",TRUE,"")</f>
        <v/>
      </c>
      <c r="G69" s="7">
        <v>100</v>
      </c>
      <c r="H69" s="7">
        <v>0</v>
      </c>
      <c r="I69" s="5" t="str">
        <f t="shared" ref="I69:I74" si="13">_xlfn.LET(_xlpm.ascend,$J69,_xlpm.expr,_xlfn.TEXTJOIN("-",1,D69,_xlfn.IFS(_xlpm.ascend&gt;0,"p"&amp;_xlpm.ascend,_xlpm.ascend&lt;0,"n"&amp;-_xlpm.ascend,TRUE,"flat"),"w"&amp;_xlfn.TEXTJOIN("_",1,K69,L69)),IF($A69&lt;&gt;"",_xlpm.expr,""))</f>
        <v>4c-flat-w1024</v>
      </c>
      <c r="K69" s="8">
        <v>1024</v>
      </c>
      <c r="M69" s="9">
        <f t="shared" ref="M69:M75" si="14">IF($A69&lt;&gt;"",$J69/$K69,"")</f>
        <v>0</v>
      </c>
    </row>
    <row r="70" spans="1:15">
      <c r="A70" s="5">
        <v>42043</v>
      </c>
      <c r="B70" s="5">
        <v>103</v>
      </c>
      <c r="C70" s="6" t="str">
        <f>IFERROR(VLOOKUP(VALUE(MID(A70,4,1)),tb_world[[id]:[name]],2,0),"")</f>
        <v>树梢</v>
      </c>
      <c r="D70" s="6" t="str">
        <f t="shared" si="8"/>
        <v>4c</v>
      </c>
      <c r="E70" s="6" t="str" cm="1">
        <f t="array" ref="E70">_xlfn.IFS($J70&gt;0,"上坡",$J70&lt;0,"下坡",TRUE,"")</f>
        <v/>
      </c>
      <c r="G70" s="7">
        <v>100</v>
      </c>
      <c r="H70" s="7">
        <v>0</v>
      </c>
      <c r="I70" s="5" t="str">
        <f t="shared" si="13"/>
        <v>4c-flat-w2048</v>
      </c>
      <c r="K70" s="8">
        <v>2048</v>
      </c>
      <c r="M70" s="9">
        <f t="shared" si="14"/>
        <v>0</v>
      </c>
    </row>
    <row r="71" spans="1:15">
      <c r="A71" s="5">
        <v>42043</v>
      </c>
      <c r="B71" s="5">
        <v>200</v>
      </c>
      <c r="C71" s="6" t="str">
        <f>IFERROR(VLOOKUP(VALUE(MID(A71,4,1)),tb_world[[id]:[name]],2,0),"")</f>
        <v>树梢</v>
      </c>
      <c r="D71" s="6" t="str">
        <f t="shared" si="8"/>
        <v>4c</v>
      </c>
      <c r="E71" s="6" t="str" cm="1">
        <f t="array" ref="E71">_xlfn.IFS($J71&gt;0,"上坡",$J71&lt;0,"下坡",TRUE,"")</f>
        <v>上坡</v>
      </c>
      <c r="G71" s="7">
        <v>250</v>
      </c>
      <c r="H71" s="7">
        <v>150</v>
      </c>
      <c r="I71" s="5" t="str">
        <f t="shared" si="13"/>
        <v>4c-p44-w1024</v>
      </c>
      <c r="J71" s="8">
        <v>44</v>
      </c>
      <c r="K71" s="8">
        <v>1024</v>
      </c>
      <c r="M71" s="9">
        <f t="shared" si="14"/>
        <v>4.296875E-2</v>
      </c>
    </row>
    <row r="72" spans="1:15">
      <c r="A72" s="5">
        <v>42043</v>
      </c>
      <c r="B72" s="5">
        <v>301</v>
      </c>
      <c r="C72" s="6" t="str">
        <f>IFERROR(VLOOKUP(VALUE(MID(A72,4,1)),tb_world[[id]:[name]],2,0),"")</f>
        <v>树梢</v>
      </c>
      <c r="D72" s="6" t="str">
        <f t="shared" si="8"/>
        <v>4c</v>
      </c>
      <c r="E72" s="6" t="str" cm="1">
        <f t="array" ref="E72">_xlfn.IFS($J72&gt;0,"上坡",$J72&lt;0,"下坡",TRUE,"")</f>
        <v>下坡</v>
      </c>
      <c r="G72" s="7">
        <v>100</v>
      </c>
      <c r="H72" s="7">
        <v>0</v>
      </c>
      <c r="I72" s="5" t="str">
        <f t="shared" si="13"/>
        <v>4c-n28-w512</v>
      </c>
      <c r="J72" s="8">
        <v>-28</v>
      </c>
      <c r="K72" s="8">
        <v>512</v>
      </c>
      <c r="M72" s="9">
        <f t="shared" si="14"/>
        <v>-5.46875E-2</v>
      </c>
    </row>
    <row r="73" spans="1:15">
      <c r="A73" s="5">
        <v>42043</v>
      </c>
      <c r="B73" s="5">
        <v>302</v>
      </c>
      <c r="C73" s="6" t="str">
        <f>IFERROR(VLOOKUP(VALUE(MID(A73,4,1)),tb_world[[id]:[name]],2,0),"")</f>
        <v>树梢</v>
      </c>
      <c r="D73" s="6" t="str">
        <f t="shared" si="8"/>
        <v>4c</v>
      </c>
      <c r="E73" s="6" t="str" cm="1">
        <f t="array" ref="E73">_xlfn.IFS($J73&gt;0,"上坡",$J73&lt;0,"下坡",TRUE,"")</f>
        <v>下坡</v>
      </c>
      <c r="G73" s="7">
        <v>280</v>
      </c>
      <c r="H73" s="7">
        <v>0</v>
      </c>
      <c r="I73" s="5" t="str">
        <f t="shared" si="13"/>
        <v>4c-n56-w512</v>
      </c>
      <c r="J73" s="8">
        <v>-56</v>
      </c>
      <c r="K73" s="8">
        <v>512</v>
      </c>
      <c r="M73" s="9">
        <f t="shared" si="14"/>
        <v>-0.109375</v>
      </c>
    </row>
    <row r="74" spans="1:15">
      <c r="A74" s="5">
        <v>42043</v>
      </c>
      <c r="B74" s="5">
        <v>303</v>
      </c>
      <c r="C74" s="6" t="str">
        <f>IFERROR(VLOOKUP(VALUE(MID(A74,4,1)),tb_world[[id]:[name]],2,0),"")</f>
        <v>树梢</v>
      </c>
      <c r="D74" s="6" t="str">
        <f t="shared" si="8"/>
        <v>4c</v>
      </c>
      <c r="E74" s="6" t="str" cm="1">
        <f t="array" ref="E74">_xlfn.IFS($J74&gt;0,"上坡",$J74&lt;0,"下坡",TRUE,"")</f>
        <v>下坡</v>
      </c>
      <c r="G74" s="7">
        <v>140</v>
      </c>
      <c r="H74" s="7">
        <v>0</v>
      </c>
      <c r="I74" s="5" t="str">
        <f t="shared" si="13"/>
        <v>4c-n60-w1024</v>
      </c>
      <c r="J74" s="8">
        <v>-60</v>
      </c>
      <c r="K74" s="8">
        <v>1024</v>
      </c>
      <c r="M74" s="9">
        <f t="shared" si="14"/>
        <v>-5.859375E-2</v>
      </c>
    </row>
    <row r="75" spans="1:15">
      <c r="A75" s="5">
        <v>42043</v>
      </c>
      <c r="B75" s="5">
        <v>304</v>
      </c>
      <c r="C75" s="6" t="str">
        <f>IFERROR(VLOOKUP(VALUE(MID(A75,4,1)),tb_world[[id]:[name]],2,0),"")</f>
        <v>树梢</v>
      </c>
      <c r="D75" s="6" t="str">
        <f t="shared" si="8"/>
        <v>4c</v>
      </c>
      <c r="E75" s="6" t="str" cm="1">
        <f t="array" ref="E75">_xlfn.IFS($J75&gt;0,"上坡",$J75&lt;0,"下坡",TRUE,"")</f>
        <v>下坡</v>
      </c>
      <c r="G75" s="7">
        <v>140</v>
      </c>
      <c r="H75" s="7">
        <v>0</v>
      </c>
      <c r="I75" s="5" t="str">
        <f t="shared" ref="I75" si="15">_xlfn.LET(_xlpm.ascend,$J75,_xlpm.expr,_xlfn.TEXTJOIN("-",1,D75,_xlfn.IFS(_xlpm.ascend&gt;0,"p"&amp;_xlpm.ascend,_xlpm.ascend&lt;0,"n"&amp;-_xlpm.ascend,TRUE,"flat"),"w"&amp;_xlfn.TEXTJOIN("_",1,K75,L75)),IF($A75&lt;&gt;"",_xlpm.expr,""))</f>
        <v>4c-n72-w2048</v>
      </c>
      <c r="J75" s="8">
        <v>-72</v>
      </c>
      <c r="K75" s="8">
        <v>2048</v>
      </c>
      <c r="M75" s="9">
        <f t="shared" si="14"/>
        <v>-3.515625E-2</v>
      </c>
    </row>
    <row r="78" spans="1:15" s="66" customFormat="1">
      <c r="A78" s="61"/>
      <c r="B78" s="61"/>
      <c r="C78" s="67" t="s">
        <v>512</v>
      </c>
      <c r="D78" s="62"/>
      <c r="E78" s="62"/>
      <c r="F78" s="62"/>
      <c r="G78" s="63"/>
      <c r="H78" s="63"/>
      <c r="I78" s="61"/>
      <c r="J78" s="64"/>
      <c r="K78" s="64"/>
      <c r="L78" s="64"/>
      <c r="M78" s="65"/>
      <c r="N78" s="63"/>
      <c r="O78" s="63"/>
    </row>
    <row r="80" spans="1:15">
      <c r="A80" s="5">
        <v>42071</v>
      </c>
      <c r="B80" s="5">
        <v>101</v>
      </c>
      <c r="C80" s="6" t="str">
        <f>IFERROR(VLOOKUP(VALUE(MID(A80,4,1)),tb_world[[id]:[name]],2,0),"")</f>
        <v>荒漠</v>
      </c>
      <c r="D80" s="6" t="str">
        <f t="shared" ref="D80:D111" si="16">IF($A80&lt;&gt;"",MID($A80,4,1)&amp;CHAR(96+MOD($A80,10)),"")</f>
        <v>7a</v>
      </c>
      <c r="E80" s="6" t="str" cm="1">
        <f t="array" ref="E80">_xlfn.IFS($J80&gt;0,"上坡",$J80&lt;0,"下坡",TRUE,"")</f>
        <v/>
      </c>
      <c r="G80" s="7">
        <v>100</v>
      </c>
      <c r="H80" s="7">
        <v>0</v>
      </c>
      <c r="I80" s="5" t="str">
        <f>_xlfn.LET(_xlpm.ascend,$J80,_xlpm.expr,_xlfn.TEXTJOIN("-",1,D80,_xlfn.IFS(_xlpm.ascend&gt;0,"p"&amp;_xlpm.ascend,_xlpm.ascend&lt;0,"n"&amp;-_xlpm.ascend,TRUE,"flat"),"w"&amp;_xlfn.TEXTJOIN("_",1,K80,L80)),IF($A80&lt;&gt;"",_xlpm.expr,""))</f>
        <v>7a-flat-w512</v>
      </c>
      <c r="K80" s="8">
        <v>512</v>
      </c>
      <c r="M80" s="9">
        <f>IF($A80&lt;&gt;"",$J80/$K80,"")</f>
        <v>0</v>
      </c>
    </row>
    <row r="81" spans="1:13">
      <c r="A81" s="5">
        <v>42071</v>
      </c>
      <c r="B81" s="5">
        <v>102</v>
      </c>
      <c r="C81" s="6" t="str">
        <f>IFERROR(VLOOKUP(VALUE(MID(A81,4,1)),tb_world[[id]:[name]],2,0),"")</f>
        <v>荒漠</v>
      </c>
      <c r="D81" s="6" t="str">
        <f t="shared" si="16"/>
        <v>7a</v>
      </c>
      <c r="E81" s="6" t="str" cm="1">
        <f t="array" ref="E81">_xlfn.IFS($J81&gt;0,"上坡",$J81&lt;0,"下坡",TRUE,"")</f>
        <v/>
      </c>
      <c r="G81" s="7">
        <v>100</v>
      </c>
      <c r="H81" s="7">
        <v>0</v>
      </c>
      <c r="I81" s="5" t="str">
        <f t="shared" ref="I81:I88" si="17">_xlfn.LET(_xlpm.ascend,$J81,_xlpm.expr,_xlfn.TEXTJOIN("-",1,D81,_xlfn.IFS(_xlpm.ascend&gt;0,"p"&amp;_xlpm.ascend,_xlpm.ascend&lt;0,"n"&amp;-_xlpm.ascend,TRUE,"flat"),"w"&amp;_xlfn.TEXTJOIN("_",1,K81,L81)),IF($A81&lt;&gt;"",_xlpm.expr,""))</f>
        <v>7a-flat-w2048</v>
      </c>
      <c r="K81" s="8">
        <v>2048</v>
      </c>
      <c r="M81" s="9">
        <f t="shared" ref="M81:M89" si="18">IF($A81&lt;&gt;"",$J81/$K81,"")</f>
        <v>0</v>
      </c>
    </row>
    <row r="82" spans="1:13">
      <c r="A82" s="5">
        <v>42071</v>
      </c>
      <c r="B82" s="5">
        <v>103</v>
      </c>
      <c r="C82" s="6" t="str">
        <f>IFERROR(VLOOKUP(VALUE(MID(A82,4,1)),tb_world[[id]:[name]],2,0),"")</f>
        <v>荒漠</v>
      </c>
      <c r="D82" s="6" t="str">
        <f t="shared" si="16"/>
        <v>7a</v>
      </c>
      <c r="E82" s="6" t="str" cm="1">
        <f t="array" ref="E82">_xlfn.IFS($J82&gt;0,"上坡",$J82&lt;0,"下坡",TRUE,"")</f>
        <v/>
      </c>
      <c r="G82" s="7">
        <v>100</v>
      </c>
      <c r="H82" s="7">
        <v>0</v>
      </c>
      <c r="I82" s="5" t="str">
        <f t="shared" si="17"/>
        <v>7a-flat-w2048_2</v>
      </c>
      <c r="K82" s="8">
        <v>2048</v>
      </c>
      <c r="L82" s="8">
        <v>2</v>
      </c>
      <c r="M82" s="9">
        <f t="shared" si="18"/>
        <v>0</v>
      </c>
    </row>
    <row r="83" spans="1:13">
      <c r="A83" s="5">
        <v>42071</v>
      </c>
      <c r="B83" s="5">
        <v>104</v>
      </c>
      <c r="C83" s="6" t="str">
        <f>IFERROR(VLOOKUP(VALUE(MID(A83,4,1)),tb_world[[id]:[name]],2,0),"")</f>
        <v>荒漠</v>
      </c>
      <c r="D83" s="6" t="str">
        <f t="shared" si="16"/>
        <v>7a</v>
      </c>
      <c r="E83" s="6" t="str" cm="1">
        <f t="array" ref="E83">_xlfn.IFS($J83&gt;0,"上坡",$J83&lt;0,"下坡",TRUE,"")</f>
        <v/>
      </c>
      <c r="G83" s="7">
        <v>100</v>
      </c>
      <c r="H83" s="7">
        <v>0</v>
      </c>
      <c r="I83" s="5" t="str">
        <f t="shared" si="17"/>
        <v>7a-flat-w1024</v>
      </c>
      <c r="K83" s="8">
        <v>1024</v>
      </c>
      <c r="M83" s="9">
        <f t="shared" si="18"/>
        <v>0</v>
      </c>
    </row>
    <row r="84" spans="1:13">
      <c r="A84" s="5">
        <v>42071</v>
      </c>
      <c r="B84" s="5">
        <v>105</v>
      </c>
      <c r="C84" s="6" t="str">
        <f>IFERROR(VLOOKUP(VALUE(MID(A84,4,1)),tb_world[[id]:[name]],2,0),"")</f>
        <v>荒漠</v>
      </c>
      <c r="D84" s="6" t="str">
        <f t="shared" si="16"/>
        <v>7a</v>
      </c>
      <c r="E84" s="6" t="str" cm="1">
        <f t="array" ref="E84">_xlfn.IFS($J84&gt;0,"上坡",$J84&lt;0,"下坡",TRUE,"")</f>
        <v/>
      </c>
      <c r="G84" s="7">
        <v>100</v>
      </c>
      <c r="H84" s="7">
        <v>0</v>
      </c>
      <c r="I84" s="5" t="str">
        <f t="shared" ref="I84" si="19">_xlfn.LET(_xlpm.ascend,$J84,_xlpm.expr,_xlfn.TEXTJOIN("-",1,D84,_xlfn.IFS(_xlpm.ascend&gt;0,"p"&amp;_xlpm.ascend,_xlpm.ascend&lt;0,"n"&amp;-_xlpm.ascend,TRUE,"flat"),"w"&amp;_xlfn.TEXTJOIN("_",1,K84,L84)),IF($A84&lt;&gt;"",_xlpm.expr,""))</f>
        <v>7a-flat-w1024_2</v>
      </c>
      <c r="K84" s="8">
        <v>1024</v>
      </c>
      <c r="L84" s="8">
        <v>2</v>
      </c>
      <c r="M84" s="9">
        <f t="shared" si="18"/>
        <v>0</v>
      </c>
    </row>
    <row r="85" spans="1:13">
      <c r="A85" s="5">
        <v>42071</v>
      </c>
      <c r="B85" s="5">
        <v>201</v>
      </c>
      <c r="C85" s="6" t="str">
        <f>IFERROR(VLOOKUP(VALUE(MID(A85,4,1)),tb_world[[id]:[name]],2,0),"")</f>
        <v>荒漠</v>
      </c>
      <c r="D85" s="6" t="str">
        <f t="shared" si="16"/>
        <v>7a</v>
      </c>
      <c r="E85" s="6" t="str" cm="1">
        <f t="array" ref="E85">_xlfn.IFS($J85&gt;0,"上坡",$J85&lt;0,"下坡",TRUE,"")</f>
        <v>上坡</v>
      </c>
      <c r="G85" s="7">
        <v>250</v>
      </c>
      <c r="H85" s="7">
        <v>150</v>
      </c>
      <c r="I85" s="5" t="str">
        <f t="shared" si="17"/>
        <v>7a-p40-w512</v>
      </c>
      <c r="J85" s="8">
        <v>40</v>
      </c>
      <c r="K85" s="8">
        <v>512</v>
      </c>
      <c r="M85" s="9">
        <f t="shared" si="18"/>
        <v>7.8125E-2</v>
      </c>
    </row>
    <row r="86" spans="1:13">
      <c r="A86" s="5">
        <v>42071</v>
      </c>
      <c r="B86" s="5">
        <v>202</v>
      </c>
      <c r="C86" s="6" t="str">
        <f>IFERROR(VLOOKUP(VALUE(MID(A86,4,1)),tb_world[[id]:[name]],2,0),"")</f>
        <v>荒漠</v>
      </c>
      <c r="D86" s="6" t="str">
        <f t="shared" si="16"/>
        <v>7a</v>
      </c>
      <c r="E86" s="6" t="str" cm="1">
        <f t="array" ref="E86">_xlfn.IFS($J86&gt;0,"上坡",$J86&lt;0,"下坡",TRUE,"")</f>
        <v>上坡</v>
      </c>
      <c r="G86" s="7">
        <v>100</v>
      </c>
      <c r="H86" s="7">
        <v>0</v>
      </c>
      <c r="I86" s="5" t="str">
        <f t="shared" si="17"/>
        <v>7a-p48-w1024</v>
      </c>
      <c r="J86" s="8">
        <v>48</v>
      </c>
      <c r="K86" s="8">
        <v>1024</v>
      </c>
      <c r="M86" s="9">
        <f t="shared" si="18"/>
        <v>4.6875E-2</v>
      </c>
    </row>
    <row r="87" spans="1:13">
      <c r="A87" s="5">
        <v>42071</v>
      </c>
      <c r="B87" s="5">
        <v>301</v>
      </c>
      <c r="C87" s="6" t="str">
        <f>IFERROR(VLOOKUP(VALUE(MID(A87,4,1)),tb_world[[id]:[name]],2,0),"")</f>
        <v>荒漠</v>
      </c>
      <c r="D87" s="6" t="str">
        <f t="shared" si="16"/>
        <v>7a</v>
      </c>
      <c r="E87" s="6" t="str" cm="1">
        <f t="array" ref="E87">_xlfn.IFS($J87&gt;0,"上坡",$J87&lt;0,"下坡",TRUE,"")</f>
        <v>下坡</v>
      </c>
      <c r="G87" s="7">
        <v>200</v>
      </c>
      <c r="H87" s="7">
        <v>0</v>
      </c>
      <c r="I87" s="5" t="str">
        <f t="shared" si="17"/>
        <v>7a-n40-w1024</v>
      </c>
      <c r="J87" s="8">
        <v>-40</v>
      </c>
      <c r="K87" s="8">
        <v>1024</v>
      </c>
      <c r="M87" s="9">
        <f t="shared" si="18"/>
        <v>-3.90625E-2</v>
      </c>
    </row>
    <row r="88" spans="1:13">
      <c r="A88" s="5">
        <v>42071</v>
      </c>
      <c r="B88" s="5">
        <v>302</v>
      </c>
      <c r="C88" s="6" t="str">
        <f>IFERROR(VLOOKUP(VALUE(MID(A88,4,1)),tb_world[[id]:[name]],2,0),"")</f>
        <v>荒漠</v>
      </c>
      <c r="D88" s="6" t="str">
        <f t="shared" si="16"/>
        <v>7a</v>
      </c>
      <c r="E88" s="6" t="str" cm="1">
        <f t="array" ref="E88">_xlfn.IFS($J88&gt;0,"上坡",$J88&lt;0,"下坡",TRUE,"")</f>
        <v>下坡</v>
      </c>
      <c r="G88" s="7">
        <v>140</v>
      </c>
      <c r="H88" s="7">
        <v>0</v>
      </c>
      <c r="I88" s="5" t="str">
        <f t="shared" si="17"/>
        <v>7a-n60-w512</v>
      </c>
      <c r="J88" s="8">
        <v>-60</v>
      </c>
      <c r="K88" s="8">
        <v>512</v>
      </c>
      <c r="M88" s="9">
        <f t="shared" si="18"/>
        <v>-0.1171875</v>
      </c>
    </row>
    <row r="89" spans="1:13">
      <c r="A89" s="5">
        <v>42071</v>
      </c>
      <c r="B89" s="5">
        <v>303</v>
      </c>
      <c r="C89" s="6" t="str">
        <f>IFERROR(VLOOKUP(VALUE(MID(A89,4,1)),tb_world[[id]:[name]],2,0),"")</f>
        <v>荒漠</v>
      </c>
      <c r="D89" s="6" t="str">
        <f t="shared" si="16"/>
        <v>7a</v>
      </c>
      <c r="E89" s="6" t="str" cm="1">
        <f t="array" ref="E89">_xlfn.IFS($J89&gt;0,"上坡",$J89&lt;0,"下坡",TRUE,"")</f>
        <v>下坡</v>
      </c>
      <c r="G89" s="7">
        <v>200</v>
      </c>
      <c r="H89" s="7">
        <v>0</v>
      </c>
      <c r="I89" s="5" t="str">
        <f t="shared" ref="I89" si="20">_xlfn.LET(_xlpm.ascend,$J89,_xlpm.expr,_xlfn.TEXTJOIN("-",1,D89,_xlfn.IFS(_xlpm.ascend&gt;0,"p"&amp;_xlpm.ascend,_xlpm.ascend&lt;0,"n"&amp;-_xlpm.ascend,TRUE,"flat"),"w"&amp;_xlfn.TEXTJOIN("_",1,K89,L89)),IF($A89&lt;&gt;"",_xlpm.expr,""))</f>
        <v>7a-n76-w2048</v>
      </c>
      <c r="J89" s="8">
        <v>-76</v>
      </c>
      <c r="K89" s="8">
        <v>2048</v>
      </c>
      <c r="M89" s="9">
        <f t="shared" si="18"/>
        <v>-3.7109375E-2</v>
      </c>
    </row>
    <row r="90" spans="1:13">
      <c r="D90" s="6" t="str">
        <f t="shared" si="16"/>
        <v/>
      </c>
      <c r="E90" s="6" t="str" cm="1">
        <f t="array" ref="E90">_xlfn.IFS($J90&gt;0,"上坡",$J90&lt;0,"下坡",TRUE,"")</f>
        <v/>
      </c>
    </row>
    <row r="91" spans="1:13">
      <c r="A91" s="5">
        <v>42072</v>
      </c>
      <c r="B91" s="5">
        <v>101</v>
      </c>
      <c r="C91" s="6" t="str">
        <f>IFERROR(VLOOKUP(VALUE(MID(A91,4,1)),tb_world[[id]:[name]],2,0),"")</f>
        <v>荒漠</v>
      </c>
      <c r="D91" s="6" t="str">
        <f t="shared" si="16"/>
        <v>7b</v>
      </c>
      <c r="E91" s="6" t="str" cm="1">
        <f t="array" ref="E91">_xlfn.IFS($J91&gt;0,"上坡",$J91&lt;0,"下坡",TRUE,"")</f>
        <v/>
      </c>
      <c r="G91" s="7">
        <v>100</v>
      </c>
      <c r="H91" s="7">
        <v>0</v>
      </c>
      <c r="I91" s="5" t="str">
        <f>_xlfn.LET(_xlpm.ascend,$J91,_xlpm.expr,_xlfn.TEXTJOIN("-",1,D91,_xlfn.IFS(_xlpm.ascend&gt;0,"p"&amp;_xlpm.ascend,_xlpm.ascend&lt;0,"n"&amp;-_xlpm.ascend,TRUE,"flat"),"w"&amp;_xlfn.TEXTJOIN("_",1,K91,L91)),IF($A91&lt;&gt;"",_xlpm.expr,""))</f>
        <v>7b-flat-w512</v>
      </c>
      <c r="K91" s="8">
        <v>512</v>
      </c>
      <c r="M91" s="9">
        <f>IF($A91&lt;&gt;"",$J91/$K91,"")</f>
        <v>0</v>
      </c>
    </row>
    <row r="92" spans="1:13">
      <c r="A92" s="5">
        <v>42072</v>
      </c>
      <c r="B92" s="5">
        <v>102</v>
      </c>
      <c r="C92" s="6" t="str">
        <f>IFERROR(VLOOKUP(VALUE(MID(A92,4,1)),tb_world[[id]:[name]],2,0),"")</f>
        <v>荒漠</v>
      </c>
      <c r="D92" s="6" t="str">
        <f t="shared" si="16"/>
        <v>7b</v>
      </c>
      <c r="E92" s="6" t="str" cm="1">
        <f t="array" ref="E92">_xlfn.IFS($J92&gt;0,"上坡",$J92&lt;0,"下坡",TRUE,"")</f>
        <v/>
      </c>
      <c r="G92" s="7">
        <v>100</v>
      </c>
      <c r="H92" s="7">
        <v>0</v>
      </c>
      <c r="I92" s="5" t="str">
        <f t="shared" ref="I92:I100" si="21">_xlfn.LET(_xlpm.ascend,$J92,_xlpm.expr,_xlfn.TEXTJOIN("-",1,D92,_xlfn.IFS(_xlpm.ascend&gt;0,"p"&amp;_xlpm.ascend,_xlpm.ascend&lt;0,"n"&amp;-_xlpm.ascend,TRUE,"flat"),"w"&amp;_xlfn.TEXTJOIN("_",1,K92,L92)),IF($A92&lt;&gt;"",_xlpm.expr,""))</f>
        <v>7b-flat-w2048</v>
      </c>
      <c r="K92" s="8">
        <v>2048</v>
      </c>
      <c r="M92" s="9">
        <f t="shared" ref="M92:M100" si="22">IF($A92&lt;&gt;"",$J92/$K92,"")</f>
        <v>0</v>
      </c>
    </row>
    <row r="93" spans="1:13">
      <c r="A93" s="5">
        <v>42072</v>
      </c>
      <c r="B93" s="5">
        <v>103</v>
      </c>
      <c r="C93" s="6" t="str">
        <f>IFERROR(VLOOKUP(VALUE(MID(A93,4,1)),tb_world[[id]:[name]],2,0),"")</f>
        <v>荒漠</v>
      </c>
      <c r="D93" s="6" t="str">
        <f t="shared" si="16"/>
        <v>7b</v>
      </c>
      <c r="E93" s="6" t="str" cm="1">
        <f t="array" ref="E93">_xlfn.IFS($J93&gt;0,"上坡",$J93&lt;0,"下坡",TRUE,"")</f>
        <v/>
      </c>
      <c r="G93" s="7">
        <v>100</v>
      </c>
      <c r="H93" s="7">
        <v>0</v>
      </c>
      <c r="I93" s="5" t="str">
        <f t="shared" si="21"/>
        <v>7b-flat-w2048_2</v>
      </c>
      <c r="K93" s="8">
        <v>2048</v>
      </c>
      <c r="L93" s="8">
        <v>2</v>
      </c>
      <c r="M93" s="9">
        <f t="shared" si="22"/>
        <v>0</v>
      </c>
    </row>
    <row r="94" spans="1:13">
      <c r="A94" s="5">
        <v>42072</v>
      </c>
      <c r="B94" s="5">
        <v>104</v>
      </c>
      <c r="C94" s="6" t="str">
        <f>IFERROR(VLOOKUP(VALUE(MID(A94,4,1)),tb_world[[id]:[name]],2,0),"")</f>
        <v>荒漠</v>
      </c>
      <c r="D94" s="6" t="str">
        <f t="shared" si="16"/>
        <v>7b</v>
      </c>
      <c r="E94" s="6" t="str" cm="1">
        <f t="array" ref="E94">_xlfn.IFS($J94&gt;0,"上坡",$J94&lt;0,"下坡",TRUE,"")</f>
        <v/>
      </c>
      <c r="G94" s="7">
        <v>100</v>
      </c>
      <c r="H94" s="7">
        <v>0</v>
      </c>
      <c r="I94" s="5" t="str">
        <f t="shared" si="21"/>
        <v>7b-flat-w1024</v>
      </c>
      <c r="K94" s="8">
        <v>1024</v>
      </c>
      <c r="M94" s="9">
        <f t="shared" si="22"/>
        <v>0</v>
      </c>
    </row>
    <row r="95" spans="1:13">
      <c r="A95" s="5">
        <v>42072</v>
      </c>
      <c r="B95" s="5">
        <v>105</v>
      </c>
      <c r="C95" s="6" t="str">
        <f>IFERROR(VLOOKUP(VALUE(MID(A95,4,1)),tb_world[[id]:[name]],2,0),"")</f>
        <v>荒漠</v>
      </c>
      <c r="D95" s="6" t="str">
        <f t="shared" si="16"/>
        <v>7b</v>
      </c>
      <c r="E95" s="6" t="str" cm="1">
        <f t="array" ref="E95">_xlfn.IFS($J95&gt;0,"上坡",$J95&lt;0,"下坡",TRUE,"")</f>
        <v/>
      </c>
      <c r="G95" s="7">
        <v>100</v>
      </c>
      <c r="H95" s="7">
        <v>0</v>
      </c>
      <c r="I95" s="5" t="str">
        <f t="shared" si="21"/>
        <v>7b-flat-w1024_2</v>
      </c>
      <c r="K95" s="8">
        <v>1024</v>
      </c>
      <c r="L95" s="8">
        <v>2</v>
      </c>
      <c r="M95" s="9">
        <f t="shared" si="22"/>
        <v>0</v>
      </c>
    </row>
    <row r="96" spans="1:13">
      <c r="A96" s="5">
        <v>42072</v>
      </c>
      <c r="B96" s="5">
        <v>201</v>
      </c>
      <c r="C96" s="6" t="str">
        <f>IFERROR(VLOOKUP(VALUE(MID(A96,4,1)),tb_world[[id]:[name]],2,0),"")</f>
        <v>荒漠</v>
      </c>
      <c r="D96" s="6" t="str">
        <f t="shared" si="16"/>
        <v>7b</v>
      </c>
      <c r="E96" s="6" t="str" cm="1">
        <f t="array" ref="E96">_xlfn.IFS($J96&gt;0,"上坡",$J96&lt;0,"下坡",TRUE,"")</f>
        <v>上坡</v>
      </c>
      <c r="G96" s="7">
        <v>250</v>
      </c>
      <c r="H96" s="7">
        <v>150</v>
      </c>
      <c r="I96" s="5" t="str">
        <f t="shared" si="21"/>
        <v>7b-p40-w512</v>
      </c>
      <c r="J96" s="8">
        <v>40</v>
      </c>
      <c r="K96" s="8">
        <v>512</v>
      </c>
      <c r="M96" s="9">
        <f t="shared" si="22"/>
        <v>7.8125E-2</v>
      </c>
    </row>
    <row r="97" spans="1:13">
      <c r="A97" s="5">
        <v>42072</v>
      </c>
      <c r="B97" s="5">
        <v>202</v>
      </c>
      <c r="C97" s="6" t="str">
        <f>IFERROR(VLOOKUP(VALUE(MID(A97,4,1)),tb_world[[id]:[name]],2,0),"")</f>
        <v>荒漠</v>
      </c>
      <c r="D97" s="6" t="str">
        <f t="shared" si="16"/>
        <v>7b</v>
      </c>
      <c r="E97" s="6" t="str" cm="1">
        <f t="array" ref="E97">_xlfn.IFS($J97&gt;0,"上坡",$J97&lt;0,"下坡",TRUE,"")</f>
        <v>上坡</v>
      </c>
      <c r="G97" s="7">
        <v>100</v>
      </c>
      <c r="H97" s="7">
        <v>0</v>
      </c>
      <c r="I97" s="5" t="str">
        <f t="shared" si="21"/>
        <v>7b-p68-w1024</v>
      </c>
      <c r="J97" s="8">
        <v>68</v>
      </c>
      <c r="K97" s="8">
        <v>1024</v>
      </c>
      <c r="M97" s="9">
        <f t="shared" si="22"/>
        <v>6.640625E-2</v>
      </c>
    </row>
    <row r="98" spans="1:13">
      <c r="A98" s="5">
        <v>42072</v>
      </c>
      <c r="B98" s="5">
        <v>301</v>
      </c>
      <c r="C98" s="6" t="str">
        <f>IFERROR(VLOOKUP(VALUE(MID(A98,4,1)),tb_world[[id]:[name]],2,0),"")</f>
        <v>荒漠</v>
      </c>
      <c r="D98" s="6" t="str">
        <f t="shared" si="16"/>
        <v>7b</v>
      </c>
      <c r="E98" s="6" t="str" cm="1">
        <f t="array" ref="E98">_xlfn.IFS($J98&gt;0,"上坡",$J98&lt;0,"下坡",TRUE,"")</f>
        <v>下坡</v>
      </c>
      <c r="G98" s="7">
        <v>160</v>
      </c>
      <c r="H98" s="7">
        <v>0</v>
      </c>
      <c r="I98" s="5" t="str">
        <f t="shared" si="21"/>
        <v>7b-n60-w512</v>
      </c>
      <c r="J98" s="8">
        <v>-60</v>
      </c>
      <c r="K98" s="8">
        <v>512</v>
      </c>
      <c r="M98" s="9">
        <f t="shared" si="22"/>
        <v>-0.1171875</v>
      </c>
    </row>
    <row r="99" spans="1:13">
      <c r="A99" s="5">
        <v>42072</v>
      </c>
      <c r="B99" s="5">
        <v>302</v>
      </c>
      <c r="C99" s="6" t="str">
        <f>IFERROR(VLOOKUP(VALUE(MID(A99,4,1)),tb_world[[id]:[name]],2,0),"")</f>
        <v>荒漠</v>
      </c>
      <c r="D99" s="6" t="str">
        <f t="shared" si="16"/>
        <v>7b</v>
      </c>
      <c r="E99" s="6" t="str" cm="1">
        <f t="array" ref="E99">_xlfn.IFS($J99&gt;0,"上坡",$J99&lt;0,"下坡",TRUE,"")</f>
        <v>下坡</v>
      </c>
      <c r="G99" s="7">
        <v>160</v>
      </c>
      <c r="H99" s="7">
        <v>0</v>
      </c>
      <c r="I99" s="5" t="str">
        <f t="shared" si="21"/>
        <v>7b-n32-w1024</v>
      </c>
      <c r="J99" s="8">
        <v>-32</v>
      </c>
      <c r="K99" s="8">
        <v>1024</v>
      </c>
      <c r="M99" s="9">
        <f t="shared" si="22"/>
        <v>-3.125E-2</v>
      </c>
    </row>
    <row r="100" spans="1:13">
      <c r="A100" s="5">
        <v>42072</v>
      </c>
      <c r="B100" s="5">
        <v>303</v>
      </c>
      <c r="C100" s="6" t="str">
        <f>IFERROR(VLOOKUP(VALUE(MID(A100,4,1)),tb_world[[id]:[name]],2,0),"")</f>
        <v>荒漠</v>
      </c>
      <c r="D100" s="6" t="str">
        <f t="shared" si="16"/>
        <v>7b</v>
      </c>
      <c r="E100" s="6" t="str" cm="1">
        <f t="array" ref="E100">_xlfn.IFS($J100&gt;0,"上坡",$J100&lt;0,"下坡",TRUE,"")</f>
        <v>下坡</v>
      </c>
      <c r="G100" s="7">
        <v>160</v>
      </c>
      <c r="H100" s="7">
        <v>0</v>
      </c>
      <c r="I100" s="5" t="str">
        <f t="shared" si="21"/>
        <v>7b-n76-w2048</v>
      </c>
      <c r="J100" s="8">
        <v>-76</v>
      </c>
      <c r="K100" s="8">
        <v>2048</v>
      </c>
      <c r="M100" s="9">
        <f t="shared" si="22"/>
        <v>-3.7109375E-2</v>
      </c>
    </row>
    <row r="102" spans="1:13">
      <c r="A102" s="5">
        <v>42073</v>
      </c>
      <c r="B102" s="5">
        <v>101</v>
      </c>
      <c r="C102" s="6" t="str">
        <f>IFERROR(VLOOKUP(VALUE(MID(A102,4,1)),tb_world[[id]:[name]],2,0),"")</f>
        <v>荒漠</v>
      </c>
      <c r="D102" s="6" t="str">
        <f t="shared" si="16"/>
        <v>7c</v>
      </c>
      <c r="E102" s="6" t="str" cm="1">
        <f t="array" ref="E102">_xlfn.IFS($J102&gt;0,"上坡",$J102&lt;0,"下坡",TRUE,"")</f>
        <v/>
      </c>
      <c r="G102" s="7">
        <v>100</v>
      </c>
      <c r="H102" s="7">
        <v>0</v>
      </c>
      <c r="I102" s="5" t="str">
        <f>_xlfn.LET(_xlpm.ascend,$J102,_xlpm.expr,_xlfn.TEXTJOIN("-",1,D102,_xlfn.IFS(_xlpm.ascend&gt;0,"p"&amp;_xlpm.ascend,_xlpm.ascend&lt;0,"n"&amp;-_xlpm.ascend,TRUE,"flat"),"w"&amp;_xlfn.TEXTJOIN("_",1,K102,L102)),IF($A102&lt;&gt;"",_xlpm.expr,""))</f>
        <v>7c-flat-w512</v>
      </c>
      <c r="K102" s="8">
        <v>512</v>
      </c>
      <c r="M102" s="9">
        <f>IF($A102&lt;&gt;"",$J102/$K102,"")</f>
        <v>0</v>
      </c>
    </row>
    <row r="103" spans="1:13">
      <c r="A103" s="5">
        <v>42073</v>
      </c>
      <c r="B103" s="5">
        <v>102</v>
      </c>
      <c r="C103" s="6" t="str">
        <f>IFERROR(VLOOKUP(VALUE(MID(A103,4,1)),tb_world[[id]:[name]],2,0),"")</f>
        <v>荒漠</v>
      </c>
      <c r="D103" s="6" t="str">
        <f t="shared" si="16"/>
        <v>7c</v>
      </c>
      <c r="E103" s="6" t="str" cm="1">
        <f t="array" ref="E103">_xlfn.IFS($J103&gt;0,"上坡",$J103&lt;0,"下坡",TRUE,"")</f>
        <v/>
      </c>
      <c r="G103" s="7">
        <v>100</v>
      </c>
      <c r="H103" s="7">
        <v>0</v>
      </c>
      <c r="I103" s="5" t="str">
        <f t="shared" ref="I103:I111" si="23">_xlfn.LET(_xlpm.ascend,$J103,_xlpm.expr,_xlfn.TEXTJOIN("-",1,D103,_xlfn.IFS(_xlpm.ascend&gt;0,"p"&amp;_xlpm.ascend,_xlpm.ascend&lt;0,"n"&amp;-_xlpm.ascend,TRUE,"flat"),"w"&amp;_xlfn.TEXTJOIN("_",1,K103,L103)),IF($A103&lt;&gt;"",_xlpm.expr,""))</f>
        <v>7c-flat-w2048</v>
      </c>
      <c r="K103" s="8">
        <v>2048</v>
      </c>
      <c r="M103" s="9">
        <f t="shared" ref="M103:M111" si="24">IF($A103&lt;&gt;"",$J103/$K103,"")</f>
        <v>0</v>
      </c>
    </row>
    <row r="104" spans="1:13">
      <c r="A104" s="5">
        <v>42073</v>
      </c>
      <c r="B104" s="5">
        <v>103</v>
      </c>
      <c r="C104" s="6" t="str">
        <f>IFERROR(VLOOKUP(VALUE(MID(A104,4,1)),tb_world[[id]:[name]],2,0),"")</f>
        <v>荒漠</v>
      </c>
      <c r="D104" s="6" t="str">
        <f t="shared" si="16"/>
        <v>7c</v>
      </c>
      <c r="E104" s="6" t="str" cm="1">
        <f t="array" ref="E104">_xlfn.IFS($J104&gt;0,"上坡",$J104&lt;0,"下坡",TRUE,"")</f>
        <v/>
      </c>
      <c r="G104" s="7">
        <v>100</v>
      </c>
      <c r="H104" s="7">
        <v>0</v>
      </c>
      <c r="I104" s="5" t="str">
        <f t="shared" si="23"/>
        <v>7c-flat-w2048_2</v>
      </c>
      <c r="K104" s="8">
        <v>2048</v>
      </c>
      <c r="L104" s="8">
        <v>2</v>
      </c>
      <c r="M104" s="9">
        <f t="shared" si="24"/>
        <v>0</v>
      </c>
    </row>
    <row r="105" spans="1:13">
      <c r="A105" s="5">
        <v>42073</v>
      </c>
      <c r="B105" s="5">
        <v>104</v>
      </c>
      <c r="C105" s="6" t="str">
        <f>IFERROR(VLOOKUP(VALUE(MID(A105,4,1)),tb_world[[id]:[name]],2,0),"")</f>
        <v>荒漠</v>
      </c>
      <c r="D105" s="6" t="str">
        <f t="shared" si="16"/>
        <v>7c</v>
      </c>
      <c r="E105" s="6" t="str" cm="1">
        <f t="array" ref="E105">_xlfn.IFS($J105&gt;0,"上坡",$J105&lt;0,"下坡",TRUE,"")</f>
        <v/>
      </c>
      <c r="G105" s="7">
        <v>100</v>
      </c>
      <c r="H105" s="7">
        <v>0</v>
      </c>
      <c r="I105" s="5" t="str">
        <f t="shared" si="23"/>
        <v>7c-flat-w1024</v>
      </c>
      <c r="K105" s="8">
        <v>1024</v>
      </c>
      <c r="M105" s="9">
        <f t="shared" si="24"/>
        <v>0</v>
      </c>
    </row>
    <row r="106" spans="1:13">
      <c r="A106" s="5">
        <v>42073</v>
      </c>
      <c r="B106" s="5">
        <v>105</v>
      </c>
      <c r="C106" s="6" t="str">
        <f>IFERROR(VLOOKUP(VALUE(MID(A106,4,1)),tb_world[[id]:[name]],2,0),"")</f>
        <v>荒漠</v>
      </c>
      <c r="D106" s="6" t="str">
        <f t="shared" si="16"/>
        <v>7c</v>
      </c>
      <c r="E106" s="6" t="str" cm="1">
        <f t="array" ref="E106">_xlfn.IFS($J106&gt;0,"上坡",$J106&lt;0,"下坡",TRUE,"")</f>
        <v/>
      </c>
      <c r="G106" s="7">
        <v>100</v>
      </c>
      <c r="H106" s="7">
        <v>0</v>
      </c>
      <c r="I106" s="5" t="str">
        <f t="shared" si="23"/>
        <v>7c-flat-w1024_2</v>
      </c>
      <c r="K106" s="8">
        <v>1024</v>
      </c>
      <c r="L106" s="8">
        <v>2</v>
      </c>
      <c r="M106" s="9">
        <f t="shared" si="24"/>
        <v>0</v>
      </c>
    </row>
    <row r="107" spans="1:13">
      <c r="A107" s="5">
        <v>42073</v>
      </c>
      <c r="B107" s="5">
        <v>201</v>
      </c>
      <c r="C107" s="6" t="str">
        <f>IFERROR(VLOOKUP(VALUE(MID(A107,4,1)),tb_world[[id]:[name]],2,0),"")</f>
        <v>荒漠</v>
      </c>
      <c r="D107" s="6" t="str">
        <f t="shared" si="16"/>
        <v>7c</v>
      </c>
      <c r="E107" s="6" t="str" cm="1">
        <f t="array" ref="E107">_xlfn.IFS($J107&gt;0,"上坡",$J107&lt;0,"下坡",TRUE,"")</f>
        <v>上坡</v>
      </c>
      <c r="G107" s="7">
        <v>250</v>
      </c>
      <c r="H107" s="7">
        <v>150</v>
      </c>
      <c r="I107" s="5" t="str">
        <f t="shared" si="23"/>
        <v>7c-p148-w1024</v>
      </c>
      <c r="J107" s="8">
        <v>148</v>
      </c>
      <c r="K107" s="8">
        <v>1024</v>
      </c>
      <c r="M107" s="9">
        <f t="shared" si="24"/>
        <v>0.14453125</v>
      </c>
    </row>
    <row r="108" spans="1:13">
      <c r="A108" s="5">
        <v>42073</v>
      </c>
      <c r="B108" s="5">
        <v>202</v>
      </c>
      <c r="C108" s="6" t="str">
        <f>IFERROR(VLOOKUP(VALUE(MID(A108,4,1)),tb_world[[id]:[name]],2,0),"")</f>
        <v>荒漠</v>
      </c>
      <c r="D108" s="6" t="str">
        <f t="shared" si="16"/>
        <v>7c</v>
      </c>
      <c r="E108" s="6" t="str" cm="1">
        <f t="array" ref="E108">_xlfn.IFS($J108&gt;0,"上坡",$J108&lt;0,"下坡",TRUE,"")</f>
        <v>上坡</v>
      </c>
      <c r="G108" s="7">
        <v>100</v>
      </c>
      <c r="H108" s="7">
        <v>0</v>
      </c>
      <c r="I108" s="5" t="str">
        <f t="shared" si="23"/>
        <v>7c-p40-w512</v>
      </c>
      <c r="J108" s="8">
        <v>40</v>
      </c>
      <c r="K108" s="8">
        <v>512</v>
      </c>
      <c r="M108" s="9">
        <f t="shared" si="24"/>
        <v>7.8125E-2</v>
      </c>
    </row>
    <row r="109" spans="1:13">
      <c r="A109" s="5">
        <v>42073</v>
      </c>
      <c r="B109" s="5">
        <v>301</v>
      </c>
      <c r="C109" s="6" t="str">
        <f>IFERROR(VLOOKUP(VALUE(MID(A109,4,1)),tb_world[[id]:[name]],2,0),"")</f>
        <v>荒漠</v>
      </c>
      <c r="D109" s="6" t="str">
        <f t="shared" si="16"/>
        <v>7c</v>
      </c>
      <c r="E109" s="6" t="str" cm="1">
        <f t="array" ref="E109">_xlfn.IFS($J109&gt;0,"上坡",$J109&lt;0,"下坡",TRUE,"")</f>
        <v>下坡</v>
      </c>
      <c r="G109" s="7">
        <v>160</v>
      </c>
      <c r="H109" s="7">
        <v>0</v>
      </c>
      <c r="I109" s="5" t="str">
        <f t="shared" si="23"/>
        <v>7c-n60-w512</v>
      </c>
      <c r="J109" s="8">
        <v>-60</v>
      </c>
      <c r="K109" s="8">
        <v>512</v>
      </c>
      <c r="M109" s="9">
        <f t="shared" si="24"/>
        <v>-0.1171875</v>
      </c>
    </row>
    <row r="110" spans="1:13">
      <c r="A110" s="5">
        <v>42073</v>
      </c>
      <c r="B110" s="5">
        <v>302</v>
      </c>
      <c r="C110" s="6" t="str">
        <f>IFERROR(VLOOKUP(VALUE(MID(A110,4,1)),tb_world[[id]:[name]],2,0),"")</f>
        <v>荒漠</v>
      </c>
      <c r="D110" s="6" t="str">
        <f t="shared" si="16"/>
        <v>7c</v>
      </c>
      <c r="E110" s="6" t="str" cm="1">
        <f t="array" ref="E110">_xlfn.IFS($J110&gt;0,"上坡",$J110&lt;0,"下坡",TRUE,"")</f>
        <v>下坡</v>
      </c>
      <c r="G110" s="7">
        <v>160</v>
      </c>
      <c r="H110" s="7">
        <v>0</v>
      </c>
      <c r="I110" s="5" t="str">
        <f t="shared" si="23"/>
        <v>7c-n84-w1024</v>
      </c>
      <c r="J110" s="8">
        <v>-84</v>
      </c>
      <c r="K110" s="8">
        <v>1024</v>
      </c>
      <c r="M110" s="9">
        <f t="shared" si="24"/>
        <v>-8.203125E-2</v>
      </c>
    </row>
    <row r="111" spans="1:13">
      <c r="A111" s="5">
        <v>42073</v>
      </c>
      <c r="B111" s="5">
        <v>303</v>
      </c>
      <c r="C111" s="6" t="str">
        <f>IFERROR(VLOOKUP(VALUE(MID(A111,4,1)),tb_world[[id]:[name]],2,0),"")</f>
        <v>荒漠</v>
      </c>
      <c r="D111" s="6" t="str">
        <f t="shared" si="16"/>
        <v>7c</v>
      </c>
      <c r="E111" s="6" t="str" cm="1">
        <f t="array" ref="E111">_xlfn.IFS($J111&gt;0,"上坡",$J111&lt;0,"下坡",TRUE,"")</f>
        <v>下坡</v>
      </c>
      <c r="G111" s="7">
        <v>160</v>
      </c>
      <c r="H111" s="7">
        <v>0</v>
      </c>
      <c r="I111" s="5" t="str">
        <f t="shared" si="23"/>
        <v>7c-n76-w2048</v>
      </c>
      <c r="J111" s="8">
        <v>-76</v>
      </c>
      <c r="K111" s="8">
        <v>2048</v>
      </c>
      <c r="M111" s="9">
        <f t="shared" si="24"/>
        <v>-3.7109375E-2</v>
      </c>
    </row>
    <row r="114" spans="1:15" s="66" customFormat="1">
      <c r="A114" s="61"/>
      <c r="B114" s="61"/>
      <c r="C114" s="67" t="s">
        <v>513</v>
      </c>
      <c r="D114" s="62"/>
      <c r="E114" s="62"/>
      <c r="F114" s="62"/>
      <c r="G114" s="63"/>
      <c r="H114" s="63"/>
      <c r="I114" s="61"/>
      <c r="J114" s="64"/>
      <c r="K114" s="64"/>
      <c r="L114" s="64"/>
      <c r="M114" s="65"/>
      <c r="N114" s="63"/>
      <c r="O114" s="63"/>
    </row>
    <row r="116" spans="1:15">
      <c r="A116" s="5">
        <v>42081</v>
      </c>
      <c r="B116" s="5">
        <v>100</v>
      </c>
      <c r="C116" s="6" t="str">
        <f>IFERROR(VLOOKUP(VALUE(MID(A116,4,1)),tb_world[[id]:[name]],2,0),"")</f>
        <v>大湖</v>
      </c>
      <c r="D116" s="6" t="str">
        <f t="shared" ref="D116:D147" si="25">IF($A116&lt;&gt;"",MID($A116,4,1)&amp;CHAR(96+MOD($A116,10)),"")</f>
        <v>8a</v>
      </c>
      <c r="E116" s="6" t="str" cm="1">
        <f t="array" ref="E116">_xlfn.IFS($J116&gt;0,"上坡",$J116&lt;0,"下坡",TRUE,"")</f>
        <v/>
      </c>
      <c r="G116" s="7">
        <v>75</v>
      </c>
      <c r="H116" s="7">
        <v>0</v>
      </c>
      <c r="I116" s="5" t="str">
        <f>_xlfn.LET(_xlpm.ascend,$J116,_xlpm.expr,_xlfn.TEXTJOIN("-",1,D116,_xlfn.IFS(_xlpm.ascend&gt;0,"p"&amp;_xlpm.ascend,_xlpm.ascend&lt;0,"n"&amp;-_xlpm.ascend,TRUE,"flat"),"w"&amp;_xlfn.TEXTJOIN("_",1,K116,L116)),IF($A116&lt;&gt;"",_xlpm.expr,""))</f>
        <v>8a-flat-w512</v>
      </c>
      <c r="K116" s="8">
        <v>512</v>
      </c>
      <c r="M116" s="9">
        <f>IF($A116&lt;&gt;"",$J116/$K116,"")</f>
        <v>0</v>
      </c>
    </row>
    <row r="117" spans="1:15">
      <c r="A117" s="5">
        <v>42081</v>
      </c>
      <c r="B117" s="5">
        <v>101</v>
      </c>
      <c r="C117" s="6" t="str">
        <f>IFERROR(VLOOKUP(VALUE(MID(A117,4,1)),tb_world[[id]:[name]],2,0),"")</f>
        <v>大湖</v>
      </c>
      <c r="D117" s="6" t="str">
        <f t="shared" si="25"/>
        <v>8a</v>
      </c>
      <c r="E117" s="6" t="str" cm="1">
        <f t="array" ref="E117">_xlfn.IFS($J117&gt;0,"上坡",$J117&lt;0,"下坡",TRUE,"")</f>
        <v/>
      </c>
      <c r="G117" s="7">
        <v>75</v>
      </c>
      <c r="H117" s="7">
        <v>0</v>
      </c>
      <c r="I117" s="5" t="str">
        <f t="shared" ref="I117:I125" si="26">_xlfn.LET(_xlpm.ascend,$J117,_xlpm.expr,_xlfn.TEXTJOIN("-",1,D117,_xlfn.IFS(_xlpm.ascend&gt;0,"p"&amp;_xlpm.ascend,_xlpm.ascend&lt;0,"n"&amp;-_xlpm.ascend,TRUE,"flat"),"w"&amp;_xlfn.TEXTJOIN("_",1,K117,L117)),IF($A117&lt;&gt;"",_xlpm.expr,""))</f>
        <v>8a-flat-w1024</v>
      </c>
      <c r="K117" s="8">
        <v>1024</v>
      </c>
      <c r="M117" s="9">
        <f t="shared" ref="M117:M125" si="27">IF($A117&lt;&gt;"",$J117/$K117,"")</f>
        <v>0</v>
      </c>
    </row>
    <row r="118" spans="1:15">
      <c r="A118" s="5">
        <v>42081</v>
      </c>
      <c r="B118" s="5">
        <v>102</v>
      </c>
      <c r="C118" s="6" t="str">
        <f>IFERROR(VLOOKUP(VALUE(MID(A118,4,1)),tb_world[[id]:[name]],2,0),"")</f>
        <v>大湖</v>
      </c>
      <c r="D118" s="6" t="str">
        <f t="shared" si="25"/>
        <v>8a</v>
      </c>
      <c r="E118" s="6" t="str" cm="1">
        <f t="array" ref="E118">_xlfn.IFS($J118&gt;0,"上坡",$J118&lt;0,"下坡",TRUE,"")</f>
        <v/>
      </c>
      <c r="G118" s="7">
        <v>75</v>
      </c>
      <c r="H118" s="7">
        <v>0</v>
      </c>
      <c r="I118" s="5" t="str">
        <f t="shared" si="26"/>
        <v>8a-flat-w2048</v>
      </c>
      <c r="K118" s="8">
        <v>2048</v>
      </c>
      <c r="M118" s="9">
        <f t="shared" si="27"/>
        <v>0</v>
      </c>
    </row>
    <row r="119" spans="1:15">
      <c r="A119" s="5">
        <v>42081</v>
      </c>
      <c r="B119" s="5">
        <v>103</v>
      </c>
      <c r="C119" s="6" t="str">
        <f>IFERROR(VLOOKUP(VALUE(MID(A119,4,1)),tb_world[[id]:[name]],2,0),"")</f>
        <v>大湖</v>
      </c>
      <c r="D119" s="6" t="str">
        <f t="shared" si="25"/>
        <v>8a</v>
      </c>
      <c r="E119" s="6" t="str" cm="1">
        <f t="array" ref="E119">_xlfn.IFS($J119&gt;0,"上坡",$J119&lt;0,"下坡",TRUE,"")</f>
        <v/>
      </c>
      <c r="G119" s="7">
        <v>75</v>
      </c>
      <c r="H119" s="7">
        <v>0</v>
      </c>
      <c r="I119" s="5" t="str">
        <f t="shared" ref="I119" si="28">_xlfn.LET(_xlpm.ascend,$J119,_xlpm.expr,_xlfn.TEXTJOIN("-",1,D119,_xlfn.IFS(_xlpm.ascend&gt;0,"p"&amp;_xlpm.ascend,_xlpm.ascend&lt;0,"n"&amp;-_xlpm.ascend,TRUE,"flat"),"w"&amp;_xlfn.TEXTJOIN("_",1,K119,L119)),IF($A119&lt;&gt;"",_xlpm.expr,""))</f>
        <v>8a-flat-w2048_2</v>
      </c>
      <c r="K119" s="8">
        <v>2048</v>
      </c>
      <c r="L119" s="8">
        <v>2</v>
      </c>
      <c r="M119" s="9">
        <f t="shared" si="27"/>
        <v>0</v>
      </c>
    </row>
    <row r="120" spans="1:15">
      <c r="A120" s="5">
        <v>42081</v>
      </c>
      <c r="B120" s="5">
        <v>200</v>
      </c>
      <c r="C120" s="6" t="str">
        <f>IFERROR(VLOOKUP(VALUE(MID(A120,4,1)),tb_world[[id]:[name]],2,0),"")</f>
        <v>大湖</v>
      </c>
      <c r="D120" s="6" t="str">
        <f t="shared" si="25"/>
        <v>8a</v>
      </c>
      <c r="E120" s="6" t="str" cm="1">
        <f t="array" ref="E120">_xlfn.IFS($J120&gt;0,"上坡",$J120&lt;0,"下坡",TRUE,"")</f>
        <v>上坡</v>
      </c>
      <c r="G120" s="7">
        <v>850</v>
      </c>
      <c r="H120" s="7">
        <v>150</v>
      </c>
      <c r="I120" s="5" t="str">
        <f t="shared" si="26"/>
        <v>8a-p48-w512</v>
      </c>
      <c r="J120" s="8">
        <v>48</v>
      </c>
      <c r="K120" s="8">
        <v>512</v>
      </c>
      <c r="M120" s="9">
        <f t="shared" si="27"/>
        <v>9.375E-2</v>
      </c>
    </row>
    <row r="121" spans="1:15">
      <c r="A121" s="5">
        <v>42081</v>
      </c>
      <c r="B121" s="5">
        <v>201</v>
      </c>
      <c r="C121" s="6" t="str">
        <f>IFERROR(VLOOKUP(VALUE(MID(A121,4,1)),tb_world[[id]:[name]],2,0),"")</f>
        <v>大湖</v>
      </c>
      <c r="D121" s="6" t="str">
        <f t="shared" si="25"/>
        <v>8a</v>
      </c>
      <c r="E121" s="6" t="str" cm="1">
        <f t="array" ref="E121">_xlfn.IFS($J121&gt;0,"上坡",$J121&lt;0,"下坡",TRUE,"")</f>
        <v>上坡</v>
      </c>
      <c r="G121" s="7">
        <v>70</v>
      </c>
      <c r="H121" s="7">
        <v>0</v>
      </c>
      <c r="I121" s="5" t="str">
        <f t="shared" si="26"/>
        <v>8a-p48-w1024</v>
      </c>
      <c r="J121" s="8">
        <v>48</v>
      </c>
      <c r="K121" s="8">
        <v>1024</v>
      </c>
      <c r="M121" s="9">
        <f t="shared" si="27"/>
        <v>4.6875E-2</v>
      </c>
    </row>
    <row r="122" spans="1:15">
      <c r="A122" s="5">
        <v>42081</v>
      </c>
      <c r="B122" s="5">
        <v>203</v>
      </c>
      <c r="C122" s="6" t="str">
        <f>IFERROR(VLOOKUP(VALUE(MID(A122,4,1)),tb_world[[id]:[name]],2,0),"")</f>
        <v>大湖</v>
      </c>
      <c r="D122" s="6" t="str">
        <f t="shared" si="25"/>
        <v>8a</v>
      </c>
      <c r="E122" s="6" t="str" cm="1">
        <f t="array" ref="E122">_xlfn.IFS($J122&gt;0,"上坡",$J122&lt;0,"下坡",TRUE,"")</f>
        <v>上坡</v>
      </c>
      <c r="G122" s="7">
        <v>50</v>
      </c>
      <c r="H122" s="7">
        <v>0</v>
      </c>
      <c r="I122" s="5" t="str">
        <f t="shared" si="26"/>
        <v>8a-p36-w1024</v>
      </c>
      <c r="J122" s="8">
        <v>36</v>
      </c>
      <c r="K122" s="8">
        <v>1024</v>
      </c>
      <c r="M122" s="9">
        <f t="shared" si="27"/>
        <v>3.515625E-2</v>
      </c>
    </row>
    <row r="123" spans="1:15">
      <c r="A123" s="5">
        <v>42081</v>
      </c>
      <c r="B123" s="5">
        <v>300</v>
      </c>
      <c r="C123" s="6" t="str">
        <f>IFERROR(VLOOKUP(VALUE(MID(A123,4,1)),tb_world[[id]:[name]],2,0),"")</f>
        <v>大湖</v>
      </c>
      <c r="D123" s="6" t="str">
        <f t="shared" si="25"/>
        <v>8a</v>
      </c>
      <c r="E123" s="6" t="str" cm="1">
        <f t="array" ref="E123">_xlfn.IFS($J123&gt;0,"上坡",$J123&lt;0,"下坡",TRUE,"")</f>
        <v>下坡</v>
      </c>
      <c r="G123" s="7">
        <v>160</v>
      </c>
      <c r="H123" s="7">
        <v>0</v>
      </c>
      <c r="I123" s="5" t="str">
        <f t="shared" si="26"/>
        <v>8a-n12-w512</v>
      </c>
      <c r="J123" s="8">
        <v>-12</v>
      </c>
      <c r="K123" s="8">
        <v>512</v>
      </c>
      <c r="M123" s="9">
        <f t="shared" si="27"/>
        <v>-2.34375E-2</v>
      </c>
    </row>
    <row r="124" spans="1:15">
      <c r="A124" s="5">
        <v>42081</v>
      </c>
      <c r="B124" s="5">
        <v>301</v>
      </c>
      <c r="C124" s="6" t="str">
        <f>IFERROR(VLOOKUP(VALUE(MID(A124,4,1)),tb_world[[id]:[name]],2,0),"")</f>
        <v>大湖</v>
      </c>
      <c r="D124" s="6" t="str">
        <f t="shared" si="25"/>
        <v>8a</v>
      </c>
      <c r="E124" s="6" t="str" cm="1">
        <f t="array" ref="E124">_xlfn.IFS($J124&gt;0,"上坡",$J124&lt;0,"下坡",TRUE,"")</f>
        <v>下坡</v>
      </c>
      <c r="G124" s="7">
        <v>110</v>
      </c>
      <c r="H124" s="7">
        <v>0</v>
      </c>
      <c r="I124" s="5" t="str">
        <f t="shared" si="26"/>
        <v>8a-n20-w1024</v>
      </c>
      <c r="J124" s="8">
        <v>-20</v>
      </c>
      <c r="K124" s="8">
        <v>1024</v>
      </c>
      <c r="M124" s="9">
        <f t="shared" si="27"/>
        <v>-1.953125E-2</v>
      </c>
    </row>
    <row r="125" spans="1:15">
      <c r="A125" s="5">
        <v>42081</v>
      </c>
      <c r="B125" s="5">
        <v>303</v>
      </c>
      <c r="C125" s="6" t="str">
        <f>IFERROR(VLOOKUP(VALUE(MID(A125,4,1)),tb_world[[id]:[name]],2,0),"")</f>
        <v>大湖</v>
      </c>
      <c r="D125" s="6" t="str">
        <f t="shared" si="25"/>
        <v>8a</v>
      </c>
      <c r="E125" s="6" t="str" cm="1">
        <f t="array" ref="E125">_xlfn.IFS($J125&gt;0,"上坡",$J125&lt;0,"下坡",TRUE,"")</f>
        <v>下坡</v>
      </c>
      <c r="G125" s="7">
        <v>280</v>
      </c>
      <c r="H125" s="7">
        <v>0</v>
      </c>
      <c r="I125" s="5" t="str">
        <f t="shared" si="26"/>
        <v>8a-n64-w2048</v>
      </c>
      <c r="J125" s="8">
        <v>-64</v>
      </c>
      <c r="K125" s="8">
        <v>2048</v>
      </c>
      <c r="M125" s="9">
        <f t="shared" si="27"/>
        <v>-3.125E-2</v>
      </c>
    </row>
    <row r="126" spans="1:15">
      <c r="C126" s="6" t="str">
        <f>IFERROR(VLOOKUP(VALUE(MID(A126,4,1)),tb_world[[id]:[name]],2,0),"")</f>
        <v/>
      </c>
      <c r="D126" s="6" t="str">
        <f t="shared" si="25"/>
        <v/>
      </c>
      <c r="E126" s="6" t="str" cm="1">
        <f t="array" ref="E126">_xlfn.IFS($J126&gt;0,"上坡",$J126&lt;0,"下坡",TRUE,"")</f>
        <v/>
      </c>
    </row>
    <row r="127" spans="1:15">
      <c r="A127" s="5">
        <v>42082</v>
      </c>
      <c r="B127" s="5">
        <v>100</v>
      </c>
      <c r="C127" s="6" t="str">
        <f>IFERROR(VLOOKUP(VALUE(MID(A127,4,1)),tb_world[[id]:[name]],2,0),"")</f>
        <v>大湖</v>
      </c>
      <c r="D127" s="6" t="str">
        <f t="shared" si="25"/>
        <v>8b</v>
      </c>
      <c r="E127" s="6" t="str" cm="1">
        <f t="array" ref="E127">_xlfn.IFS($J127&gt;0,"上坡",$J127&lt;0,"下坡",TRUE,"")</f>
        <v/>
      </c>
      <c r="G127" s="7">
        <v>200</v>
      </c>
      <c r="H127" s="7">
        <v>0</v>
      </c>
      <c r="I127" s="5" t="str">
        <f>_xlfn.LET(_xlpm.ascend,$J127,_xlpm.expr,_xlfn.TEXTJOIN("-",1,D127,_xlfn.IFS(_xlpm.ascend&gt;0,"p"&amp;_xlpm.ascend,_xlpm.ascend&lt;0,"n"&amp;-_xlpm.ascend,TRUE,"flat"),"w"&amp;_xlfn.TEXTJOIN("_",1,K127,L127)),IF($A127&lt;&gt;"",_xlpm.expr,""))</f>
        <v>8b-flat-w512</v>
      </c>
      <c r="K127" s="8">
        <v>512</v>
      </c>
      <c r="M127" s="9">
        <f>IF($A127&lt;&gt;"",$J127/$K127,"")</f>
        <v>0</v>
      </c>
    </row>
    <row r="128" spans="1:15">
      <c r="A128" s="5">
        <v>42082</v>
      </c>
      <c r="B128" s="5">
        <v>101</v>
      </c>
      <c r="C128" s="6" t="str">
        <f>IFERROR(VLOOKUP(VALUE(MID(A128,4,1)),tb_world[[id]:[name]],2,0),"")</f>
        <v>大湖</v>
      </c>
      <c r="D128" s="6" t="str">
        <f t="shared" si="25"/>
        <v>8b</v>
      </c>
      <c r="E128" s="6" t="str" cm="1">
        <f t="array" ref="E128">_xlfn.IFS($J128&gt;0,"上坡",$J128&lt;0,"下坡",TRUE,"")</f>
        <v/>
      </c>
      <c r="G128" s="7">
        <v>200</v>
      </c>
      <c r="H128" s="7">
        <v>0</v>
      </c>
      <c r="I128" s="5" t="str">
        <f t="shared" ref="I128:I133" si="29">_xlfn.LET(_xlpm.ascend,$J128,_xlpm.expr,_xlfn.TEXTJOIN("-",1,D128,_xlfn.IFS(_xlpm.ascend&gt;0,"p"&amp;_xlpm.ascend,_xlpm.ascend&lt;0,"n"&amp;-_xlpm.ascend,TRUE,"flat"),"w"&amp;_xlfn.TEXTJOIN("_",1,K128,L128)),IF($A128&lt;&gt;"",_xlpm.expr,""))</f>
        <v>8b-flat-w1024</v>
      </c>
      <c r="K128" s="8">
        <v>1024</v>
      </c>
      <c r="M128" s="9">
        <f t="shared" ref="M128:M136" si="30">IF($A128&lt;&gt;"",$J128/$K128,"")</f>
        <v>0</v>
      </c>
    </row>
    <row r="129" spans="1:13">
      <c r="A129" s="5">
        <v>42082</v>
      </c>
      <c r="B129" s="5">
        <v>200</v>
      </c>
      <c r="C129" s="6" t="str">
        <f>IFERROR(VLOOKUP(VALUE(MID(A129,4,1)),tb_world[[id]:[name]],2,0),"")</f>
        <v>大湖</v>
      </c>
      <c r="D129" s="6" t="str">
        <f t="shared" si="25"/>
        <v>8b</v>
      </c>
      <c r="E129" s="6" t="str" cm="1">
        <f t="array" ref="E129">_xlfn.IFS($J129&gt;0,"上坡",$J129&lt;0,"下坡",TRUE,"")</f>
        <v>上坡</v>
      </c>
      <c r="G129" s="7">
        <v>660</v>
      </c>
      <c r="H129" s="7">
        <v>150</v>
      </c>
      <c r="I129" s="5" t="str">
        <f t="shared" si="29"/>
        <v>8b-p48-w512</v>
      </c>
      <c r="J129" s="8">
        <v>48</v>
      </c>
      <c r="K129" s="8">
        <v>512</v>
      </c>
      <c r="M129" s="9">
        <f t="shared" si="30"/>
        <v>9.375E-2</v>
      </c>
    </row>
    <row r="130" spans="1:13">
      <c r="A130" s="5">
        <v>42082</v>
      </c>
      <c r="B130" s="5">
        <v>201</v>
      </c>
      <c r="C130" s="6" t="str">
        <f>IFERROR(VLOOKUP(VALUE(MID(A130,4,1)),tb_world[[id]:[name]],2,0),"")</f>
        <v>大湖</v>
      </c>
      <c r="D130" s="6" t="str">
        <f t="shared" si="25"/>
        <v>8b</v>
      </c>
      <c r="E130" s="6" t="str" cm="1">
        <f t="array" ref="E130">_xlfn.IFS($J130&gt;0,"上坡",$J130&lt;0,"下坡",TRUE,"")</f>
        <v>上坡</v>
      </c>
      <c r="G130" s="7">
        <v>200</v>
      </c>
      <c r="H130" s="7">
        <v>0</v>
      </c>
      <c r="I130" s="5" t="str">
        <f t="shared" si="29"/>
        <v>8b-p88-w1024</v>
      </c>
      <c r="J130" s="8">
        <v>88</v>
      </c>
      <c r="K130" s="8">
        <v>1024</v>
      </c>
      <c r="M130" s="9">
        <f t="shared" si="30"/>
        <v>8.59375E-2</v>
      </c>
    </row>
    <row r="131" spans="1:13">
      <c r="A131" s="5">
        <v>42082</v>
      </c>
      <c r="B131" s="5">
        <v>203</v>
      </c>
      <c r="C131" s="6" t="str">
        <f>IFERROR(VLOOKUP(VALUE(MID(A131,4,1)),tb_world[[id]:[name]],2,0),"")</f>
        <v>大湖</v>
      </c>
      <c r="D131" s="6" t="str">
        <f t="shared" si="25"/>
        <v>8b</v>
      </c>
      <c r="E131" s="6" t="str" cm="1">
        <f t="array" ref="E131">_xlfn.IFS($J131&gt;0,"上坡",$J131&lt;0,"下坡",TRUE,"")</f>
        <v>上坡</v>
      </c>
      <c r="G131" s="7">
        <v>100</v>
      </c>
      <c r="H131" s="7">
        <v>0</v>
      </c>
      <c r="I131" s="5" t="str">
        <f t="shared" ref="I131" si="31">_xlfn.LET(_xlpm.ascend,$J131,_xlpm.expr,_xlfn.TEXTJOIN("-",1,D131,_xlfn.IFS(_xlpm.ascend&gt;0,"p"&amp;_xlpm.ascend,_xlpm.ascend&lt;0,"n"&amp;-_xlpm.ascend,TRUE,"flat"),"w"&amp;_xlfn.TEXTJOIN("_",1,K131,L131)),IF($A131&lt;&gt;"",_xlpm.expr,""))</f>
        <v>8b-p48-w1024</v>
      </c>
      <c r="J131" s="8">
        <v>48</v>
      </c>
      <c r="K131" s="8">
        <v>1024</v>
      </c>
      <c r="M131" s="9">
        <f t="shared" si="30"/>
        <v>4.6875E-2</v>
      </c>
    </row>
    <row r="132" spans="1:13">
      <c r="A132" s="5">
        <v>42082</v>
      </c>
      <c r="B132" s="5">
        <v>300</v>
      </c>
      <c r="C132" s="6" t="str">
        <f>IFERROR(VLOOKUP(VALUE(MID(A132,4,1)),tb_world[[id]:[name]],2,0),"")</f>
        <v>大湖</v>
      </c>
      <c r="D132" s="6" t="str">
        <f t="shared" si="25"/>
        <v>8b</v>
      </c>
      <c r="E132" s="6" t="str" cm="1">
        <f t="array" ref="E132">_xlfn.IFS($J132&gt;0,"上坡",$J132&lt;0,"下坡",TRUE,"")</f>
        <v>下坡</v>
      </c>
      <c r="G132" s="7">
        <v>160</v>
      </c>
      <c r="H132" s="7">
        <v>0</v>
      </c>
      <c r="I132" s="5" t="str">
        <f t="shared" si="29"/>
        <v>8b-n36-w1024</v>
      </c>
      <c r="J132" s="8">
        <v>-36</v>
      </c>
      <c r="K132" s="8">
        <v>1024</v>
      </c>
      <c r="M132" s="9">
        <f t="shared" si="30"/>
        <v>-3.515625E-2</v>
      </c>
    </row>
    <row r="133" spans="1:13">
      <c r="A133" s="5">
        <v>42082</v>
      </c>
      <c r="B133" s="5">
        <v>301</v>
      </c>
      <c r="C133" s="6" t="str">
        <f>IFERROR(VLOOKUP(VALUE(MID(A133,4,1)),tb_world[[id]:[name]],2,0),"")</f>
        <v>大湖</v>
      </c>
      <c r="D133" s="6" t="str">
        <f t="shared" si="25"/>
        <v>8b</v>
      </c>
      <c r="E133" s="6" t="str" cm="1">
        <f t="array" ref="E133">_xlfn.IFS($J133&gt;0,"上坡",$J133&lt;0,"下坡",TRUE,"")</f>
        <v>下坡</v>
      </c>
      <c r="G133" s="7">
        <v>110</v>
      </c>
      <c r="H133" s="7">
        <v>0</v>
      </c>
      <c r="I133" s="5" t="str">
        <f t="shared" si="29"/>
        <v>8b-n100-w512</v>
      </c>
      <c r="J133" s="8">
        <v>-100</v>
      </c>
      <c r="K133" s="8">
        <v>512</v>
      </c>
      <c r="M133" s="9">
        <f t="shared" si="30"/>
        <v>-0.1953125</v>
      </c>
    </row>
    <row r="134" spans="1:13">
      <c r="A134" s="5">
        <v>42082</v>
      </c>
      <c r="B134" s="5">
        <v>305</v>
      </c>
      <c r="C134" s="6" t="str">
        <f>IFERROR(VLOOKUP(VALUE(MID(A134,4,1)),tb_world[[id]:[name]],2,0),"")</f>
        <v>大湖</v>
      </c>
      <c r="D134" s="6" t="str">
        <f t="shared" si="25"/>
        <v>8b</v>
      </c>
      <c r="E134" s="6" t="str" cm="1">
        <f t="array" ref="E134">_xlfn.IFS($J134&gt;0,"上坡",$J134&lt;0,"下坡",TRUE,"")</f>
        <v>下坡</v>
      </c>
      <c r="G134" s="7">
        <v>240</v>
      </c>
      <c r="H134" s="7">
        <v>0</v>
      </c>
      <c r="I134" s="5" t="str">
        <f t="shared" ref="I134" si="32">_xlfn.LET(_xlpm.ascend,$J134,_xlpm.expr,_xlfn.TEXTJOIN("-",1,D134,_xlfn.IFS(_xlpm.ascend&gt;0,"p"&amp;_xlpm.ascend,_xlpm.ascend&lt;0,"n"&amp;-_xlpm.ascend,TRUE,"flat"),"w"&amp;_xlfn.TEXTJOIN("_",1,K134,L134)),IF($A134&lt;&gt;"",_xlpm.expr,""))</f>
        <v>8b-n64-w2048</v>
      </c>
      <c r="J134" s="8">
        <v>-64</v>
      </c>
      <c r="K134" s="8">
        <v>2048</v>
      </c>
      <c r="M134" s="9">
        <f t="shared" si="30"/>
        <v>-3.125E-2</v>
      </c>
    </row>
    <row r="135" spans="1:13">
      <c r="A135" s="5">
        <v>42082</v>
      </c>
      <c r="B135" s="5">
        <v>306</v>
      </c>
      <c r="C135" s="6" t="str">
        <f>IFERROR(VLOOKUP(VALUE(MID(A135,4,1)),tb_world[[id]:[name]],2,0),"")</f>
        <v>大湖</v>
      </c>
      <c r="D135" s="6" t="str">
        <f t="shared" si="25"/>
        <v>8b</v>
      </c>
      <c r="E135" s="6" t="str" cm="1">
        <f t="array" ref="E135">_xlfn.IFS($J135&gt;0,"上坡",$J135&lt;0,"下坡",TRUE,"")</f>
        <v>下坡</v>
      </c>
      <c r="G135" s="7">
        <v>240</v>
      </c>
      <c r="H135" s="7">
        <v>0</v>
      </c>
      <c r="I135" s="5" t="str">
        <f t="shared" ref="I135:I136" si="33">_xlfn.LET(_xlpm.ascend,$J135,_xlpm.expr,_xlfn.TEXTJOIN("-",1,D135,_xlfn.IFS(_xlpm.ascend&gt;0,"p"&amp;_xlpm.ascend,_xlpm.ascend&lt;0,"n"&amp;-_xlpm.ascend,TRUE,"flat"),"w"&amp;_xlfn.TEXTJOIN("_",1,K135,L135)),IF($A135&lt;&gt;"",_xlpm.expr,""))</f>
        <v>8b-n76-w2048</v>
      </c>
      <c r="J135" s="8">
        <v>-76</v>
      </c>
      <c r="K135" s="8">
        <v>2048</v>
      </c>
      <c r="M135" s="9">
        <f t="shared" si="30"/>
        <v>-3.7109375E-2</v>
      </c>
    </row>
    <row r="136" spans="1:13">
      <c r="A136" s="5">
        <v>42082</v>
      </c>
      <c r="B136" s="5">
        <v>307</v>
      </c>
      <c r="C136" s="6" t="str">
        <f>IFERROR(VLOOKUP(VALUE(MID(A136,4,1)),tb_world[[id]:[name]],2,0),"")</f>
        <v>大湖</v>
      </c>
      <c r="D136" s="6" t="str">
        <f t="shared" si="25"/>
        <v>8b</v>
      </c>
      <c r="E136" s="6" t="str" cm="1">
        <f t="array" ref="E136">_xlfn.IFS($J136&gt;0,"上坡",$J136&lt;0,"下坡",TRUE,"")</f>
        <v>下坡</v>
      </c>
      <c r="G136" s="7">
        <v>240</v>
      </c>
      <c r="H136" s="7">
        <v>0</v>
      </c>
      <c r="I136" s="5" t="str">
        <f t="shared" si="33"/>
        <v>8b-n28-w1024</v>
      </c>
      <c r="J136" s="8">
        <v>-28</v>
      </c>
      <c r="K136" s="8">
        <v>1024</v>
      </c>
      <c r="M136" s="9">
        <f t="shared" si="30"/>
        <v>-2.734375E-2</v>
      </c>
    </row>
    <row r="137" spans="1:13">
      <c r="C137" s="6" t="str">
        <f>IFERROR(VLOOKUP(VALUE(MID(A137,4,1)),tb_world[[id]:[name]],2,0),"")</f>
        <v/>
      </c>
      <c r="D137" s="6" t="str">
        <f t="shared" si="25"/>
        <v/>
      </c>
      <c r="E137" s="6" t="str" cm="1">
        <f t="array" ref="E137">_xlfn.IFS($J137&gt;0,"上坡",$J137&lt;0,"下坡",TRUE,"")</f>
        <v/>
      </c>
    </row>
    <row r="138" spans="1:13">
      <c r="A138" s="5">
        <v>42083</v>
      </c>
      <c r="B138" s="5">
        <v>100</v>
      </c>
      <c r="C138" s="6" t="str">
        <f>IFERROR(VLOOKUP(VALUE(MID(A138,4,1)),tb_world[[id]:[name]],2,0),"")</f>
        <v>大湖</v>
      </c>
      <c r="D138" s="6" t="str">
        <f t="shared" si="25"/>
        <v>8c</v>
      </c>
      <c r="E138" s="6" t="str" cm="1">
        <f t="array" ref="E138">_xlfn.IFS($J138&gt;0,"上坡",$J138&lt;0,"下坡",TRUE,"")</f>
        <v/>
      </c>
      <c r="G138" s="7">
        <v>50</v>
      </c>
      <c r="H138" s="7">
        <v>0</v>
      </c>
      <c r="I138" s="5" t="str">
        <f>_xlfn.LET(_xlpm.ascend,$J138,_xlpm.expr,_xlfn.TEXTJOIN("-",1,D138,_xlfn.IFS(_xlpm.ascend&gt;0,"p"&amp;_xlpm.ascend,_xlpm.ascend&lt;0,"n"&amp;-_xlpm.ascend,TRUE,"flat"),"w"&amp;_xlfn.TEXTJOIN("_",1,K138,L138)),IF($A138&lt;&gt;"",_xlpm.expr,""))</f>
        <v>8c-flat-w512</v>
      </c>
      <c r="K138" s="8">
        <v>512</v>
      </c>
      <c r="M138" s="9">
        <f>IF($A138&lt;&gt;"",$J138/$K138,"")</f>
        <v>0</v>
      </c>
    </row>
    <row r="139" spans="1:13">
      <c r="A139" s="5">
        <v>42083</v>
      </c>
      <c r="B139" s="5">
        <v>101</v>
      </c>
      <c r="C139" s="6" t="str">
        <f>IFERROR(VLOOKUP(VALUE(MID(A139,4,1)),tb_world[[id]:[name]],2,0),"")</f>
        <v>大湖</v>
      </c>
      <c r="D139" s="6" t="str">
        <f t="shared" si="25"/>
        <v>8c</v>
      </c>
      <c r="E139" s="6" t="str" cm="1">
        <f t="array" ref="E139">_xlfn.IFS($J139&gt;0,"上坡",$J139&lt;0,"下坡",TRUE,"")</f>
        <v/>
      </c>
      <c r="G139" s="7">
        <v>50</v>
      </c>
      <c r="H139" s="7">
        <v>0</v>
      </c>
      <c r="I139" s="5" t="str">
        <f t="shared" ref="I139:I147" si="34">_xlfn.LET(_xlpm.ascend,$J139,_xlpm.expr,_xlfn.TEXTJOIN("-",1,D139,_xlfn.IFS(_xlpm.ascend&gt;0,"p"&amp;_xlpm.ascend,_xlpm.ascend&lt;0,"n"&amp;-_xlpm.ascend,TRUE,"flat"),"w"&amp;_xlfn.TEXTJOIN("_",1,K139,L139)),IF($A139&lt;&gt;"",_xlpm.expr,""))</f>
        <v>8c-flat-w1024</v>
      </c>
      <c r="K139" s="8">
        <v>1024</v>
      </c>
      <c r="M139" s="9">
        <f t="shared" ref="M139:M147" si="35">IF($A139&lt;&gt;"",$J139/$K139,"")</f>
        <v>0</v>
      </c>
    </row>
    <row r="140" spans="1:13">
      <c r="A140" s="5">
        <v>42083</v>
      </c>
      <c r="B140" s="5">
        <v>102</v>
      </c>
      <c r="C140" s="6" t="str">
        <f>IFERROR(VLOOKUP(VALUE(MID(A140,4,1)),tb_world[[id]:[name]],2,0),"")</f>
        <v>大湖</v>
      </c>
      <c r="D140" s="6" t="str">
        <f t="shared" si="25"/>
        <v>8c</v>
      </c>
      <c r="E140" s="6" t="str" cm="1">
        <f t="array" ref="E140">_xlfn.IFS($J140&gt;0,"上坡",$J140&lt;0,"下坡",TRUE,"")</f>
        <v/>
      </c>
      <c r="G140" s="7">
        <v>50</v>
      </c>
      <c r="H140" s="7">
        <v>0</v>
      </c>
      <c r="I140" s="5" t="str">
        <f>_xlfn.LET(_xlpm.ascend,$J140,_xlpm.expr,_xlfn.TEXTJOIN("-",1,D140,_xlfn.IFS(_xlpm.ascend&gt;0,"p"&amp;_xlpm.ascend,_xlpm.ascend&lt;0,"n"&amp;-_xlpm.ascend,TRUE,"flat"),"w"&amp;_xlfn.TEXTJOIN("_",1,K140,L140)),IF($A140&lt;&gt;"",_xlpm.expr,""))</f>
        <v>8c-flat-w1024_2</v>
      </c>
      <c r="K140" s="8">
        <v>1024</v>
      </c>
      <c r="L140" s="8">
        <v>2</v>
      </c>
      <c r="M140" s="9">
        <f t="shared" si="35"/>
        <v>0</v>
      </c>
    </row>
    <row r="141" spans="1:13">
      <c r="A141" s="5">
        <v>42083</v>
      </c>
      <c r="B141" s="5">
        <v>103</v>
      </c>
      <c r="C141" s="6" t="str">
        <f>IFERROR(VLOOKUP(VALUE(MID(A141,4,1)),tb_world[[id]:[name]],2,0),"")</f>
        <v>大湖</v>
      </c>
      <c r="D141" s="6" t="str">
        <f t="shared" si="25"/>
        <v>8c</v>
      </c>
      <c r="E141" s="6" t="str" cm="1">
        <f t="array" ref="E141">_xlfn.IFS($J141&gt;0,"上坡",$J141&lt;0,"下坡",TRUE,"")</f>
        <v/>
      </c>
      <c r="G141" s="7">
        <v>50</v>
      </c>
      <c r="H141" s="7">
        <v>0</v>
      </c>
      <c r="I141" s="5" t="str">
        <f t="shared" ref="I141" si="36">_xlfn.LET(_xlpm.ascend,$J141,_xlpm.expr,_xlfn.TEXTJOIN("-",1,D141,_xlfn.IFS(_xlpm.ascend&gt;0,"p"&amp;_xlpm.ascend,_xlpm.ascend&lt;0,"n"&amp;-_xlpm.ascend,TRUE,"flat"),"w"&amp;_xlfn.TEXTJOIN("_",1,K141,L141)),IF($A141&lt;&gt;"",_xlpm.expr,""))</f>
        <v>8c-flat-w2048</v>
      </c>
      <c r="K141" s="8">
        <v>2048</v>
      </c>
      <c r="M141" s="9">
        <f t="shared" si="35"/>
        <v>0</v>
      </c>
    </row>
    <row r="142" spans="1:13">
      <c r="A142" s="5">
        <v>42083</v>
      </c>
      <c r="B142" s="5">
        <v>104</v>
      </c>
      <c r="C142" s="6" t="str">
        <f>IFERROR(VLOOKUP(VALUE(MID(A142,4,1)),tb_world[[id]:[name]],2,0),"")</f>
        <v>大湖</v>
      </c>
      <c r="D142" s="6" t="str">
        <f t="shared" si="25"/>
        <v>8c</v>
      </c>
      <c r="E142" s="6" t="str" cm="1">
        <f t="array" ref="E142">_xlfn.IFS($J142&gt;0,"上坡",$J142&lt;0,"下坡",TRUE,"")</f>
        <v/>
      </c>
      <c r="G142" s="7">
        <v>50</v>
      </c>
      <c r="H142" s="7">
        <v>0</v>
      </c>
      <c r="I142" s="5" t="str">
        <f>_xlfn.LET(_xlpm.ascend,$J142,_xlpm.expr,_xlfn.TEXTJOIN("-",1,D142,_xlfn.IFS(_xlpm.ascend&gt;0,"p"&amp;_xlpm.ascend,_xlpm.ascend&lt;0,"n"&amp;-_xlpm.ascend,TRUE,"flat"),"w"&amp;_xlfn.TEXTJOIN("_",1,K142,L142)),IF($A142&lt;&gt;"",_xlpm.expr,""))</f>
        <v>8c-flat-w2048_2</v>
      </c>
      <c r="K142" s="8">
        <v>2048</v>
      </c>
      <c r="L142" s="8">
        <v>2</v>
      </c>
      <c r="M142" s="9">
        <f t="shared" si="35"/>
        <v>0</v>
      </c>
    </row>
    <row r="143" spans="1:13">
      <c r="A143" s="5">
        <v>42083</v>
      </c>
      <c r="B143" s="5">
        <v>105</v>
      </c>
      <c r="C143" s="6" t="str">
        <f>IFERROR(VLOOKUP(VALUE(MID(A143,4,1)),tb_world[[id]:[name]],2,0),"")</f>
        <v>大湖</v>
      </c>
      <c r="D143" s="6" t="str">
        <f t="shared" si="25"/>
        <v>8c</v>
      </c>
      <c r="E143" s="6" t="str" cm="1">
        <f t="array" ref="E143">_xlfn.IFS($J143&gt;0,"上坡",$J143&lt;0,"下坡",TRUE,"")</f>
        <v/>
      </c>
      <c r="G143" s="7">
        <v>50</v>
      </c>
      <c r="H143" s="7">
        <v>0</v>
      </c>
      <c r="I143" s="5" t="str">
        <f t="shared" ref="I143" si="37">_xlfn.LET(_xlpm.ascend,$J143,_xlpm.expr,_xlfn.TEXTJOIN("-",1,D143,_xlfn.IFS(_xlpm.ascend&gt;0,"p"&amp;_xlpm.ascend,_xlpm.ascend&lt;0,"n"&amp;-_xlpm.ascend,TRUE,"flat"),"w"&amp;_xlfn.TEXTJOIN("_",1,K143,L143)),IF($A143&lt;&gt;"",_xlpm.expr,""))</f>
        <v>8c-flat-w2048_3</v>
      </c>
      <c r="K143" s="8">
        <v>2048</v>
      </c>
      <c r="L143" s="8">
        <v>3</v>
      </c>
      <c r="M143" s="9">
        <f t="shared" si="35"/>
        <v>0</v>
      </c>
    </row>
    <row r="144" spans="1:13">
      <c r="A144" s="5">
        <v>42083</v>
      </c>
      <c r="B144" s="5">
        <v>200</v>
      </c>
      <c r="C144" s="6" t="str">
        <f>IFERROR(VLOOKUP(VALUE(MID(A144,4,1)),tb_world[[id]:[name]],2,0),"")</f>
        <v>大湖</v>
      </c>
      <c r="D144" s="6" t="str">
        <f t="shared" si="25"/>
        <v>8c</v>
      </c>
      <c r="E144" s="6" t="str" cm="1">
        <f t="array" ref="E144">_xlfn.IFS($J144&gt;0,"上坡",$J144&lt;0,"下坡",TRUE,"")</f>
        <v>上坡</v>
      </c>
      <c r="G144" s="7">
        <v>850</v>
      </c>
      <c r="H144" s="7">
        <v>150</v>
      </c>
      <c r="I144" s="5" t="str">
        <f t="shared" si="34"/>
        <v>8c-p48-w512</v>
      </c>
      <c r="J144" s="8">
        <v>48</v>
      </c>
      <c r="K144" s="8">
        <v>512</v>
      </c>
      <c r="M144" s="9">
        <f t="shared" si="35"/>
        <v>9.375E-2</v>
      </c>
    </row>
    <row r="145" spans="1:13">
      <c r="A145" s="5">
        <v>42083</v>
      </c>
      <c r="B145" s="5">
        <v>201</v>
      </c>
      <c r="C145" s="6" t="str">
        <f>IFERROR(VLOOKUP(VALUE(MID(A145,4,1)),tb_world[[id]:[name]],2,0),"")</f>
        <v>大湖</v>
      </c>
      <c r="D145" s="6" t="str">
        <f t="shared" si="25"/>
        <v>8c</v>
      </c>
      <c r="E145" s="6" t="str" cm="1">
        <f t="array" ref="E145">_xlfn.IFS($J145&gt;0,"上坡",$J145&lt;0,"下坡",TRUE,"")</f>
        <v>上坡</v>
      </c>
      <c r="G145" s="7">
        <v>70</v>
      </c>
      <c r="H145" s="7">
        <v>0</v>
      </c>
      <c r="I145" s="5" t="str">
        <f t="shared" si="34"/>
        <v>8c-p48-w1024</v>
      </c>
      <c r="J145" s="8">
        <v>48</v>
      </c>
      <c r="K145" s="8">
        <v>1024</v>
      </c>
      <c r="M145" s="9">
        <f t="shared" si="35"/>
        <v>4.6875E-2</v>
      </c>
    </row>
    <row r="146" spans="1:13">
      <c r="A146" s="5">
        <v>42083</v>
      </c>
      <c r="B146" s="5">
        <v>300</v>
      </c>
      <c r="C146" s="6" t="str">
        <f>IFERROR(VLOOKUP(VALUE(MID(A146,4,1)),tb_world[[id]:[name]],2,0),"")</f>
        <v>大湖</v>
      </c>
      <c r="D146" s="6" t="str">
        <f t="shared" si="25"/>
        <v>8c</v>
      </c>
      <c r="E146" s="6" t="str" cm="1">
        <f t="array" ref="E146">_xlfn.IFS($J146&gt;0,"上坡",$J146&lt;0,"下坡",TRUE,"")</f>
        <v>下坡</v>
      </c>
      <c r="G146" s="7">
        <v>160</v>
      </c>
      <c r="H146" s="7">
        <v>0</v>
      </c>
      <c r="I146" s="5" t="str">
        <f t="shared" si="34"/>
        <v>8c-n84-w512</v>
      </c>
      <c r="J146" s="8">
        <v>-84</v>
      </c>
      <c r="K146" s="8">
        <v>512</v>
      </c>
      <c r="M146" s="9">
        <f t="shared" si="35"/>
        <v>-0.1640625</v>
      </c>
    </row>
    <row r="147" spans="1:13">
      <c r="A147" s="5">
        <v>42083</v>
      </c>
      <c r="B147" s="5">
        <v>301</v>
      </c>
      <c r="C147" s="6" t="str">
        <f>IFERROR(VLOOKUP(VALUE(MID(A147,4,1)),tb_world[[id]:[name]],2,0),"")</f>
        <v>大湖</v>
      </c>
      <c r="D147" s="6" t="str">
        <f t="shared" si="25"/>
        <v>8c</v>
      </c>
      <c r="E147" s="6" t="str" cm="1">
        <f t="array" ref="E147">_xlfn.IFS($J147&gt;0,"上坡",$J147&lt;0,"下坡",TRUE,"")</f>
        <v>下坡</v>
      </c>
      <c r="G147" s="7">
        <v>110</v>
      </c>
      <c r="H147" s="7">
        <v>0</v>
      </c>
      <c r="I147" s="5" t="str">
        <f t="shared" si="34"/>
        <v>8c-n100-w2048</v>
      </c>
      <c r="J147" s="8">
        <v>-100</v>
      </c>
      <c r="K147" s="8">
        <v>2048</v>
      </c>
      <c r="M147" s="9">
        <f t="shared" si="35"/>
        <v>-4.8828125E-2</v>
      </c>
    </row>
  </sheetData>
  <phoneticPr fontId="25" type="noConversion"/>
  <conditionalFormatting sqref="M1:M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{97912135-CD1A-4C62-9CE3-94AFD8D7930E}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912135-CD1A-4C62-9CE3-94AFD8D793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M1:M1048576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F200-A910-4B65-8289-5FF2B7BEF7AC}">
  <dimension ref="A1:AF35"/>
  <sheetViews>
    <sheetView topLeftCell="G1" workbookViewId="0">
      <pane ySplit="3" topLeftCell="A4" activePane="bottomLeft" state="frozen"/>
      <selection pane="bottomLeft" activeCell="Z37" sqref="Z37"/>
    </sheetView>
  </sheetViews>
  <sheetFormatPr defaultColWidth="9" defaultRowHeight="14.25"/>
  <cols>
    <col min="1" max="1" width="8.75" style="5" customWidth="1"/>
    <col min="2" max="2" width="37.75" style="5" customWidth="1"/>
    <col min="3" max="3" width="9" style="43"/>
    <col min="4" max="8" width="9" style="98"/>
    <col min="9" max="9" width="11.125" style="44" bestFit="1" customWidth="1"/>
    <col min="10" max="13" width="9" style="23"/>
    <col min="14" max="14" width="9.5" style="23" customWidth="1"/>
    <col min="15" max="15" width="10.25" style="5" customWidth="1"/>
    <col min="16" max="16" width="9.25" style="23" bestFit="1" customWidth="1"/>
    <col min="17" max="24" width="9" style="23"/>
    <col min="25" max="25" width="10.25" style="23" customWidth="1"/>
    <col min="26" max="27" width="90.625" style="23" customWidth="1"/>
    <col min="28" max="16384" width="9" style="23"/>
  </cols>
  <sheetData>
    <row r="1" spans="1:32" s="2" customFormat="1">
      <c r="A1" s="2" t="s">
        <v>601</v>
      </c>
      <c r="B1" s="2" t="s">
        <v>689</v>
      </c>
      <c r="C1" s="45"/>
      <c r="D1" s="95"/>
      <c r="E1" s="95"/>
      <c r="F1" s="95"/>
      <c r="G1" s="95"/>
      <c r="H1" s="95"/>
      <c r="I1" s="52"/>
    </row>
    <row r="2" spans="1:32" s="11" customFormat="1">
      <c r="A2" s="11" t="s">
        <v>688</v>
      </c>
      <c r="B2" s="11" t="s">
        <v>692</v>
      </c>
      <c r="C2" s="45"/>
      <c r="D2" s="95"/>
      <c r="E2" s="95"/>
      <c r="F2" s="95"/>
      <c r="G2" s="95"/>
      <c r="H2" s="95"/>
      <c r="I2" s="53"/>
    </row>
    <row r="3" spans="1:32" s="4" customFormat="1" ht="28.5">
      <c r="A3" s="14" t="s">
        <v>690</v>
      </c>
      <c r="B3" s="13" t="s">
        <v>691</v>
      </c>
      <c r="C3" s="46" t="s">
        <v>699</v>
      </c>
      <c r="D3" s="96" t="s">
        <v>697</v>
      </c>
      <c r="E3" s="97" t="s">
        <v>693</v>
      </c>
      <c r="F3" s="96" t="s">
        <v>695</v>
      </c>
      <c r="G3" s="97" t="s">
        <v>694</v>
      </c>
      <c r="H3" s="97" t="s">
        <v>779</v>
      </c>
      <c r="I3" s="106" t="s">
        <v>778</v>
      </c>
    </row>
    <row r="4" spans="1:32">
      <c r="A4" s="5" t="str" cm="1">
        <f t="array" ref="A4">COUNTIF($D4:$H4,TRUE)&amp;0&amp;
_xlfn.LET(_xlpm._f_b2d,_xlfn.LAMBDA(_xlpm.x,BIN2DEC(_xlfn.CONCAT(--_xlpm.x))),
_xlpm._d1,_xlpm._f_b2d($D4:$F4),
_xlpm._d2,_xlpm._f_b2d($G4),
_xlpm._d3,_xlpm._f_b2d($H4),
_xlfn.CONCAT(_xlpm._d3,_xlpm._d2,_xlpm._d1)
)</f>
        <v>10001</v>
      </c>
      <c r="B4" s="94" t="str" cm="1">
        <f t="array" ref="B4">_xlfn.TEXTJOIN(";",1,_xlfn.LAMBDA(_xlpm.x,_xlpm.title,IF(_xlpm.x,_xlpm.title,""))($D4:$H4,$D$3:$H$3))</f>
        <v>device</v>
      </c>
      <c r="C4" s="43" cm="1">
        <f t="array" ref="C4">PRODUCT(_xlfn.XLOOKUP(IF($D4:$H4,$D$3:$H$3,"Empty"),tb_shop_weight[类型],tb_shop_weight[权重],0))</f>
        <v>36864</v>
      </c>
      <c r="F4" s="98" t="b">
        <v>1</v>
      </c>
      <c r="I4" s="44" t="str" cm="1">
        <f t="array" ref="I4">_xlfn.LET(_xlpm._01,--D4:H4,
IF(OR(_xlpm._01),_xlfn.CONCAT(_xlpm._01),""))</f>
        <v>00100</v>
      </c>
      <c r="L4" s="79" t="s">
        <v>698</v>
      </c>
      <c r="O4" s="23"/>
    </row>
    <row r="5" spans="1:32">
      <c r="A5" s="5" t="str" cm="1">
        <f t="array" ref="A5">COUNTIF($D5:$H5,TRUE)&amp;0&amp;
_xlfn.LET(_xlpm._f_b2d,_xlfn.LAMBDA(_xlpm.x,BIN2DEC(_xlfn.CONCAT(--_xlpm.x))),
_xlpm._d1,_xlpm._f_b2d($D5:$F5),
_xlpm._d2,_xlpm._f_b2d($G5),
_xlpm._d3,_xlpm._f_b2d($H5),
_xlfn.CONCAT(_xlpm._d3,_xlpm._d2,_xlpm._d1)
)</f>
        <v>10002</v>
      </c>
      <c r="B5" s="94" t="str" cm="1">
        <f t="array" ref="B5">_xlfn.TEXTJOIN(";",1,_xlfn.LAMBDA(_xlpm.x,_xlpm.title,IF(_xlpm.x,_xlpm.title,""))($D5:$H5,$D$3:$H$3))</f>
        <v>role</v>
      </c>
      <c r="C5" s="43" cm="1">
        <f t="array" ref="C5">PRODUCT(_xlfn.XLOOKUP(IF($D5:$H5,$D$3:$H$3,"Empty"),tb_shop_weight[类型],tb_shop_weight[权重],0))</f>
        <v>20480</v>
      </c>
      <c r="E5" s="98" t="b">
        <v>1</v>
      </c>
      <c r="I5" s="44" t="str" cm="1">
        <f t="array" ref="I5">_xlfn.LET(_xlpm._01,--D5:H5,
IF(OR(_xlpm._01),_xlfn.CONCAT(_xlpm._01),""))</f>
        <v>01000</v>
      </c>
      <c r="L5" s="59" t="s">
        <v>555</v>
      </c>
      <c r="M5" s="59" t="s">
        <v>696</v>
      </c>
    </row>
    <row r="6" spans="1:32">
      <c r="A6" s="5" t="str" cm="1">
        <f t="array" ref="A6">COUNTIF($D6:$H6,TRUE)&amp;0&amp;
_xlfn.LET(_xlpm._f_b2d,_xlfn.LAMBDA(_xlpm.x,BIN2DEC(_xlfn.CONCAT(--_xlpm.x))),
_xlpm._d1,_xlpm._f_b2d($D6:$F6),
_xlpm._d2,_xlpm._f_b2d($G6),
_xlpm._d3,_xlpm._f_b2d($H6),
_xlfn.CONCAT(_xlpm._d3,_xlpm._d2,_xlpm._d1)
)</f>
        <v>10004</v>
      </c>
      <c r="B6" s="94" t="str" cm="1">
        <f t="array" ref="B6">_xlfn.TEXTJOIN(";",1,_xlfn.LAMBDA(_xlpm.x,_xlpm.title,IF(_xlpm.x,_xlpm.title,""))($D6:$H6,$D$3:$H$3))</f>
        <v>relic</v>
      </c>
      <c r="C6" s="43" cm="1">
        <f t="array" ref="C6">PRODUCT(_xlfn.XLOOKUP(IF($D6:$H6,$D$3:$H$3,"Empty"),tb_shop_weight[类型],tb_shop_weight[权重],0))</f>
        <v>28672</v>
      </c>
      <c r="D6" s="98" t="b">
        <v>1</v>
      </c>
      <c r="I6" s="44" t="str" cm="1">
        <f t="array" ref="I6">_xlfn.LET(_xlpm._01,--D6:H6,
IF(OR(_xlpm._01),_xlfn.CONCAT(_xlpm._01),""))</f>
        <v>10000</v>
      </c>
      <c r="L6" s="59" t="s">
        <v>697</v>
      </c>
      <c r="M6" s="5">
        <v>7</v>
      </c>
    </row>
    <row r="7" spans="1:32">
      <c r="A7" s="5" t="str" cm="1">
        <f t="array" ref="A7">COUNTIF($D7:$H7,TRUE)&amp;0&amp;
_xlfn.LET(_xlpm._f_b2d,_xlfn.LAMBDA(_xlpm.x,BIN2DEC(_xlfn.CONCAT(--_xlpm.x))),
_xlpm._d1,_xlpm._f_b2d($D7:$F7),
_xlpm._d2,_xlpm._f_b2d($G7),
_xlpm._d3,_xlpm._f_b2d($H7),
_xlfn.CONCAT(_xlpm._d3,_xlpm._d2,_xlpm._d1)
)</f>
        <v>10010</v>
      </c>
      <c r="B7" s="94" t="str" cm="1">
        <f t="array" ref="B7">_xlfn.TEXTJOIN(";",1,_xlfn.LAMBDA(_xlpm.x,_xlpm.title,IF(_xlpm.x,_xlpm.title,""))($D7:$H7,$D$3:$H$3))</f>
        <v>repair</v>
      </c>
      <c r="C7" s="43" cm="1">
        <f t="array" ref="C7">PRODUCT(_xlfn.XLOOKUP(IF($D7:$H7,$D$3:$H$3,"Empty"),tb_shop_weight[类型],tb_shop_weight[权重],0))</f>
        <v>4096</v>
      </c>
      <c r="G7" s="98" t="b">
        <v>1</v>
      </c>
      <c r="I7" s="44" t="str" cm="1">
        <f t="array" ref="I7">_xlfn.LET(_xlpm._01,--D7:H7,
IF(OR(_xlpm._01),_xlfn.CONCAT(_xlpm._01),""))</f>
        <v>00010</v>
      </c>
      <c r="L7" s="59" t="s">
        <v>700</v>
      </c>
      <c r="M7" s="5">
        <v>5</v>
      </c>
    </row>
    <row r="8" spans="1:32">
      <c r="A8" s="5" t="str" cm="1">
        <f t="array" ref="A8">COUNTIF($D8:$H8,TRUE)&amp;0&amp;
_xlfn.LET(_xlpm._f_b2d,_xlfn.LAMBDA(_xlpm.x,BIN2DEC(_xlfn.CONCAT(--_xlpm.x))),
_xlpm._d1,_xlpm._f_b2d($D8:$F8),
_xlpm._d2,_xlpm._f_b2d($G8),
_xlpm._d3,_xlpm._f_b2d($H8),
_xlfn.CONCAT(_xlpm._d3,_xlpm._d2,_xlpm._d1)
)</f>
        <v>10100</v>
      </c>
      <c r="B8" s="94" t="str" cm="1">
        <f t="array" ref="B8">_xlfn.TEXTJOIN(";",1,_xlfn.LAMBDA(_xlpm.x,_xlpm.title,IF(_xlpm.x,_xlpm.title,""))($D8:$H8,$D$3:$H$3))</f>
        <v>elite_relic</v>
      </c>
      <c r="C8" s="43" cm="1">
        <f t="array" ref="C8">PRODUCT(_xlfn.XLOOKUP(IF($D8:$H8,$D$3:$H$3,"Empty"),tb_shop_weight[类型],tb_shop_weight[权重],0))</f>
        <v>12288</v>
      </c>
      <c r="H8" s="98" t="b">
        <v>1</v>
      </c>
      <c r="I8" s="44" t="str" cm="1">
        <f t="array" ref="I8">_xlfn.LET(_xlpm._01,--D8:H8,
IF(OR(_xlpm._01),_xlfn.CONCAT(_xlpm._01),""))</f>
        <v>00001</v>
      </c>
      <c r="L8" s="59" t="s">
        <v>695</v>
      </c>
      <c r="M8" s="5">
        <v>9</v>
      </c>
    </row>
    <row r="9" spans="1:32">
      <c r="I9" s="44" t="str" cm="1">
        <f t="array" ref="I9">_xlfn.LET(_xlpm._01,--D9:H9,
IF(OR(_xlpm._01),_xlfn.CONCAT(_xlpm._01),""))</f>
        <v/>
      </c>
      <c r="L9" s="59" t="s">
        <v>701</v>
      </c>
      <c r="M9" s="5">
        <v>1</v>
      </c>
    </row>
    <row r="10" spans="1:32">
      <c r="A10" s="5" t="str" cm="1">
        <f t="array" ref="A10">COUNTIF($D10:$H10,TRUE)&amp;0&amp;
_xlfn.LET(_xlpm._f_b2d,_xlfn.LAMBDA(_xlpm.x,BIN2DEC(_xlfn.CONCAT(--_xlpm.x))),
_xlpm._d1,_xlpm._f_b2d($D10:$F10),
_xlpm._d2,_xlpm._f_b2d($G10),
_xlpm._d3,_xlpm._f_b2d($H10),
_xlfn.CONCAT(_xlpm._d3,_xlpm._d2,_xlpm._d1)
)</f>
        <v>20003</v>
      </c>
      <c r="B10" s="94" t="str" cm="1">
        <f t="array" ref="B10">_xlfn.TEXTJOIN(";",1,_xlfn.LAMBDA(_xlpm.x,_xlpm.title,IF(_xlpm.x,_xlpm.title,""))($D10:$H10,$D$3:$H$3))</f>
        <v>role;device</v>
      </c>
      <c r="C10" s="43" cm="1">
        <f t="array" ref="C10">PRODUCT(_xlfn.XLOOKUP(IF($D10:$H10,$D$3:$H$3,"Empty"),tb_shop_weight[类型],tb_shop_weight[权重],0))</f>
        <v>23040</v>
      </c>
      <c r="E10" s="98" t="b">
        <v>1</v>
      </c>
      <c r="F10" s="98" t="b">
        <v>1</v>
      </c>
      <c r="I10" s="44" t="str" cm="1">
        <f t="array" ref="I10">_xlfn.LET(_xlpm._01,--D10:H10,
IF(OR(_xlpm._01),_xlfn.CONCAT(_xlpm._01),""))</f>
        <v>01100</v>
      </c>
      <c r="L10" s="59" t="s">
        <v>779</v>
      </c>
      <c r="M10" s="5">
        <v>3</v>
      </c>
    </row>
    <row r="11" spans="1:32">
      <c r="A11" s="5" t="str" cm="1">
        <f t="array" ref="A11">COUNTIF($D11:$H11,TRUE)&amp;0&amp;
_xlfn.LET(_xlpm._f_b2d,_xlfn.LAMBDA(_xlpm.x,BIN2DEC(_xlfn.CONCAT(--_xlpm.x))),
_xlpm._d1,_xlpm._f_b2d($D11:$F11),
_xlpm._d2,_xlpm._f_b2d($G11),
_xlpm._d3,_xlpm._f_b2d($H11),
_xlfn.CONCAT(_xlpm._d3,_xlpm._d2,_xlpm._d1)
)</f>
        <v>20005</v>
      </c>
      <c r="B11" s="94" t="str" cm="1">
        <f t="array" ref="B11">_xlfn.TEXTJOIN(";",1,_xlfn.LAMBDA(_xlpm.x,_xlpm.title,IF(_xlpm.x,_xlpm.title,""))($D11:$H11,$D$3:$H$3))</f>
        <v>relic;device</v>
      </c>
      <c r="C11" s="43" cm="1">
        <f t="array" ref="C11">PRODUCT(_xlfn.XLOOKUP(IF($D11:$H11,$D$3:$H$3,"Empty"),tb_shop_weight[类型],tb_shop_weight[权重],0))</f>
        <v>32256</v>
      </c>
      <c r="D11" s="98" t="b">
        <v>1</v>
      </c>
      <c r="F11" s="98" t="b">
        <v>1</v>
      </c>
      <c r="I11" s="44" t="str" cm="1">
        <f t="array" ref="I11">_xlfn.LET(_xlpm._01,--D11:H11,
IF(OR(_xlpm._01),_xlfn.CONCAT(_xlpm._01),""))</f>
        <v>10100</v>
      </c>
      <c r="L11" s="59" t="s">
        <v>702</v>
      </c>
      <c r="M11" s="5">
        <v>8</v>
      </c>
    </row>
    <row r="12" spans="1:32">
      <c r="A12" s="5" t="str" cm="1">
        <f t="array" ref="A12">COUNTIF($D12:$H12,TRUE)&amp;0&amp;
_xlfn.LET(_xlpm._f_b2d,_xlfn.LAMBDA(_xlpm.x,BIN2DEC(_xlfn.CONCAT(--_xlpm.x))),
_xlpm._d1,_xlpm._f_b2d($D12:$F12),
_xlpm._d2,_xlpm._f_b2d($G12),
_xlpm._d3,_xlpm._f_b2d($H12),
_xlfn.CONCAT(_xlpm._d3,_xlpm._d2,_xlpm._d1)
)</f>
        <v>20006</v>
      </c>
      <c r="B12" s="94" t="str" cm="1">
        <f t="array" ref="B12">_xlfn.TEXTJOIN(";",1,_xlfn.LAMBDA(_xlpm.x,_xlpm.title,IF(_xlpm.x,_xlpm.title,""))($D12:$H12,$D$3:$H$3))</f>
        <v>relic;role</v>
      </c>
      <c r="C12" s="43" cm="1">
        <f t="array" ref="C12">PRODUCT(_xlfn.XLOOKUP(IF($D12:$H12,$D$3:$H$3,"Empty"),tb_shop_weight[类型],tb_shop_weight[权重],0))</f>
        <v>17920</v>
      </c>
      <c r="D12" s="98" t="b">
        <v>1</v>
      </c>
      <c r="E12" s="98" t="b">
        <v>1</v>
      </c>
      <c r="I12" s="44" t="str" cm="1">
        <f t="array" ref="I12">_xlfn.LET(_xlpm._01,--D12:H12,
IF(OR(_xlpm._01),_xlfn.CONCAT(_xlpm._01),""))</f>
        <v>11000</v>
      </c>
    </row>
    <row r="13" spans="1:32">
      <c r="A13" s="5" t="str" cm="1">
        <f t="array" ref="A13">COUNTIF($D13:$H13,TRUE)&amp;0&amp;
_xlfn.LET(_xlpm._f_b2d,_xlfn.LAMBDA(_xlpm.x,BIN2DEC(_xlfn.CONCAT(--_xlpm.x))),
_xlpm._d1,_xlpm._f_b2d($D13:$F13),
_xlpm._d2,_xlpm._f_b2d($G13),
_xlpm._d3,_xlpm._f_b2d($H13),
_xlfn.CONCAT(_xlpm._d3,_xlpm._d2,_xlpm._d1)
)</f>
        <v>20011</v>
      </c>
      <c r="B13" s="94" t="str" cm="1">
        <f t="array" ref="B13">_xlfn.TEXTJOIN(";",1,_xlfn.LAMBDA(_xlpm.x,_xlpm.title,IF(_xlpm.x,_xlpm.title,""))($D13:$H13,$D$3:$H$3))</f>
        <v>device;repair</v>
      </c>
      <c r="C13" s="43" cm="1">
        <f t="array" ref="C13">PRODUCT(_xlfn.XLOOKUP(IF($D13:$H13,$D$3:$H$3,"Empty"),tb_shop_weight[类型],tb_shop_weight[权重],0))</f>
        <v>4608</v>
      </c>
      <c r="F13" s="98" t="b">
        <v>1</v>
      </c>
      <c r="G13" s="98" t="b">
        <v>1</v>
      </c>
      <c r="I13" s="44" t="str" cm="1">
        <f t="array" ref="I13">_xlfn.LET(_xlpm._01,--D13:H13,
IF(OR(_xlpm._01),_xlfn.CONCAT(_xlpm._01),""))</f>
        <v>00110</v>
      </c>
    </row>
    <row r="14" spans="1:32">
      <c r="A14" s="5" t="str" cm="1">
        <f t="array" ref="A14">COUNTIF($D14:$H14,TRUE)&amp;0&amp;
_xlfn.LET(_xlpm._f_b2d,_xlfn.LAMBDA(_xlpm.x,BIN2DEC(_xlfn.CONCAT(--_xlpm.x))),
_xlpm._d1,_xlpm._f_b2d($D14:$F14),
_xlpm._d2,_xlpm._f_b2d($G14),
_xlpm._d3,_xlpm._f_b2d($H14),
_xlfn.CONCAT(_xlpm._d3,_xlpm._d2,_xlpm._d1)
)</f>
        <v>20012</v>
      </c>
      <c r="B14" s="94" t="str" cm="1">
        <f t="array" ref="B14">_xlfn.TEXTJOIN(";",1,_xlfn.LAMBDA(_xlpm.x,_xlpm.title,IF(_xlpm.x,_xlpm.title,""))($D14:$H14,$D$3:$H$3))</f>
        <v>role;repair</v>
      </c>
      <c r="C14" s="43" cm="1">
        <f t="array" ref="C14">PRODUCT(_xlfn.XLOOKUP(IF($D14:$H14,$D$3:$H$3,"Empty"),tb_shop_weight[类型],tb_shop_weight[权重],0))</f>
        <v>2560</v>
      </c>
      <c r="E14" s="98" t="b">
        <v>1</v>
      </c>
      <c r="G14" s="98" t="b">
        <v>1</v>
      </c>
      <c r="I14" s="44" t="str" cm="1">
        <f t="array" ref="I14">_xlfn.LET(_xlpm._01,--D14:H14,
IF(OR(_xlpm._01),_xlfn.CONCAT(_xlpm._01),""))</f>
        <v>01010</v>
      </c>
      <c r="L14" s="110" t="s">
        <v>766</v>
      </c>
      <c r="M14" s="110" t="s">
        <v>541</v>
      </c>
      <c r="N14" s="108" t="s">
        <v>769</v>
      </c>
      <c r="O14" s="109"/>
      <c r="P14" s="108" t="s">
        <v>768</v>
      </c>
      <c r="Q14" s="109"/>
      <c r="R14" s="108" t="s">
        <v>767</v>
      </c>
      <c r="S14" s="109"/>
      <c r="T14" s="108" t="s">
        <v>771</v>
      </c>
      <c r="U14" s="109"/>
      <c r="V14" s="108" t="s">
        <v>770</v>
      </c>
      <c r="W14" s="109"/>
    </row>
    <row r="15" spans="1:32">
      <c r="A15" s="5" t="str" cm="1">
        <f t="array" ref="A15">COUNTIF($D15:$H15,TRUE)&amp;0&amp;
_xlfn.LET(_xlpm._f_b2d,_xlfn.LAMBDA(_xlpm.x,BIN2DEC(_xlfn.CONCAT(--_xlpm.x))),
_xlpm._d1,_xlpm._f_b2d($D15:$F15),
_xlpm._d2,_xlpm._f_b2d($G15),
_xlpm._d3,_xlpm._f_b2d($H15),
_xlfn.CONCAT(_xlpm._d3,_xlpm._d2,_xlpm._d1)
)</f>
        <v>20014</v>
      </c>
      <c r="B15" s="94" t="str" cm="1">
        <f t="array" ref="B15">_xlfn.TEXTJOIN(";",1,_xlfn.LAMBDA(_xlpm.x,_xlpm.title,IF(_xlpm.x,_xlpm.title,""))($D15:$H15,$D$3:$H$3))</f>
        <v>relic;repair</v>
      </c>
      <c r="C15" s="43" cm="1">
        <f t="array" ref="C15">PRODUCT(_xlfn.XLOOKUP(IF($D15:$H15,$D$3:$H$3,"Empty"),tb_shop_weight[类型],tb_shop_weight[权重],0))</f>
        <v>3584</v>
      </c>
      <c r="D15" s="98" t="b">
        <v>1</v>
      </c>
      <c r="G15" s="98" t="b">
        <v>1</v>
      </c>
      <c r="I15" s="44" t="str" cm="1">
        <f t="array" ref="I15">_xlfn.LET(_xlpm._01,--D15:H15,
IF(OR(_xlpm._01),_xlfn.CONCAT(_xlpm._01),""))</f>
        <v>10010</v>
      </c>
      <c r="L15" s="110"/>
      <c r="M15" s="110"/>
      <c r="N15" s="100" t="s">
        <v>523</v>
      </c>
      <c r="O15" s="100" t="s">
        <v>524</v>
      </c>
      <c r="P15" s="100" t="s">
        <v>523</v>
      </c>
      <c r="Q15" s="100" t="s">
        <v>524</v>
      </c>
      <c r="R15" s="100" t="s">
        <v>523</v>
      </c>
      <c r="S15" s="100" t="s">
        <v>524</v>
      </c>
      <c r="T15" s="100" t="s">
        <v>523</v>
      </c>
      <c r="U15" s="100" t="s">
        <v>524</v>
      </c>
      <c r="V15" s="100" t="s">
        <v>523</v>
      </c>
      <c r="W15" s="100" t="s">
        <v>524</v>
      </c>
      <c r="Y15" s="107" t="s">
        <v>766</v>
      </c>
      <c r="Z15" s="107" t="s">
        <v>523</v>
      </c>
      <c r="AA15" s="107" t="s">
        <v>524</v>
      </c>
      <c r="AB15" s="5"/>
      <c r="AC15" s="5"/>
      <c r="AD15" s="5"/>
      <c r="AE15" s="5"/>
      <c r="AF15" s="5"/>
    </row>
    <row r="16" spans="1:32">
      <c r="A16" s="5" t="str" cm="1">
        <f t="array" ref="A16">COUNTIF($D16:$H16,TRUE)&amp;0&amp;
_xlfn.LET(_xlpm._f_b2d,_xlfn.LAMBDA(_xlpm.x,BIN2DEC(_xlfn.CONCAT(--_xlpm.x))),
_xlpm._d1,_xlpm._f_b2d($D16:$F16),
_xlpm._d2,_xlpm._f_b2d($G16),
_xlpm._d3,_xlpm._f_b2d($H16),
_xlfn.CONCAT(_xlpm._d3,_xlpm._d2,_xlpm._d1)
)</f>
        <v>20101</v>
      </c>
      <c r="B16" s="94" t="str" cm="1">
        <f t="array" ref="B16">_xlfn.TEXTJOIN(";",1,_xlfn.LAMBDA(_xlpm.x,_xlpm.title,IF(_xlpm.x,_xlpm.title,""))($D16:$H16,$D$3:$H$3))</f>
        <v>device;elite_relic</v>
      </c>
      <c r="C16" s="43" cm="1">
        <f t="array" ref="C16">PRODUCT(_xlfn.XLOOKUP(IF($D16:$H16,$D$3:$H$3,"Empty"),tb_shop_weight[类型],tb_shop_weight[权重],0))</f>
        <v>13824</v>
      </c>
      <c r="F16" s="98" t="b">
        <v>1</v>
      </c>
      <c r="H16" s="98" t="b">
        <v>1</v>
      </c>
      <c r="I16" s="44" t="str" cm="1">
        <f t="array" ref="I16">_xlfn.LET(_xlpm._01,--D16:H16,
IF(OR(_xlpm._01),_xlfn.CONCAT(_xlpm._01),""))</f>
        <v>00101</v>
      </c>
      <c r="L16" s="101">
        <v>1</v>
      </c>
      <c r="M16" s="101" t="s">
        <v>772</v>
      </c>
      <c r="N16" s="104" t="s">
        <v>774</v>
      </c>
      <c r="O16" s="103"/>
      <c r="P16" s="102" t="s">
        <v>773</v>
      </c>
      <c r="Q16" s="103"/>
      <c r="R16" s="102" t="s">
        <v>773</v>
      </c>
      <c r="S16" s="103"/>
      <c r="T16" s="104" t="s">
        <v>774</v>
      </c>
      <c r="U16" s="103"/>
      <c r="V16" s="102" t="s">
        <v>773</v>
      </c>
      <c r="W16" s="103"/>
      <c r="Y16" s="59">
        <v>1</v>
      </c>
      <c r="Z16" s="23" t="str" cm="1">
        <f t="array" ref="Z16">_xlfn.LET(_xlpm._arr_text,_xlfn._xlws.FILTER($N16:$W16,$N$15:$W$15=Z$15),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30103=8640</v>
      </c>
      <c r="AA16" s="23" t="str" cm="1">
        <f t="array" ref="AA16">_xlfn.LET(_xlpm._arr_text,_xlfn._xlws.FILTER($N16:$W16,$N$15:$W$15=AA$15),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/>
      </c>
      <c r="AB16" s="5"/>
      <c r="AC16" s="5"/>
      <c r="AD16" s="5"/>
      <c r="AE16" s="5"/>
      <c r="AF16" s="5"/>
    </row>
    <row r="17" spans="1:32">
      <c r="B17" s="5" t="str" cm="1">
        <f t="array" ref="B17">_xlfn.TEXTJOIN(";",1,_xlfn.LAMBDA(_xlpm.x,_xlpm.title,IF(_xlpm.x,_xlpm.title,""))($D17:$H17,$D$3:$H$3))</f>
        <v/>
      </c>
      <c r="I17" s="44" t="str" cm="1">
        <f t="array" ref="I17">_xlfn.LET(_xlpm._01,--D17:H17,
IF(OR(_xlpm._01),_xlfn.CONCAT(_xlpm._01),""))</f>
        <v/>
      </c>
      <c r="L17" s="101">
        <v>2</v>
      </c>
      <c r="M17" s="101" t="s">
        <v>775</v>
      </c>
      <c r="N17" s="102" t="s">
        <v>773</v>
      </c>
      <c r="O17" s="103"/>
      <c r="P17" s="105" t="s">
        <v>776</v>
      </c>
      <c r="Q17" s="103"/>
      <c r="R17" s="102" t="s">
        <v>773</v>
      </c>
      <c r="S17" s="103"/>
      <c r="T17" s="104" t="s">
        <v>774</v>
      </c>
      <c r="U17" s="103"/>
      <c r="V17" s="104" t="s">
        <v>774</v>
      </c>
      <c r="W17" s="103"/>
      <c r="Y17" s="59">
        <v>2</v>
      </c>
      <c r="Z17" s="23" t="str" cm="1">
        <f t="array" ref="Z17">_xlfn.LET(_xlpm._arr_text,_xlfn._xlws.FILTER($N17:$W17,$N$15:$W$15=Z$15),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20005=32256;30007=20160</v>
      </c>
      <c r="AA17" s="23" t="str" cm="1">
        <f t="array" ref="AA17">_xlfn.LET(_xlpm._arr_text,_xlfn._xlws.FILTER($N17:$W17,$N$15:$W$15=AA$15),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/>
      </c>
      <c r="AB17" s="5"/>
      <c r="AC17" s="5"/>
      <c r="AD17" s="5"/>
      <c r="AE17" s="5"/>
      <c r="AF17" s="5"/>
    </row>
    <row r="18" spans="1:32">
      <c r="A18" s="5" t="str" cm="1">
        <f t="array" ref="A18">COUNTIF($D18:$H18,TRUE)&amp;0&amp;
_xlfn.LET(_xlpm._f_b2d,_xlfn.LAMBDA(_xlpm.x,BIN2DEC(_xlfn.CONCAT(--_xlpm.x))),
_xlpm._d1,_xlpm._f_b2d($D18:$F18),
_xlpm._d2,_xlpm._f_b2d($G18),
_xlpm._d3,_xlpm._f_b2d($H18),
_xlfn.CONCAT(_xlpm._d3,_xlpm._d2,_xlpm._d1)
)</f>
        <v>30007</v>
      </c>
      <c r="B18" s="94" t="str" cm="1">
        <f t="array" ref="B18">_xlfn.TEXTJOIN(";",1,_xlfn.LAMBDA(_xlpm.x,_xlpm.title,IF(_xlpm.x,_xlpm.title,""))($D18:$H18,$D$3:$H$3))</f>
        <v>relic;role;device</v>
      </c>
      <c r="C18" s="43" cm="1">
        <f t="array" ref="C18">PRODUCT(_xlfn.XLOOKUP(IF($D18:$H18,$D$3:$H$3,"Empty"),tb_shop_weight[类型],tb_shop_weight[权重],0))</f>
        <v>20160</v>
      </c>
      <c r="D18" s="98" t="b">
        <v>1</v>
      </c>
      <c r="E18" s="98" t="b">
        <v>1</v>
      </c>
      <c r="F18" s="98" t="b">
        <v>1</v>
      </c>
      <c r="I18" s="44" t="str" cm="1">
        <f t="array" ref="I18">_xlfn.LET(_xlpm._01,--D18:H18,
IF(OR(_xlpm._01),_xlfn.CONCAT(_xlpm._01),""))</f>
        <v>11100</v>
      </c>
      <c r="L18" s="101">
        <v>3</v>
      </c>
      <c r="M18" s="101" t="s">
        <v>775</v>
      </c>
      <c r="N18" s="102" t="s">
        <v>773</v>
      </c>
      <c r="O18" s="103"/>
      <c r="P18" s="105" t="s">
        <v>776</v>
      </c>
      <c r="Q18" s="103"/>
      <c r="R18" s="102" t="s">
        <v>773</v>
      </c>
      <c r="S18" s="103"/>
      <c r="T18" s="104" t="s">
        <v>774</v>
      </c>
      <c r="U18" s="103"/>
      <c r="V18" s="104" t="s">
        <v>774</v>
      </c>
      <c r="W18" s="103"/>
      <c r="Y18" s="59">
        <v>3</v>
      </c>
      <c r="Z18" s="23" t="str" cm="1">
        <f t="array" ref="Z18">_xlfn.LET(_xlpm._arr_text,_xlfn._xlws.FILTER($N18:$W18,$N$15:$W$15=Z$15),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20005=32256;30007=20160</v>
      </c>
      <c r="AA18" s="23" t="str" cm="1">
        <f t="array" ref="AA18">_xlfn.LET(_xlpm._arr_text,_xlfn._xlws.FILTER($N18:$W18,$N$15:$W$15=AA$15),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/>
      </c>
      <c r="AB18" s="5"/>
      <c r="AC18" s="5"/>
      <c r="AD18" s="5"/>
      <c r="AE18" s="5"/>
      <c r="AF18" s="5"/>
    </row>
    <row r="19" spans="1:32">
      <c r="A19" s="5" t="str" cm="1">
        <f t="array" ref="A19">COUNTIF($D19:$H19,TRUE)&amp;0&amp;
_xlfn.LET(_xlpm._f_b2d,_xlfn.LAMBDA(_xlpm.x,BIN2DEC(_xlfn.CONCAT(--_xlpm.x))),
_xlpm._d1,_xlpm._f_b2d($D19:$F19),
_xlpm._d2,_xlpm._f_b2d($G19),
_xlpm._d3,_xlpm._f_b2d($H19),
_xlfn.CONCAT(_xlpm._d3,_xlpm._d2,_xlpm._d1)
)</f>
        <v>30013</v>
      </c>
      <c r="B19" s="94" t="str" cm="1">
        <f t="array" ref="B19">_xlfn.TEXTJOIN(";",1,_xlfn.LAMBDA(_xlpm.x,_xlpm.title,IF(_xlpm.x,_xlpm.title,""))($D19:$H19,$D$3:$H$3))</f>
        <v>role;device;repair</v>
      </c>
      <c r="C19" s="43" cm="1">
        <f t="array" ref="C19">PRODUCT(_xlfn.XLOOKUP(IF($D19:$H19,$D$3:$H$3,"Empty"),tb_shop_weight[类型],tb_shop_weight[权重],0))</f>
        <v>2880</v>
      </c>
      <c r="E19" s="98" t="b">
        <v>1</v>
      </c>
      <c r="F19" s="98" t="b">
        <v>1</v>
      </c>
      <c r="G19" s="98" t="b">
        <v>1</v>
      </c>
      <c r="I19" s="44" t="str" cm="1">
        <f t="array" ref="I19">_xlfn.LET(_xlpm._01,--D19:H19,
IF(OR(_xlpm._01),_xlfn.CONCAT(_xlpm._01),""))</f>
        <v>01110</v>
      </c>
      <c r="L19" s="101">
        <v>4</v>
      </c>
      <c r="M19" s="101" t="s">
        <v>775</v>
      </c>
      <c r="N19" s="104" t="s">
        <v>774</v>
      </c>
      <c r="O19" s="103"/>
      <c r="P19" s="102" t="s">
        <v>773</v>
      </c>
      <c r="Q19" s="103"/>
      <c r="R19" s="102" t="s">
        <v>773</v>
      </c>
      <c r="S19" s="103"/>
      <c r="T19" s="102" t="s">
        <v>773</v>
      </c>
      <c r="U19" s="103"/>
      <c r="V19" s="102" t="s">
        <v>773</v>
      </c>
      <c r="W19" s="103"/>
      <c r="Y19" s="59">
        <v>4</v>
      </c>
      <c r="Z19" s="23" t="str" cm="1">
        <f t="array" ref="Z19">_xlfn.LET(_xlpm._arr_text,_xlfn._xlws.FILTER($N19:$W19,$N$15:$W$15=Z$15),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40113=1080</v>
      </c>
      <c r="AA19" s="23" t="str" cm="1">
        <f t="array" ref="AA19">_xlfn.LET(_xlpm._arr_text,_xlfn._xlws.FILTER($N19:$W19,$N$15:$W$15=AA$15),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/>
      </c>
      <c r="AB19" s="5"/>
      <c r="AC19" s="5"/>
      <c r="AD19" s="5"/>
      <c r="AE19" s="5"/>
      <c r="AF19" s="5"/>
    </row>
    <row r="20" spans="1:32">
      <c r="A20" s="5" t="str" cm="1">
        <f t="array" ref="A20">COUNTIF($D20:$H20,TRUE)&amp;0&amp;
_xlfn.LET(_xlpm._f_b2d,_xlfn.LAMBDA(_xlpm.x,BIN2DEC(_xlfn.CONCAT(--_xlpm.x))),
_xlpm._d1,_xlpm._f_b2d($D20:$F20),
_xlpm._d2,_xlpm._f_b2d($G20),
_xlpm._d3,_xlpm._f_b2d($H20),
_xlfn.CONCAT(_xlpm._d3,_xlpm._d2,_xlpm._d1)
)</f>
        <v>30015</v>
      </c>
      <c r="B20" s="94" t="str" cm="1">
        <f t="array" ref="B20">_xlfn.TEXTJOIN(";",1,_xlfn.LAMBDA(_xlpm.x,_xlpm.title,IF(_xlpm.x,_xlpm.title,""))($D20:$H20,$D$3:$H$3))</f>
        <v>relic;device;repair</v>
      </c>
      <c r="C20" s="43" cm="1">
        <f t="array" ref="C20">PRODUCT(_xlfn.XLOOKUP(IF($D20:$H20,$D$3:$H$3,"Empty"),tb_shop_weight[类型],tb_shop_weight[权重],0))</f>
        <v>4032</v>
      </c>
      <c r="D20" s="98" t="b">
        <v>1</v>
      </c>
      <c r="F20" s="98" t="b">
        <v>1</v>
      </c>
      <c r="G20" s="98" t="b">
        <v>1</v>
      </c>
      <c r="I20" s="44" t="str" cm="1">
        <f t="array" ref="I20">_xlfn.LET(_xlpm._01,--D20:H20,
IF(OR(_xlpm._01),_xlfn.CONCAT(_xlpm._01),""))</f>
        <v>10110</v>
      </c>
      <c r="L20" s="101">
        <v>5</v>
      </c>
      <c r="M20" s="101" t="s">
        <v>775</v>
      </c>
      <c r="N20" s="105" t="s">
        <v>776</v>
      </c>
      <c r="O20" s="104" t="s">
        <v>774</v>
      </c>
      <c r="P20" s="105" t="s">
        <v>776</v>
      </c>
      <c r="Q20" s="105" t="s">
        <v>776</v>
      </c>
      <c r="R20" s="102" t="s">
        <v>773</v>
      </c>
      <c r="S20" s="102" t="s">
        <v>773</v>
      </c>
      <c r="T20" s="105" t="s">
        <v>776</v>
      </c>
      <c r="U20" s="102" t="s">
        <v>773</v>
      </c>
      <c r="V20" s="104" t="s">
        <v>774</v>
      </c>
      <c r="W20" s="102" t="s">
        <v>773</v>
      </c>
      <c r="Y20" s="59">
        <v>5</v>
      </c>
      <c r="Z20" s="23" t="str" cm="1">
        <f t="array" ref="Z20">_xlfn.LET(_xlpm._arr_text,_xlfn._xlws.FILTER($N20:$W20,$N$15:$W$15=Z$15),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10001=36864;20011=4608;20003=23040;30013=2880;20005=32256;30015=4032;30007=20160;40017=2520</v>
      </c>
      <c r="AA20" s="23" t="str" cm="1">
        <f t="array" ref="AA20">_xlfn.LET(_xlpm._arr_text,_xlfn._xlws.FILTER($N20:$W20,$N$15:$W$15=AA$15),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30111=1728;40113=1080</v>
      </c>
      <c r="AB20" s="5"/>
      <c r="AC20" s="5"/>
      <c r="AD20" s="5"/>
      <c r="AE20" s="5"/>
      <c r="AF20" s="5"/>
    </row>
    <row r="21" spans="1:32">
      <c r="A21" s="5" t="str" cm="1">
        <f t="array" ref="A21">COUNTIF($D21:$H21,TRUE)&amp;0&amp;
_xlfn.LET(_xlpm._f_b2d,_xlfn.LAMBDA(_xlpm.x,BIN2DEC(_xlfn.CONCAT(--_xlpm.x))),
_xlpm._d1,_xlpm._f_b2d($D21:$F21),
_xlpm._d2,_xlpm._f_b2d($G21),
_xlpm._d3,_xlpm._f_b2d($H21),
_xlfn.CONCAT(_xlpm._d3,_xlpm._d2,_xlpm._d1)
)</f>
        <v>30016</v>
      </c>
      <c r="B21" s="94" t="str" cm="1">
        <f t="array" ref="B21">_xlfn.TEXTJOIN(";",1,_xlfn.LAMBDA(_xlpm.x,_xlpm.title,IF(_xlpm.x,_xlpm.title,""))($D21:$H21,$D$3:$H$3))</f>
        <v>relic;role;repair</v>
      </c>
      <c r="C21" s="43" cm="1">
        <f t="array" ref="C21">PRODUCT(_xlfn.XLOOKUP(IF($D21:$H21,$D$3:$H$3,"Empty"),tb_shop_weight[类型],tb_shop_weight[权重],0))</f>
        <v>2240</v>
      </c>
      <c r="D21" s="98" t="b">
        <v>1</v>
      </c>
      <c r="E21" s="98" t="b">
        <v>1</v>
      </c>
      <c r="G21" s="98" t="b">
        <v>1</v>
      </c>
      <c r="I21" s="44" t="str" cm="1">
        <f t="array" ref="I21">_xlfn.LET(_xlpm._01,--D21:H21,
IF(OR(_xlpm._01),_xlfn.CONCAT(_xlpm._01),""))</f>
        <v>11010</v>
      </c>
      <c r="L21" s="101">
        <v>6</v>
      </c>
      <c r="M21" s="101" t="s">
        <v>775</v>
      </c>
      <c r="N21" s="105" t="s">
        <v>776</v>
      </c>
      <c r="O21" s="104" t="s">
        <v>774</v>
      </c>
      <c r="P21" s="105" t="s">
        <v>776</v>
      </c>
      <c r="Q21" s="105" t="s">
        <v>776</v>
      </c>
      <c r="R21" s="102" t="s">
        <v>773</v>
      </c>
      <c r="S21" s="102" t="s">
        <v>773</v>
      </c>
      <c r="T21" s="105" t="s">
        <v>776</v>
      </c>
      <c r="U21" s="102" t="s">
        <v>773</v>
      </c>
      <c r="V21" s="104" t="s">
        <v>774</v>
      </c>
      <c r="W21" s="102" t="s">
        <v>773</v>
      </c>
      <c r="Y21" s="59">
        <v>6</v>
      </c>
      <c r="Z21" s="23" t="str" cm="1">
        <f t="array" ref="Z21">_xlfn.LET(_xlpm._arr_text,_xlfn._xlws.FILTER($N21:$W21,$N$15:$W$15=Z$15),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10001=36864;20011=4608;20003=23040;30013=2880;20005=32256;30015=4032;30007=20160;40017=2520</v>
      </c>
      <c r="AA21" s="23" t="str" cm="1">
        <f t="array" ref="AA21">_xlfn.LET(_xlpm._arr_text,_xlfn._xlws.FILTER($N21:$W21,$N$15:$W$15=AA$15),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30111=1728;40113=1080</v>
      </c>
      <c r="AB21" s="5"/>
      <c r="AC21" s="5"/>
      <c r="AD21" s="5"/>
      <c r="AE21" s="5"/>
      <c r="AF21" s="5"/>
    </row>
    <row r="22" spans="1:32">
      <c r="A22" s="5" t="str" cm="1">
        <f t="array" ref="A22">COUNTIF($D22:$H22,TRUE)&amp;0&amp;
_xlfn.LET(_xlpm._f_b2d,_xlfn.LAMBDA(_xlpm.x,BIN2DEC(_xlfn.CONCAT(--_xlpm.x))),
_xlpm._d1,_xlpm._f_b2d($D22:$F22),
_xlpm._d2,_xlpm._f_b2d($G22),
_xlpm._d3,_xlpm._f_b2d($H22),
_xlfn.CONCAT(_xlpm._d3,_xlpm._d2,_xlpm._d1)
)</f>
        <v>30103</v>
      </c>
      <c r="B22" s="94" t="str" cm="1">
        <f t="array" ref="B22">_xlfn.TEXTJOIN(";",1,_xlfn.LAMBDA(_xlpm.x,_xlpm.title,IF(_xlpm.x,_xlpm.title,""))($D22:$H22,$D$3:$H$3))</f>
        <v>role;device;elite_relic</v>
      </c>
      <c r="C22" s="43" cm="1">
        <f t="array" ref="C22">PRODUCT(_xlfn.XLOOKUP(IF($D22:$H22,$D$3:$H$3,"Empty"),tb_shop_weight[类型],tb_shop_weight[权重],0))</f>
        <v>8640</v>
      </c>
      <c r="E22" s="98" t="b">
        <v>1</v>
      </c>
      <c r="F22" s="98" t="b">
        <v>1</v>
      </c>
      <c r="H22" s="98" t="b">
        <v>1</v>
      </c>
      <c r="I22" s="44" t="str" cm="1">
        <f t="array" ref="I22">_xlfn.LET(_xlpm._01,--D22:H22,
IF(OR(_xlpm._01),_xlfn.CONCAT(_xlpm._01),""))</f>
        <v>01101</v>
      </c>
      <c r="L22" s="101">
        <v>7</v>
      </c>
      <c r="M22" s="101" t="s">
        <v>775</v>
      </c>
      <c r="N22" s="105" t="s">
        <v>776</v>
      </c>
      <c r="O22" s="104" t="s">
        <v>774</v>
      </c>
      <c r="P22" s="105" t="s">
        <v>776</v>
      </c>
      <c r="Q22" s="105" t="s">
        <v>776</v>
      </c>
      <c r="R22" s="102" t="s">
        <v>773</v>
      </c>
      <c r="S22" s="102" t="s">
        <v>773</v>
      </c>
      <c r="T22" s="102" t="s">
        <v>773</v>
      </c>
      <c r="U22" s="102" t="s">
        <v>773</v>
      </c>
      <c r="V22" s="104" t="s">
        <v>774</v>
      </c>
      <c r="W22" s="102" t="s">
        <v>773</v>
      </c>
      <c r="Y22" s="59">
        <v>7</v>
      </c>
      <c r="Z22" s="23" t="str" cm="1">
        <f t="array" ref="Z22">_xlfn.LET(_xlpm._arr_text,_xlfn._xlws.FILTER($N22:$W22,$N$15:$W$15=Z$15),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20011=4608;30013=2880;30015=4032;40017=2520</v>
      </c>
      <c r="AA22" s="23" t="str" cm="1">
        <f t="array" ref="AA22">_xlfn.LET(_xlpm._arr_text,_xlfn._xlws.FILTER($N22:$W22,$N$15:$W$15=AA$15),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30111=1728;40113=1080</v>
      </c>
      <c r="AB22" s="5"/>
      <c r="AC22" s="5"/>
      <c r="AD22" s="5"/>
      <c r="AE22" s="5"/>
      <c r="AF22" s="5"/>
    </row>
    <row r="23" spans="1:32">
      <c r="A23" s="5" t="str" cm="1">
        <f t="array" ref="A23">COUNTIF($D23:$H23,TRUE)&amp;0&amp;
_xlfn.LET(_xlpm._f_b2d,_xlfn.LAMBDA(_xlpm.x,BIN2DEC(_xlfn.CONCAT(--_xlpm.x))),
_xlpm._d1,_xlpm._f_b2d($D23:$F23),
_xlpm._d2,_xlpm._f_b2d($G23),
_xlpm._d3,_xlpm._f_b2d($H23),
_xlfn.CONCAT(_xlpm._d3,_xlpm._d2,_xlpm._d1)
)</f>
        <v>30111</v>
      </c>
      <c r="B23" s="94" t="str" cm="1">
        <f t="array" ref="B23">_xlfn.TEXTJOIN(";",1,_xlfn.LAMBDA(_xlpm.x,_xlpm.title,IF(_xlpm.x,_xlpm.title,""))($D23:$H23,$D$3:$H$3))</f>
        <v>device;repair;elite_relic</v>
      </c>
      <c r="C23" s="43" cm="1">
        <f t="array" ref="C23">PRODUCT(_xlfn.XLOOKUP(IF($D23:$H23,$D$3:$H$3,"Empty"),tb_shop_weight[类型],tb_shop_weight[权重],0))</f>
        <v>1728</v>
      </c>
      <c r="F23" s="98" t="b">
        <v>1</v>
      </c>
      <c r="G23" s="98" t="b">
        <v>1</v>
      </c>
      <c r="H23" s="98" t="b">
        <v>1</v>
      </c>
      <c r="I23" s="44" t="str" cm="1">
        <f t="array" ref="I23">_xlfn.LET(_xlpm._01,--D23:H23,
IF(OR(_xlpm._01),_xlfn.CONCAT(_xlpm._01),""))</f>
        <v>00111</v>
      </c>
      <c r="L23" s="101">
        <v>8</v>
      </c>
      <c r="M23" s="101" t="s">
        <v>775</v>
      </c>
      <c r="N23" s="105" t="s">
        <v>776</v>
      </c>
      <c r="O23" s="104" t="s">
        <v>774</v>
      </c>
      <c r="P23" s="102" t="s">
        <v>773</v>
      </c>
      <c r="Q23" s="102" t="s">
        <v>773</v>
      </c>
      <c r="R23" s="102" t="s">
        <v>773</v>
      </c>
      <c r="S23" s="102" t="s">
        <v>773</v>
      </c>
      <c r="T23" s="105" t="s">
        <v>776</v>
      </c>
      <c r="U23" s="102" t="s">
        <v>773</v>
      </c>
      <c r="V23" s="104" t="s">
        <v>774</v>
      </c>
      <c r="W23" s="102" t="s">
        <v>773</v>
      </c>
      <c r="Y23" s="59">
        <v>8</v>
      </c>
      <c r="Z23" s="23" t="str" cm="1">
        <f t="array" ref="Z23">_xlfn.LET(_xlpm._arr_text,_xlfn._xlws.FILTER($N23:$W23,$N$15:$W$15=Z$15),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20003=23040;30013=2880;30007=20160;40017=2520</v>
      </c>
      <c r="AA23" s="23" t="str" cm="1">
        <f t="array" ref="AA23">_xlfn.LET(_xlpm._arr_text,_xlfn._xlws.FILTER($N23:$W23,$N$15:$W$15=AA$15),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40113=1080</v>
      </c>
      <c r="AB23" s="5"/>
      <c r="AC23" s="5"/>
      <c r="AD23" s="5"/>
      <c r="AE23" s="5"/>
      <c r="AF23" s="5"/>
    </row>
    <row r="24" spans="1:32">
      <c r="A24" s="5" t="str" cm="1">
        <f t="array" ref="A24">COUNTIF($D24:$H24,TRUE)&amp;0&amp;
_xlfn.LET(_xlpm._f_b2d,_xlfn.LAMBDA(_xlpm.x,BIN2DEC(_xlfn.CONCAT(--_xlpm.x))),
_xlpm._d1,_xlpm._f_b2d($D24:$F24),
_xlpm._d2,_xlpm._f_b2d($G24),
_xlpm._d3,_xlpm._f_b2d($H24),
_xlfn.CONCAT(_xlpm._d3,_xlpm._d2,_xlpm._d1)
)</f>
        <v>30112</v>
      </c>
      <c r="B24" s="94" t="str" cm="1">
        <f t="array" ref="B24">_xlfn.TEXTJOIN(";",1,_xlfn.LAMBDA(_xlpm.x,_xlpm.title,IF(_xlpm.x,_xlpm.title,""))($D24:$H24,$D$3:$H$3))</f>
        <v>role;repair;elite_relic</v>
      </c>
      <c r="C24" s="43" cm="1">
        <f t="array" ref="C24">PRODUCT(_xlfn.XLOOKUP(IF($D24:$H24,$D$3:$H$3,"Empty"),tb_shop_weight[类型],tb_shop_weight[权重],0))</f>
        <v>960</v>
      </c>
      <c r="E24" s="98" t="b">
        <v>1</v>
      </c>
      <c r="G24" s="98" t="b">
        <v>1</v>
      </c>
      <c r="H24" s="98" t="b">
        <v>1</v>
      </c>
      <c r="I24" s="44" t="str" cm="1">
        <f t="array" ref="I24">_xlfn.LET(_xlpm._01,--D24:H24,
IF(OR(_xlpm._01),_xlfn.CONCAT(_xlpm._01),""))</f>
        <v>01011</v>
      </c>
      <c r="L24" s="101">
        <v>9</v>
      </c>
      <c r="M24" s="101" t="s">
        <v>775</v>
      </c>
      <c r="N24" s="104" t="s">
        <v>774</v>
      </c>
      <c r="O24" s="104" t="s">
        <v>774</v>
      </c>
      <c r="P24" s="105" t="s">
        <v>776</v>
      </c>
      <c r="Q24" s="105" t="s">
        <v>776</v>
      </c>
      <c r="R24" s="102" t="s">
        <v>773</v>
      </c>
      <c r="S24" s="102" t="s">
        <v>773</v>
      </c>
      <c r="T24" s="105" t="s">
        <v>776</v>
      </c>
      <c r="U24" s="102" t="s">
        <v>773</v>
      </c>
      <c r="V24" s="102" t="s">
        <v>773</v>
      </c>
      <c r="W24" s="102" t="s">
        <v>773</v>
      </c>
      <c r="Y24" s="59">
        <v>9</v>
      </c>
      <c r="Z24" s="23" t="str" cm="1">
        <f t="array" ref="Z24">_xlfn.LET(_xlpm._arr_text,_xlfn._xlws.FILTER($N24:$W24,$N$15:$W$15=Z$15),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20101=13824;30111=1728;30103=8640;40113=1080</v>
      </c>
      <c r="AA24" s="23" t="str" cm="1">
        <f t="array" ref="AA24">_xlfn.LET(_xlpm._arr_text,_xlfn._xlws.FILTER($N24:$W24,$N$15:$W$15=AA$15),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30111=1728;40113=1080</v>
      </c>
      <c r="AB24" s="5"/>
      <c r="AC24" s="5"/>
      <c r="AD24" s="5"/>
      <c r="AE24" s="5"/>
      <c r="AF24" s="5"/>
    </row>
    <row r="25" spans="1:32">
      <c r="L25" s="101">
        <v>10</v>
      </c>
      <c r="M25" s="101" t="s">
        <v>775</v>
      </c>
      <c r="N25" s="105" t="s">
        <v>776</v>
      </c>
      <c r="O25" s="104" t="s">
        <v>774</v>
      </c>
      <c r="P25" s="105" t="s">
        <v>776</v>
      </c>
      <c r="Q25" s="105" t="s">
        <v>776</v>
      </c>
      <c r="R25" s="102" t="s">
        <v>773</v>
      </c>
      <c r="S25" s="102" t="s">
        <v>773</v>
      </c>
      <c r="T25" s="105" t="s">
        <v>776</v>
      </c>
      <c r="U25" s="102" t="s">
        <v>773</v>
      </c>
      <c r="V25" s="104" t="s">
        <v>774</v>
      </c>
      <c r="W25" s="102" t="s">
        <v>773</v>
      </c>
      <c r="Y25" s="59">
        <v>10</v>
      </c>
      <c r="Z25" s="23" t="str" cm="1">
        <f t="array" ref="Z25">_xlfn.LET(_xlpm._arr_text,_xlfn._xlws.FILTER($N25:$W25,$N$15:$W$15=Z$15),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10001=36864;20011=4608;20003=23040;30013=2880;20005=32256;30015=4032;30007=20160;40017=2520</v>
      </c>
      <c r="AA25" s="23" t="str" cm="1">
        <f t="array" ref="AA25">_xlfn.LET(_xlpm._arr_text,_xlfn._xlws.FILTER($N25:$W25,$N$15:$W$15=AA$15),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30111=1728;40113=1080</v>
      </c>
      <c r="AB25" s="5"/>
      <c r="AC25" s="5"/>
      <c r="AD25" s="5"/>
      <c r="AE25" s="5"/>
      <c r="AF25" s="5"/>
    </row>
    <row r="26" spans="1:32">
      <c r="A26" s="5" t="str" cm="1">
        <f t="array" ref="A26">COUNTIF($D26:$H26,TRUE)&amp;0&amp;
_xlfn.LET(_xlpm._f_b2d,_xlfn.LAMBDA(_xlpm.x,BIN2DEC(_xlfn.CONCAT(--_xlpm.x))),
_xlpm._d1,_xlpm._f_b2d($D26:$F26),
_xlpm._d2,_xlpm._f_b2d($G26),
_xlpm._d3,_xlpm._f_b2d($H26),
_xlfn.CONCAT(_xlpm._d3,_xlpm._d2,_xlpm._d1)
)</f>
        <v>40017</v>
      </c>
      <c r="B26" s="94" t="str" cm="1">
        <f t="array" ref="B26">_xlfn.TEXTJOIN(";",1,_xlfn.LAMBDA(_xlpm.x,_xlpm.title,IF(_xlpm.x,_xlpm.title,""))($D26:$H26,$D$3:$H$3))</f>
        <v>relic;role;device;repair</v>
      </c>
      <c r="C26" s="43" cm="1">
        <f t="array" ref="C26">PRODUCT(_xlfn.XLOOKUP(IF($D26:$H26,$D$3:$H$3,"Empty"),tb_shop_weight[类型],tb_shop_weight[权重],0))</f>
        <v>2520</v>
      </c>
      <c r="D26" s="98" t="b">
        <v>1</v>
      </c>
      <c r="E26" s="98" t="b">
        <v>1</v>
      </c>
      <c r="F26" s="98" t="b">
        <v>1</v>
      </c>
      <c r="G26" s="98" t="b">
        <v>1</v>
      </c>
      <c r="I26" s="44" t="str" cm="1">
        <f t="array" ref="I26">_xlfn.LET(_xlpm._01,--D26:H26,
IF(OR(_xlpm._01),_xlfn.CONCAT(_xlpm._01),""))</f>
        <v>11110</v>
      </c>
      <c r="L26" s="101">
        <v>11</v>
      </c>
      <c r="M26" s="101" t="s">
        <v>775</v>
      </c>
      <c r="N26" s="105" t="s">
        <v>776</v>
      </c>
      <c r="O26" s="104" t="s">
        <v>774</v>
      </c>
      <c r="P26" s="105" t="s">
        <v>776</v>
      </c>
      <c r="Q26" s="105" t="s">
        <v>776</v>
      </c>
      <c r="R26" s="102" t="s">
        <v>773</v>
      </c>
      <c r="S26" s="102" t="s">
        <v>773</v>
      </c>
      <c r="T26" s="102" t="s">
        <v>773</v>
      </c>
      <c r="U26" s="102" t="s">
        <v>773</v>
      </c>
      <c r="V26" s="104" t="s">
        <v>774</v>
      </c>
      <c r="W26" s="102" t="s">
        <v>773</v>
      </c>
      <c r="Y26" s="59">
        <v>11</v>
      </c>
      <c r="Z26" s="23" t="str" cm="1">
        <f t="array" ref="Z26">_xlfn.LET(_xlpm._arr_text,_xlfn._xlws.FILTER($N26:$W26,$N$15:$W$15=Z$15),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20011=4608;30013=2880;30015=4032;40017=2520</v>
      </c>
      <c r="AA26" s="23" t="str" cm="1">
        <f t="array" ref="AA26">_xlfn.LET(_xlpm._arr_text,_xlfn._xlws.FILTER($N26:$W26,$N$15:$W$15=AA$15),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30111=1728;40113=1080</v>
      </c>
      <c r="AB26" s="5"/>
      <c r="AC26" s="5"/>
      <c r="AD26" s="5"/>
      <c r="AE26" s="5"/>
      <c r="AF26" s="5"/>
    </row>
    <row r="27" spans="1:32">
      <c r="A27" s="5" t="str" cm="1">
        <f t="array" ref="A27">COUNTIF($D27:$H27,TRUE)&amp;0&amp;
_xlfn.LET(_xlpm._f_b2d,_xlfn.LAMBDA(_xlpm.x,BIN2DEC(_xlfn.CONCAT(--_xlpm.x))),
_xlpm._d1,_xlpm._f_b2d($D27:$F27),
_xlpm._d2,_xlpm._f_b2d($G27),
_xlpm._d3,_xlpm._f_b2d($H27),
_xlfn.CONCAT(_xlpm._d3,_xlpm._d2,_xlpm._d1)
)</f>
        <v>40113</v>
      </c>
      <c r="B27" s="94" t="str" cm="1">
        <f t="array" ref="B27">_xlfn.TEXTJOIN(";",1,_xlfn.LAMBDA(_xlpm.x,_xlpm.title,IF(_xlpm.x,_xlpm.title,""))($D27:$H27,$D$3:$H$3))</f>
        <v>role;device;repair;elite_relic</v>
      </c>
      <c r="C27" s="43" cm="1">
        <f t="array" ref="C27">PRODUCT(_xlfn.XLOOKUP(IF($D27:$H27,$D$3:$H$3,"Empty"),tb_shop_weight[类型],tb_shop_weight[权重],0))</f>
        <v>1080</v>
      </c>
      <c r="E27" s="98" t="b">
        <v>1</v>
      </c>
      <c r="F27" s="98" t="b">
        <v>1</v>
      </c>
      <c r="G27" s="98" t="b">
        <v>1</v>
      </c>
      <c r="H27" s="98" t="b">
        <v>1</v>
      </c>
      <c r="I27" s="44" t="str" cm="1">
        <f t="array" ref="I27">_xlfn.LET(_xlpm._01,--D27:H27,
IF(OR(_xlpm._01),_xlfn.CONCAT(_xlpm._01),""))</f>
        <v>01111</v>
      </c>
      <c r="L27" s="101">
        <v>12</v>
      </c>
      <c r="M27" s="101" t="s">
        <v>775</v>
      </c>
      <c r="N27" s="105" t="s">
        <v>776</v>
      </c>
      <c r="O27" s="104" t="s">
        <v>774</v>
      </c>
      <c r="P27" s="102" t="s">
        <v>773</v>
      </c>
      <c r="Q27" s="102" t="s">
        <v>773</v>
      </c>
      <c r="R27" s="102" t="s">
        <v>773</v>
      </c>
      <c r="S27" s="102" t="s">
        <v>773</v>
      </c>
      <c r="T27" s="105" t="s">
        <v>776</v>
      </c>
      <c r="U27" s="102" t="s">
        <v>773</v>
      </c>
      <c r="V27" s="104" t="s">
        <v>774</v>
      </c>
      <c r="W27" s="102" t="s">
        <v>773</v>
      </c>
      <c r="Y27" s="59">
        <v>12</v>
      </c>
      <c r="Z27" s="23" t="str" cm="1">
        <f t="array" ref="Z27">_xlfn.LET(_xlpm._arr_text,_xlfn._xlws.FILTER($N27:$W27,$N$15:$W$15=Z$15),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20003=23040;30013=2880;30007=20160;40017=2520</v>
      </c>
      <c r="AA27" s="23" t="str" cm="1">
        <f t="array" ref="AA27">_xlfn.LET(_xlpm._arr_text,_xlfn._xlws.FILTER($N27:$W27,$N$15:$W$15=AA$15),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40113=1080</v>
      </c>
      <c r="AB27" s="5"/>
      <c r="AC27" s="5"/>
      <c r="AD27" s="5"/>
      <c r="AE27" s="5"/>
      <c r="AF27" s="5"/>
    </row>
    <row r="28" spans="1:32">
      <c r="L28" s="101">
        <v>13</v>
      </c>
      <c r="M28" s="101" t="s">
        <v>775</v>
      </c>
      <c r="N28" s="105" t="s">
        <v>776</v>
      </c>
      <c r="O28" s="104" t="s">
        <v>774</v>
      </c>
      <c r="P28" s="105" t="s">
        <v>776</v>
      </c>
      <c r="Q28" s="105" t="s">
        <v>776</v>
      </c>
      <c r="R28" s="102" t="s">
        <v>773</v>
      </c>
      <c r="S28" s="102" t="s">
        <v>773</v>
      </c>
      <c r="T28" s="105" t="s">
        <v>776</v>
      </c>
      <c r="U28" s="102" t="s">
        <v>773</v>
      </c>
      <c r="V28" s="104" t="s">
        <v>774</v>
      </c>
      <c r="W28" s="102" t="s">
        <v>773</v>
      </c>
      <c r="Y28" s="59">
        <v>13</v>
      </c>
      <c r="Z28" s="23" t="str" cm="1">
        <f t="array" ref="Z28">_xlfn.LET(_xlpm._arr_text,_xlfn._xlws.FILTER($N28:$W28,$N$15:$W$15=Z$15),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10001=36864;20011=4608;20003=23040;30013=2880;20005=32256;30015=4032;30007=20160;40017=2520</v>
      </c>
      <c r="AA28" s="23" t="str" cm="1">
        <f t="array" ref="AA28">_xlfn.LET(_xlpm._arr_text,_xlfn._xlws.FILTER($N28:$W28,$N$15:$W$15=AA$15),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30111=1728;40113=1080</v>
      </c>
      <c r="AB28" s="5"/>
      <c r="AC28" s="5"/>
      <c r="AD28" s="5"/>
      <c r="AE28" s="5"/>
      <c r="AF28" s="5"/>
    </row>
    <row r="29" spans="1:32">
      <c r="L29" s="101">
        <v>14</v>
      </c>
      <c r="M29" s="101" t="s">
        <v>775</v>
      </c>
      <c r="N29" s="104" t="s">
        <v>774</v>
      </c>
      <c r="O29" s="104" t="s">
        <v>774</v>
      </c>
      <c r="P29" s="105" t="s">
        <v>776</v>
      </c>
      <c r="Q29" s="105" t="s">
        <v>776</v>
      </c>
      <c r="R29" s="102" t="s">
        <v>773</v>
      </c>
      <c r="S29" s="102" t="s">
        <v>773</v>
      </c>
      <c r="T29" s="105" t="s">
        <v>776</v>
      </c>
      <c r="U29" s="102" t="s">
        <v>773</v>
      </c>
      <c r="V29" s="102" t="s">
        <v>773</v>
      </c>
      <c r="W29" s="102" t="s">
        <v>773</v>
      </c>
      <c r="Y29" s="59">
        <v>14</v>
      </c>
      <c r="Z29" s="23" t="str" cm="1">
        <f t="array" ref="Z29">_xlfn.LET(_xlpm._arr_text,_xlfn._xlws.FILTER($N29:$W29,$N$15:$W$15=Z$15),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20101=13824;30111=1728;30103=8640;40113=1080</v>
      </c>
      <c r="AA29" s="23" t="str" cm="1">
        <f t="array" ref="AA29">_xlfn.LET(_xlpm._arr_text,_xlfn._xlws.FILTER($N29:$W29,$N$15:$W$15=AA$15),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30111=1728;40113=1080</v>
      </c>
      <c r="AB29" s="5"/>
      <c r="AC29" s="5"/>
      <c r="AD29" s="5"/>
      <c r="AE29" s="5"/>
      <c r="AF29" s="5"/>
    </row>
    <row r="30" spans="1:32">
      <c r="L30" s="101">
        <v>15</v>
      </c>
      <c r="M30" s="101" t="s">
        <v>775</v>
      </c>
      <c r="N30" s="105" t="s">
        <v>776</v>
      </c>
      <c r="O30" s="104" t="s">
        <v>774</v>
      </c>
      <c r="P30" s="105" t="s">
        <v>776</v>
      </c>
      <c r="Q30" s="105" t="s">
        <v>776</v>
      </c>
      <c r="R30" s="102" t="s">
        <v>773</v>
      </c>
      <c r="S30" s="102" t="s">
        <v>773</v>
      </c>
      <c r="T30" s="102" t="s">
        <v>773</v>
      </c>
      <c r="U30" s="102" t="s">
        <v>773</v>
      </c>
      <c r="V30" s="104" t="s">
        <v>774</v>
      </c>
      <c r="W30" s="102" t="s">
        <v>773</v>
      </c>
      <c r="Y30" s="59">
        <v>15</v>
      </c>
      <c r="Z30" s="23" t="str" cm="1">
        <f t="array" ref="Z30">_xlfn.LET(_xlpm._arr_text,_xlfn._xlws.FILTER($N30:$W30,$N$15:$W$15=Z$15),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20011=4608;30013=2880;30015=4032;40017=2520</v>
      </c>
      <c r="AA30" s="23" t="str" cm="1">
        <f t="array" ref="AA30">_xlfn.LET(_xlpm._arr_text,_xlfn._xlws.FILTER($N30:$W30,$N$15:$W$15=AA$15),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30111=1728;40113=1080</v>
      </c>
      <c r="AB30" s="5"/>
      <c r="AC30" s="5"/>
      <c r="AD30" s="5"/>
      <c r="AE30" s="5"/>
      <c r="AF30" s="5"/>
    </row>
    <row r="31" spans="1:32">
      <c r="L31" s="101">
        <v>16</v>
      </c>
      <c r="M31" s="101" t="s">
        <v>775</v>
      </c>
      <c r="N31" s="105" t="s">
        <v>776</v>
      </c>
      <c r="O31" s="104" t="s">
        <v>774</v>
      </c>
      <c r="P31" s="102" t="s">
        <v>773</v>
      </c>
      <c r="Q31" s="102" t="s">
        <v>773</v>
      </c>
      <c r="R31" s="102" t="s">
        <v>773</v>
      </c>
      <c r="S31" s="102" t="s">
        <v>773</v>
      </c>
      <c r="T31" s="105" t="s">
        <v>776</v>
      </c>
      <c r="U31" s="102" t="s">
        <v>773</v>
      </c>
      <c r="V31" s="104" t="s">
        <v>774</v>
      </c>
      <c r="W31" s="102" t="s">
        <v>773</v>
      </c>
      <c r="Y31" s="59">
        <v>16</v>
      </c>
      <c r="Z31" s="23" t="str" cm="1">
        <f t="array" ref="Z31">_xlfn.LET(_xlpm._arr_text,_xlfn._xlws.FILTER($N31:$W31,$N$15:$W$15=Z$15),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20003=23040;30013=2880;30007=20160;40017=2520</v>
      </c>
      <c r="AA31" s="23" t="str" cm="1">
        <f t="array" ref="AA31">_xlfn.LET(_xlpm._arr_text,_xlfn._xlws.FILTER($N31:$W31,$N$15:$W$15=AA$15),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40113=1080</v>
      </c>
      <c r="AB31" s="5"/>
      <c r="AC31" s="5"/>
      <c r="AD31" s="5"/>
      <c r="AE31" s="5"/>
      <c r="AF31" s="5"/>
    </row>
    <row r="32" spans="1:32">
      <c r="L32" s="101">
        <v>17</v>
      </c>
      <c r="M32" s="101" t="s">
        <v>775</v>
      </c>
      <c r="N32" s="105" t="s">
        <v>776</v>
      </c>
      <c r="O32" s="104" t="s">
        <v>774</v>
      </c>
      <c r="P32" s="105" t="s">
        <v>776</v>
      </c>
      <c r="Q32" s="105" t="s">
        <v>776</v>
      </c>
      <c r="R32" s="102" t="s">
        <v>773</v>
      </c>
      <c r="S32" s="102" t="s">
        <v>773</v>
      </c>
      <c r="T32" s="105" t="s">
        <v>776</v>
      </c>
      <c r="U32" s="102" t="s">
        <v>773</v>
      </c>
      <c r="V32" s="104" t="s">
        <v>774</v>
      </c>
      <c r="W32" s="102" t="s">
        <v>773</v>
      </c>
      <c r="Y32" s="59">
        <v>17</v>
      </c>
      <c r="Z32" s="23" t="str" cm="1">
        <f t="array" ref="Z32">_xlfn.LET(_xlpm._arr_text,_xlfn._xlws.FILTER($N32:$W32,$N$15:$W$15=Z$15),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10001=36864;20011=4608;20003=23040;30013=2880;20005=32256;30015=4032;30007=20160;40017=2520</v>
      </c>
      <c r="AA32" s="23" t="str" cm="1">
        <f t="array" ref="AA32">_xlfn.LET(_xlpm._arr_text,_xlfn._xlws.FILTER($N32:$W32,$N$15:$W$15=AA$15),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30111=1728;40113=1080</v>
      </c>
      <c r="AB32" s="5"/>
      <c r="AC32" s="5"/>
      <c r="AD32" s="5"/>
      <c r="AE32" s="5"/>
      <c r="AF32" s="5"/>
    </row>
    <row r="33" spans="12:32">
      <c r="L33" s="101">
        <v>18</v>
      </c>
      <c r="M33" s="101" t="s">
        <v>775</v>
      </c>
      <c r="N33" s="105" t="s">
        <v>776</v>
      </c>
      <c r="O33" s="104" t="s">
        <v>774</v>
      </c>
      <c r="P33" s="105" t="s">
        <v>776</v>
      </c>
      <c r="Q33" s="105" t="s">
        <v>776</v>
      </c>
      <c r="R33" s="102" t="s">
        <v>773</v>
      </c>
      <c r="S33" s="102" t="s">
        <v>773</v>
      </c>
      <c r="T33" s="105" t="s">
        <v>776</v>
      </c>
      <c r="U33" s="102" t="s">
        <v>773</v>
      </c>
      <c r="V33" s="104" t="s">
        <v>774</v>
      </c>
      <c r="W33" s="102" t="s">
        <v>773</v>
      </c>
      <c r="Y33" s="59">
        <v>18</v>
      </c>
      <c r="Z33" s="23" t="str" cm="1">
        <f t="array" ref="Z33">_xlfn.LET(_xlpm._arr_text,_xlfn._xlws.FILTER($N33:$W33,$N$15:$W$15=Z$15),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10001=36864;20011=4608;20003=23040;30013=2880;20005=32256;30015=4032;30007=20160;40017=2520</v>
      </c>
      <c r="AA33" s="23" t="str" cm="1">
        <f t="array" ref="AA33">_xlfn.LET(_xlpm._arr_text,_xlfn._xlws.FILTER($N33:$W33,$N$15:$W$15=AA$15),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30111=1728;40113=1080</v>
      </c>
      <c r="AB33" s="5"/>
      <c r="AC33" s="5"/>
      <c r="AD33" s="5"/>
      <c r="AE33" s="5"/>
      <c r="AF33" s="5"/>
    </row>
    <row r="34" spans="12:32">
      <c r="L34" s="101">
        <v>19</v>
      </c>
      <c r="M34" s="101" t="s">
        <v>775</v>
      </c>
      <c r="N34" s="104" t="s">
        <v>774</v>
      </c>
      <c r="O34" s="104" t="s">
        <v>774</v>
      </c>
      <c r="P34" s="102" t="s">
        <v>773</v>
      </c>
      <c r="Q34" s="102" t="s">
        <v>773</v>
      </c>
      <c r="R34" s="102" t="s">
        <v>773</v>
      </c>
      <c r="S34" s="102" t="s">
        <v>773</v>
      </c>
      <c r="T34" s="102" t="s">
        <v>773</v>
      </c>
      <c r="U34" s="102" t="s">
        <v>773</v>
      </c>
      <c r="V34" s="102" t="s">
        <v>773</v>
      </c>
      <c r="W34" s="102" t="s">
        <v>773</v>
      </c>
      <c r="Y34" s="59">
        <v>19</v>
      </c>
      <c r="Z34" s="23" t="str" cm="1">
        <f t="array" ref="Z34">_xlfn.LET(_xlpm._arr_text,_xlfn._xlws.FILTER($N34:$W34,$N$15:$W$15=Z$15),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40113=1080</v>
      </c>
      <c r="AA34" s="23" t="str" cm="1">
        <f t="array" ref="AA34">_xlfn.LET(_xlpm._arr_text,_xlfn._xlws.FILTER($N34:$W34,$N$15:$W$15=AA$15),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>40113=1080</v>
      </c>
      <c r="AB34" s="5"/>
      <c r="AC34" s="5"/>
      <c r="AD34" s="5"/>
      <c r="AE34" s="5"/>
      <c r="AF34" s="5"/>
    </row>
    <row r="35" spans="12:32">
      <c r="L35" s="101">
        <v>20</v>
      </c>
      <c r="M35" s="101" t="s">
        <v>777</v>
      </c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Y35" s="59">
        <v>20</v>
      </c>
      <c r="Z35" s="23" t="str" cm="1">
        <f t="array" ref="Z35">_xlfn.LET(_xlpm._arr_text,_xlfn._xlws.FILTER($N35:$W35,$N$15:$W$15=Z$15),
_xlpm._to_01,_xlfn.LAMBDA(_xlpm._text,_xlpm._idx,_xlpm._digit,_xlfn.SWITCH(_xlpm._text,"不可能",0,"必定出现",1,"几率出现",MID(TEXT(DEC2BIN(_xlpm._idx-1),"00000"),_xlpm._digit,1))),
_xlpm._arr_32,_xlfn.MAKEARRAY(1,2^5,_xlfn.LAMBDA(_xlpm.x,_xlpm.y,_xlfn.CONCAT(_xlfn.MAKEARRAY(5,1,_xlfn.LAMBDA(_xlpm._i,_xlpm._j,_xlpm._to_01(INDEX(_xlpm._arr_text,_xlpm._i),_xlpm.y,_xlpm._i)))))),
_xlpm._arr_01s,IFERROR(_xlfn.UNIQUE(_xlpm._arr_32,1),""),
_xlpm._arr_id,_xlfn.XLOOKUP(_xlpm._arr_01s,$I:$I,$A:$A,"No-ID"),
_xlfn.TEXTJOIN(";",1,_xlfn.MAP(_xlpm._arr_id,_xlfn.LAMBDA(_xlpm.m,_xlfn.TEXTJOIN("=",1,_xlpm.m,_xlfn.XLOOKUP(_xlpm.m,$A:$A,$C:$C)))))
)</f>
        <v/>
      </c>
      <c r="AB35" s="5"/>
    </row>
  </sheetData>
  <mergeCells count="7">
    <mergeCell ref="T14:U14"/>
    <mergeCell ref="V14:W14"/>
    <mergeCell ref="L14:L15"/>
    <mergeCell ref="M14:M15"/>
    <mergeCell ref="N14:O14"/>
    <mergeCell ref="P14:Q14"/>
    <mergeCell ref="R14:S14"/>
  </mergeCells>
  <phoneticPr fontId="25" type="noConversion"/>
  <conditionalFormatting sqref="A1:A1048576">
    <cfRule type="duplicateValues" dxfId="0" priority="60"/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B2:G40"/>
  <sheetViews>
    <sheetView workbookViewId="0">
      <selection activeCell="K34" sqref="K34"/>
    </sheetView>
  </sheetViews>
  <sheetFormatPr defaultColWidth="16.875" defaultRowHeight="14.25"/>
  <cols>
    <col min="1" max="16384" width="16.875" style="1"/>
  </cols>
  <sheetData>
    <row r="2" spans="2:7">
      <c r="B2" s="1" t="s">
        <v>0</v>
      </c>
      <c r="C2" s="1" t="s">
        <v>1</v>
      </c>
      <c r="D2" s="1" t="s">
        <v>14</v>
      </c>
    </row>
    <row r="3" spans="2:7">
      <c r="B3" s="1">
        <v>1</v>
      </c>
      <c r="C3" s="1" t="s">
        <v>43</v>
      </c>
      <c r="D3" s="1">
        <f>tb_world[[#This Row],[id]]</f>
        <v>1</v>
      </c>
    </row>
    <row r="4" spans="2:7">
      <c r="B4" s="1">
        <v>2</v>
      </c>
      <c r="C4" s="1" t="s">
        <v>51</v>
      </c>
      <c r="D4" s="1">
        <f>tb_world[[#This Row],[id]]</f>
        <v>2</v>
      </c>
    </row>
    <row r="5" spans="2:7">
      <c r="B5" s="1">
        <v>3</v>
      </c>
      <c r="C5" s="1" t="s">
        <v>55</v>
      </c>
      <c r="D5" s="1">
        <f>tb_world[[#This Row],[id]]</f>
        <v>3</v>
      </c>
    </row>
    <row r="6" spans="2:7">
      <c r="B6" s="1">
        <v>4</v>
      </c>
      <c r="C6" s="1" t="s">
        <v>59</v>
      </c>
      <c r="D6" s="1">
        <f>tb_world[[#This Row],[id]]</f>
        <v>4</v>
      </c>
    </row>
    <row r="7" spans="2:7">
      <c r="B7" s="1">
        <v>5</v>
      </c>
      <c r="C7" s="1" t="s">
        <v>63</v>
      </c>
      <c r="D7" s="1">
        <f>tb_world[[#This Row],[id]]</f>
        <v>5</v>
      </c>
    </row>
    <row r="8" spans="2:7">
      <c r="B8" s="1">
        <v>6</v>
      </c>
      <c r="C8" s="1" t="s">
        <v>67</v>
      </c>
      <c r="D8" s="1">
        <f>tb_world[[#This Row],[id]]</f>
        <v>6</v>
      </c>
    </row>
    <row r="9" spans="2:7">
      <c r="B9" s="1">
        <v>7</v>
      </c>
      <c r="C9" s="1" t="s">
        <v>71</v>
      </c>
      <c r="D9" s="1">
        <f>tb_world[[#This Row],[id]]</f>
        <v>7</v>
      </c>
    </row>
    <row r="10" spans="2:7">
      <c r="B10" s="1">
        <v>8</v>
      </c>
      <c r="C10" s="1" t="s">
        <v>47</v>
      </c>
      <c r="D10" s="1">
        <f>tb_world[[#This Row],[id]]</f>
        <v>8</v>
      </c>
    </row>
    <row r="11" spans="2:7">
      <c r="B11" s="1">
        <v>95</v>
      </c>
      <c r="C11" s="69" t="s">
        <v>670</v>
      </c>
      <c r="D11" s="1">
        <f>tb_world[[#This Row],[id]]</f>
        <v>95</v>
      </c>
    </row>
    <row r="16" spans="2:7">
      <c r="B16" s="1" t="s">
        <v>480</v>
      </c>
      <c r="C16" s="1" t="s">
        <v>481</v>
      </c>
      <c r="E16" s="69" t="s">
        <v>519</v>
      </c>
      <c r="F16" s="69" t="s">
        <v>520</v>
      </c>
      <c r="G16" s="69" t="s">
        <v>521</v>
      </c>
    </row>
    <row r="17" spans="2:7">
      <c r="B17" s="1" t="s">
        <v>46</v>
      </c>
      <c r="C17" s="1" t="s">
        <v>482</v>
      </c>
      <c r="E17" s="1">
        <v>1</v>
      </c>
      <c r="F17" s="1">
        <v>1</v>
      </c>
      <c r="G17" s="69" t="s">
        <v>522</v>
      </c>
    </row>
    <row r="18" spans="2:7">
      <c r="B18" s="1" t="s">
        <v>45</v>
      </c>
      <c r="C18" s="1" t="s">
        <v>483</v>
      </c>
      <c r="E18" s="1">
        <v>2</v>
      </c>
      <c r="F18" s="1">
        <v>50</v>
      </c>
      <c r="G18" s="69" t="s">
        <v>523</v>
      </c>
    </row>
    <row r="19" spans="2:7">
      <c r="B19" s="1" t="s">
        <v>44</v>
      </c>
      <c r="C19" s="1" t="s">
        <v>484</v>
      </c>
      <c r="E19" s="1">
        <v>51</v>
      </c>
      <c r="F19" s="1">
        <v>90</v>
      </c>
      <c r="G19" s="69" t="s">
        <v>524</v>
      </c>
    </row>
    <row r="20" spans="2:7">
      <c r="B20" s="1" t="s">
        <v>52</v>
      </c>
      <c r="C20" s="1" t="s">
        <v>485</v>
      </c>
      <c r="E20" s="1">
        <v>91</v>
      </c>
      <c r="F20" s="1">
        <v>99</v>
      </c>
      <c r="G20" s="69" t="s">
        <v>525</v>
      </c>
    </row>
    <row r="21" spans="2:7">
      <c r="B21" s="1" t="s">
        <v>53</v>
      </c>
      <c r="C21" s="1" t="s">
        <v>486</v>
      </c>
    </row>
    <row r="22" spans="2:7">
      <c r="B22" s="1" t="s">
        <v>54</v>
      </c>
      <c r="C22" s="1" t="s">
        <v>487</v>
      </c>
    </row>
    <row r="23" spans="2:7">
      <c r="B23" s="1" t="s">
        <v>56</v>
      </c>
      <c r="C23" s="1" t="s">
        <v>488</v>
      </c>
    </row>
    <row r="24" spans="2:7">
      <c r="B24" s="1" t="s">
        <v>57</v>
      </c>
      <c r="C24" s="1" t="s">
        <v>489</v>
      </c>
    </row>
    <row r="25" spans="2:7">
      <c r="B25" s="1" t="s">
        <v>58</v>
      </c>
      <c r="C25" s="1" t="s">
        <v>490</v>
      </c>
    </row>
    <row r="26" spans="2:7">
      <c r="B26" s="1" t="s">
        <v>60</v>
      </c>
      <c r="C26" s="1" t="s">
        <v>491</v>
      </c>
    </row>
    <row r="27" spans="2:7">
      <c r="B27" s="1" t="s">
        <v>61</v>
      </c>
      <c r="C27" s="1" t="s">
        <v>492</v>
      </c>
    </row>
    <row r="28" spans="2:7">
      <c r="B28" s="1" t="s">
        <v>62</v>
      </c>
      <c r="C28" s="1" t="s">
        <v>493</v>
      </c>
    </row>
    <row r="29" spans="2:7">
      <c r="B29" s="1" t="s">
        <v>64</v>
      </c>
      <c r="C29" s="1" t="s">
        <v>494</v>
      </c>
    </row>
    <row r="30" spans="2:7">
      <c r="B30" s="1" t="s">
        <v>65</v>
      </c>
      <c r="C30" s="1" t="s">
        <v>495</v>
      </c>
    </row>
    <row r="31" spans="2:7">
      <c r="B31" s="1" t="s">
        <v>66</v>
      </c>
      <c r="C31" s="1" t="s">
        <v>496</v>
      </c>
    </row>
    <row r="32" spans="2:7">
      <c r="B32" s="1" t="s">
        <v>68</v>
      </c>
      <c r="C32" s="1" t="s">
        <v>497</v>
      </c>
    </row>
    <row r="33" spans="2:3">
      <c r="B33" s="1" t="s">
        <v>69</v>
      </c>
      <c r="C33" s="1" t="s">
        <v>498</v>
      </c>
    </row>
    <row r="34" spans="2:3">
      <c r="B34" s="1" t="s">
        <v>70</v>
      </c>
      <c r="C34" s="1" t="s">
        <v>499</v>
      </c>
    </row>
    <row r="35" spans="2:3">
      <c r="B35" s="1" t="s">
        <v>72</v>
      </c>
      <c r="C35" s="1" t="s">
        <v>500</v>
      </c>
    </row>
    <row r="36" spans="2:3">
      <c r="B36" s="1" t="s">
        <v>73</v>
      </c>
      <c r="C36" s="1" t="s">
        <v>501</v>
      </c>
    </row>
    <row r="37" spans="2:3">
      <c r="B37" s="1" t="s">
        <v>74</v>
      </c>
      <c r="C37" s="1" t="s">
        <v>502</v>
      </c>
    </row>
    <row r="38" spans="2:3">
      <c r="B38" s="1" t="s">
        <v>48</v>
      </c>
      <c r="C38" s="1" t="s">
        <v>36</v>
      </c>
    </row>
    <row r="39" spans="2:3">
      <c r="B39" s="1" t="s">
        <v>49</v>
      </c>
      <c r="C39" s="1" t="s">
        <v>503</v>
      </c>
    </row>
    <row r="40" spans="2:3">
      <c r="B40" s="1" t="s">
        <v>50</v>
      </c>
      <c r="C40" s="1" t="s">
        <v>504</v>
      </c>
    </row>
  </sheetData>
  <phoneticPr fontId="25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scene</vt:lpstr>
      <vt:lpstr>-mg</vt:lpstr>
      <vt:lpstr>-weather</vt:lpstr>
      <vt:lpstr>scene_resource</vt:lpstr>
      <vt:lpstr>scene_road</vt:lpstr>
      <vt:lpstr>scene_shop_group</vt:lpstr>
      <vt:lpstr>-编号与分类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2026-01-08T11:56:32Z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6ED44828C0E94C678C2A0E57DB0EE1B9_13</vt:lpwstr>
  </property>
  <property fmtid="{D5CDD505-2E9C-101B-9397-08002B2CF9AE}" pid="3" name="KSOProductBuildVer">
    <vt:lpwstr>2052-12.1.0.22529</vt:lpwstr>
  </property>
</Properties>
</file>