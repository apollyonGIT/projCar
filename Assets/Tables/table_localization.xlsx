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D:\GitRepository\GitLab\yh-unityproject\Assets\Tables\"/>
    </mc:Choice>
  </mc:AlternateContent>
  <xr:revisionPtr revIDLastSave="0" documentId="13_ncr:1_{100AA057-CAB9-44DC-8091-DB28FD53DAD3}" xr6:coauthVersionLast="47" xr6:coauthVersionMax="47" xr10:uidLastSave="{00000000-0000-0000-0000-000000000000}"/>
  <bookViews>
    <workbookView xWindow="-120" yWindow="-120" windowWidth="38640" windowHeight="21240" xr2:uid="{00000000-000D-0000-FFFF-FFFF00000000}"/>
  </bookViews>
  <sheets>
    <sheet name="table_l10n" sheetId="3" r:id="rId1"/>
    <sheet name="-说明"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2" i="3" l="1" a="1"/>
  <c r="B192" i="3" s="1"/>
  <c r="B190" i="3" a="1"/>
  <c r="B190" i="3" s="1"/>
  <c r="B189" i="3" a="1"/>
  <c r="B189" i="3" s="1"/>
  <c r="B188" i="3" a="1"/>
  <c r="B188" i="3" s="1"/>
  <c r="B187" i="3" a="1"/>
  <c r="B187" i="3" s="1"/>
  <c r="B186" i="3" a="1"/>
  <c r="B186" i="3" s="1"/>
  <c r="B185" i="3" a="1"/>
  <c r="B185" i="3" s="1"/>
  <c r="B184" i="3" a="1"/>
  <c r="B184" i="3" s="1"/>
  <c r="B183" i="3" a="1"/>
  <c r="B183" i="3" s="1"/>
  <c r="B182" i="3" a="1"/>
  <c r="B182" i="3" s="1"/>
  <c r="B170" i="3" a="1"/>
  <c r="B170" i="3" s="1"/>
  <c r="B169" i="3" a="1"/>
  <c r="B169" i="3" s="1"/>
  <c r="B168" i="3" a="1"/>
  <c r="B168" i="3" s="1"/>
  <c r="B167" i="3" a="1"/>
  <c r="B167" i="3" s="1"/>
  <c r="B166" i="3" a="1"/>
  <c r="B166" i="3" s="1"/>
  <c r="B165" i="3" a="1"/>
  <c r="B165" i="3" s="1"/>
  <c r="B164" i="3" a="1"/>
  <c r="B164" i="3" s="1"/>
  <c r="B163" i="3" a="1"/>
  <c r="B163" i="3" s="1"/>
  <c r="B162" i="3" a="1"/>
  <c r="B162" i="3" s="1"/>
  <c r="B171" i="3" a="1"/>
  <c r="B171" i="3" s="1"/>
  <c r="B30" i="3" a="1"/>
  <c r="B30" i="3" s="1"/>
  <c r="B11" i="3" l="1" a="1"/>
  <c r="B11" i="3" s="1"/>
  <c r="B242" i="3" a="1"/>
  <c r="B242" i="3" s="1"/>
  <c r="B241" i="3" a="1"/>
  <c r="B241" i="3" s="1"/>
  <c r="B240" i="3" a="1"/>
  <c r="B240" i="3" s="1"/>
  <c r="B199" i="3" a="1"/>
  <c r="B199" i="3" s="1"/>
  <c r="B300" i="3" a="1"/>
  <c r="B300" i="3" s="1"/>
  <c r="B219" i="3" a="1"/>
  <c r="B219" i="3" s="1"/>
  <c r="B307" i="3" a="1"/>
  <c r="B307" i="3" s="1"/>
  <c r="B308" i="3" a="1"/>
  <c r="B308" i="3" s="1"/>
  <c r="B309" i="3" a="1"/>
  <c r="B309" i="3" s="1"/>
  <c r="B310" i="3" a="1"/>
  <c r="B310" i="3" s="1"/>
  <c r="B311" i="3" a="1"/>
  <c r="B311" i="3" s="1"/>
  <c r="B312" i="3" a="1"/>
  <c r="B312" i="3" s="1"/>
  <c r="B313" i="3" a="1"/>
  <c r="B313" i="3" s="1"/>
  <c r="B314" i="3" a="1"/>
  <c r="B314" i="3" s="1"/>
  <c r="B227" i="3" a="1"/>
  <c r="B227" i="3" s="1"/>
  <c r="B228" i="3" a="1"/>
  <c r="B228" i="3" s="1"/>
  <c r="B229" i="3" a="1"/>
  <c r="B229" i="3" s="1"/>
  <c r="B230" i="3" a="1"/>
  <c r="B230" i="3" s="1"/>
  <c r="B231" i="3" a="1"/>
  <c r="B231" i="3" s="1"/>
  <c r="B232" i="3" a="1"/>
  <c r="B232" i="3" s="1"/>
  <c r="B233" i="3" a="1"/>
  <c r="B233" i="3" s="1"/>
  <c r="B658" i="3" a="1"/>
  <c r="B658" i="3" s="1"/>
  <c r="B659" i="3" a="1"/>
  <c r="B659" i="3" s="1"/>
  <c r="B660" i="3" a="1"/>
  <c r="B660" i="3" s="1"/>
  <c r="B661" i="3" a="1"/>
  <c r="B661" i="3" s="1"/>
  <c r="B662" i="3" a="1"/>
  <c r="B662" i="3" s="1"/>
  <c r="B663" i="3" a="1"/>
  <c r="B663" i="3" s="1"/>
  <c r="B657" i="3" a="1"/>
  <c r="B657" i="3" s="1"/>
  <c r="B656" i="3" a="1"/>
  <c r="B656" i="3" s="1"/>
  <c r="B639" i="3" a="1"/>
  <c r="B639" i="3" s="1"/>
  <c r="B640" i="3" a="1"/>
  <c r="B640" i="3" s="1"/>
  <c r="B641" i="3" a="1"/>
  <c r="B641" i="3" s="1"/>
  <c r="B642" i="3" a="1"/>
  <c r="B642" i="3" s="1"/>
  <c r="B638" i="3" a="1"/>
  <c r="B638" i="3" s="1"/>
  <c r="B637" i="3" a="1"/>
  <c r="B637" i="3" s="1"/>
  <c r="B636" i="3" a="1"/>
  <c r="B636" i="3" s="1"/>
  <c r="B635" i="3" a="1"/>
  <c r="B635" i="3" s="1"/>
  <c r="B237" i="3" a="1"/>
  <c r="B237" i="3" s="1"/>
  <c r="B238" i="3" a="1"/>
  <c r="B238" i="3" s="1"/>
  <c r="B239" i="3" a="1"/>
  <c r="B239" i="3" s="1"/>
  <c r="B243" i="3" a="1"/>
  <c r="B243" i="3" s="1"/>
  <c r="B244" i="3" a="1"/>
  <c r="B244" i="3" s="1"/>
  <c r="B245" i="3" a="1"/>
  <c r="B245" i="3" s="1"/>
  <c r="B246" i="3" a="1"/>
  <c r="B246" i="3" s="1"/>
  <c r="B247" i="3" a="1"/>
  <c r="B247" i="3" s="1"/>
  <c r="B248" i="3" a="1"/>
  <c r="B248" i="3" s="1"/>
  <c r="B249" i="3" a="1"/>
  <c r="B249" i="3" s="1"/>
  <c r="B250" i="3" a="1"/>
  <c r="B250" i="3" s="1"/>
  <c r="B251" i="3" a="1"/>
  <c r="B251" i="3" s="1"/>
  <c r="B252" i="3" a="1"/>
  <c r="B252" i="3" s="1"/>
  <c r="B253" i="3" a="1"/>
  <c r="B253" i="3" s="1"/>
  <c r="B254" i="3" a="1"/>
  <c r="B254" i="3" s="1"/>
  <c r="B255" i="3" a="1"/>
  <c r="B255" i="3" s="1"/>
  <c r="B256" i="3" a="1"/>
  <c r="B256" i="3" s="1"/>
  <c r="B257" i="3" a="1"/>
  <c r="B257" i="3" s="1"/>
  <c r="B258" i="3" a="1"/>
  <c r="B258" i="3" s="1"/>
  <c r="B259" i="3" a="1"/>
  <c r="B259" i="3" s="1"/>
  <c r="B260" i="3" a="1"/>
  <c r="B260" i="3" s="1"/>
  <c r="B261" i="3" a="1"/>
  <c r="B261" i="3" s="1"/>
  <c r="B262" i="3" a="1"/>
  <c r="B262" i="3" s="1"/>
  <c r="B263" i="3" a="1"/>
  <c r="B263" i="3" s="1"/>
  <c r="B264" i="3" a="1"/>
  <c r="B264" i="3" s="1"/>
  <c r="B265" i="3" a="1"/>
  <c r="B265" i="3" s="1"/>
  <c r="B266" i="3" a="1"/>
  <c r="B266" i="3" s="1"/>
  <c r="B267" i="3" a="1"/>
  <c r="B267" i="3" s="1"/>
  <c r="B268" i="3" a="1"/>
  <c r="B268" i="3" s="1"/>
  <c r="B269" i="3" a="1"/>
  <c r="B269" i="3" s="1"/>
  <c r="B270" i="3" a="1"/>
  <c r="B270" i="3" s="1"/>
  <c r="B271" i="3" a="1"/>
  <c r="B271" i="3" s="1"/>
  <c r="B272" i="3" a="1"/>
  <c r="B272" i="3" s="1"/>
  <c r="B273" i="3" a="1"/>
  <c r="B273" i="3" s="1"/>
  <c r="B274" i="3" a="1"/>
  <c r="B274" i="3" s="1"/>
  <c r="B275" i="3" a="1"/>
  <c r="B275" i="3" s="1"/>
  <c r="B276" i="3" a="1"/>
  <c r="B276" i="3" s="1"/>
  <c r="B277" i="3" a="1"/>
  <c r="B277" i="3" s="1"/>
  <c r="B278" i="3" a="1"/>
  <c r="B278" i="3" s="1"/>
  <c r="B279" i="3" a="1"/>
  <c r="B279" i="3" s="1"/>
  <c r="B280" i="3" a="1"/>
  <c r="B280" i="3" s="1"/>
  <c r="B281" i="3" a="1"/>
  <c r="B281" i="3" s="1"/>
  <c r="B282" i="3" a="1"/>
  <c r="B282" i="3" s="1"/>
  <c r="B283" i="3" a="1"/>
  <c r="B283" i="3" s="1"/>
  <c r="B284" i="3" a="1"/>
  <c r="B284" i="3" s="1"/>
  <c r="B285" i="3" a="1"/>
  <c r="B285" i="3" s="1"/>
  <c r="B286" i="3" a="1"/>
  <c r="B286" i="3" s="1"/>
  <c r="B287" i="3" a="1"/>
  <c r="B287" i="3" s="1"/>
  <c r="B288" i="3" a="1"/>
  <c r="B288" i="3" s="1"/>
  <c r="B289" i="3" a="1"/>
  <c r="B289" i="3" s="1"/>
  <c r="B290" i="3" a="1"/>
  <c r="B290" i="3" s="1"/>
  <c r="B291" i="3" a="1"/>
  <c r="B291" i="3" s="1"/>
  <c r="B292" i="3" a="1"/>
  <c r="B292" i="3" s="1"/>
  <c r="B293" i="3" a="1"/>
  <c r="B293" i="3" s="1"/>
  <c r="B294" i="3" a="1"/>
  <c r="B294" i="3" s="1"/>
  <c r="B295" i="3" a="1"/>
  <c r="B295" i="3" s="1"/>
  <c r="B296" i="3" a="1"/>
  <c r="B296" i="3" s="1"/>
  <c r="B297" i="3" a="1"/>
  <c r="B297" i="3" s="1"/>
  <c r="B298" i="3" a="1"/>
  <c r="B298" i="3" s="1"/>
  <c r="B299" i="3" a="1"/>
  <c r="B299" i="3" s="1"/>
  <c r="B301" i="3" a="1"/>
  <c r="B301" i="3" s="1"/>
  <c r="B302" i="3" a="1"/>
  <c r="B302" i="3" s="1"/>
  <c r="B303" i="3" a="1"/>
  <c r="B303" i="3" s="1"/>
  <c r="B304" i="3" a="1"/>
  <c r="B304" i="3" s="1"/>
  <c r="B305" i="3" a="1"/>
  <c r="B305" i="3" s="1"/>
  <c r="B306" i="3" a="1"/>
  <c r="B306" i="3" s="1"/>
  <c r="B236" i="3" a="1"/>
  <c r="B236" i="3" s="1"/>
  <c r="B201" i="3" a="1"/>
  <c r="B201" i="3" s="1"/>
  <c r="B202" i="3" a="1"/>
  <c r="B202" i="3" s="1"/>
  <c r="B203" i="3" a="1"/>
  <c r="B203" i="3" s="1"/>
  <c r="B204" i="3" a="1"/>
  <c r="B204" i="3" s="1"/>
  <c r="B205" i="3" a="1"/>
  <c r="B205" i="3" s="1"/>
  <c r="B206" i="3" a="1"/>
  <c r="B206" i="3" s="1"/>
  <c r="B207" i="3" a="1"/>
  <c r="B207" i="3" s="1"/>
  <c r="B208" i="3" a="1"/>
  <c r="B208" i="3" s="1"/>
  <c r="B209" i="3" a="1"/>
  <c r="B209" i="3" s="1"/>
  <c r="B210" i="3" a="1"/>
  <c r="B210" i="3" s="1"/>
  <c r="B211" i="3" a="1"/>
  <c r="B211" i="3" s="1"/>
  <c r="B212" i="3" a="1"/>
  <c r="B212" i="3" s="1"/>
  <c r="B213" i="3" a="1"/>
  <c r="B213" i="3" s="1"/>
  <c r="B214" i="3" a="1"/>
  <c r="B214" i="3" s="1"/>
  <c r="B215" i="3" a="1"/>
  <c r="B215" i="3" s="1"/>
  <c r="B216" i="3" a="1"/>
  <c r="B216" i="3" s="1"/>
  <c r="B217" i="3" a="1"/>
  <c r="B217" i="3" s="1"/>
  <c r="B218" i="3" a="1"/>
  <c r="B218" i="3" s="1"/>
  <c r="B220" i="3" a="1"/>
  <c r="B220" i="3" s="1"/>
  <c r="B221" i="3" a="1"/>
  <c r="B221" i="3" s="1"/>
  <c r="B222" i="3" a="1"/>
  <c r="B222" i="3" s="1"/>
  <c r="B223" i="3" a="1"/>
  <c r="B223" i="3" s="1"/>
  <c r="B224" i="3" a="1"/>
  <c r="B224" i="3" s="1"/>
  <c r="B225" i="3" a="1"/>
  <c r="B225" i="3" s="1"/>
  <c r="B226" i="3" a="1"/>
  <c r="B226" i="3" s="1"/>
  <c r="B200" i="3" a="1"/>
  <c r="B200" i="3" s="1"/>
  <c r="B666" i="3" a="1"/>
  <c r="B666" i="3" s="1"/>
  <c r="B665" i="3" a="1"/>
  <c r="B665" i="3" s="1"/>
  <c r="B652" i="3" a="1"/>
  <c r="B652" i="3" s="1"/>
  <c r="B651" i="3" a="1"/>
  <c r="B651" i="3" s="1"/>
  <c r="B650" i="3" a="1"/>
  <c r="B650" i="3" s="1"/>
  <c r="B649" i="3" a="1"/>
  <c r="B649" i="3" s="1"/>
  <c r="B648" i="3" a="1"/>
  <c r="B648" i="3" s="1"/>
  <c r="B647" i="3" a="1"/>
  <c r="B647" i="3" s="1"/>
  <c r="B646" i="3" a="1"/>
  <c r="B646" i="3" s="1"/>
  <c r="B645" i="3" a="1"/>
  <c r="B645" i="3" s="1"/>
  <c r="B644" i="3" a="1"/>
  <c r="B644" i="3" s="1"/>
  <c r="B643" i="3" a="1"/>
  <c r="B643" i="3" s="1"/>
  <c r="B50" i="3" a="1"/>
  <c r="B50" i="3" s="1"/>
  <c r="B46" i="3" a="1"/>
  <c r="B46" i="3" s="1"/>
  <c r="B631" i="3" a="1"/>
  <c r="B631" i="3" s="1"/>
  <c r="B632" i="3" a="1"/>
  <c r="B632" i="3" s="1"/>
  <c r="B630" i="3" a="1"/>
  <c r="B630" i="3" s="1"/>
  <c r="B629" i="3" a="1"/>
  <c r="B629" i="3" s="1"/>
  <c r="B628" i="3" a="1"/>
  <c r="B628" i="3" s="1"/>
  <c r="B390" i="3" a="1"/>
  <c r="B390" i="3" s="1"/>
  <c r="E225" i="3"/>
  <c r="G652" i="3"/>
  <c r="I224" i="3"/>
  <c r="E216" i="3"/>
  <c r="G225" i="3"/>
  <c r="F225" i="3"/>
  <c r="F215" i="3"/>
  <c r="G226" i="3"/>
  <c r="I226" i="3"/>
  <c r="G215" i="3"/>
  <c r="E215" i="3"/>
  <c r="I197" i="3"/>
  <c r="H224" i="3"/>
  <c r="I217" i="3"/>
  <c r="J215" i="3"/>
  <c r="J226" i="3"/>
  <c r="F197" i="3"/>
  <c r="H226" i="3"/>
  <c r="F226" i="3"/>
  <c r="E224" i="3"/>
  <c r="J652" i="3"/>
  <c r="H216" i="3"/>
  <c r="F224" i="3"/>
  <c r="J224" i="3"/>
  <c r="E217" i="3"/>
  <c r="G216" i="3"/>
  <c r="G197" i="3"/>
  <c r="I652" i="3"/>
  <c r="E197" i="3"/>
  <c r="F217" i="3"/>
  <c r="I216" i="3"/>
  <c r="J216" i="3"/>
  <c r="F652" i="3"/>
  <c r="H225" i="3"/>
  <c r="H215" i="3"/>
  <c r="H217" i="3"/>
  <c r="J217" i="3"/>
  <c r="E652" i="3"/>
  <c r="H652" i="3"/>
  <c r="F216" i="3"/>
  <c r="J225" i="3"/>
  <c r="G217" i="3"/>
  <c r="E226" i="3"/>
  <c r="J197" i="3"/>
  <c r="I225" i="3"/>
  <c r="H197" i="3"/>
  <c r="G224" i="3"/>
  <c r="I215" i="3"/>
  <c r="B21" i="3" l="1" a="1"/>
  <c r="B21" i="3" s="1"/>
  <c r="B26" i="3" a="1"/>
  <c r="B26" i="3" s="1"/>
  <c r="B20" i="3" l="1" a="1"/>
  <c r="B20" i="3" s="1"/>
  <c r="B58" i="3" a="1"/>
  <c r="B58" i="3" s="1"/>
  <c r="B19" i="3" a="1"/>
  <c r="B19" i="3" s="1"/>
  <c r="B440" i="3" l="1" a="1"/>
  <c r="B440" i="3" s="1"/>
  <c r="B332" i="3" a="1"/>
  <c r="B332" i="3" s="1"/>
  <c r="B333" i="3" a="1"/>
  <c r="B333" i="3" s="1"/>
  <c r="B334" i="3" a="1"/>
  <c r="B334" i="3" s="1"/>
  <c r="B335" i="3" a="1"/>
  <c r="B335" i="3" s="1"/>
  <c r="B336" i="3" a="1"/>
  <c r="B336" i="3" s="1"/>
  <c r="B337" i="3" a="1"/>
  <c r="B337" i="3" s="1"/>
  <c r="B338" i="3" a="1"/>
  <c r="B338" i="3" s="1"/>
  <c r="B339" i="3" a="1"/>
  <c r="B339" i="3" s="1"/>
  <c r="B340" i="3" a="1"/>
  <c r="B340" i="3" s="1"/>
  <c r="B331" i="3" a="1"/>
  <c r="B331" i="3" s="1"/>
  <c r="B330" i="3" a="1"/>
  <c r="B330" i="3" s="1"/>
  <c r="B329" i="3" a="1"/>
  <c r="B329" i="3" s="1"/>
  <c r="B386" i="3" l="1" a="1"/>
  <c r="B386" i="3" s="1"/>
  <c r="B363" i="3" a="1"/>
  <c r="B363" i="3" s="1"/>
  <c r="B383" i="3" a="1"/>
  <c r="B383" i="3" s="1"/>
  <c r="B384" i="3" a="1"/>
  <c r="B384" i="3" s="1"/>
  <c r="B385" i="3" a="1"/>
  <c r="B385" i="3" s="1"/>
  <c r="B362" i="3" a="1"/>
  <c r="B362" i="3" s="1"/>
  <c r="B365" i="3" a="1"/>
  <c r="B365" i="3" s="1"/>
  <c r="B361" i="3" a="1"/>
  <c r="B361" i="3" s="1"/>
  <c r="B366" i="3" a="1"/>
  <c r="B366" i="3" s="1"/>
  <c r="B367" i="3" a="1"/>
  <c r="B367" i="3" s="1"/>
  <c r="B368" i="3" a="1"/>
  <c r="B368" i="3" s="1"/>
  <c r="B369" i="3" a="1"/>
  <c r="B369" i="3" s="1"/>
  <c r="B370" i="3" a="1"/>
  <c r="B370" i="3" s="1"/>
  <c r="B371" i="3" a="1"/>
  <c r="B371" i="3" s="1"/>
  <c r="B372" i="3" a="1"/>
  <c r="B372" i="3" s="1"/>
  <c r="B373" i="3" a="1"/>
  <c r="B373" i="3" s="1"/>
  <c r="B374" i="3" a="1"/>
  <c r="B374" i="3" s="1"/>
  <c r="B375" i="3" a="1"/>
  <c r="B375" i="3" s="1"/>
  <c r="B376" i="3" a="1"/>
  <c r="B376" i="3" s="1"/>
  <c r="B377" i="3" a="1"/>
  <c r="B377" i="3" s="1"/>
  <c r="B378" i="3" a="1"/>
  <c r="B378" i="3" s="1"/>
  <c r="B379" i="3" a="1"/>
  <c r="B379" i="3" s="1"/>
  <c r="B380" i="3" a="1"/>
  <c r="B380" i="3" s="1"/>
  <c r="B381" i="3" a="1"/>
  <c r="B381" i="3" s="1"/>
  <c r="B382" i="3" a="1"/>
  <c r="B382" i="3" s="1"/>
  <c r="B326" i="3" a="1"/>
  <c r="B326" i="3" s="1"/>
  <c r="B341" i="3" a="1"/>
  <c r="B341" i="3" s="1"/>
  <c r="B344" i="3" a="1"/>
  <c r="B344" i="3" s="1"/>
  <c r="B345" i="3" a="1"/>
  <c r="B345" i="3" s="1"/>
  <c r="B346" i="3" a="1"/>
  <c r="B346" i="3" s="1"/>
  <c r="B347" i="3" a="1"/>
  <c r="B347" i="3" s="1"/>
  <c r="B348" i="3" a="1"/>
  <c r="B348" i="3" s="1"/>
  <c r="B349" i="3" a="1"/>
  <c r="B349" i="3" s="1"/>
  <c r="B350" i="3" a="1"/>
  <c r="B350" i="3" s="1"/>
  <c r="B351" i="3" a="1"/>
  <c r="B351" i="3" s="1"/>
  <c r="B352" i="3" a="1"/>
  <c r="B352" i="3" s="1"/>
  <c r="B353" i="3" a="1"/>
  <c r="B353" i="3" s="1"/>
  <c r="B354" i="3" a="1"/>
  <c r="B354" i="3" s="1"/>
  <c r="B355" i="3" a="1"/>
  <c r="B355" i="3" s="1"/>
  <c r="B356" i="3" a="1"/>
  <c r="B356" i="3" s="1"/>
  <c r="B357" i="3" a="1"/>
  <c r="B357" i="3" s="1"/>
  <c r="B358" i="3" a="1"/>
  <c r="B358" i="3" s="1"/>
  <c r="B359" i="3" a="1"/>
  <c r="B359" i="3" s="1"/>
  <c r="B360" i="3" a="1"/>
  <c r="B360" i="3" s="1"/>
  <c r="E345" i="3"/>
  <c r="F344" i="3"/>
  <c r="E344" i="3"/>
  <c r="I345" i="3"/>
  <c r="I344" i="3"/>
  <c r="H344" i="3"/>
  <c r="J344" i="3"/>
  <c r="H345" i="3"/>
  <c r="J345" i="3"/>
  <c r="G344" i="3"/>
  <c r="F345" i="3"/>
  <c r="G345" i="3"/>
  <c r="B42" i="3" l="1" a="1"/>
  <c r="B42" i="3" s="1"/>
  <c r="B25" i="3" a="1"/>
  <c r="B25" i="3" s="1"/>
  <c r="B438" i="3" l="1" a="1"/>
  <c r="B438" i="3" s="1"/>
  <c r="B441" i="3" a="1"/>
  <c r="B441" i="3" s="1"/>
  <c r="B442" i="3" a="1"/>
  <c r="B442" i="3" s="1"/>
  <c r="B443" i="3" a="1"/>
  <c r="B443" i="3" s="1"/>
  <c r="B444" i="3" a="1"/>
  <c r="B444" i="3" s="1"/>
  <c r="B445" i="3" a="1"/>
  <c r="B445" i="3" s="1"/>
  <c r="B446" i="3" a="1"/>
  <c r="B446" i="3" s="1"/>
  <c r="B447" i="3" a="1"/>
  <c r="B447" i="3" s="1"/>
  <c r="B448" i="3" a="1"/>
  <c r="B448" i="3" s="1"/>
  <c r="B449" i="3" a="1"/>
  <c r="B449" i="3" s="1"/>
  <c r="B450" i="3" a="1"/>
  <c r="B450" i="3" s="1"/>
  <c r="B451" i="3" a="1"/>
  <c r="B451" i="3" s="1"/>
  <c r="B452" i="3" a="1"/>
  <c r="B452" i="3" s="1"/>
  <c r="B453" i="3" a="1"/>
  <c r="B453" i="3" s="1"/>
  <c r="B454" i="3" a="1"/>
  <c r="B454" i="3" s="1"/>
  <c r="B455" i="3" a="1"/>
  <c r="B455" i="3" s="1"/>
  <c r="B421" i="3" a="1"/>
  <c r="B421" i="3" s="1"/>
  <c r="B422" i="3" a="1"/>
  <c r="B422" i="3" s="1"/>
  <c r="B423" i="3" a="1"/>
  <c r="B423" i="3" s="1"/>
  <c r="B424" i="3" a="1"/>
  <c r="B424" i="3" s="1"/>
  <c r="B425" i="3" a="1"/>
  <c r="B425" i="3" s="1"/>
  <c r="B426" i="3" a="1"/>
  <c r="B426" i="3" s="1"/>
  <c r="B427" i="3" a="1"/>
  <c r="B427" i="3" s="1"/>
  <c r="B428" i="3" a="1"/>
  <c r="B428" i="3" s="1"/>
  <c r="B429" i="3" a="1"/>
  <c r="B429" i="3" s="1"/>
  <c r="B430" i="3" a="1"/>
  <c r="B430" i="3" s="1"/>
  <c r="B431" i="3" a="1"/>
  <c r="B431" i="3" s="1"/>
  <c r="B432" i="3" a="1"/>
  <c r="B432" i="3" s="1"/>
  <c r="B433" i="3" a="1"/>
  <c r="B433" i="3" s="1"/>
  <c r="B434" i="3" a="1"/>
  <c r="B434" i="3" s="1"/>
  <c r="B435" i="3" a="1"/>
  <c r="B435" i="3" s="1"/>
  <c r="B436" i="3" a="1"/>
  <c r="B436" i="3" s="1"/>
  <c r="B437" i="3" a="1"/>
  <c r="B437" i="3" s="1"/>
  <c r="B78" i="3" a="1"/>
  <c r="B78" i="3" s="1"/>
  <c r="B198" i="3" a="1"/>
  <c r="B198" i="3" s="1"/>
  <c r="I152" i="3"/>
  <c r="G152" i="3"/>
  <c r="F152" i="3"/>
  <c r="J152" i="3"/>
  <c r="H152" i="3"/>
  <c r="E152" i="3"/>
  <c r="B40" i="3" l="1" a="1"/>
  <c r="B40" i="3" s="1"/>
  <c r="B39" i="3" a="1"/>
  <c r="B39" i="3" s="1"/>
  <c r="B38" i="3" a="1"/>
  <c r="B38" i="3" s="1"/>
  <c r="B55" i="3" a="1"/>
  <c r="B55" i="3" s="1"/>
  <c r="B54" i="3" a="1"/>
  <c r="B54" i="3" s="1"/>
  <c r="B53" i="3" a="1"/>
  <c r="B53" i="3" s="1"/>
  <c r="B52" i="3" a="1"/>
  <c r="B52" i="3" s="1"/>
  <c r="B396" i="3" a="1"/>
  <c r="B396" i="3" s="1"/>
  <c r="B395" i="3" a="1"/>
  <c r="B395" i="3" s="1"/>
  <c r="B394" i="3" a="1"/>
  <c r="B394" i="3" s="1"/>
  <c r="B51" i="3" l="1" a="1"/>
  <c r="B51" i="3" s="1"/>
  <c r="B56" i="3" a="1"/>
  <c r="B56" i="3" s="1"/>
  <c r="B57" i="3" a="1"/>
  <c r="B57" i="3" s="1"/>
  <c r="B67" i="3" a="1"/>
  <c r="B67" i="3" s="1"/>
  <c r="B66" i="3" a="1"/>
  <c r="B66" i="3" s="1"/>
  <c r="B65" i="3" a="1"/>
  <c r="B65" i="3" s="1"/>
  <c r="B64" i="3" a="1"/>
  <c r="B64" i="3" s="1"/>
  <c r="B63" i="3" a="1"/>
  <c r="B63" i="3" s="1"/>
  <c r="B62" i="3" a="1"/>
  <c r="B62" i="3" s="1"/>
  <c r="B61" i="3" a="1"/>
  <c r="B61" i="3" s="1"/>
  <c r="B598" i="3" l="1" a="1"/>
  <c r="B598" i="3" s="1"/>
  <c r="B599" i="3" a="1"/>
  <c r="B599" i="3" s="1"/>
  <c r="B600" i="3" a="1"/>
  <c r="B600" i="3" s="1"/>
  <c r="B601" i="3" a="1"/>
  <c r="B601" i="3" s="1"/>
  <c r="B602" i="3" a="1"/>
  <c r="B602" i="3" s="1"/>
  <c r="B603" i="3" a="1"/>
  <c r="B603" i="3" s="1"/>
  <c r="B604" i="3" a="1"/>
  <c r="B604" i="3" s="1"/>
  <c r="B605" i="3" a="1"/>
  <c r="B605" i="3" s="1"/>
  <c r="B516" i="3" a="1"/>
  <c r="B516" i="3" s="1"/>
  <c r="B517" i="3" a="1"/>
  <c r="B517" i="3" s="1"/>
  <c r="B518" i="3" a="1"/>
  <c r="B518" i="3" s="1"/>
  <c r="B519" i="3" a="1"/>
  <c r="B519" i="3" s="1"/>
  <c r="B520" i="3" a="1"/>
  <c r="B520" i="3" s="1"/>
  <c r="B521" i="3" a="1"/>
  <c r="B521" i="3" s="1"/>
  <c r="B522" i="3" a="1"/>
  <c r="B522" i="3" s="1"/>
  <c r="B523" i="3" a="1"/>
  <c r="B523" i="3" s="1"/>
  <c r="B619" i="3" l="1" a="1"/>
  <c r="B619" i="3" s="1"/>
  <c r="B620" i="3" a="1"/>
  <c r="B620" i="3" s="1"/>
  <c r="B621" i="3" a="1"/>
  <c r="B621" i="3" s="1"/>
  <c r="B622" i="3" a="1"/>
  <c r="B622" i="3" s="1"/>
  <c r="B623" i="3" a="1"/>
  <c r="B623" i="3" s="1"/>
  <c r="B624" i="3" a="1"/>
  <c r="B624" i="3" s="1"/>
  <c r="B625" i="3" a="1"/>
  <c r="B625" i="3" s="1"/>
  <c r="B618" i="3" a="1"/>
  <c r="B618" i="3" s="1"/>
  <c r="B466" i="3" a="1"/>
  <c r="B466" i="3" s="1"/>
  <c r="B465" i="3" a="1"/>
  <c r="B465" i="3" s="1"/>
  <c r="B545" i="3" a="1"/>
  <c r="B545" i="3" s="1"/>
  <c r="B544" i="3" a="1"/>
  <c r="B544" i="3" s="1"/>
  <c r="F80" i="3"/>
  <c r="J80" i="3"/>
  <c r="I80" i="3"/>
  <c r="E80" i="3"/>
  <c r="H80" i="3"/>
  <c r="G80" i="3"/>
  <c r="B548" i="3" l="1" a="1"/>
  <c r="B548" i="3" s="1"/>
  <c r="B547" i="3" a="1"/>
  <c r="B547" i="3" s="1"/>
  <c r="B468" i="3" a="1"/>
  <c r="B468" i="3" s="1"/>
  <c r="B469" i="3" a="1"/>
  <c r="B469" i="3" s="1"/>
  <c r="B458" i="3" a="1"/>
  <c r="B458" i="3" s="1"/>
  <c r="B459" i="3" a="1"/>
  <c r="B459" i="3" s="1"/>
  <c r="B460" i="3" a="1"/>
  <c r="B460" i="3" s="1"/>
  <c r="B461" i="3" a="1"/>
  <c r="B461" i="3" s="1"/>
  <c r="B462" i="3" a="1"/>
  <c r="B462" i="3" s="1"/>
  <c r="B463" i="3" a="1"/>
  <c r="B463" i="3" s="1"/>
  <c r="B464" i="3" a="1"/>
  <c r="B464" i="3" s="1"/>
  <c r="B538" i="3" a="1"/>
  <c r="B538" i="3" s="1"/>
  <c r="B539" i="3" a="1"/>
  <c r="B539" i="3" s="1"/>
  <c r="B540" i="3" a="1"/>
  <c r="B540" i="3" s="1"/>
  <c r="B541" i="3" a="1"/>
  <c r="B541" i="3" s="1"/>
  <c r="B542" i="3" a="1"/>
  <c r="B542" i="3" s="1"/>
  <c r="B543" i="3" a="1"/>
  <c r="B543" i="3" s="1"/>
  <c r="B79" i="3" l="1" a="1"/>
  <c r="B79" i="3" s="1"/>
  <c r="B80" i="3" a="1"/>
  <c r="B80" i="3" s="1"/>
  <c r="B81" i="3" a="1"/>
  <c r="B81" i="3" s="1"/>
  <c r="B82" i="3" a="1"/>
  <c r="B82" i="3" s="1"/>
  <c r="B83" i="3" a="1"/>
  <c r="B83" i="3" s="1"/>
  <c r="B84" i="3" a="1"/>
  <c r="B84" i="3" s="1"/>
  <c r="B85" i="3" a="1"/>
  <c r="B85" i="3" s="1"/>
  <c r="B86" i="3" a="1"/>
  <c r="B86" i="3" s="1"/>
  <c r="B90" i="3" a="1"/>
  <c r="B90" i="3" s="1"/>
  <c r="B91" i="3" a="1"/>
  <c r="B91" i="3" s="1"/>
  <c r="B92" i="3" a="1"/>
  <c r="B92" i="3" s="1"/>
  <c r="B93" i="3" a="1"/>
  <c r="B93" i="3" s="1"/>
  <c r="B94" i="3" a="1"/>
  <c r="B94" i="3" s="1"/>
  <c r="B95" i="3" a="1"/>
  <c r="B95" i="3" s="1"/>
  <c r="B96" i="3" a="1"/>
  <c r="B96" i="3" s="1"/>
  <c r="B97" i="3" a="1"/>
  <c r="B97" i="3" s="1"/>
  <c r="B98" i="3" a="1"/>
  <c r="B98" i="3" s="1"/>
  <c r="B99" i="3" a="1"/>
  <c r="B99" i="3" s="1"/>
  <c r="B100" i="3" a="1"/>
  <c r="B100" i="3" s="1"/>
  <c r="B101" i="3" a="1"/>
  <c r="B101" i="3" s="1"/>
  <c r="B102" i="3" a="1"/>
  <c r="B102" i="3" s="1"/>
  <c r="B103" i="3" a="1"/>
  <c r="B103" i="3" s="1"/>
  <c r="B104" i="3" a="1"/>
  <c r="B104" i="3" s="1"/>
  <c r="B105" i="3" a="1"/>
  <c r="B105" i="3" s="1"/>
  <c r="B106" i="3" a="1"/>
  <c r="B106" i="3" s="1"/>
  <c r="B107" i="3" a="1"/>
  <c r="B107" i="3" s="1"/>
  <c r="B108" i="3" a="1"/>
  <c r="B108" i="3" s="1"/>
  <c r="B109" i="3" a="1"/>
  <c r="B109" i="3" s="1"/>
  <c r="B110" i="3" a="1"/>
  <c r="B110" i="3" s="1"/>
  <c r="B111" i="3" a="1"/>
  <c r="B111" i="3" s="1"/>
  <c r="B112" i="3" a="1"/>
  <c r="B112" i="3" s="1"/>
  <c r="B113" i="3" a="1"/>
  <c r="B113" i="3" s="1"/>
  <c r="B114" i="3" a="1"/>
  <c r="B114" i="3" s="1"/>
  <c r="B89" i="3" a="1"/>
  <c r="B89" i="3" s="1"/>
  <c r="E553" i="3"/>
  <c r="H553" i="3"/>
  <c r="G471" i="3"/>
  <c r="J471" i="3"/>
  <c r="I471" i="3"/>
  <c r="H471" i="3"/>
  <c r="F471" i="3"/>
  <c r="E471" i="3"/>
  <c r="I553" i="3"/>
  <c r="F553" i="3"/>
  <c r="J553" i="3"/>
  <c r="G553" i="3"/>
  <c r="B172" i="3" l="1" a="1"/>
  <c r="B172" i="3" s="1"/>
  <c r="B173" i="3" a="1"/>
  <c r="B173" i="3" s="1"/>
  <c r="B174" i="3" a="1"/>
  <c r="B174" i="3" s="1"/>
  <c r="B175" i="3" a="1"/>
  <c r="B175" i="3" s="1"/>
  <c r="B176" i="3" a="1"/>
  <c r="B176" i="3" s="1"/>
  <c r="B177" i="3" a="1"/>
  <c r="B177" i="3" s="1"/>
  <c r="B178" i="3" a="1"/>
  <c r="B178" i="3" s="1"/>
  <c r="B179" i="3" a="1"/>
  <c r="B179" i="3" s="1"/>
  <c r="B180" i="3" a="1"/>
  <c r="B180" i="3" s="1"/>
  <c r="B181" i="3" a="1"/>
  <c r="B181" i="3" s="1"/>
  <c r="B191" i="3" a="1"/>
  <c r="B191" i="3" s="1"/>
  <c r="B129" i="3" a="1"/>
  <c r="B129" i="3" s="1"/>
  <c r="B130" i="3" a="1"/>
  <c r="B130" i="3" s="1"/>
  <c r="B131" i="3" a="1"/>
  <c r="B131" i="3" s="1"/>
  <c r="B132" i="3" a="1"/>
  <c r="B132" i="3" s="1"/>
  <c r="B133" i="3" a="1"/>
  <c r="B133" i="3" s="1"/>
  <c r="B134" i="3" a="1"/>
  <c r="B134" i="3" s="1"/>
  <c r="B135" i="3" a="1"/>
  <c r="B135" i="3" s="1"/>
  <c r="B136" i="3" a="1"/>
  <c r="B136" i="3" s="1"/>
  <c r="B137" i="3" a="1"/>
  <c r="B137" i="3" s="1"/>
  <c r="B138" i="3" a="1"/>
  <c r="B138" i="3" s="1"/>
  <c r="B139" i="3" a="1"/>
  <c r="B139" i="3" s="1"/>
  <c r="B140" i="3" a="1"/>
  <c r="B140" i="3" s="1"/>
  <c r="B141" i="3" a="1"/>
  <c r="B141" i="3" s="1"/>
  <c r="B142" i="3" a="1"/>
  <c r="B142" i="3" s="1"/>
  <c r="B143" i="3" a="1"/>
  <c r="B143" i="3" s="1"/>
  <c r="B144" i="3" a="1"/>
  <c r="B144" i="3" s="1"/>
  <c r="B145" i="3" a="1"/>
  <c r="B145" i="3" s="1"/>
  <c r="B146" i="3" a="1"/>
  <c r="B146" i="3" s="1"/>
  <c r="B147" i="3" a="1"/>
  <c r="B147" i="3" s="1"/>
  <c r="B148" i="3" a="1"/>
  <c r="B148" i="3" s="1"/>
  <c r="B128" i="3" l="1" a="1"/>
  <c r="B128" i="3" s="1"/>
  <c r="B149" i="3" a="1"/>
  <c r="B149" i="3" s="1"/>
  <c r="B151" i="3" a="1"/>
  <c r="B151" i="3" s="1"/>
  <c r="B152" i="3" a="1"/>
  <c r="B152" i="3" s="1"/>
  <c r="B153" i="3" a="1"/>
  <c r="B153" i="3" s="1"/>
  <c r="B154" i="3" a="1"/>
  <c r="B154" i="3" s="1"/>
  <c r="B155" i="3" a="1"/>
  <c r="B155" i="3" s="1"/>
  <c r="B156" i="3" a="1"/>
  <c r="B156" i="3" s="1"/>
  <c r="B157" i="3" a="1"/>
  <c r="B157" i="3" s="1"/>
  <c r="B158" i="3" a="1"/>
  <c r="B158" i="3" s="1"/>
  <c r="B159" i="3" a="1"/>
  <c r="B159" i="3" s="1"/>
  <c r="B160" i="3" a="1"/>
  <c r="B160" i="3" s="1"/>
  <c r="B161" i="3" a="1"/>
  <c r="B161" i="3" s="1"/>
  <c r="B118" i="3" l="1" a="1"/>
  <c r="B118" i="3" s="1"/>
  <c r="B119" i="3" a="1"/>
  <c r="B119" i="3" s="1"/>
  <c r="B120" i="3" a="1"/>
  <c r="B120" i="3" s="1"/>
  <c r="B121" i="3" a="1"/>
  <c r="B121" i="3" s="1"/>
  <c r="B122" i="3" a="1"/>
  <c r="B122" i="3" s="1"/>
  <c r="B123" i="3" a="1"/>
  <c r="B123" i="3" s="1"/>
  <c r="B124" i="3" a="1"/>
  <c r="B124" i="3" s="1"/>
  <c r="B125" i="3" a="1"/>
  <c r="B125" i="3" s="1"/>
  <c r="B126" i="3" a="1"/>
  <c r="B126" i="3" s="1"/>
  <c r="B127" i="3" a="1"/>
  <c r="B127" i="3" s="1"/>
  <c r="B197" i="3" a="1"/>
  <c r="B197" i="3" s="1"/>
  <c r="B77" i="3" l="1" a="1"/>
  <c r="B77" i="3" s="1"/>
  <c r="B76" i="3" a="1"/>
  <c r="B76" i="3" s="1"/>
  <c r="B49" i="3" a="1"/>
  <c r="B49" i="3" s="1"/>
  <c r="B37" i="3" a="1"/>
  <c r="B37" i="3" s="1"/>
  <c r="B36" i="3" a="1"/>
  <c r="B36" i="3" s="1"/>
  <c r="B560" i="3" l="1" a="1"/>
  <c r="B560" i="3" s="1"/>
  <c r="B561" i="3" a="1"/>
  <c r="B561" i="3" s="1"/>
  <c r="B562" i="3" a="1"/>
  <c r="B562" i="3" s="1"/>
  <c r="B563" i="3" a="1"/>
  <c r="B563" i="3" s="1"/>
  <c r="B564" i="3" a="1"/>
  <c r="B564" i="3" s="1"/>
  <c r="B565" i="3" a="1"/>
  <c r="B565" i="3" s="1"/>
  <c r="B566" i="3" a="1"/>
  <c r="B566" i="3" s="1"/>
  <c r="B478" i="3" a="1"/>
  <c r="B478" i="3" s="1"/>
  <c r="B479" i="3" a="1"/>
  <c r="B479" i="3" s="1"/>
  <c r="B480" i="3" a="1"/>
  <c r="B480" i="3" s="1"/>
  <c r="B481" i="3" a="1"/>
  <c r="B481" i="3" s="1"/>
  <c r="B482" i="3" a="1"/>
  <c r="B482" i="3" s="1"/>
  <c r="B483" i="3" a="1"/>
  <c r="B483" i="3" s="1"/>
  <c r="B484" i="3" a="1"/>
  <c r="B484" i="3" s="1"/>
  <c r="H9" i="3"/>
  <c r="F9" i="3"/>
  <c r="F8" i="3"/>
  <c r="G9" i="3"/>
  <c r="E4" i="3"/>
  <c r="I9" i="3"/>
  <c r="G8" i="3"/>
  <c r="J8" i="3"/>
  <c r="H4" i="3"/>
  <c r="G5" i="3"/>
  <c r="I5" i="3"/>
  <c r="J5" i="3"/>
  <c r="H8" i="3"/>
  <c r="H5" i="3"/>
  <c r="J9" i="3"/>
  <c r="F4" i="3"/>
  <c r="F5" i="3"/>
  <c r="G4" i="3"/>
  <c r="E9" i="3"/>
  <c r="I4" i="3"/>
  <c r="I8" i="3"/>
  <c r="J4" i="3"/>
  <c r="E8" i="3"/>
  <c r="E5" i="3"/>
  <c r="B554" i="3" l="1" a="1"/>
  <c r="B554" i="3" s="1"/>
  <c r="B555" i="3" a="1"/>
  <c r="B555" i="3" s="1"/>
  <c r="B556" i="3" a="1"/>
  <c r="B556" i="3" s="1"/>
  <c r="B557" i="3" a="1"/>
  <c r="B557" i="3" s="1"/>
  <c r="B558" i="3" a="1"/>
  <c r="B558" i="3" s="1"/>
  <c r="B559" i="3" a="1"/>
  <c r="B559" i="3" s="1"/>
  <c r="B471" i="3" a="1"/>
  <c r="B471" i="3" s="1"/>
  <c r="B472" i="3" a="1"/>
  <c r="B472" i="3" s="1"/>
  <c r="B473" i="3" a="1"/>
  <c r="B473" i="3" s="1"/>
  <c r="B474" i="3" a="1"/>
  <c r="B474" i="3" s="1"/>
  <c r="B475" i="3" a="1"/>
  <c r="B475" i="3" s="1"/>
  <c r="B476" i="3" a="1"/>
  <c r="B476" i="3" s="1"/>
  <c r="B477" i="3" a="1"/>
  <c r="B477" i="3" s="1"/>
  <c r="B609" i="3" a="1"/>
  <c r="B609" i="3" s="1"/>
  <c r="B610" i="3" a="1"/>
  <c r="B610" i="3" s="1"/>
  <c r="B611" i="3" a="1"/>
  <c r="B611" i="3" s="1"/>
  <c r="B612" i="3" a="1"/>
  <c r="B612" i="3" s="1"/>
  <c r="B613" i="3" a="1"/>
  <c r="B613" i="3" s="1"/>
  <c r="B614" i="3" a="1"/>
  <c r="B614" i="3" s="1"/>
  <c r="B615" i="3" a="1"/>
  <c r="B615" i="3" s="1"/>
  <c r="B608" i="3" a="1"/>
  <c r="B608" i="3" s="1"/>
  <c r="B607" i="3" a="1"/>
  <c r="B607" i="3" s="1"/>
  <c r="B525" i="3" a="1"/>
  <c r="B525" i="3" s="1"/>
  <c r="B526" i="3" a="1"/>
  <c r="B526" i="3" s="1"/>
  <c r="B527" i="3" a="1"/>
  <c r="B527" i="3" s="1"/>
  <c r="B528" i="3" a="1"/>
  <c r="B528" i="3" s="1"/>
  <c r="B529" i="3" a="1"/>
  <c r="B529" i="3" s="1"/>
  <c r="B530" i="3" a="1"/>
  <c r="B530" i="3" s="1"/>
  <c r="B531" i="3" a="1"/>
  <c r="B531" i="3" s="1"/>
  <c r="B532" i="3" a="1"/>
  <c r="B532" i="3" s="1"/>
  <c r="B533" i="3" a="1"/>
  <c r="B533" i="3" s="1"/>
  <c r="B586" i="3" a="1"/>
  <c r="B586" i="3" s="1"/>
  <c r="B587" i="3" a="1"/>
  <c r="B587" i="3" s="1"/>
  <c r="B588" i="3" a="1"/>
  <c r="B588" i="3" s="1"/>
  <c r="B589" i="3" a="1"/>
  <c r="B589" i="3" s="1"/>
  <c r="B590" i="3" a="1"/>
  <c r="B590" i="3" s="1"/>
  <c r="B591" i="3" a="1"/>
  <c r="B591" i="3" s="1"/>
  <c r="B592" i="3" a="1"/>
  <c r="B592" i="3" s="1"/>
  <c r="B593" i="3" a="1"/>
  <c r="B593" i="3" s="1"/>
  <c r="B594" i="3" a="1"/>
  <c r="B594" i="3" s="1"/>
  <c r="B595" i="3" a="1"/>
  <c r="B595" i="3" s="1"/>
  <c r="B596" i="3" a="1"/>
  <c r="B596" i="3" s="1"/>
  <c r="B597" i="3" a="1"/>
  <c r="B597" i="3" s="1"/>
  <c r="B504" i="3" a="1"/>
  <c r="B504" i="3" s="1"/>
  <c r="B505" i="3" a="1"/>
  <c r="B505" i="3" s="1"/>
  <c r="B506" i="3" a="1"/>
  <c r="B506" i="3" s="1"/>
  <c r="B507" i="3" a="1"/>
  <c r="B507" i="3" s="1"/>
  <c r="B508" i="3" a="1"/>
  <c r="B508" i="3" s="1"/>
  <c r="B509" i="3" a="1"/>
  <c r="B509" i="3" s="1"/>
  <c r="B510" i="3" a="1"/>
  <c r="B510" i="3" s="1"/>
  <c r="B511" i="3" a="1"/>
  <c r="B511" i="3" s="1"/>
  <c r="B512" i="3" a="1"/>
  <c r="B512" i="3" s="1"/>
  <c r="B513" i="3" a="1"/>
  <c r="B513" i="3" s="1"/>
  <c r="B514" i="3" a="1"/>
  <c r="B514" i="3" s="1"/>
  <c r="B515" i="3" a="1"/>
  <c r="B515" i="3" s="1"/>
  <c r="B581" i="3" a="1"/>
  <c r="B581" i="3" s="1"/>
  <c r="B582" i="3" a="1"/>
  <c r="B582" i="3" s="1"/>
  <c r="B583" i="3" a="1"/>
  <c r="B583" i="3" s="1"/>
  <c r="B584" i="3" a="1"/>
  <c r="B584" i="3" s="1"/>
  <c r="B585" i="3" a="1"/>
  <c r="B585" i="3" s="1"/>
  <c r="B580" i="3" a="1"/>
  <c r="B580" i="3" s="1"/>
  <c r="B500" i="3" a="1"/>
  <c r="B500" i="3" s="1"/>
  <c r="B501" i="3" a="1"/>
  <c r="B501" i="3" s="1"/>
  <c r="B502" i="3" a="1"/>
  <c r="B502" i="3" s="1"/>
  <c r="B503" i="3" a="1"/>
  <c r="B503" i="3" s="1"/>
  <c r="B497" i="3" l="1" a="1"/>
  <c r="B497" i="3" s="1"/>
  <c r="B498" i="3" a="1"/>
  <c r="B498" i="3" s="1"/>
  <c r="B499" i="3" a="1"/>
  <c r="B499" i="3" s="1"/>
  <c r="B553" i="3" a="1"/>
  <c r="B553" i="3" s="1"/>
  <c r="B568" i="3" a="1"/>
  <c r="B568" i="3" s="1"/>
  <c r="B569" i="3" a="1"/>
  <c r="B569" i="3" s="1"/>
  <c r="B570" i="3" a="1"/>
  <c r="B570" i="3" s="1"/>
  <c r="B571" i="3" a="1"/>
  <c r="B571" i="3" s="1"/>
  <c r="B572" i="3" a="1"/>
  <c r="B572" i="3" s="1"/>
  <c r="B573" i="3" a="1"/>
  <c r="B573" i="3" s="1"/>
  <c r="B574" i="3" a="1"/>
  <c r="B574" i="3" s="1"/>
  <c r="B575" i="3" a="1"/>
  <c r="B575" i="3" s="1"/>
  <c r="B576" i="3" a="1"/>
  <c r="B576" i="3" s="1"/>
  <c r="B577" i="3" a="1"/>
  <c r="B577" i="3" s="1"/>
  <c r="B578" i="3" a="1"/>
  <c r="B578" i="3" s="1"/>
  <c r="B5" i="3" a="1"/>
  <c r="B5" i="3" s="1"/>
  <c r="B6" i="3" a="1"/>
  <c r="B6" i="3" s="1"/>
  <c r="B7" i="3" a="1"/>
  <c r="B7" i="3" s="1"/>
  <c r="B8" i="3" a="1"/>
  <c r="B8" i="3" s="1"/>
  <c r="B9" i="3" a="1"/>
  <c r="B9" i="3" s="1"/>
  <c r="B10" i="3" a="1"/>
  <c r="B10" i="3" s="1"/>
  <c r="B12" i="3" a="1"/>
  <c r="B12" i="3" s="1"/>
  <c r="B13" i="3" a="1"/>
  <c r="B13" i="3" s="1"/>
  <c r="B15" i="3" a="1"/>
  <c r="B15" i="3" s="1"/>
  <c r="B16" i="3" a="1"/>
  <c r="B16" i="3" s="1"/>
  <c r="B17" i="3" a="1"/>
  <c r="B17" i="3" s="1"/>
  <c r="B18" i="3" a="1"/>
  <c r="B18" i="3" s="1"/>
  <c r="B22" i="3" a="1"/>
  <c r="B22" i="3" s="1"/>
  <c r="B23" i="3" a="1"/>
  <c r="B23" i="3" s="1"/>
  <c r="B24" i="3" a="1"/>
  <c r="B24" i="3" s="1"/>
  <c r="B28" i="3" a="1"/>
  <c r="B28" i="3" s="1"/>
  <c r="B29" i="3" a="1"/>
  <c r="B29" i="3" s="1"/>
  <c r="B31" i="3" a="1"/>
  <c r="B31" i="3" s="1"/>
  <c r="B32" i="3" a="1"/>
  <c r="B32" i="3" s="1"/>
  <c r="B33" i="3" a="1"/>
  <c r="B33" i="3" s="1"/>
  <c r="B34" i="3" a="1"/>
  <c r="B34" i="3" s="1"/>
  <c r="B35" i="3" a="1"/>
  <c r="B35" i="3" s="1"/>
  <c r="B43" i="3" a="1"/>
  <c r="B43" i="3" s="1"/>
  <c r="B44" i="3" a="1"/>
  <c r="B44" i="3" s="1"/>
  <c r="B41" i="3" a="1"/>
  <c r="B41" i="3" s="1"/>
  <c r="B47" i="3" a="1"/>
  <c r="B47" i="3" s="1"/>
  <c r="B48" i="3" a="1"/>
  <c r="B48" i="3" s="1"/>
  <c r="B60" i="3" a="1"/>
  <c r="B60" i="3" s="1"/>
  <c r="B69" i="3" a="1"/>
  <c r="B69" i="3" s="1"/>
  <c r="B70" i="3" a="1"/>
  <c r="B70" i="3" s="1"/>
  <c r="B71" i="3" a="1"/>
  <c r="B71" i="3" s="1"/>
  <c r="B72" i="3" a="1"/>
  <c r="B72" i="3" s="1"/>
  <c r="B73" i="3" a="1"/>
  <c r="B73" i="3" s="1"/>
  <c r="B74" i="3" a="1"/>
  <c r="B74" i="3" s="1"/>
  <c r="B318" i="3" a="1"/>
  <c r="B318" i="3" s="1"/>
  <c r="B319" i="3" a="1"/>
  <c r="B319" i="3" s="1"/>
  <c r="B320" i="3" a="1"/>
  <c r="B320" i="3" s="1"/>
  <c r="B321" i="3" a="1"/>
  <c r="B321" i="3" s="1"/>
  <c r="B322" i="3" a="1"/>
  <c r="B322" i="3" s="1"/>
  <c r="B323" i="3" a="1"/>
  <c r="B323" i="3" s="1"/>
  <c r="B324" i="3" a="1"/>
  <c r="B324" i="3" s="1"/>
  <c r="B325" i="3" a="1"/>
  <c r="B325" i="3" s="1"/>
  <c r="B391" i="3" a="1"/>
  <c r="B391" i="3" s="1"/>
  <c r="B392" i="3" a="1"/>
  <c r="B392" i="3" s="1"/>
  <c r="B393" i="3" a="1"/>
  <c r="B393" i="3" s="1"/>
  <c r="B397" i="3" a="1"/>
  <c r="B397" i="3" s="1"/>
  <c r="B398" i="3" a="1"/>
  <c r="B398" i="3" s="1"/>
  <c r="B399" i="3" a="1"/>
  <c r="B399" i="3" s="1"/>
  <c r="B401" i="3" a="1"/>
  <c r="B401" i="3" s="1"/>
  <c r="B402" i="3" a="1"/>
  <c r="B402" i="3" s="1"/>
  <c r="B403" i="3" a="1"/>
  <c r="B403" i="3" s="1"/>
  <c r="B404" i="3" a="1"/>
  <c r="B404" i="3" s="1"/>
  <c r="B405" i="3" a="1"/>
  <c r="B405" i="3" s="1"/>
  <c r="B400" i="3" a="1"/>
  <c r="B400" i="3" s="1"/>
  <c r="B406" i="3" a="1"/>
  <c r="B406" i="3" s="1"/>
  <c r="B407" i="3" a="1"/>
  <c r="B407" i="3" s="1"/>
  <c r="B408" i="3" a="1"/>
  <c r="B408" i="3" s="1"/>
  <c r="B409" i="3" a="1"/>
  <c r="B409" i="3" s="1"/>
  <c r="B410" i="3" a="1"/>
  <c r="B410" i="3" s="1"/>
  <c r="B411" i="3" a="1"/>
  <c r="B411" i="3" s="1"/>
  <c r="B412" i="3" a="1"/>
  <c r="B412" i="3" s="1"/>
  <c r="B413" i="3" a="1"/>
  <c r="B413" i="3" s="1"/>
  <c r="B414" i="3" a="1"/>
  <c r="B414" i="3" s="1"/>
  <c r="B415" i="3" a="1"/>
  <c r="B415" i="3" s="1"/>
  <c r="B416" i="3" a="1"/>
  <c r="B416" i="3" s="1"/>
  <c r="B417" i="3" a="1"/>
  <c r="B417" i="3" s="1"/>
  <c r="B418" i="3" a="1"/>
  <c r="B418" i="3" s="1"/>
  <c r="B419" i="3" a="1"/>
  <c r="B419" i="3" s="1"/>
  <c r="B420" i="3" a="1"/>
  <c r="B420" i="3" s="1"/>
  <c r="B486" i="3" a="1"/>
  <c r="B486" i="3" s="1"/>
  <c r="B487" i="3" a="1"/>
  <c r="B487" i="3" s="1"/>
  <c r="B488" i="3" a="1"/>
  <c r="B488" i="3" s="1"/>
  <c r="B489" i="3" a="1"/>
  <c r="B489" i="3" s="1"/>
  <c r="B490" i="3" a="1"/>
  <c r="B490" i="3" s="1"/>
  <c r="B491" i="3" a="1"/>
  <c r="B491" i="3" s="1"/>
  <c r="B492" i="3" a="1"/>
  <c r="B492" i="3" s="1"/>
  <c r="B493" i="3" a="1"/>
  <c r="B493" i="3" s="1"/>
  <c r="B494" i="3" a="1"/>
  <c r="B494" i="3" s="1"/>
  <c r="B495" i="3" a="1"/>
  <c r="B495" i="3" s="1"/>
  <c r="B496" i="3" a="1"/>
  <c r="B496" i="3" s="1"/>
  <c r="B4" i="3" a="1"/>
  <c r="B4" i="3" s="1"/>
  <c r="B75" i="3" l="1" a="1"/>
  <c r="B75"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<sst xmlns="http://schemas.openxmlformats.org/spreadsheetml/2006/main" count="5285" uniqueCount="4256">
  <si>
    <t>id</t>
  </si>
  <si>
    <t>CN</t>
  </si>
  <si>
    <t>EN</t>
  </si>
  <si>
    <t>string key</t>
  </si>
  <si>
    <t>string</t>
  </si>
  <si>
    <t>key</t>
  </si>
  <si>
    <t>备注2</t>
  </si>
  <si>
    <r>
      <rPr>
        <b/>
        <sz val="11"/>
        <color theme="1"/>
        <rFont val="等线"/>
        <family val="3"/>
        <charset val="134"/>
        <scheme val="minor"/>
      </rPr>
      <t xml:space="preserve">简体中文
</t>
    </r>
    <r>
      <rPr>
        <i/>
        <sz val="11"/>
        <color theme="1"/>
        <rFont val="等线"/>
        <family val="3"/>
        <charset val="134"/>
        <scheme val="minor"/>
      </rPr>
      <t>中文</t>
    </r>
  </si>
  <si>
    <r>
      <rPr>
        <b/>
        <sz val="11"/>
        <color theme="1"/>
        <rFont val="等线"/>
        <family val="3"/>
        <charset val="134"/>
        <scheme val="minor"/>
      </rPr>
      <t xml:space="preserve">English
</t>
    </r>
    <r>
      <rPr>
        <i/>
        <sz val="11"/>
        <color theme="1"/>
        <rFont val="等线"/>
        <family val="3"/>
        <charset val="134"/>
        <scheme val="minor"/>
      </rPr>
      <t>英语</t>
    </r>
  </si>
  <si>
    <t>弓箭</t>
  </si>
  <si>
    <t>简易篷车</t>
  </si>
  <si>
    <t>车体 - 名称</t>
    <phoneticPr fontId="8" type="noConversion"/>
  </si>
  <si>
    <t>device_name_1311101_executioner_baton</t>
  </si>
  <si>
    <t>device_name_1311102_executioner_halberd</t>
  </si>
  <si>
    <t>执刑木棍</t>
  </si>
  <si>
    <t>执刑斧钺</t>
  </si>
  <si>
    <t>device_name_1320101_bow</t>
  </si>
  <si>
    <t>device_name_1320103_shotgun</t>
  </si>
  <si>
    <t>device_name_1320104_volley_gun</t>
  </si>
  <si>
    <t>device_name_1320105_rapid_fire_quiver</t>
  </si>
  <si>
    <t>单发火枪</t>
  </si>
  <si>
    <t>百子连珠炮</t>
  </si>
  <si>
    <t>机关箭匣</t>
  </si>
  <si>
    <t>device_name_1330102_war_drum</t>
  </si>
  <si>
    <t>车载投石器</t>
  </si>
  <si>
    <t>慑敌战鼓</t>
  </si>
  <si>
    <t>device_name_1340101_buckler</t>
  </si>
  <si>
    <t>device_9999_gu</t>
  </si>
  <si>
    <t>device_name_1210101_wheel_wooden</t>
  </si>
  <si>
    <t>carbody_name_100101</t>
  </si>
  <si>
    <t>carbody_name_101101</t>
  </si>
  <si>
    <t>carbody_name_101102</t>
  </si>
  <si>
    <t>捕奴囚笼</t>
  </si>
  <si>
    <t>镇暴装甲</t>
  </si>
  <si>
    <t>火箭爆弹</t>
  </si>
  <si>
    <t>device_name_1320106_rocket_bomb</t>
  </si>
  <si>
    <t>device_name_1320107_homemade_rocket_bomb</t>
  </si>
  <si>
    <t>device_name_1321101_anti_riot_revolver</t>
  </si>
  <si>
    <t>device_name_1321102_anti_riot_shotgun</t>
  </si>
  <si>
    <t>喇叭霰弹枪</t>
  </si>
  <si>
    <t>土制火箭爆弹</t>
  </si>
  <si>
    <t>镇暴左轮</t>
  </si>
  <si>
    <t>镇暴霰弹枪</t>
  </si>
  <si>
    <t>device_name_1350101_hookrope</t>
  </si>
  <si>
    <t>device_name_1350102_merchant_crane</t>
  </si>
  <si>
    <t>device_name_1350103_merchant_tower_crane</t>
  </si>
  <si>
    <t>device_name_1351101_slave_hookrope</t>
  </si>
  <si>
    <t>device_name_1351102_executioner_hookrope</t>
  </si>
  <si>
    <t>拖曳钩索</t>
  </si>
  <si>
    <t>货运吊臂</t>
  </si>
  <si>
    <t>商队塔吊</t>
  </si>
  <si>
    <t>捕奴肉钩</t>
  </si>
  <si>
    <t>执刑人挂钩</t>
  </si>
  <si>
    <t>device_name_1310101_dagger</t>
  </si>
  <si>
    <t>device_name_1310102_machete</t>
  </si>
  <si>
    <t>device_name_1310103_claymore</t>
  </si>
  <si>
    <t>device_name_1310104_spear</t>
  </si>
  <si>
    <t>短匕</t>
  </si>
  <si>
    <t>砍刀</t>
  </si>
  <si>
    <t>大剑</t>
  </si>
  <si>
    <t>长矛</t>
  </si>
  <si>
    <t>device_name_1210102_wheel_track</t>
  </si>
  <si>
    <t>硬木车轮</t>
    <phoneticPr fontId="8" type="noConversion"/>
  </si>
  <si>
    <t>履带</t>
    <phoneticPr fontId="8" type="noConversion"/>
  </si>
  <si>
    <t>device_9999_hua</t>
  </si>
  <si>
    <t>捕兽草</t>
    <phoneticPr fontId="8" type="noConversion"/>
  </si>
  <si>
    <t>device_name_1330103_catching_flower</t>
  </si>
  <si>
    <t>world_4001</t>
  </si>
  <si>
    <t>world_4002</t>
  </si>
  <si>
    <t>world_4003</t>
  </si>
  <si>
    <t>world_4004</t>
  </si>
  <si>
    <t>world_4005</t>
  </si>
  <si>
    <t>world_4006</t>
  </si>
  <si>
    <t>world_4007</t>
  </si>
  <si>
    <t>world_4008</t>
  </si>
  <si>
    <t>地宫</t>
  </si>
  <si>
    <t>云间</t>
  </si>
  <si>
    <t>密林</t>
  </si>
  <si>
    <t>树梢</t>
  </si>
  <si>
    <t>田间</t>
  </si>
  <si>
    <t>永夜</t>
  </si>
  <si>
    <t>荒漠</t>
  </si>
  <si>
    <t>大湖</t>
  </si>
  <si>
    <t>世界 - 名称</t>
    <phoneticPr fontId="8" type="noConversion"/>
  </si>
  <si>
    <t>dv_upgd_name_6310101_11</t>
  </si>
  <si>
    <t>dv_upgd_name_6310101_12</t>
  </si>
  <si>
    <t>dv_upgd_name_6310101_13</t>
  </si>
  <si>
    <t>dv_upgd_name_6310101_21</t>
  </si>
  <si>
    <t>dv_upgd_name_6310101_22</t>
  </si>
  <si>
    <t>dv_upgd_name_6310101_23</t>
  </si>
  <si>
    <t>dv_upgd_name_6310101_31</t>
  </si>
  <si>
    <t>dv_upgd_name_6310101_41</t>
  </si>
  <si>
    <t>dv_upgd_name_6310101_51</t>
  </si>
  <si>
    <t>dv_upgd_name_6310101_52</t>
  </si>
  <si>
    <t>dv_upgd_name_6310101_91</t>
  </si>
  <si>
    <t>锋利</t>
  </si>
  <si>
    <t>切断肌肉</t>
  </si>
  <si>
    <t>切断血管</t>
  </si>
  <si>
    <t>精确</t>
  </si>
  <si>
    <t>暴起</t>
  </si>
  <si>
    <t>自锐</t>
  </si>
  <si>
    <t>背刺</t>
  </si>
  <si>
    <t>折射</t>
  </si>
  <si>
    <t>锐利</t>
  </si>
  <si>
    <t>刃返</t>
  </si>
  <si>
    <t>刃灵附着</t>
  </si>
  <si>
    <t>前缀</t>
    <phoneticPr fontId="8" type="noConversion"/>
  </si>
  <si>
    <t>说明</t>
    <phoneticPr fontId="8" type="noConversion"/>
  </si>
  <si>
    <t>loot_name</t>
    <phoneticPr fontId="8" type="noConversion"/>
  </si>
  <si>
    <t>dv_upgd_name</t>
    <phoneticPr fontId="8" type="noConversion"/>
  </si>
  <si>
    <t>设备升级 - 名称</t>
    <phoneticPr fontId="8" type="noConversion"/>
  </si>
  <si>
    <t>物品 - 名称</t>
  </si>
  <si>
    <t>world</t>
    <phoneticPr fontId="8" type="noConversion"/>
  </si>
  <si>
    <t>carbody_name</t>
    <phoneticPr fontId="8" type="noConversion"/>
  </si>
  <si>
    <t>device_name</t>
    <phoneticPr fontId="8" type="noConversion"/>
  </si>
  <si>
    <t>设备 - 名称</t>
    <phoneticPr fontId="8" type="noConversion"/>
  </si>
  <si>
    <t>备注1
公式生成</t>
    <phoneticPr fontId="8" type="noConversion"/>
  </si>
  <si>
    <t>dv_upgd_desc_6310101_12</t>
  </si>
  <si>
    <t>dv_upgd_desc_6310101_13</t>
  </si>
  <si>
    <t>dv_upgd_desc_6310101_21</t>
  </si>
  <si>
    <t>dv_upgd_desc_6310101_22</t>
  </si>
  <si>
    <t>dv_upgd_desc_6310101_23</t>
  </si>
  <si>
    <t>dv_upgd_desc_6310101_31</t>
  </si>
  <si>
    <t>dv_upgd_desc_6310101_41</t>
  </si>
  <si>
    <t>dv_upgd_desc_6310101_51</t>
  </si>
  <si>
    <t>dv_upgd_desc_6310101_52</t>
  </si>
  <si>
    <t>dv_upgd_desc_6310101_91</t>
  </si>
  <si>
    <t>伤害+20%</t>
  </si>
  <si>
    <t>使目标移动速度与攻击速度降低50%，持续10秒</t>
  </si>
  <si>
    <t>使目标流血，每秒损失10%最大生命值，持续3秒</t>
  </si>
  <si>
    <t>概率暴击。爆伤=300%，暴击率 = 已增加伤害。</t>
  </si>
  <si>
    <t>攻击速度+100%</t>
  </si>
  <si>
    <t>每次命中目标，会使攻击伤害叠加20%，持续10秒。</t>
  </si>
  <si>
    <t>从背后攻击目标时，伤害额外+200%</t>
  </si>
  <si>
    <t>命中自身的远程弹药有50%概率被弹开</t>
  </si>
  <si>
    <t>破甲+100%，攻击方式改为戳刺。</t>
  </si>
  <si>
    <t>伤害 -25%，对命中的敌人造成两次伤害。</t>
  </si>
  <si>
    <t>使其自动索敌、自动攻击</t>
  </si>
  <si>
    <t>dv_upgd_desc_6310101_11</t>
    <phoneticPr fontId="8" type="noConversion"/>
  </si>
  <si>
    <t>dv_upgd_desc</t>
    <phoneticPr fontId="8" type="noConversion"/>
  </si>
  <si>
    <t>设备升级 - 描述</t>
    <phoneticPr fontId="8" type="noConversion"/>
  </si>
  <si>
    <t>dv_upgd_name_6310103_11</t>
  </si>
  <si>
    <t>dv_upgd_name_6310103_21</t>
  </si>
  <si>
    <t>dv_upgd_name_6310103_22</t>
  </si>
  <si>
    <t>dv_upgd_name_6310103_31</t>
  </si>
  <si>
    <t>dv_upgd_name_6310103_32</t>
  </si>
  <si>
    <t>dv_upgd_name_6310103_91</t>
  </si>
  <si>
    <t>锋利剑刃</t>
  </si>
  <si>
    <t>灵活剑身</t>
  </si>
  <si>
    <t>优化剑柄</t>
  </si>
  <si>
    <t>厚重剑身</t>
  </si>
  <si>
    <t>千钧之力</t>
  </si>
  <si>
    <t>剑灵附着</t>
  </si>
  <si>
    <t>dv_upgd_desc_6310103_11</t>
  </si>
  <si>
    <t>dv_upgd_desc_6310103_21</t>
  </si>
  <si>
    <t>dv_upgd_desc_6310103_22</t>
  </si>
  <si>
    <t>dv_upgd_desc_6310103_31</t>
  </si>
  <si>
    <t>dv_upgd_desc_6310103_32</t>
  </si>
  <si>
    <t>dv_upgd_desc_6310103_91</t>
  </si>
  <si>
    <t>攻击伤害 + 30%，破甲 + 30%</t>
  </si>
  <si>
    <t>伤害 - 20%，攻击速度 + 75%</t>
  </si>
  <si>
    <t>现在大剑可以连续攻击</t>
  </si>
  <si>
    <t>攻击速度 - 20%，伤害 + 55%，击退+20%</t>
  </si>
  <si>
    <t>伤害 + 40%，击退 + 80%</t>
  </si>
  <si>
    <t>大剑</t>
    <phoneticPr fontId="8" type="noConversion"/>
  </si>
  <si>
    <t>dv_upgd_name_6320104_11</t>
  </si>
  <si>
    <t>dv_upgd_name_6320104_21</t>
  </si>
  <si>
    <t>dv_upgd_name_6320104_22</t>
  </si>
  <si>
    <t>dv_upgd_name_6320104_23</t>
  </si>
  <si>
    <t>dv_upgd_name_6320104_31</t>
  </si>
  <si>
    <t>dv_upgd_name_6320104_32</t>
  </si>
  <si>
    <t>dv_upgd_name_6320104_33</t>
  </si>
  <si>
    <t>dv_upgd_name_6320104_41</t>
  </si>
  <si>
    <t>dv_upgd_name_6320104_42</t>
  </si>
  <si>
    <t>dv_upgd_name_6320104_91</t>
  </si>
  <si>
    <t>dv_upgd_name_6320104_92</t>
  </si>
  <si>
    <t>破甲弹头</t>
  </si>
  <si>
    <t>爆炸弹头</t>
  </si>
  <si>
    <t>爆炸燃烧弹</t>
  </si>
  <si>
    <t>高爆弹</t>
  </si>
  <si>
    <t>大弹鼓</t>
  </si>
  <si>
    <t>更大的弹鼓</t>
  </si>
  <si>
    <t>过于沉重的弹鼓</t>
  </si>
  <si>
    <t>快速复装</t>
  </si>
  <si>
    <t>复装流程优化</t>
  </si>
  <si>
    <t>装填自动化</t>
  </si>
  <si>
    <t>射击自动化</t>
  </si>
  <si>
    <t>dv_upgd_desc_6320104_11</t>
  </si>
  <si>
    <t>dv_upgd_desc_6320104_21</t>
  </si>
  <si>
    <t>dv_upgd_desc_6320104_22</t>
  </si>
  <si>
    <t>dv_upgd_desc_6320104_23</t>
  </si>
  <si>
    <t>dv_upgd_desc_6320104_31</t>
  </si>
  <si>
    <t>dv_upgd_desc_6320104_32</t>
  </si>
  <si>
    <t>dv_upgd_desc_6320104_33</t>
  </si>
  <si>
    <t>dv_upgd_desc_6320104_41</t>
  </si>
  <si>
    <t>dv_upgd_desc_6320104_42</t>
  </si>
  <si>
    <t>dv_upgd_desc_6320104_91</t>
  </si>
  <si>
    <t>dv_upgd_desc_6320104_92</t>
  </si>
  <si>
    <t>伤害 + 20%，破甲 + 40%</t>
  </si>
  <si>
    <t>弹无法再穿过目标，但命中后可引起小范围爆炸。</t>
  </si>
  <si>
    <t>弹药爆炸后点燃范围内目标</t>
  </si>
  <si>
    <t>爆炸范围 + 20%</t>
  </si>
  <si>
    <t>弹匣容量 + 60%</t>
  </si>
  <si>
    <t>弹匣容量 + 100%，装填所需阶段数 + 1</t>
  </si>
  <si>
    <t>弹匣容量 + 200%，装填所需阶段数 + 1</t>
  </si>
  <si>
    <t>装填所需时间 - 20%</t>
  </si>
  <si>
    <t>装填所需阶段数 - 1</t>
  </si>
  <si>
    <t>使其自动装填</t>
  </si>
  <si>
    <t>使其自动瞄准、自动开火</t>
  </si>
  <si>
    <t>dv_upgd_name_6330102_11</t>
  </si>
  <si>
    <t>dv_upgd_name_6330102_12</t>
  </si>
  <si>
    <t>dv_upgd_name_6330102_13</t>
  </si>
  <si>
    <t>dv_upgd_name_6330102_21</t>
  </si>
  <si>
    <t>dv_upgd_name_6330102_22</t>
  </si>
  <si>
    <t>dv_upgd_name_6330102_91</t>
  </si>
  <si>
    <t>dv_upgd_name_6330102_92</t>
  </si>
  <si>
    <t>dv_upgd_name_6330102_93</t>
  </si>
  <si>
    <t>dv_upgd_name_6330102_94</t>
  </si>
  <si>
    <t>大鼓</t>
  </si>
  <si>
    <t>巨鼓</t>
  </si>
  <si>
    <t>震地鼓</t>
  </si>
  <si>
    <t>鼓架支撑</t>
  </si>
  <si>
    <t>鼓架加固</t>
  </si>
  <si>
    <t>鼓灵萦绕</t>
  </si>
  <si>
    <t>不安鼓灵</t>
  </si>
  <si>
    <t>坚毅鼓灵</t>
  </si>
  <si>
    <t>鼓灵附着</t>
  </si>
  <si>
    <t>dv_upgd_desc_6330102_11</t>
  </si>
  <si>
    <t>dv_upgd_desc_6330102_12</t>
  </si>
  <si>
    <t>dv_upgd_desc_6330102_13</t>
  </si>
  <si>
    <t>dv_upgd_desc_6330102_21</t>
  </si>
  <si>
    <t>dv_upgd_desc_6330102_22</t>
  </si>
  <si>
    <t>dv_upgd_desc_6330102_91</t>
  </si>
  <si>
    <t>dv_upgd_desc_6330102_92</t>
  </si>
  <si>
    <t>dv_upgd_desc_6330102_93</t>
  </si>
  <si>
    <t>dv_upgd_desc_6330102_94</t>
  </si>
  <si>
    <t>伤害范围+10%，击退+10%，伤害+25%，耐久-20%</t>
  </si>
  <si>
    <t>伤害范围+10%，击退+10%，伤害+50%，耐久-20%</t>
  </si>
  <si>
    <t>伤害范围+10%，击退+10%，伤害+75%，耐久-20%</t>
  </si>
  <si>
    <t>耐久+30%，护甲+1</t>
  </si>
  <si>
    <t>耐久+40%，护甲+1</t>
  </si>
  <si>
    <t>你可以听到内心的鼓声（使用战鼓时出现bgm）</t>
  </si>
  <si>
    <t>改变其敲击节奏，提升敲击速度</t>
  </si>
  <si>
    <t>降低误击惩罚</t>
  </si>
  <si>
    <t>使其自动攻击</t>
  </si>
  <si>
    <t>dv_upgd_name_6210101_1</t>
  </si>
  <si>
    <t>dv_upgd_name_6210101_2</t>
  </si>
  <si>
    <t>dv_upgd_name_6210101_3</t>
  </si>
  <si>
    <t>dv_upgd_name_6210101_11</t>
  </si>
  <si>
    <t>dv_upgd_name_6210101_12</t>
  </si>
  <si>
    <t>dv_upgd_name_6210101_21</t>
  </si>
  <si>
    <t>dv_upgd_name_6210101_22</t>
  </si>
  <si>
    <t>硬木车轮</t>
  </si>
  <si>
    <t>结构优化</t>
  </si>
  <si>
    <t>结构强化</t>
  </si>
  <si>
    <t>结构硬化</t>
  </si>
  <si>
    <t>镶钉车轮</t>
  </si>
  <si>
    <t>爆燃动力</t>
  </si>
  <si>
    <t>机械动力</t>
  </si>
  <si>
    <t>器灵附着</t>
  </si>
  <si>
    <t>dv_upgd_desc_6210101_1</t>
  </si>
  <si>
    <t>dv_upgd_desc_6210101_2</t>
  </si>
  <si>
    <t>dv_upgd_desc_6210101_3</t>
  </si>
  <si>
    <t>dv_upgd_desc_6210101_11</t>
  </si>
  <si>
    <t>dv_upgd_desc_6210101_12</t>
  </si>
  <si>
    <t>dv_upgd_desc_6210101_21</t>
  </si>
  <si>
    <t>dv_upgd_desc_6210101_22</t>
  </si>
  <si>
    <t>动力+15%</t>
  </si>
  <si>
    <t>使车辆自动驾驶（自动维持动力杆挡位）</t>
  </si>
  <si>
    <t>dv_upgd_name_6210102_11</t>
  </si>
  <si>
    <t>dv_upgd_name_6210102_12</t>
  </si>
  <si>
    <t>dv_upgd_name_6210102_21</t>
  </si>
  <si>
    <t>dv_upgd_name_6210102_22</t>
  </si>
  <si>
    <t>dv_upgd_name_6210102_31</t>
  </si>
  <si>
    <t>dv_upgd_name_6210102_91</t>
  </si>
  <si>
    <t>履带</t>
  </si>
  <si>
    <t>轻型履带</t>
  </si>
  <si>
    <t>超轻型履带</t>
  </si>
  <si>
    <t>重型履带</t>
  </si>
  <si>
    <t>超重型履带</t>
  </si>
  <si>
    <t>动力澎湃</t>
  </si>
  <si>
    <t>dv_upgd_desc_6210102_11</t>
  </si>
  <si>
    <t>dv_upgd_desc_6210102_12</t>
  </si>
  <si>
    <t>dv_upgd_desc_6210102_21</t>
  </si>
  <si>
    <t>dv_upgd_desc_6210102_22</t>
  </si>
  <si>
    <t>dv_upgd_desc_6210102_31</t>
  </si>
  <si>
    <t>dv_upgd_desc_6210102_91</t>
  </si>
  <si>
    <t>重量-20%</t>
  </si>
  <si>
    <t>重量-15%</t>
  </si>
  <si>
    <t>重量+10%；耐久+20%</t>
  </si>
  <si>
    <t>重量+10%；耐久+30%</t>
  </si>
  <si>
    <t>device_name_1320108_musket</t>
    <phoneticPr fontId="8" type="noConversion"/>
  </si>
  <si>
    <t>防身手枪</t>
    <phoneticPr fontId="8" type="noConversion"/>
  </si>
  <si>
    <t>device_name_1320102_pistol</t>
    <phoneticPr fontId="8" type="noConversion"/>
  </si>
  <si>
    <t>device_name_1320109_fortune_pistol</t>
  </si>
  <si>
    <t>命运手枪</t>
    <phoneticPr fontId="8" type="noConversion"/>
  </si>
  <si>
    <t>撞角</t>
    <phoneticPr fontId="8" type="noConversion"/>
  </si>
  <si>
    <t>device_name_1330104_gyroscope</t>
    <phoneticPr fontId="8" type="noConversion"/>
  </si>
  <si>
    <t>飞针陀螺</t>
    <phoneticPr fontId="8" type="noConversion"/>
  </si>
  <si>
    <t>刺矛撞角</t>
  </si>
  <si>
    <t>金属铲斗</t>
  </si>
  <si>
    <t>device_name_1360102_metal_ram</t>
  </si>
  <si>
    <t>device_name_1360103_bouncing_mushroom</t>
  </si>
  <si>
    <t>device_name_1360101_spear_ram</t>
  </si>
  <si>
    <r>
      <t xml:space="preserve">日本語
</t>
    </r>
    <r>
      <rPr>
        <i/>
        <sz val="11"/>
        <color theme="1"/>
        <rFont val="等线"/>
        <family val="3"/>
        <charset val="134"/>
        <scheme val="minor"/>
      </rPr>
      <t>日语</t>
    </r>
    <phoneticPr fontId="8" type="noConversion"/>
  </si>
  <si>
    <t>JA</t>
    <phoneticPr fontId="8" type="noConversion"/>
  </si>
  <si>
    <t>RU</t>
    <phoneticPr fontId="8" type="noConversion"/>
  </si>
  <si>
    <r>
      <t xml:space="preserve">Русский
</t>
    </r>
    <r>
      <rPr>
        <i/>
        <sz val="11"/>
        <color theme="1"/>
        <rFont val="等线"/>
        <family val="3"/>
        <charset val="134"/>
        <scheme val="minor"/>
      </rPr>
      <t>俄语</t>
    </r>
    <phoneticPr fontId="8" type="noConversion"/>
  </si>
  <si>
    <r>
      <rPr>
        <b/>
        <sz val="11"/>
        <color theme="1"/>
        <rFont val="Malgun Gothic"/>
        <family val="3"/>
        <charset val="129"/>
      </rPr>
      <t>한국어</t>
    </r>
    <r>
      <rPr>
        <b/>
        <sz val="11"/>
        <color theme="1"/>
        <rFont val="等线"/>
        <family val="3"/>
        <charset val="134"/>
        <scheme val="minor"/>
      </rPr>
      <t xml:space="preserve">
</t>
    </r>
    <r>
      <rPr>
        <i/>
        <sz val="11"/>
        <color theme="1"/>
        <rFont val="等线"/>
        <family val="3"/>
        <charset val="134"/>
        <scheme val="minor"/>
      </rPr>
      <t>韩语</t>
    </r>
    <phoneticPr fontId="8" type="noConversion"/>
  </si>
  <si>
    <t>KO</t>
    <phoneticPr fontId="8" type="noConversion"/>
  </si>
  <si>
    <t>ES</t>
    <phoneticPr fontId="8" type="noConversion"/>
  </si>
  <si>
    <r>
      <t xml:space="preserve">Español
</t>
    </r>
    <r>
      <rPr>
        <i/>
        <sz val="11"/>
        <color theme="1"/>
        <rFont val="等线"/>
        <family val="3"/>
        <charset val="134"/>
        <scheme val="minor"/>
      </rPr>
      <t>西班牙语</t>
    </r>
    <phoneticPr fontId="8" type="noConversion"/>
  </si>
  <si>
    <t>CHT</t>
    <phoneticPr fontId="8" type="noConversion"/>
  </si>
  <si>
    <r>
      <t xml:space="preserve">繁體中文
</t>
    </r>
    <r>
      <rPr>
        <i/>
        <sz val="11"/>
        <color theme="1"/>
        <rFont val="等线"/>
        <family val="3"/>
        <charset val="134"/>
        <scheme val="minor"/>
      </rPr>
      <t>繁体中文</t>
    </r>
    <phoneticPr fontId="8" type="noConversion"/>
  </si>
  <si>
    <t/>
  </si>
  <si>
    <t>relic_name</t>
    <phoneticPr fontId="8" type="noConversion"/>
  </si>
  <si>
    <t>遗物 - 名称</t>
    <phoneticPr fontId="8" type="noConversion"/>
  </si>
  <si>
    <t>硬木車輪</t>
  </si>
  <si>
    <t>Hardwood wheels</t>
  </si>
  <si>
    <t>Ruedas de madera dura</t>
  </si>
  <si>
    <t>広葉樹ホイール</t>
  </si>
  <si>
    <t>Колеса из твердой древесины</t>
  </si>
  <si>
    <t>경재 바퀴</t>
  </si>
  <si>
    <t>履帶</t>
  </si>
  <si>
    <t>track</t>
  </si>
  <si>
    <t>pista</t>
  </si>
  <si>
    <t>トラック</t>
  </si>
  <si>
    <t>дорожка</t>
  </si>
  <si>
    <t>추적하다</t>
  </si>
  <si>
    <t>Short dagger</t>
  </si>
  <si>
    <t>Daga corta</t>
  </si>
  <si>
    <t>ショートダガー</t>
  </si>
  <si>
    <t>Короткий кинжал</t>
  </si>
  <si>
    <t>짧은 단검</t>
  </si>
  <si>
    <t>Machetes</t>
  </si>
  <si>
    <t>山刀</t>
  </si>
  <si>
    <t>Мачете</t>
  </si>
  <si>
    <t>마체테</t>
  </si>
  <si>
    <t>大劍</t>
  </si>
  <si>
    <t>Greatsword</t>
  </si>
  <si>
    <t>Espadón</t>
  </si>
  <si>
    <t>グレートソード</t>
  </si>
  <si>
    <t>Двуручный меч</t>
  </si>
  <si>
    <t>대검</t>
  </si>
  <si>
    <t>長矛</t>
  </si>
  <si>
    <t>spear</t>
  </si>
  <si>
    <t>lanza</t>
  </si>
  <si>
    <t>槍</t>
  </si>
  <si>
    <t>копьё</t>
  </si>
  <si>
    <t>창</t>
  </si>
  <si>
    <t>執刑木棍</t>
  </si>
  <si>
    <t>Execution sticks</t>
  </si>
  <si>
    <t>Palos de ejecución</t>
  </si>
  <si>
    <t>実行スティック</t>
  </si>
  <si>
    <t>Палочки для казни</t>
  </si>
  <si>
    <t>실행 스틱</t>
  </si>
  <si>
    <t>執刑斧鉞</t>
  </si>
  <si>
    <t>Execution axe</t>
  </si>
  <si>
    <t>Hacha de ejecución</t>
  </si>
  <si>
    <t>実行斧</t>
  </si>
  <si>
    <t>Топор для казни</t>
  </si>
  <si>
    <t>실행 도끼</t>
  </si>
  <si>
    <t>bow and arrow</t>
  </si>
  <si>
    <t>Arco y flecha</t>
  </si>
  <si>
    <t>弓と矢</t>
  </si>
  <si>
    <t>лук и стрелы</t>
  </si>
  <si>
    <t>활과 화살</t>
  </si>
  <si>
    <t>防身手槍</t>
  </si>
  <si>
    <t>Self-defense pistols</t>
  </si>
  <si>
    <t>護身用ピストル</t>
  </si>
  <si>
    <t>喇叭霰彈槍</t>
  </si>
  <si>
    <t>機關箭匣</t>
  </si>
  <si>
    <t>火箭爆彈</t>
  </si>
  <si>
    <t>土製火箭爆彈</t>
  </si>
  <si>
    <t>單發火槍</t>
  </si>
  <si>
    <t>Single-shot muskets</t>
  </si>
  <si>
    <t>Однозарядные мушкеты</t>
  </si>
  <si>
    <t>단발 머스킷</t>
  </si>
  <si>
    <t>命運手槍</t>
  </si>
  <si>
    <t>鎮暴左輪</t>
  </si>
  <si>
    <t>Revólver antidisturbios</t>
  </si>
  <si>
    <t>鎮暴霰彈槍</t>
  </si>
  <si>
    <t>Riot shotgun</t>
  </si>
  <si>
    <t>Escopeta antidisturbios</t>
  </si>
  <si>
    <t>ライオットショットガン</t>
  </si>
  <si>
    <t>Дробовик Riot</t>
  </si>
  <si>
    <t>폭동 산탄총</t>
  </si>
  <si>
    <t>車載投石器</t>
  </si>
  <si>
    <t>懾敵戰鼓</t>
  </si>
  <si>
    <t>Dread the enemy war drums</t>
  </si>
  <si>
    <t>Temen los tambores de guerra enemigos</t>
  </si>
  <si>
    <t>敵の戦争の太鼓を恐れる</t>
  </si>
  <si>
    <t>Бойтесь вражеских барабанов войны</t>
  </si>
  <si>
    <t>적의 전쟁 북을 두려워하십시오</t>
  </si>
  <si>
    <t>捕獸草</t>
  </si>
  <si>
    <t>Trapping grass</t>
  </si>
  <si>
    <t>Atrapar hierba</t>
  </si>
  <si>
    <t>草の捕獲</t>
  </si>
  <si>
    <t>Ловля травы</t>
  </si>
  <si>
    <t>잔디 덫 놓기</t>
  </si>
  <si>
    <t>飛針陀螺</t>
  </si>
  <si>
    <t>Flying needle spinner</t>
  </si>
  <si>
    <t>Girador de agujas voladoras</t>
  </si>
  <si>
    <t>フライングニードルスピナー</t>
  </si>
  <si>
    <t>Спиннер с летающей иглой</t>
  </si>
  <si>
    <t>플라잉 니들 스피너</t>
  </si>
  <si>
    <t>小圓盾</t>
  </si>
  <si>
    <t>buckler</t>
  </si>
  <si>
    <t>escudo</t>
  </si>
  <si>
    <t>盾</t>
  </si>
  <si>
    <t>небольшой круглый щит</t>
  </si>
  <si>
    <t>작은 방패</t>
  </si>
  <si>
    <t>拖曳鉤索</t>
  </si>
  <si>
    <t>Towing hook and sling</t>
  </si>
  <si>
    <t>Gancho de remolque y eslinga</t>
  </si>
  <si>
    <t>牽引フックとスリング</t>
  </si>
  <si>
    <t>Буксировочный крюк и стропа</t>
  </si>
  <si>
    <t>견인 후크 및 슬링</t>
  </si>
  <si>
    <t>貨運吊臂</t>
  </si>
  <si>
    <t>Cargo boom</t>
  </si>
  <si>
    <t>Pluma de carga</t>
  </si>
  <si>
    <t>カーゴブーム</t>
  </si>
  <si>
    <t>Грузовая стрела</t>
  </si>
  <si>
    <t>카고 붐</t>
  </si>
  <si>
    <t>商隊塔吊</t>
  </si>
  <si>
    <t>Caravan tower crane</t>
  </si>
  <si>
    <t>Grúa torre para caravanas</t>
  </si>
  <si>
    <t>キャラバンタワークレーン</t>
  </si>
  <si>
    <t>Башенный кран для караванов</t>
  </si>
  <si>
    <t>캐러밴 타워 크레인</t>
  </si>
  <si>
    <t>捕奴肉鉤</t>
  </si>
  <si>
    <t>Slave Trap Meat Hook</t>
  </si>
  <si>
    <t>Gancho de carne trampa para esclavos</t>
  </si>
  <si>
    <t>スレーブトラップミートフック</t>
  </si>
  <si>
    <t>Ловушка для раба Крючок для мяса</t>
  </si>
  <si>
    <t>슬레이브 트랩 미트 훅</t>
  </si>
  <si>
    <t>執刑人掛鉤</t>
  </si>
  <si>
    <t>Executioner hook</t>
  </si>
  <si>
    <t>Gancho de verdugo</t>
  </si>
  <si>
    <t>エクセキューショナーフック</t>
  </si>
  <si>
    <t>Крюк палача</t>
  </si>
  <si>
    <t>처형자 갈고리</t>
  </si>
  <si>
    <t>Spike spear ramming horns</t>
  </si>
  <si>
    <t>Lanza de púas que embisten cuernos</t>
  </si>
  <si>
    <t>角に突き刺さるスパイクスピア</t>
  </si>
  <si>
    <t>Шиповое копье, таранное рога</t>
  </si>
  <si>
    <t>스파이크 창 부딪히는 뿔</t>
  </si>
  <si>
    <t>金屬鏟鬥</t>
  </si>
  <si>
    <t>Metal buckets</t>
  </si>
  <si>
    <t>Cubos metálicos</t>
  </si>
  <si>
    <t>金属製バケツ</t>
  </si>
  <si>
    <t>Металлические ведра</t>
  </si>
  <si>
    <t>금속 양동이</t>
  </si>
  <si>
    <t>蘑菇擋板</t>
  </si>
  <si>
    <t>Mushroom baffle</t>
  </si>
  <si>
    <t>Deflector de hongos</t>
  </si>
  <si>
    <t>マッシュルームバッフル</t>
  </si>
  <si>
    <t>Грибовидная перегородка</t>
  </si>
  <si>
    <t>버섯 배플</t>
  </si>
  <si>
    <t>遠端武器 齊發數量 + 1</t>
  </si>
  <si>
    <t>遠端武器 齊發數量 + 2</t>
  </si>
  <si>
    <t>地宮</t>
  </si>
  <si>
    <t>Underground Palace</t>
  </si>
  <si>
    <t>Palacio Subterráneo</t>
  </si>
  <si>
    <t>地下宮殿</t>
  </si>
  <si>
    <t>Подземный дворец</t>
  </si>
  <si>
    <t>지하 궁전</t>
  </si>
  <si>
    <t>雲間</t>
  </si>
  <si>
    <t>Between the clouds</t>
  </si>
  <si>
    <t>Entre las nubes</t>
  </si>
  <si>
    <t>雲の間</t>
  </si>
  <si>
    <t>Между облаками</t>
  </si>
  <si>
    <t>구름 사이</t>
  </si>
  <si>
    <t>jungle</t>
  </si>
  <si>
    <t>jungla</t>
  </si>
  <si>
    <t>ジャングル</t>
  </si>
  <si>
    <t>джунгли</t>
  </si>
  <si>
    <t>밀림</t>
  </si>
  <si>
    <t>樹梢</t>
  </si>
  <si>
    <t>treetop</t>
  </si>
  <si>
    <t>copa</t>
  </si>
  <si>
    <t>梢</t>
  </si>
  <si>
    <t>верхушка дерева</t>
  </si>
  <si>
    <t>나무 꼭대기</t>
  </si>
  <si>
    <t>田間</t>
  </si>
  <si>
    <t>field</t>
  </si>
  <si>
    <t>campo</t>
  </si>
  <si>
    <t>畑</t>
  </si>
  <si>
    <t>поле</t>
  </si>
  <si>
    <t>밭</t>
  </si>
  <si>
    <t>Eternal Night</t>
  </si>
  <si>
    <t>Noche eterna</t>
  </si>
  <si>
    <t>エターナルナイト</t>
  </si>
  <si>
    <t>Вечная ночь</t>
  </si>
  <si>
    <t>영원한 밤</t>
  </si>
  <si>
    <t>desert</t>
  </si>
  <si>
    <t>desierto</t>
  </si>
  <si>
    <t>砂漠</t>
  </si>
  <si>
    <t>пустыня</t>
  </si>
  <si>
    <t>사막</t>
  </si>
  <si>
    <t>Great Lake</t>
  </si>
  <si>
    <t>Gran Lago</t>
  </si>
  <si>
    <t>五大湖</t>
  </si>
  <si>
    <t>Великое озеро</t>
  </si>
  <si>
    <t>그레이트 레이크</t>
  </si>
  <si>
    <t>結構強化</t>
  </si>
  <si>
    <t>Structural strengthening</t>
  </si>
  <si>
    <t>Fortalecimiento estructural</t>
  </si>
  <si>
    <t>構造強化</t>
  </si>
  <si>
    <t>Укрепление конструкций</t>
  </si>
  <si>
    <t>구조적 강화</t>
  </si>
  <si>
    <t>結構硬化</t>
  </si>
  <si>
    <t>Structural hardening</t>
  </si>
  <si>
    <t>Endurecimiento estructural</t>
  </si>
  <si>
    <t>構造硬化</t>
  </si>
  <si>
    <t>Упрочнение конструкций</t>
  </si>
  <si>
    <t>구조적 경화</t>
  </si>
  <si>
    <t>荊棘車輪</t>
  </si>
  <si>
    <t>Thorn wheels</t>
  </si>
  <si>
    <t>Ruedas de espinas</t>
  </si>
  <si>
    <t>とげのある車輪</t>
  </si>
  <si>
    <t>Колючие колеса</t>
  </si>
  <si>
    <t>가시 바퀴</t>
  </si>
  <si>
    <t>鑲釘車輪</t>
  </si>
  <si>
    <t>Studded wheels</t>
  </si>
  <si>
    <t>Ruedas con clavos</t>
  </si>
  <si>
    <t>スタッズ付きホイール</t>
  </si>
  <si>
    <t>Шипованные диски</t>
  </si>
  <si>
    <t>스터드 휠</t>
  </si>
  <si>
    <t>爆燃動力</t>
  </si>
  <si>
    <t>Deflagration power</t>
  </si>
  <si>
    <t>Poder de deflagración</t>
  </si>
  <si>
    <t>爆燃力</t>
  </si>
  <si>
    <t>Дефлаграционная мощность</t>
  </si>
  <si>
    <t>폭연 전력</t>
  </si>
  <si>
    <t>機械動力</t>
  </si>
  <si>
    <t>Mechanical power</t>
  </si>
  <si>
    <t>Potencia mecánica</t>
  </si>
  <si>
    <t>機械力</t>
  </si>
  <si>
    <t>Механическая энергия</t>
  </si>
  <si>
    <t>기계적 동력</t>
  </si>
  <si>
    <t>器靈附著</t>
  </si>
  <si>
    <t>Machine spirit attached</t>
  </si>
  <si>
    <t>Espíritu de máquina adjunto</t>
  </si>
  <si>
    <t>マシンスピリット付属</t>
  </si>
  <si>
    <t>Прикрепленный дух машины</t>
  </si>
  <si>
    <t>기계 영혼 부착</t>
  </si>
  <si>
    <t>輕型履帶</t>
  </si>
  <si>
    <t>Lightweight tracks</t>
  </si>
  <si>
    <t>Orugas ligeras</t>
  </si>
  <si>
    <t>軽量トラック</t>
  </si>
  <si>
    <t>Легкие гусеницы</t>
  </si>
  <si>
    <t>경량 트랙</t>
  </si>
  <si>
    <t>超輕型履帶</t>
  </si>
  <si>
    <t>Ultralight tracks</t>
  </si>
  <si>
    <t>Orugas ultraligeras</t>
  </si>
  <si>
    <t>ウルトラライトトラック</t>
  </si>
  <si>
    <t>Сверхлегкие гусеницы</t>
  </si>
  <si>
    <t>초경량 트랙</t>
  </si>
  <si>
    <t>重型履帶</t>
  </si>
  <si>
    <t>Heavy duty tracks</t>
  </si>
  <si>
    <t>Orugas de servicio pesado</t>
  </si>
  <si>
    <t>ヘビーデューティトラック</t>
  </si>
  <si>
    <t>Гусеницы для тяжелых условий эксплуатации</t>
  </si>
  <si>
    <t>헤비 듀티 트랙</t>
  </si>
  <si>
    <t>超重型履帶</t>
  </si>
  <si>
    <t>Super heavy duty tracks</t>
  </si>
  <si>
    <t>Orugas de servicio súper pesado</t>
  </si>
  <si>
    <t>超ヘビーデューティートラック</t>
  </si>
  <si>
    <t>Гусеницы для сверхтяжелых условий эксплуатации</t>
  </si>
  <si>
    <t>슈퍼 헤비 듀티 트랙</t>
  </si>
  <si>
    <t>動力澎湃</t>
  </si>
  <si>
    <t>Powerful and powerful</t>
  </si>
  <si>
    <t>Potente y potente</t>
  </si>
  <si>
    <t>パワフルでパワフル</t>
  </si>
  <si>
    <t>Мощный и мощный</t>
  </si>
  <si>
    <t>강력하고 강력한</t>
  </si>
  <si>
    <t>鋒利</t>
  </si>
  <si>
    <t>sharp</t>
  </si>
  <si>
    <t>afilado</t>
  </si>
  <si>
    <t>鋭い</t>
  </si>
  <si>
    <t>острый</t>
  </si>
  <si>
    <t>날카로운</t>
  </si>
  <si>
    <t>切斷肌肉</t>
  </si>
  <si>
    <t>Cut off the muscles</t>
  </si>
  <si>
    <t>Cortar los músculos</t>
  </si>
  <si>
    <t>筋肉を切り落とす</t>
  </si>
  <si>
    <t>Отрежьте мышцы</t>
  </si>
  <si>
    <t>근육을 잘라 버려</t>
  </si>
  <si>
    <t>切斷血管</t>
  </si>
  <si>
    <t>Cut blood vessels</t>
  </si>
  <si>
    <t>Cortar los vasos sanguíneos</t>
  </si>
  <si>
    <t>血管を切る</t>
  </si>
  <si>
    <t>Перерезание кровеносных сосудов</t>
  </si>
  <si>
    <t>혈관 절단</t>
  </si>
  <si>
    <t>精確</t>
  </si>
  <si>
    <t>precise</t>
  </si>
  <si>
    <t>preciso</t>
  </si>
  <si>
    <t>正確</t>
  </si>
  <si>
    <t>точный</t>
  </si>
  <si>
    <t>정확한</t>
  </si>
  <si>
    <t>Eruption</t>
  </si>
  <si>
    <t>Erupción</t>
  </si>
  <si>
    <t>噴火</t>
  </si>
  <si>
    <t>Извержение</t>
  </si>
  <si>
    <t>분화</t>
  </si>
  <si>
    <t>自銳</t>
  </si>
  <si>
    <t>Self-sharpening</t>
  </si>
  <si>
    <t>Autoafilable</t>
  </si>
  <si>
    <t>セルフシャープニング</t>
  </si>
  <si>
    <t>Самозаточка</t>
  </si>
  <si>
    <t>자체 연마</t>
  </si>
  <si>
    <t>Backstabbing</t>
  </si>
  <si>
    <t>Apuñalando</t>
  </si>
  <si>
    <t>中傷</t>
  </si>
  <si>
    <t>Предательства</t>
  </si>
  <si>
    <t>모 략</t>
  </si>
  <si>
    <t>refraction</t>
  </si>
  <si>
    <t>refracción</t>
  </si>
  <si>
    <t>屈折</t>
  </si>
  <si>
    <t>преломление</t>
  </si>
  <si>
    <t>굴절</t>
  </si>
  <si>
    <t>銳利</t>
  </si>
  <si>
    <t>Blade back</t>
  </si>
  <si>
    <t>Espalda de la hoja</t>
  </si>
  <si>
    <t>ブレードバック</t>
  </si>
  <si>
    <t>Задняя часть клинка</t>
  </si>
  <si>
    <t>블레이드 백</t>
  </si>
  <si>
    <t>刃靈附著</t>
  </si>
  <si>
    <t>Blade Spirit Attached</t>
  </si>
  <si>
    <t>Espíritu de la espada adjunto</t>
  </si>
  <si>
    <t>ブレードスピリット付属</t>
  </si>
  <si>
    <t>Прикрепленный дух клинка</t>
  </si>
  <si>
    <t>블레이드 스피릿 부착</t>
  </si>
  <si>
    <t>鋒利劍刃</t>
  </si>
  <si>
    <t>Sharp blades</t>
  </si>
  <si>
    <t>Cuchillas afiladas</t>
  </si>
  <si>
    <t>鋭利な刃物</t>
  </si>
  <si>
    <t>Острые лезвия</t>
  </si>
  <si>
    <t>날카로운 칼날</t>
  </si>
  <si>
    <t>靈活劍身</t>
  </si>
  <si>
    <t>Flexible blade</t>
  </si>
  <si>
    <t>Cuchilla flexible</t>
  </si>
  <si>
    <t>フレキシブルブレード</t>
  </si>
  <si>
    <t>Гибкое лезвие</t>
  </si>
  <si>
    <t>유연한 블레이드</t>
  </si>
  <si>
    <t>優化劍柄</t>
  </si>
  <si>
    <t>Optimized the hilt</t>
  </si>
  <si>
    <t>Se ha optimizado la empuñadura.</t>
  </si>
  <si>
    <t>柄を最適化しました</t>
  </si>
  <si>
    <t>Оптимизирована рукоять</t>
  </si>
  <si>
    <t>칼자루를 최적화했습니다.</t>
  </si>
  <si>
    <t>厚重劍身</t>
  </si>
  <si>
    <t>Thick sword body</t>
  </si>
  <si>
    <t>Cuerpo de espada grueso</t>
  </si>
  <si>
    <t>太い剣体</t>
  </si>
  <si>
    <t>Толстый корпус меча</t>
  </si>
  <si>
    <t>두꺼운 검 몸체</t>
  </si>
  <si>
    <t>千鈞之力</t>
  </si>
  <si>
    <t>The power of a thousand pounds</t>
  </si>
  <si>
    <t>El poder de mil libras</t>
  </si>
  <si>
    <t>千ポンドの力</t>
  </si>
  <si>
    <t>Сила в тысячу фунтов стерлингов</t>
  </si>
  <si>
    <t>천 파운드의 힘</t>
  </si>
  <si>
    <t>劍靈附著</t>
  </si>
  <si>
    <t>Sword Spirit Attached</t>
  </si>
  <si>
    <t>Espíritu de espada adjunto</t>
  </si>
  <si>
    <t>ソードスピリット付属</t>
  </si>
  <si>
    <t>Прикреплен Дух Меча</t>
  </si>
  <si>
    <t>소드 스피릿 부착</t>
  </si>
  <si>
    <t>破甲彈頭</t>
  </si>
  <si>
    <t>Armor-piercing warheads</t>
  </si>
  <si>
    <t>Ojivas perforantes</t>
  </si>
  <si>
    <t>徹甲弾頭</t>
  </si>
  <si>
    <t>Бронебойные боевые части</t>
  </si>
  <si>
    <t>갑옷을 관통하는 탄두</t>
  </si>
  <si>
    <t>爆炸彈頭</t>
  </si>
  <si>
    <t>Explosive warheads</t>
  </si>
  <si>
    <t>Ojivas explosivas</t>
  </si>
  <si>
    <t>爆発性弾頭</t>
  </si>
  <si>
    <t>Взрывчатые боеголовки</t>
  </si>
  <si>
    <t>폭발성 탄두</t>
  </si>
  <si>
    <t>爆炸燃燒彈</t>
  </si>
  <si>
    <t>Exploding incendiary bombs</t>
  </si>
  <si>
    <t>Explosión de bombas incendiarias</t>
  </si>
  <si>
    <t>炸裂する焼夷弾</t>
  </si>
  <si>
    <t>Взрывающиеся зажигательные бомбы</t>
  </si>
  <si>
    <t>폭발하는 소이탄</t>
  </si>
  <si>
    <t>高爆彈</t>
  </si>
  <si>
    <t>High-explosive shells</t>
  </si>
  <si>
    <t>Proyectiles altamente explosivos</t>
  </si>
  <si>
    <t>榴弾</t>
  </si>
  <si>
    <t>Фугасные снаряды</t>
  </si>
  <si>
    <t>고폭탄</t>
  </si>
  <si>
    <t>大彈鼓</t>
  </si>
  <si>
    <t>Big drums</t>
  </si>
  <si>
    <t>Grandes tambores</t>
  </si>
  <si>
    <t>ビッグドラム</t>
  </si>
  <si>
    <t>Большие барабаны</t>
  </si>
  <si>
    <t>큰 드럼</t>
  </si>
  <si>
    <t>更大的彈鼓</t>
  </si>
  <si>
    <t>Bigger drums</t>
  </si>
  <si>
    <t>Tambores más grandes</t>
  </si>
  <si>
    <t>より大きなドラム</t>
  </si>
  <si>
    <t>더 커진 드럼</t>
  </si>
  <si>
    <t>過於沉重的彈鼓</t>
  </si>
  <si>
    <t>Overly heavy drums</t>
  </si>
  <si>
    <t>Batería demasiado pesada</t>
  </si>
  <si>
    <t>過度に重いドラム</t>
  </si>
  <si>
    <t>Слишком тяжелые барабаны</t>
  </si>
  <si>
    <t>지나치게 무거운 드럼</t>
  </si>
  <si>
    <t>快速復裝</t>
  </si>
  <si>
    <t>Quick reassembly</t>
  </si>
  <si>
    <t>Remontaje rápido</t>
  </si>
  <si>
    <t>迅速な再組み立て</t>
  </si>
  <si>
    <t>Быстрая сборка</t>
  </si>
  <si>
    <t>빠른 재조립</t>
  </si>
  <si>
    <t>複裝流程優化</t>
  </si>
  <si>
    <t>Optimization of the reassembly process</t>
  </si>
  <si>
    <t>Optimización del proceso de reensamblaje</t>
  </si>
  <si>
    <t>再組み立てプロセスの最適化</t>
  </si>
  <si>
    <t>Оптимизация процесса повторной сборки</t>
  </si>
  <si>
    <t>재조립 공정의 최적화</t>
  </si>
  <si>
    <t>裝填自動化</t>
  </si>
  <si>
    <t>Loading automation</t>
  </si>
  <si>
    <t>Automatización de carga</t>
  </si>
  <si>
    <t>読み込みの自動化</t>
  </si>
  <si>
    <t>Автоматизация погрузки</t>
  </si>
  <si>
    <t>로딩 자동화</t>
  </si>
  <si>
    <t>射擊自動化</t>
  </si>
  <si>
    <t>Shooting automation</t>
  </si>
  <si>
    <t>Automatización de tomas</t>
  </si>
  <si>
    <t>撮影の自動化</t>
  </si>
  <si>
    <t>Автоматизация съемки</t>
  </si>
  <si>
    <t>촬영 자동화</t>
  </si>
  <si>
    <t>Drum</t>
  </si>
  <si>
    <t>Tambor</t>
  </si>
  <si>
    <t>太鼓</t>
  </si>
  <si>
    <t>Барабан</t>
  </si>
  <si>
    <t>북</t>
  </si>
  <si>
    <t>Giant drums</t>
  </si>
  <si>
    <t>Tambores gigantes</t>
  </si>
  <si>
    <t>ジャイアントドラム</t>
  </si>
  <si>
    <t>Гигантские барабаны</t>
  </si>
  <si>
    <t>거대한 드럼</t>
  </si>
  <si>
    <t>Ground shaking drums</t>
  </si>
  <si>
    <t>Tambores que hacen temblar el suelo</t>
  </si>
  <si>
    <t>地面を揺らすドラム</t>
  </si>
  <si>
    <t>Барабаны для встряхивания земли</t>
  </si>
  <si>
    <t>땅을 흔드는 드럼</t>
  </si>
  <si>
    <t>鼓架支撐</t>
  </si>
  <si>
    <t>Drum stand support</t>
  </si>
  <si>
    <t>Soporte de soporte de batería</t>
  </si>
  <si>
    <t>ドラムスタンドサポート</t>
  </si>
  <si>
    <t>Опора для подставки для барабана</t>
  </si>
  <si>
    <t>드럼 스탠드 지지대</t>
  </si>
  <si>
    <t>Drum rack reinforcement</t>
  </si>
  <si>
    <t>Refuerzo de la cremallera del tambor</t>
  </si>
  <si>
    <t>ドラムラック補強</t>
  </si>
  <si>
    <t>Усиление барабанной стойки</t>
  </si>
  <si>
    <t>드럼 랙 보강</t>
  </si>
  <si>
    <t>鼓靈縈繞</t>
  </si>
  <si>
    <t>The spirit of the drums lingers</t>
  </si>
  <si>
    <t>El espíritu de los tambores perdura</t>
  </si>
  <si>
    <t>ドラムのスピリットが残る</t>
  </si>
  <si>
    <t>Дух барабанов не стихает</t>
  </si>
  <si>
    <t>북의 정신이 여운을 남깁니다</t>
  </si>
  <si>
    <t>不安鼓靈</t>
  </si>
  <si>
    <t>Restless drummers</t>
  </si>
  <si>
    <t>Bateristas inquietos</t>
  </si>
  <si>
    <t>落ち着きのないドラマー</t>
  </si>
  <si>
    <t>Неугомонные барабанщики</t>
  </si>
  <si>
    <t>쉴 틈 없는 드러머</t>
  </si>
  <si>
    <t>堅毅鼓靈</t>
  </si>
  <si>
    <t>Perseverance</t>
  </si>
  <si>
    <t>Perseverancia</t>
  </si>
  <si>
    <t>根気</t>
  </si>
  <si>
    <t>Настойчивость</t>
  </si>
  <si>
    <t>인내</t>
  </si>
  <si>
    <t>鼓靈附著</t>
  </si>
  <si>
    <t>The drum spirit is attached</t>
  </si>
  <si>
    <t>El espíritu del tambor está unido</t>
  </si>
  <si>
    <t>太鼓のスピリットがついています</t>
  </si>
  <si>
    <t>Барабанный спирт прилагается</t>
  </si>
  <si>
    <t>드럼 스피릿이 붙어 있습니다</t>
  </si>
  <si>
    <t>動力+15%</t>
  </si>
  <si>
    <t>Power +15%</t>
  </si>
  <si>
    <t>Potencia +15%</t>
  </si>
  <si>
    <t>戦力+15%</t>
  </si>
  <si>
    <t>Сила: +15%</t>
  </si>
  <si>
    <t>파워 +15%</t>
  </si>
  <si>
    <t>使車輛自動駕駛（自動維持動力桿擋位）</t>
  </si>
  <si>
    <t>Enables the vehicle to drive itself autonomously (automatically maintains the power lever gear)</t>
  </si>
  <si>
    <t>Permite que el vehículo se conduzca de forma autónoma (mantiene automáticamente la palanca de cambios asistida)</t>
  </si>
  <si>
    <t>車両が自律的に走行することを可能にする(パワーレバーギアを自動的に維持する)</t>
  </si>
  <si>
    <t>Позволяет автомобилю двигаться самостоятельно (автоматически поддерживает переключение передач с помощью рычага электропривода)</t>
  </si>
  <si>
    <t>차량이 자율적으로 주행할 수 있도록 합니다(파워 레버 기어를 자동으로 유지).</t>
  </si>
  <si>
    <t>Weight - 20%</t>
  </si>
  <si>
    <t>Peso - 20%</t>
  </si>
  <si>
    <t>重さ - 20%</t>
  </si>
  <si>
    <t>Вес - 20%</t>
  </si>
  <si>
    <t>무게 - 20%</t>
  </si>
  <si>
    <t>Weight -15%</t>
  </si>
  <si>
    <t>Peso -15%</t>
  </si>
  <si>
    <t>重量 -15%</t>
  </si>
  <si>
    <t>Вес -15%</t>
  </si>
  <si>
    <t>무게 -15%</t>
  </si>
  <si>
    <t>重量+10%; 耐久+20%</t>
  </si>
  <si>
    <t>Weight +10%; Durability +20%</t>
  </si>
  <si>
    <t>Peso +10%; Durabilidad +20%</t>
  </si>
  <si>
    <t>重量+ 10%; 耐久力+20%</t>
  </si>
  <si>
    <t>Вес +10%; Прочность: +20%</t>
  </si>
  <si>
    <t>체중 +10%; 내구력 +20%</t>
  </si>
  <si>
    <t>重量+10%; 耐久+30%</t>
  </si>
  <si>
    <t>Weight +10%; Durability +30%</t>
  </si>
  <si>
    <t>Peso +10%; Durabilidad +30%</t>
  </si>
  <si>
    <t>重量+ 10%; 耐久力+30%</t>
  </si>
  <si>
    <t>Вес +10%; Прочность: +30%</t>
  </si>
  <si>
    <t>체중 +10%; 내구력 +30%</t>
  </si>
  <si>
    <t>傷害+20%</t>
  </si>
  <si>
    <t>Damage +20%</t>
  </si>
  <si>
    <t>Daño +20%</t>
  </si>
  <si>
    <t>ダメージ+20%</t>
  </si>
  <si>
    <t>Урон: +20%</t>
  </si>
  <si>
    <t>대미지 +20%</t>
  </si>
  <si>
    <t>使目標移動速度與攻擊速度降低50%，持續10秒</t>
  </si>
  <si>
    <t>Slows the target's movement speed and attack speed by 50% for 10 seconds</t>
  </si>
  <si>
    <t>Reduce la velocidad de movimiento y la velocidad de ataque del objetivo un 50% durante 10 segundos</t>
  </si>
  <si>
    <t>10秒間、対象の移動速度と攻撃速度を50%遅くする</t>
  </si>
  <si>
    <t>Замедляет скорость передвижения и атаки цели на 50% на 10 секунд</t>
  </si>
  <si>
    <t>10초 동안 대상의 이동 속도와 공격 속도를 50% 감소시킵니다.</t>
  </si>
  <si>
    <t>使目標流血，每秒損失10%最大生命值，持續3秒</t>
  </si>
  <si>
    <t>Bleeds the target, losing 10% of their maximum health per second for 3 seconds</t>
  </si>
  <si>
    <t>Sangra al objetivo, perdiendo un 10% de su salud máxima por segundo durante 3 segundos</t>
  </si>
  <si>
    <t>ターゲットを出血させ、3秒間、毎秒の最大体力の10%を失う</t>
  </si>
  <si>
    <t>Цель истекает кровью, теряя 10% от максимального запаса здоровья в секунду в течение 3 секунд</t>
  </si>
  <si>
    <t>대상에게 출혈을 일으켜 3초 동안 초당 최대 생명력의 10%를 잃게 합니다.</t>
  </si>
  <si>
    <t>概率暴擊。 爆傷=300%，暴擊率 = 已增加傷害。</t>
  </si>
  <si>
    <t>Probability of critical hits. Critical Damage = 300%, Critical Strike Chance = Increased Damage.</t>
  </si>
  <si>
    <t>Probabilidad de impactos críticos. Daño crítico = 300%, Probabilidad de golpe crítico = Daño aumentado.</t>
  </si>
  <si>
    <t>クリティカル ヒットの確率。 クリティカルダメージ= 300%、クリティカル率=ダメージが増加します。</t>
  </si>
  <si>
    <t>Вероятность критических попаданий. Критический урон = 300%, шанс критического удара = увеличенный урон.</t>
  </si>
  <si>
    <t>치명타 확률입니다. 치명타 피해량 = 300%, 치명타 확률 = 피해량 증가.</t>
  </si>
  <si>
    <t>攻擊速度+100%</t>
  </si>
  <si>
    <t>Attack Speed +100%</t>
  </si>
  <si>
    <t>Velocidad de ataque +100%</t>
  </si>
  <si>
    <t>攻撃速度+100%</t>
  </si>
  <si>
    <t>Скорость атаки +100%</t>
  </si>
  <si>
    <t>공격속도 +100%</t>
  </si>
  <si>
    <t>每次命中目標，會使攻擊傷害疊加20%，持續10秒。</t>
  </si>
  <si>
    <t>Each time the target is hit, the attack damage stacks by 20% for 10 seconds.</t>
  </si>
  <si>
    <t>Cada vez que se golpea al objetivo, el daño de ataque se acumula un 20% durante 10 segundos.</t>
  </si>
  <si>
    <t>ターゲットが命中するたびに、攻撃ダメージは10秒間20%スタックします。</t>
  </si>
  <si>
    <t>Каждый раз, когда цель поражена, урон от атаки суммируется на 20% в течение 10 секунд.</t>
  </si>
  <si>
    <t>대상에게 적중할 때마다 10초 동안 공격 피해가 20% 중첩됩니다.</t>
  </si>
  <si>
    <t>從背後攻擊目標時，傷害額外+200%</t>
  </si>
  <si>
    <t>When attacking a target from behind, gain +200% more damage</t>
  </si>
  <si>
    <t>Al atacar a un objetivo por detrás, obtiene +200% más de daño</t>
  </si>
  <si>
    <t>ターゲットを背後から攻撃すると、+200%のダメージを獲得</t>
  </si>
  <si>
    <t>При атаке цели сзади дает +200 % к урону.</t>
  </si>
  <si>
    <t>뒤에서 대상을 공격할 때 대미지 +200% 증가</t>
  </si>
  <si>
    <t>命中自身的遠端彈藥有50%概率被彈開</t>
  </si>
  <si>
    <t>Ranged ammo that hits you has a 50% chance of being deflected</t>
  </si>
  <si>
    <t>La munición a distancia que te golpea tiene un 50% de probabilidad de ser desviada</t>
  </si>
  <si>
    <t>あなたに命中した射撃兵の弾薬は50%の確率で跳ね返る</t>
  </si>
  <si>
    <t>Дальнобойные боеприпасы, попавшие в вас, с вероятностью 50% могут быть отражены</t>
  </si>
  <si>
    <t>원거리 탄약이 자신에게 명중하면 50% 확률로 반사됩니다.</t>
  </si>
  <si>
    <t>破甲+100%，攻擊方式改為戳刺。</t>
  </si>
  <si>
    <t>Gain +100% Armor Piercing, and change your attack method to Stabbing.</t>
  </si>
  <si>
    <t>Obtienes +100% de perforación de armadura y cambias tu método de ataque a Apuñalamiento.</t>
  </si>
  <si>
    <t>+100%の徹甲弾を獲得し、攻撃方法を「刺す」に変更する。</t>
  </si>
  <si>
    <t>● Дает +100 % к бронебойности и меняет метод атаки на Колющий удар.</t>
  </si>
  <si>
    <t>방어력 관통 +100%를 얻고 공격 방법을 찌르기로 변경합니다.</t>
  </si>
  <si>
    <t>傷害 -25%，對命中的敵人造成兩次傷害。</t>
  </si>
  <si>
    <t>-25% damage and deals damage twice to enemies hit.</t>
  </si>
  <si>
    <t>-25% de daño e inflige daño dos veces a los enemigos golpeados.</t>
  </si>
  <si>
    <t>ダメージ -25% で、命中した敵に 2 回ダメージを与える。</t>
  </si>
  <si>
    <t>-25% урона и наносит двойной урон пораженным врагам.</t>
  </si>
  <si>
    <t>-25% 피해를 입히고 적중한 적에게 두 번 피해를 줍니다.</t>
  </si>
  <si>
    <t>使其自動索敵、自動攻擊</t>
  </si>
  <si>
    <t>Make it automatically seek enemies and attack automatically</t>
  </si>
  <si>
    <t>Haz que busque enemigos automáticamente y ataque automáticamente</t>
  </si>
  <si>
    <t>自動で敵を探して自動攻撃させる</t>
  </si>
  <si>
    <t>Сделайте так, чтобы он автоматически искал врагов и автоматически атаковал</t>
  </si>
  <si>
    <t>자동으로 적을 찾아 자동으로 공격하게 만듭니다.</t>
  </si>
  <si>
    <t>攻擊傷害 + 30%，破甲 + 30%</t>
  </si>
  <si>
    <t>Attack Damage +30%, Armor Piercing +30%</t>
  </si>
  <si>
    <t>Daño de ataque +30%, Perforación de armadura +30%</t>
  </si>
  <si>
    <t>攻撃力+30%、徹甲弾+30%</t>
  </si>
  <si>
    <t>Урон от силы атаки +30%, Бронебойность +30%</t>
  </si>
  <si>
    <t>공격력 +30%, 방어력 관통 +30%</t>
  </si>
  <si>
    <t>傷害 - 20%，攻擊速度 + 75%</t>
  </si>
  <si>
    <t>Damage - 20%, Attack Speed + 75%</t>
  </si>
  <si>
    <t>Daño - 20%, Velocidad de ataque + 75%</t>
  </si>
  <si>
    <t>ダメージ - 20%、攻撃速度+ 75%</t>
  </si>
  <si>
    <t>Урон - 20%, Скорость атаки +75%</t>
  </si>
  <si>
    <t>데미지 - 20%, 공격 속도 + 75%</t>
  </si>
  <si>
    <t>現在大劍可以連續攻擊</t>
  </si>
  <si>
    <t>Greatsword can now attack continuously</t>
  </si>
  <si>
    <t>El mandoble ahora puede atacar continuamente.</t>
  </si>
  <si>
    <t>グレートソードが連続して攻撃できるようになった</t>
  </si>
  <si>
    <t>Двуручный меч теперь может атаковать непрерывно.</t>
  </si>
  <si>
    <t>이제 대검이 계속 공격할 수 있습니다.</t>
  </si>
  <si>
    <t>攻擊速度 - 20%，傷害 + 55%，擊退+20%</t>
  </si>
  <si>
    <t>Attack Speed -20%, Damage +55%, Knockback +20%</t>
  </si>
  <si>
    <t>Velocidad de ataque -20%, Daño +55%, Retroceso +20%</t>
  </si>
  <si>
    <t>攻撃速度-20%、ダメージ+55%、ノックバック+20%</t>
  </si>
  <si>
    <t>Скорость атаки -20%, Урон +55%, Отбрасывание +20%</t>
  </si>
  <si>
    <t>공격 속도 -20%, 데미지 +55%, 넉백 +20%</t>
  </si>
  <si>
    <t>傷害 + 40%，擊退 + 80%</t>
  </si>
  <si>
    <t>Damage +40%, Knockback +80%</t>
  </si>
  <si>
    <t>Daño +40%, Retroceso +80%</t>
  </si>
  <si>
    <t>ダメージ+40%、ノックバック+80%</t>
  </si>
  <si>
    <t>Урон +40%, Отбрасывание +80%</t>
  </si>
  <si>
    <t>피해량 +40%, 넉백 +80%</t>
  </si>
  <si>
    <t>傷害 + 20%，破甲 + 40%</t>
  </si>
  <si>
    <t>Damage +20%, Piercing +40%</t>
  </si>
  <si>
    <t>Daño +20%, Perforación +40%</t>
  </si>
  <si>
    <t>ダメージ+20%、貫通+40%</t>
  </si>
  <si>
    <t>Урон +20%, Проникающий +40%</t>
  </si>
  <si>
    <t>대미지 +20%, 피어싱 +40%</t>
  </si>
  <si>
    <t>彈無法再穿過目標，但命中后可引起小範圍爆炸。</t>
  </si>
  <si>
    <t>The projectile can no longer pass through the target, but can cause a small explosion when hit.</t>
  </si>
  <si>
    <t>El proyectil ya no puede atravesar el objetivo, pero puede causar una pequeña explosión cuando es golpeado.</t>
  </si>
  <si>
    <t>投射物はターゲットを通過できなくなりましたが、命中すると小さな爆発を引き起こす可能性があります。</t>
  </si>
  <si>
    <t>Снаряд уже не может пройти сквозь цель, но может вызвать небольшой взрыв при попадании.</t>
  </si>
  <si>
    <t>투사체가 더 이상 대상을 통과할 수 없지만, 명중 시 작은 폭발을 일으킬 수 있습니다.</t>
  </si>
  <si>
    <t>彈藥爆炸後點燃範圍內目標</t>
  </si>
  <si>
    <t>Ignition of targets within range after the ammunition explodes</t>
  </si>
  <si>
    <t>Ignición de objetivos dentro del alcance después de que explote la munición</t>
  </si>
  <si>
    <t>弾薬が爆発した後の範囲内のターゲットの点火</t>
  </si>
  <si>
    <t>Воспламенение целей в радиусе действия после взрыва боеприпаса</t>
  </si>
  <si>
    <t>탄약이 폭발한 후 범위 내에 있는 목표물의 점화</t>
  </si>
  <si>
    <t>爆炸範圍 + 20%</t>
  </si>
  <si>
    <t>Explosion Radius +20%</t>
  </si>
  <si>
    <t>Radio de explosión +20%</t>
  </si>
  <si>
    <t>爆発半径+20%</t>
  </si>
  <si>
    <t>Радиус взрыва: +20%</t>
  </si>
  <si>
    <t>폭발 반경 +20%</t>
  </si>
  <si>
    <t>彈匣容量 + 60%</t>
  </si>
  <si>
    <t>Clip size + 60%</t>
  </si>
  <si>
    <t>Tamaño del clip + 60%</t>
  </si>
  <si>
    <t>クリップサイズ+ 60%</t>
  </si>
  <si>
    <t>Размер клипа + 60%</t>
  </si>
  <si>
    <t>장탄수 + 60%</t>
  </si>
  <si>
    <t>彈匣容量 + 100%，裝填所需階段數 + 1</t>
  </si>
  <si>
    <t>Magazine size + 100%, number of stages required to reload + 1</t>
  </si>
  <si>
    <t>Tamaño del cargador + 100%, número de etapas necesarias para recargar + 1</t>
  </si>
  <si>
    <t>マガジンサイズ+100%、リロードに必要なステージ数+1</t>
  </si>
  <si>
    <t>Размер магазина + 100%, количество необходимых ступеней для перезарядки + 1</t>
  </si>
  <si>
    <t>탄창 크기 + 100%, 재장전에 필요한 스테이지 수 + 1</t>
  </si>
  <si>
    <t>彈匣容量 + 200%，裝填所需階段數 + 1</t>
  </si>
  <si>
    <t>Magazine size + 200%, number of stages required to reload + 1</t>
  </si>
  <si>
    <t>Tamaño del cargador + 200%, número de etapas necesarias para recargar + 1</t>
  </si>
  <si>
    <t>マガジンサイズ+200%、リロードに必要なステージ数+1</t>
  </si>
  <si>
    <t>Размер магазина + 200%, количество ступеней, необходимых для перезарядки + 1</t>
  </si>
  <si>
    <t>탄창 크기 + 200%, 재장전에 필요한 스테이지 수 + 1</t>
  </si>
  <si>
    <t>裝填所需時間 - 20%</t>
  </si>
  <si>
    <t>Time required to reload - 20%</t>
  </si>
  <si>
    <t>Tiempo requerido para recargar: 20%</t>
  </si>
  <si>
    <t>リロードに必要な時間 - 20%</t>
  </si>
  <si>
    <t>Время на перезарядку - 20%</t>
  </si>
  <si>
    <t>재장전하는 데 필요한 시간 - 20%</t>
  </si>
  <si>
    <t>裝填所需階段數 - 1</t>
  </si>
  <si>
    <t>The number of stages required for reloading - 1</t>
  </si>
  <si>
    <t>El número de etapas necesarias para la recarga: 1</t>
  </si>
  <si>
    <t>リロードに必要なステージ数 - 1</t>
  </si>
  <si>
    <t>Количество ступеней, необходимых для перезарядки - 1</t>
  </si>
  <si>
    <t>재장전에 필요한 스테이지 수 - 1</t>
  </si>
  <si>
    <t>使其自動裝填</t>
  </si>
  <si>
    <t>Make it autoload</t>
  </si>
  <si>
    <t>Haz que se cargue automáticamente</t>
  </si>
  <si>
    <t>自動読み込みにする</t>
  </si>
  <si>
    <t>Сделайте его автозагрузкой</t>
  </si>
  <si>
    <t>자동 로드로 설정</t>
  </si>
  <si>
    <t>使其自動瞄準、自動開火</t>
  </si>
  <si>
    <t>Make it auto-aim and auto-fire</t>
  </si>
  <si>
    <t>Haz que apunte y dispare automáticamente</t>
  </si>
  <si>
    <t>自動照準と自動発射にする</t>
  </si>
  <si>
    <t>Сделайте его автоприцеливанием и автострельбой</t>
  </si>
  <si>
    <t>자동 조준 및 자동 발사로 설정</t>
  </si>
  <si>
    <t>傷害範圍+10%，擊退+10%，傷害+25%，耐久-20%</t>
  </si>
  <si>
    <t>Damage +10%, Knockback +10%, Damage +25%, Durability -20%</t>
  </si>
  <si>
    <t>Daño +10%, Retroceso +10%, Daño +25%, Durabilidad -20%</t>
  </si>
  <si>
    <t>ダメージ+10%、ノックバック+10%、ダメージ+25%、耐久力-20%</t>
  </si>
  <si>
    <t>Урон +10%, Отбрасывание +10%, Урон +25%, Прочность -20%</t>
  </si>
  <si>
    <t>피해량 +10%, 넉백 +10%, 피해량 +25%, 내구력 -20%</t>
  </si>
  <si>
    <t>傷害範圍+10%，擊退+10%，傷害+50%，耐久-20%</t>
  </si>
  <si>
    <t>Damage +10%, Knockback +10%, Damage +50%, Durability -20%</t>
  </si>
  <si>
    <t>Daño +10%, Retroceso +10%, Daño +50%, Durabilidad -20%</t>
  </si>
  <si>
    <t>ダメージ+10%、ノックバック+10%、ダメージ+50%、耐久力-20%</t>
  </si>
  <si>
    <t>Урон +10%, Отбрасывание +10%, Урон +50%, Прочность -20%</t>
  </si>
  <si>
    <t>대미지 +10%, 넉백 +10%, 대미지 +50%, 내구력 -20%</t>
  </si>
  <si>
    <t>傷害範圍+10%，擊退+10%，傷害+75%，耐久-20%</t>
  </si>
  <si>
    <t>Damage +10%, Knockback +10%, Damage +75%, Durability -20%</t>
  </si>
  <si>
    <t>Daño +10%, Empuje +10%, Daño +75%, Durabilidad -20%</t>
  </si>
  <si>
    <t>ダメージ+10%、ノックバック+10%、ダメージ+75%、耐久力ー20%</t>
  </si>
  <si>
    <t>Урон +10%, Отбрасывание +10%, Урон +75%, Прочность -20%</t>
  </si>
  <si>
    <t>대미지 +10%, 넉백 +10%, 대미지 +75%, 내구력 -20%</t>
  </si>
  <si>
    <t>耐久+30%，護甲+1</t>
  </si>
  <si>
    <t>Durability +30%, Armor +1</t>
  </si>
  <si>
    <t>Durabilidad +30%, Armadura +1</t>
  </si>
  <si>
    <t>耐久力+30%、アーマー+1</t>
  </si>
  <si>
    <t>Прочность +30%, Броня +1</t>
  </si>
  <si>
    <t>내구력 +30%, 방어력 +1</t>
  </si>
  <si>
    <t>耐久+40%，護甲+1</t>
  </si>
  <si>
    <t>Durability +40%, Armor +1</t>
  </si>
  <si>
    <t>Durabilidad +40%, Armadura +1</t>
  </si>
  <si>
    <t>耐久力+40%、アーマー+1</t>
  </si>
  <si>
    <t>Прочность +40%, Броня +1</t>
  </si>
  <si>
    <t>내구력 +40%, 방어력 +1</t>
  </si>
  <si>
    <t>你可以聽到內心的鼓聲（使用戰鼓時出現bgm）</t>
  </si>
  <si>
    <t>You can hear the inner drum (BGM appears when using the war drums)</t>
  </si>
  <si>
    <t>Puedes escuchar el tambor interior (la música de fondo aparece cuando se usan los tambores de guerra)</t>
  </si>
  <si>
    <t>内側の太鼓が聞こえます(軍太鼓を使用するとBGMが入ります)</t>
  </si>
  <si>
    <t>Вы можете слышать внутренний барабан (фоновая музыка появляется при использовании военных барабанов)</t>
  </si>
  <si>
    <t>내부 드럼을들을 수 있습니다 (전쟁 드럼을 사용하면 BGM이 나옵니다)</t>
  </si>
  <si>
    <t>改變其敲擊節奏，提升敲擊速度</t>
  </si>
  <si>
    <t>Change the rhythm of its tapping to increase the speed of its tapping</t>
  </si>
  <si>
    <t>Cambia el ritmo de su golpeteo para aumentar la velocidad de su golpeteo</t>
  </si>
  <si>
    <t>タッピングのリズムを変更して、タッピングの速度を上げます</t>
  </si>
  <si>
    <t>Изменяйте ритм его постукивания, чтобы увеличить скорость его постукивания</t>
  </si>
  <si>
    <t>두드리는 리듬을 변경하여 두드리는 속도를 높입니다.</t>
  </si>
  <si>
    <t>降低誤擊懲罰</t>
  </si>
  <si>
    <t>Reduced false hit penalty</t>
  </si>
  <si>
    <t>Se ha reducido la penalización por golpes falsos.</t>
  </si>
  <si>
    <t>誤命のペナルティを減少</t>
  </si>
  <si>
    <t>Уменьшен штраф за ложные попадания</t>
  </si>
  <si>
    <t>거짓 히트 페널티가 감소했습니다.</t>
  </si>
  <si>
    <t>使其自動攻擊</t>
  </si>
  <si>
    <t>Make it attack automatically</t>
  </si>
  <si>
    <t>Haz que ataque automáticamente</t>
  </si>
  <si>
    <t>自動で攻撃させる</t>
  </si>
  <si>
    <t>Заставьте его атаковать автоматически</t>
  </si>
  <si>
    <t>자동으로 공격하게 만들기</t>
  </si>
  <si>
    <t>relic_desc</t>
    <phoneticPr fontId="8" type="noConversion"/>
  </si>
  <si>
    <t>遗物 - 描述</t>
    <phoneticPr fontId="8" type="noConversion"/>
  </si>
  <si>
    <t>relic_desc_300011</t>
  </si>
  <si>
    <t>relic_desc_300012</t>
  </si>
  <si>
    <t>relic_desc_300013</t>
  </si>
  <si>
    <t>relic_desc_300031</t>
  </si>
  <si>
    <t>relic_desc_300032</t>
  </si>
  <si>
    <t>relic_desc_300033</t>
  </si>
  <si>
    <t>relic_desc_300041</t>
  </si>
  <si>
    <t>relic_desc_300042</t>
  </si>
  <si>
    <t>relic_desc_300043</t>
  </si>
  <si>
    <t>relic_desc_300071</t>
  </si>
  <si>
    <t>relic_desc_300072</t>
  </si>
  <si>
    <t>relic_desc_300073</t>
  </si>
  <si>
    <t>relic_desc_300081</t>
  </si>
  <si>
    <t>relic_desc_300082</t>
  </si>
  <si>
    <t>relic_desc_300083</t>
  </si>
  <si>
    <t>relic_desc_301011</t>
  </si>
  <si>
    <t>relic_desc_301012</t>
  </si>
  <si>
    <t>relic_desc_301013</t>
  </si>
  <si>
    <t>relic_desc_301031</t>
  </si>
  <si>
    <t>relic_desc_301032</t>
  </si>
  <si>
    <t>relic_desc_301033</t>
  </si>
  <si>
    <t>relic_desc_301041</t>
  </si>
  <si>
    <t>relic_desc_301042</t>
  </si>
  <si>
    <t>relic_desc_301043</t>
  </si>
  <si>
    <t>relic_desc_301051</t>
  </si>
  <si>
    <t>relic_desc_301052</t>
  </si>
  <si>
    <t>relic_desc_301053</t>
  </si>
  <si>
    <t>relic_desc_302011</t>
  </si>
  <si>
    <t>relic_desc_302012</t>
  </si>
  <si>
    <t>relic_desc_302013</t>
  </si>
  <si>
    <t>relic_desc_302031</t>
  </si>
  <si>
    <t>relic_desc_302032</t>
  </si>
  <si>
    <t>relic_desc_302033</t>
  </si>
  <si>
    <t>relic_desc_302041</t>
  </si>
  <si>
    <t>relic_desc_302042</t>
  </si>
  <si>
    <t>relic_desc_302043</t>
  </si>
  <si>
    <t>relic_desc_302231</t>
  </si>
  <si>
    <t>relic_desc_302232</t>
  </si>
  <si>
    <t>relic_desc_302233</t>
  </si>
  <si>
    <t>relic_desc_302321</t>
  </si>
  <si>
    <t>relic_desc_302322</t>
  </si>
  <si>
    <t>relic_desc_302323</t>
  </si>
  <si>
    <t>id前缀</t>
    <phoneticPr fontId="8" type="noConversion"/>
  </si>
  <si>
    <t>62;63</t>
    <phoneticPr fontId="8" type="noConversion"/>
  </si>
  <si>
    <t>12;13</t>
    <phoneticPr fontId="8" type="noConversion"/>
  </si>
  <si>
    <t>role</t>
    <phoneticPr fontId="8" type="noConversion"/>
  </si>
  <si>
    <t>角色 - 名称</t>
    <phoneticPr fontId="8" type="noConversion"/>
  </si>
  <si>
    <t>trait_name</t>
  </si>
  <si>
    <t>角色特性 - 名称</t>
    <phoneticPr fontId="8" type="noConversion"/>
  </si>
  <si>
    <t>trait_desc</t>
    <phoneticPr fontId="8" type="noConversion"/>
  </si>
  <si>
    <t>角色特性 - 描述</t>
    <phoneticPr fontId="8" type="noConversion"/>
  </si>
  <si>
    <t>device_tag</t>
    <phoneticPr fontId="8" type="noConversion"/>
  </si>
  <si>
    <t>设备标签 - 名称</t>
    <phoneticPr fontId="8" type="noConversion"/>
  </si>
  <si>
    <t>device_tag_1410100</t>
  </si>
  <si>
    <t>device_tag_1420100</t>
  </si>
  <si>
    <t>device_tag_1420101</t>
  </si>
  <si>
    <t>device_tag_1420102</t>
  </si>
  <si>
    <t>device_tag_1420103</t>
  </si>
  <si>
    <t>device_tag_1420104</t>
  </si>
  <si>
    <t>device_tag_1420200</t>
  </si>
  <si>
    <t>device_tag_1420210</t>
  </si>
  <si>
    <t>device_tag_1420211</t>
  </si>
  <si>
    <t>device_tag_1420212</t>
  </si>
  <si>
    <t>device_tag_1420213</t>
  </si>
  <si>
    <t>device_tag_1420221</t>
  </si>
  <si>
    <t>device_tag_1420222</t>
  </si>
  <si>
    <t>device_tag_1420300</t>
  </si>
  <si>
    <t>device_tag_1420400</t>
  </si>
  <si>
    <t>device_tag_1420500</t>
  </si>
  <si>
    <t>device_tag_1420600</t>
  </si>
  <si>
    <t>device_tag_1430001</t>
  </si>
  <si>
    <t>device_tag_1430002</t>
  </si>
  <si>
    <t>车轮</t>
  </si>
  <si>
    <t>近战武器</t>
  </si>
  <si>
    <t>刀剑</t>
  </si>
  <si>
    <t>棍棒</t>
  </si>
  <si>
    <t>斧钺</t>
  </si>
  <si>
    <t>远程武器</t>
  </si>
  <si>
    <t>枪械</t>
  </si>
  <si>
    <t>手枪</t>
  </si>
  <si>
    <t>霰弹枪</t>
  </si>
  <si>
    <t>大型枪械</t>
  </si>
  <si>
    <t>弩</t>
  </si>
  <si>
    <t>独特设备</t>
  </si>
  <si>
    <t>盾牌</t>
  </si>
  <si>
    <t>钩索</t>
  </si>
  <si>
    <t>撞角</t>
  </si>
  <si>
    <t>冷兵器</t>
  </si>
  <si>
    <t>热兵器</t>
  </si>
  <si>
    <t>車輪</t>
  </si>
  <si>
    <t>wheels</t>
  </si>
  <si>
    <t>ruedas</t>
  </si>
  <si>
    <t>Колеса</t>
  </si>
  <si>
    <t>바퀴</t>
  </si>
  <si>
    <t>近戰武器</t>
  </si>
  <si>
    <t>Melee weapons</t>
  </si>
  <si>
    <t>Armas cuerpo a cuerpo</t>
  </si>
  <si>
    <t>近接武器</t>
  </si>
  <si>
    <t>Оружие ближнего боя</t>
  </si>
  <si>
    <t>근접 무기</t>
  </si>
  <si>
    <t>刀劍</t>
  </si>
  <si>
    <t>Swords</t>
  </si>
  <si>
    <t>Espadas</t>
  </si>
  <si>
    <t>刀剣</t>
  </si>
  <si>
    <t>Мечи</t>
  </si>
  <si>
    <t>칼</t>
  </si>
  <si>
    <t>cudgel</t>
  </si>
  <si>
    <t>garrote</t>
  </si>
  <si>
    <t>дубина</t>
  </si>
  <si>
    <t>곤봉</t>
  </si>
  <si>
    <t>斧鉞</t>
  </si>
  <si>
    <t>Axe</t>
  </si>
  <si>
    <t>Hacha</t>
  </si>
  <si>
    <t>斧</t>
  </si>
  <si>
    <t>Топор</t>
  </si>
  <si>
    <t>도끼</t>
  </si>
  <si>
    <t>遠端武器</t>
  </si>
  <si>
    <t>Ranged weapons</t>
  </si>
  <si>
    <t>Armas a distancia</t>
  </si>
  <si>
    <t>遠距離武器</t>
  </si>
  <si>
    <t>Оружие дальнего боя</t>
  </si>
  <si>
    <t>원거리 무기</t>
  </si>
  <si>
    <t>槍械</t>
  </si>
  <si>
    <t>Firearms</t>
  </si>
  <si>
    <t>Armas</t>
  </si>
  <si>
    <t>火器</t>
  </si>
  <si>
    <t>Огнестрельного оружия</t>
  </si>
  <si>
    <t>총기</t>
  </si>
  <si>
    <t>手槍</t>
  </si>
  <si>
    <t>pistol</t>
  </si>
  <si>
    <t>pistola</t>
  </si>
  <si>
    <t>ピストル</t>
  </si>
  <si>
    <t>пистолет</t>
  </si>
  <si>
    <t>권총</t>
  </si>
  <si>
    <t>霰彈槍</t>
  </si>
  <si>
    <t>shotgun</t>
  </si>
  <si>
    <t>escopeta</t>
  </si>
  <si>
    <t>ショットガン</t>
  </si>
  <si>
    <t>дробовик</t>
  </si>
  <si>
    <t>산탄총</t>
  </si>
  <si>
    <t>大型槍械</t>
  </si>
  <si>
    <t>Large firearms</t>
  </si>
  <si>
    <t>Armas de fuego grandes</t>
  </si>
  <si>
    <t>大型銃器</t>
  </si>
  <si>
    <t>Крупногабаритное огнестрельное оружие</t>
  </si>
  <si>
    <t>대형 총기</t>
  </si>
  <si>
    <t>crossbow</t>
  </si>
  <si>
    <t>ballesta</t>
  </si>
  <si>
    <t>石弓</t>
  </si>
  <si>
    <t>арбалет</t>
  </si>
  <si>
    <t>석궁</t>
  </si>
  <si>
    <t>獨特設備</t>
  </si>
  <si>
    <t>Unique equipment</t>
  </si>
  <si>
    <t>Equipamiento único</t>
  </si>
  <si>
    <t>ユニークな機器</t>
  </si>
  <si>
    <t>Уникальное оборудование</t>
  </si>
  <si>
    <t>특유 장비</t>
  </si>
  <si>
    <t>shield</t>
  </si>
  <si>
    <t>щит</t>
  </si>
  <si>
    <t>방패</t>
  </si>
  <si>
    <t>鉤索</t>
  </si>
  <si>
    <t>Hook rope</t>
  </si>
  <si>
    <t>Cuerda de gancho</t>
  </si>
  <si>
    <t>フックロープ</t>
  </si>
  <si>
    <t>Крюковый трос</t>
  </si>
  <si>
    <t>훅 로프</t>
  </si>
  <si>
    <t>Knock angle</t>
  </si>
  <si>
    <t>Ángulo de detonación</t>
  </si>
  <si>
    <t>ノック角度</t>
  </si>
  <si>
    <t>Угол детонации</t>
  </si>
  <si>
    <t>노크 각도</t>
  </si>
  <si>
    <t>cold weapon</t>
  </si>
  <si>
    <t>Arma fría</t>
  </si>
  <si>
    <t>コールドウェポン</t>
  </si>
  <si>
    <t>холодное оружие</t>
  </si>
  <si>
    <t>냉기 병기</t>
  </si>
  <si>
    <t>熱兵器</t>
  </si>
  <si>
    <t>Thermal weapons</t>
  </si>
  <si>
    <t>Armas térmicas</t>
  </si>
  <si>
    <t>Тепловое оружие</t>
  </si>
  <si>
    <t>열병기</t>
  </si>
  <si>
    <t>阿菊</t>
  </si>
  <si>
    <t>肌肉金轮草</t>
  </si>
  <si>
    <t>托利莲</t>
  </si>
  <si>
    <t>守护符</t>
  </si>
  <si>
    <t>文护符</t>
  </si>
  <si>
    <t>斧头</t>
  </si>
  <si>
    <t>扳手</t>
  </si>
  <si>
    <t>起子</t>
  </si>
  <si>
    <t>天地一口香</t>
  </si>
  <si>
    <t>子母春茧</t>
  </si>
  <si>
    <t>太阳勋章</t>
  </si>
  <si>
    <t>屋顶羊</t>
  </si>
  <si>
    <t>肌肉金輪草</t>
  </si>
  <si>
    <t>托利蓮</t>
  </si>
  <si>
    <t>守護符</t>
  </si>
  <si>
    <t>文護符</t>
  </si>
  <si>
    <t>斧頭</t>
  </si>
  <si>
    <t>レンチ</t>
  </si>
  <si>
    <t>렌치</t>
  </si>
  <si>
    <t>Heaven and earth are fragrant</t>
  </si>
  <si>
    <t>El cielo y la tierra son fragantes</t>
  </si>
  <si>
    <t>Небо и земля благоухают</t>
  </si>
  <si>
    <t>子母春繭</t>
  </si>
  <si>
    <t>太陽勳章</t>
  </si>
  <si>
    <t>Order of the Sun</t>
  </si>
  <si>
    <t>Orden del Sol</t>
  </si>
  <si>
    <t>太陽の騎士団</t>
  </si>
  <si>
    <t>Орден Солнца</t>
  </si>
  <si>
    <t>태양의 기사단</t>
  </si>
  <si>
    <t>屋頂羊</t>
  </si>
  <si>
    <t>Roof sheep</t>
  </si>
  <si>
    <t>长钉车轮</t>
  </si>
  <si>
    <t>捕奴囚籠</t>
  </si>
  <si>
    <t>Slave cages</t>
  </si>
  <si>
    <t>Jaulas de esclavos</t>
  </si>
  <si>
    <t>スレーブケージ</t>
  </si>
  <si>
    <t>Вольничьи клетки</t>
  </si>
  <si>
    <t>슬레이브 케이지</t>
  </si>
  <si>
    <t>鎮暴裝甲</t>
  </si>
  <si>
    <t>Riot Suppression Armor</t>
  </si>
  <si>
    <t>Armadura de supresión de disturbios</t>
  </si>
  <si>
    <t>ライオット・サプレッション・アーマー</t>
  </si>
  <si>
    <t>Броня для подавления беспорядков</t>
  </si>
  <si>
    <t>폭동 진압 갑옷</t>
  </si>
  <si>
    <t>基础重量-5</t>
  </si>
  <si>
    <t>基础耐久+40</t>
  </si>
  <si>
    <t>基础护甲+3</t>
  </si>
  <si>
    <t>【未实装】碾压伤害+1；重量+5%</t>
  </si>
  <si>
    <t>【未实装】碾压伤害+2；重量+5%</t>
  </si>
  <si>
    <t>基础动力+360</t>
  </si>
  <si>
    <t>基礎耐久+40</t>
  </si>
  <si>
    <t>Base Durability +40</t>
  </si>
  <si>
    <t>Durabilidad base +40</t>
  </si>
  <si>
    <t>基本耐久度+40</t>
  </si>
  <si>
    <t>Прочность базы +40</t>
  </si>
  <si>
    <t>기본 내구력 +40</t>
  </si>
  <si>
    <t>基礎護甲+3</t>
  </si>
  <si>
    <t>Base armor +3</t>
  </si>
  <si>
    <t>Armadura básica +3</t>
  </si>
  <si>
    <t>基本アーマー+3</t>
  </si>
  <si>
    <t>Базовая броня +3</t>
  </si>
  <si>
    <t>기본 방어력 +3</t>
  </si>
  <si>
    <t>【未實裝】碾壓傷害+1;重量+5%</t>
  </si>
  <si>
    <t>[Unimplemented] Crush Damage +1;Weight +5%</t>
  </si>
  <si>
    <t>[No implementado] Daño por aplastamiento +1;Peso +5%</t>
  </si>
  <si>
    <t>[未実装] クラッシュダメージ+1;重量+5%</t>
  </si>
  <si>
    <t>[Не реализовано] Сокрушительный урон +1;Вес +5%</t>
  </si>
  <si>
    <t>[미구현] 크러쉬 데미지 +1;무게 +5%</t>
  </si>
  <si>
    <t>【未實裝】碾壓傷害+2;重量+5%</t>
  </si>
  <si>
    <t>[Unimplemented] Crush Damage +2;Weight +5%</t>
  </si>
  <si>
    <t>[No implementado] Daño por aplastamiento +2;Peso +5%</t>
  </si>
  <si>
    <t>[未実装] クラッシュダメージ+2;重量+5%</t>
  </si>
  <si>
    <t>[Не реализовано] Сокрушительный урон +2;Вес +5%</t>
  </si>
  <si>
    <t>[미구현] 크러쉬 데미지 +2;무게 +5%</t>
  </si>
  <si>
    <t>基礎動力+360</t>
  </si>
  <si>
    <t>Base power +360</t>
  </si>
  <si>
    <t>Potencia base +360</t>
  </si>
  <si>
    <t>基本戦力+360</t>
  </si>
  <si>
    <t>Базовая мощность +360</t>
  </si>
  <si>
    <t>기본 전력 +360</t>
  </si>
  <si>
    <t>设备 - alt信息</t>
    <phoneticPr fontId="8" type="noConversion"/>
  </si>
  <si>
    <t>device_alt</t>
    <phoneticPr fontId="8" type="noConversion"/>
  </si>
  <si>
    <t>—</t>
    <phoneticPr fontId="8" type="noConversion"/>
  </si>
  <si>
    <t>device_alt_wheel</t>
  </si>
  <si>
    <t>device_alt_melee</t>
  </si>
  <si>
    <t>device_alt_ranged</t>
  </si>
  <si>
    <t>device_alt_unique</t>
  </si>
  <si>
    <t>device_alt_shield</t>
  </si>
  <si>
    <t>device_alt_hook</t>
  </si>
  <si>
    <t>device_alt_ram</t>
  </si>
  <si>
    <t>车轮</t>
    <phoneticPr fontId="8" type="noConversion"/>
  </si>
  <si>
    <t>近战</t>
    <phoneticPr fontId="8" type="noConversion"/>
  </si>
  <si>
    <t>远程</t>
    <phoneticPr fontId="8" type="noConversion"/>
  </si>
  <si>
    <t>特殊</t>
    <phoneticPr fontId="8" type="noConversion"/>
  </si>
  <si>
    <t>盾牌</t>
    <phoneticPr fontId="8" type="noConversion"/>
  </si>
  <si>
    <t>钩索</t>
    <phoneticPr fontId="8" type="noConversion"/>
  </si>
  <si>
    <t>近战武器可以点击按钮手动切换武器状态。&lt;br&gt;&lt;br&gt;[1.攻击状态]: 该状态下会自动攻击周围的敌人，每次攻击会消耗锋利度。&lt;br&gt;&lt;br&gt;锋利度降低后，武器伤害会随之降低。&lt;br&gt;&lt;br&gt;[2.待机状态]: 该状态下无法攻击敌人，但玩家可以在磨刀石上手动磨砺武器，以恢复武器锋利度。</t>
    <phoneticPr fontId="8" type="noConversion"/>
  </si>
  <si>
    <t>特殊设备效果各异，请自行探索。</t>
    <phoneticPr fontId="8" type="noConversion"/>
  </si>
  <si>
    <t>撞角可以对正面迎来的敌人造成高额伤害，且这一伤害享受速度加成。&lt;br&gt;&lt;br&gt;撞角撞到敌人后方向会发生偏离，最终完全指向正上方。&lt;br&gt;&lt;br&gt;玩家可以摇动转轮，以将撞角朝向调整至正确朝向。</t>
    <phoneticPr fontId="8" type="noConversion"/>
  </si>
  <si>
    <t>近戰武器可以點擊按鈕手動切換武器狀態。 &lt;br&gt;&lt;br&gt;[1.攻擊狀態]： 該狀態下會自動攻擊周圍的敵人，每次攻擊會消耗鋒利度。 &lt;br&gt;&lt;br&gt;鋒利度降低后，武器傷害會隨之降低。 &lt;br&gt;&lt;br&gt;[2.待機狀態]： 該狀態下無法攻擊敵人，但玩家可以在磨刀石上手動磨礪武器，以恢復武器鋒利度。</t>
  </si>
  <si>
    <t>Melee weapons can be manually switched with the click of a button. &lt;br&gt;&lt;br&gt;[1. Attack Status]: In this state, it will automatically attack nearby enemies, and each attack will consume sharpness. &lt;br&gt;&lt;br&gt;When the sharpness is reduced, the weapon damage is reduced. &lt;br&gt;&lt;br&gt;[2. Standby]: This state cannot attack enemies, but the player can manually sharpen their weapons on the whetstone to restore their sharpness.</t>
  </si>
  <si>
    <t>Las armas cuerpo a cuerpo se pueden cambiar manualmente con solo hacer clic en un botón. &lt;br&gt;&lt;br&gt;[1. Estado de ataque]: En este estado, atacará automáticamente a los enemigos cercanos y cada ataque consumirá nitidez. &lt;br&gt;&lt;br&gt;Cuando se reduce la nitidez, se reduce el daño del arma. &lt;br&gt;&lt;br&gt;[2. Standby]: Este estado no puede atacar a los enemigos, pero el jugador puede afilar manualmente sus armas en la piedra de afilar para restaurar su filo.</t>
  </si>
  <si>
    <t>近接武器はボタンをクリックするだけで手動で切り替えることができます。 &lt;br&gt;&lt;br&gt;【1.攻撃状態】:この状態では、周囲の敵を自動的に攻撃し、攻撃するたびに斬り気を消費する。 &lt;br&gt;&lt;br&gt;斬れが下がると、武器のダメージが減少します。 &lt;br&gt;&lt;br&gt;[2.スタンバイ]:この状態では敵を攻撃することはできませんが、プレイヤーは手動で砥石で武器を研ぎ、鋭さを回復することができます。</t>
  </si>
  <si>
    <t>Оружие ближнего боя можно переключать вручную одним нажатием кнопки. &lt;br&gt;&lt;br&gt;[1. Статус атаки]: В этом состоянии он автоматически атакует ближайших врагов, и каждая атака расходует остроту. &lt;br&gt;&lt;br&gt;Когда резкость снижается, урон оружия уменьшается. &lt;br&gt;&lt;br&gt;[2. Режим ожидания]: Это состояние не может атаковать врагов, но игрок может вручную заточить свое оружие на точильном камне, чтобы восстановить его остроту.</t>
  </si>
  <si>
    <t>근접 무기는 버튼 클릭으로 수동으로 전환할 수 있습니다. &lt;br&gt;&lt;br&gt;[1. 공격 상태]: 이 상태에서는 자동으로 주변 적을 공격하며, 공격할 때마다 날카로움을 소모합니다. &lt;br&gt;&lt;br&gt;선명도가 감소하면 무기 피해가 감소합니다. &lt;br&gt;&lt;br&gt;[2. 대기]: 이 상태는 적을 공격할 수 없지만, 숫돌에서 수동으로 무기를 갈고 날카로움을 회복할 수 있습니다.</t>
  </si>
  <si>
    <t>遠端武器攻擊前需要手動鎖定敵人。 &lt;br&gt;&lt;br&gt;拖動準星至敵人身上，鬆開滑鼠即可完成鎖定。 &lt;br&gt;&lt;br&gt;當射程記憶體在已鎖定的敵人時，遠端武器會自動向目標射擊。 &lt;br&gt;&lt;br&gt;子彈不足時無法射擊，需要手動裝填。 &lt;br&gt;&lt;br&gt;注意： 遠端武器存在最小射程限制。</t>
  </si>
  <si>
    <t>Ranged weapons need to manually lock on to enemies before attacking. &lt;br&gt;&lt;br&gt;Drag the crosshair over the enemy and release the mouse to lock on. &lt;br&gt;&lt;br&gt;When there is a locked enemy within range, the ranged weapon will automatically fire at the target. &lt;br&gt;&lt;br&gt;Cannot shoot when running out of bullets, it needs to be reloaded manually. &lt;br&gt;&lt;br&gt;Note: There is a minimum range limit for ranged weapons.</t>
  </si>
  <si>
    <t>Las armas a distancia deben fijarse manualmente a los enemigos antes de atacar. &lt;br&gt;&lt;br&gt;Arrastra el punto de mira sobre el enemigo y suelta el ratón para bloquearlo. &lt;br&gt;&lt;br&gt;Cuando hay un enemigo bloqueado dentro del alcance, el arma a distancia disparará automáticamente al objetivo. &lt;br&gt;&lt;br&gt;No puede disparar cuando se está quedando sin balas, debe recargarse manualmente. &lt;br&gt;&lt;br&gt;Nota: Hay un límite mínimo de alcance para las armas a distancia.</t>
  </si>
  <si>
    <t>遠隔武器は、攻撃する前に手動で敵をロックオンする必要があります。 &lt;br&gt;&lt;br&gt;十字線を敵の上にドラッグし、マウスを離してロックオンします。 &lt;br&gt;&lt;br&gt;範囲内にロックされた敵がいると、遠距離武器は自動的にターゲットに向けて発砲します。 &lt;br&gt;&lt;br&gt;弾丸がなくなると撃つことができないため、手動で再装填する必要があります。 &lt;br&gt;&lt;br&gt;注: 遠隔武器には最低射程制限があります。</t>
  </si>
  <si>
    <t>Оружие дальнего боя должно вручную наводиться на врагов перед атакой. &lt;br&gt;&lt;br&gt;Наведите прицел на врага и отпустите мышь, чтобы захватить цель. &lt;br&gt;&lt;br&gt;Когда в пределах досягаемости находится заблокированный враг, оружие дальнего боя автоматически выстрелит в цель. &lt;br&gt;&lt;br&gt;Не может стрелять, когда заканчиваются патроны, его нужно перезаряжать вручную. &lt;br&gt;&lt;br&gt;Примечание: Существует минимальный предел дальности стрельбы для оружия дальнего боя.</t>
  </si>
  <si>
    <t>원거리 무기는 공격하기 전에 수동으로 적을 조준해야 합니다. &lt;br&gt;&lt;br&gt;적 위로 십자선을 드래그하고 마우스를 놓으면 고정됩니다. &lt;br&gt;&lt;br&gt;사정거리 내에 잠긴 적이 있을 경우, 원거리 무기가 자동으로 대상을 향해 발사합니다. &lt;br&gt;&lt;br&gt;총알이 떨어지면 쏠 수 없으며 수동으로 재장전해야 합니다. &lt;br&gt;&lt;br&gt;참고: 원거리 무기에는 최소 사거리 제한이 있습니다.</t>
  </si>
  <si>
    <t>特殊設備效果各異，請自行探索。</t>
  </si>
  <si>
    <t>Special equipment has different effects, so please explore it yourself.</t>
  </si>
  <si>
    <t>El equipo especial tiene diferentes efectos, así que explóralo tú mismo.</t>
  </si>
  <si>
    <t>特殊装備は効果が異なりますので、ぜひご自身で探索してみてください。</t>
  </si>
  <si>
    <t>Специальное оборудование имеет разные эффекты, поэтому, пожалуйста, изучите его самостоятельно.</t>
  </si>
  <si>
    <t>특수 장비는 효과가 다르기 때문에 직접 탐색해 보세요.</t>
  </si>
  <si>
    <t>撞角可以對正面迎來的敵人造成高額傷害，且這一傷害享受速度加成。 &lt;br&gt;&lt;br&gt;撞角撞到敵人後方向會發生偏離，最終完全指向正上方。 &lt;br&gt;&lt;br&gt;玩家可以搖動轉輪，以將撞角朝向調整至正確朝向。</t>
  </si>
  <si>
    <t>Ramming Horns deals high damage to enemies facing them, and this damage is given a speed bonus. &lt;br&gt;&lt;br&gt;The angle of collision will deviate from the direction of the enemy after hitting it, and eventually point completely upward. &lt;br&gt;&lt;br&gt;The player can shake the wheel to adjust the angle of impact to the correct direction.</t>
  </si>
  <si>
    <t>Embestida de cuernos inflige mucho daño a los enemigos que se enfrentan a ellos, y este daño recibe una bonificación de velocidad. &lt;br&gt;&lt;br&gt;El ángulo de colisión se desviará de la dirección del enemigo después de golpearlo y, finalmente, apuntará completamente hacia arriba. &lt;br&gt;&lt;br&gt;El jugador puede agitar la rueda para ajustar el ángulo de impacto en la dirección correcta.</t>
  </si>
  <si>
    <t>「角笛の体当たり」は、対峙する敵に高いダメージを与え、このダメージには速度ボーナスが付与されます。 &lt;br&gt;&lt;br&gt;衝突角度は、敵に当たった後、敵の方向からずれ、最終的には完全に上を向きます。 &lt;br&gt;&lt;br&gt;プレイヤーはホイールを振って、衝撃の角度を正しい方向に調整できます。</t>
  </si>
  <si>
    <t>Таранные рога наносят большой урон врагам перед собой, и этот урон дает бонус к скорости. &lt;br&gt;&lt;br&gt;Угол столкновения будет отклоняться от направления противника после попадания в него, и в конечном итоге будет направлен полностью вверх. &lt;br&gt;&lt;br&gt;Игрок может встряхивать колесо, чтобы отрегулировать угол удара в правильном направлении.</t>
  </si>
  <si>
    <t>뿔피리를 들이치면 마주하고 있는 적에게 큰 피해를 입히며, 이 피해는 속도 보너스로 제공됩니다. &lt;br&gt;&lt;br&gt;충돌 각도는 적에 부딪힌 후 적의 방향에서 벗어나 결국 완전히 위쪽을 향하게 됩니다. &lt;br&gt;&lt;br&gt;플레이어는 휠을 흔들어 충격 각도를 올바른 방향으로 조정할 수 있습니다.</t>
  </si>
  <si>
    <t>dv_upgd_name_temp_991</t>
  </si>
  <si>
    <t>dv_upgd_name_temp_992</t>
  </si>
  <si>
    <t>dv_upgd_name_temp_993</t>
  </si>
  <si>
    <t>dv_upgd_name_temp_994</t>
  </si>
  <si>
    <t>dv_upgd_name_temp_995</t>
  </si>
  <si>
    <t>dv_upgd_name_temp_996</t>
  </si>
  <si>
    <t>dv_upgd_desc_temp_991</t>
  </si>
  <si>
    <t>dv_upgd_desc_temp_992</t>
  </si>
  <si>
    <t>dv_upgd_desc_temp_993</t>
  </si>
  <si>
    <t>dv_upgd_desc_temp_994</t>
  </si>
  <si>
    <t>dv_upgd_desc_temp_995</t>
  </si>
  <si>
    <t>dv_upgd_desc_temp_996</t>
  </si>
  <si>
    <t>强化伤害1</t>
  </si>
  <si>
    <t>强化伤害2</t>
  </si>
  <si>
    <t>强化破甲1</t>
  </si>
  <si>
    <t>强化破甲2</t>
  </si>
  <si>
    <t>强化耐久1</t>
  </si>
  <si>
    <t>强化耐久2</t>
  </si>
  <si>
    <t>简单增加一下攻击力</t>
  </si>
  <si>
    <t>简单增加一下破甲</t>
  </si>
  <si>
    <t>简单增加一下耐久</t>
  </si>
  <si>
    <t>強化傷害1</t>
  </si>
  <si>
    <t>Enhanced damage 1</t>
  </si>
  <si>
    <t>Daño mejorado 1</t>
  </si>
  <si>
    <t>強化ダメージ1</t>
  </si>
  <si>
    <t>Увеличенный урон 1</t>
  </si>
  <si>
    <t>강화 데미지 1</t>
  </si>
  <si>
    <t>強化傷害2</t>
  </si>
  <si>
    <t>Enhanced damage 2</t>
  </si>
  <si>
    <t>Daño mejorado 2</t>
  </si>
  <si>
    <t>強化ダメージ2</t>
  </si>
  <si>
    <t>Увеличенный урон 2</t>
  </si>
  <si>
    <t>강화 데미지 2</t>
  </si>
  <si>
    <t>強化破甲1</t>
  </si>
  <si>
    <t>Enhanced Armor Piercing 1</t>
  </si>
  <si>
    <t>Perforación de armadura mejorada 1</t>
  </si>
  <si>
    <t>強化型徹甲弾1</t>
  </si>
  <si>
    <t>Улучшенный бронебойность 1</t>
  </si>
  <si>
    <t>강화 갑옷 피어싱 1</t>
  </si>
  <si>
    <t>強化破甲2</t>
  </si>
  <si>
    <t>Enhanced Armor Piercing 2</t>
  </si>
  <si>
    <t>Perforación de armadura mejorada 2</t>
  </si>
  <si>
    <t>強化型徹甲弾2</t>
  </si>
  <si>
    <t>Улучшенный бронебойность 2</t>
  </si>
  <si>
    <t>강화 갑옷 피어싱 2</t>
  </si>
  <si>
    <t>強化耐久1</t>
  </si>
  <si>
    <t>Enhanced durability 1</t>
  </si>
  <si>
    <t>Durabilidad mejorada 1</t>
  </si>
  <si>
    <t>耐久性の向上1</t>
  </si>
  <si>
    <t>Повышенная прочность 1</t>
  </si>
  <si>
    <t>향상된 내구성 1</t>
  </si>
  <si>
    <t>強化耐久2</t>
  </si>
  <si>
    <t>Enhanced durability 2</t>
  </si>
  <si>
    <t>Durabilidad mejorada 2</t>
  </si>
  <si>
    <t>耐久性の向上2</t>
  </si>
  <si>
    <t>Повышенная прочность 2</t>
  </si>
  <si>
    <t>향상된 내구성 2</t>
  </si>
  <si>
    <t>dv_upgd_name_common_91</t>
  </si>
  <si>
    <t>dv_upgd_name_common_92</t>
  </si>
  <si>
    <t>人器合一</t>
  </si>
  <si>
    <t>Human-machine unity</t>
  </si>
  <si>
    <t>Unidad hombre-máquina</t>
  </si>
  <si>
    <t>人間と機械の一体性</t>
  </si>
  <si>
    <t>Человеко-машинное единство</t>
  </si>
  <si>
    <t>인간-기계 통일</t>
  </si>
  <si>
    <t>dv_upgd_desc_common_91</t>
  </si>
  <si>
    <t>dv_upgd_desc_common_92</t>
  </si>
  <si>
    <t>可自动运作，但无人操作时战斗效率-50</t>
  </si>
  <si>
    <t>有人操作时，战斗效率额外+25</t>
  </si>
  <si>
    <t>可自動運作，但無人操作時戰鬥效率-50</t>
  </si>
  <si>
    <t>It can be operated automatically, but the combat efficiency when unmanned is -50</t>
  </si>
  <si>
    <t>Puede ser operado automáticamente, pero la eficiencia de combate cuando no está tripulado es de -50</t>
  </si>
  <si>
    <t>自動で操作することもできますが、無人時の戦闘効率は-50です</t>
  </si>
  <si>
    <t>Он может работать в автоматическом режиме, но боевая эффективность при беспилотном полете составляет -50</t>
  </si>
  <si>
    <t>자동 운용이 가능하지만 무인일 때의 전투효율은 -50이다</t>
  </si>
  <si>
    <t>有人操作時，戰鬥效率額外+25</t>
  </si>
  <si>
    <t>When manned, gain an additional +25 combat efficiency</t>
  </si>
  <si>
    <t>Cuando está tripulado, obtiene +25 de eficiencia de combate adicional</t>
  </si>
  <si>
    <t>騎兵の場合、さらに戦闘効率が+25上昇する</t>
  </si>
  <si>
    <t>Когда пилотируемый, дает дополнительные +25 к боевой эффективности</t>
  </si>
  <si>
    <t>유인 상태일 때 전투 효율 +25 추가 획득</t>
  </si>
  <si>
    <t>dv_upgd_desc_temp_997</t>
  </si>
  <si>
    <t>dv_upgd_desc_temp_998</t>
  </si>
  <si>
    <t>简单降低一下攻击间隔</t>
  </si>
  <si>
    <t>基础攻击力+7</t>
  </si>
  <si>
    <t>基础攻击间隔-20%</t>
  </si>
  <si>
    <t>基础破甲+25%</t>
  </si>
  <si>
    <t>基础耐久+15</t>
  </si>
  <si>
    <t>基礎攻擊力+7</t>
  </si>
  <si>
    <t>Base Attack +7</t>
  </si>
  <si>
    <t>Ataque base +7</t>
  </si>
  <si>
    <t>基本攻撃力+7</t>
  </si>
  <si>
    <t>Базовая атака +7</t>
  </si>
  <si>
    <t>기본 공격력 +7</t>
  </si>
  <si>
    <t>基礎攻擊間隔-20%</t>
  </si>
  <si>
    <t>-20% Base Attack Time</t>
  </si>
  <si>
    <t>-20% Tiempo de Ataque Base</t>
  </si>
  <si>
    <t>基本攻撃時間 -20%</t>
  </si>
  <si>
    <t>Базовое время атаки: -20%</t>
  </si>
  <si>
    <t>기본 공격 시간 -20%</t>
  </si>
  <si>
    <t>基礎破甲+25%</t>
  </si>
  <si>
    <t>Base Piercing +25%</t>
  </si>
  <si>
    <t>Piercing en la base +25%</t>
  </si>
  <si>
    <t>ベースピアス+25%</t>
  </si>
  <si>
    <t>Базовый пирсинг +25%</t>
  </si>
  <si>
    <t>관통 기지 +25%</t>
  </si>
  <si>
    <t>基礎耐久+15</t>
  </si>
  <si>
    <t>Base Durability +15</t>
  </si>
  <si>
    <t>Durabilidad base +15</t>
  </si>
  <si>
    <t>基本耐久力+15</t>
  </si>
  <si>
    <t>Прочность базы +15</t>
  </si>
  <si>
    <t>기본 내구력 +15</t>
  </si>
  <si>
    <t>dv_upgd_name_temp_997</t>
  </si>
  <si>
    <t>dv_upgd_name_temp_998</t>
  </si>
  <si>
    <t>强化攻速1</t>
  </si>
  <si>
    <t>强化攻速2</t>
  </si>
  <si>
    <t>強化攻速1</t>
  </si>
  <si>
    <t>Enhanced Attack Speed 1</t>
  </si>
  <si>
    <t>Velocidad de ataque mejorada 1</t>
  </si>
  <si>
    <t>攻撃速度強化1</t>
  </si>
  <si>
    <t>Повышенная скорость атаки 1</t>
  </si>
  <si>
    <t>향상된 공격 속도 1</t>
  </si>
  <si>
    <t>dv_upgd_story</t>
    <phoneticPr fontId="8" type="noConversion"/>
  </si>
  <si>
    <t>dv_upgd_story_temp_991</t>
  </si>
  <si>
    <t>dv_upgd_story_temp_992</t>
  </si>
  <si>
    <t>dv_upgd_story_temp_993</t>
  </si>
  <si>
    <t>dv_upgd_story_temp_994</t>
  </si>
  <si>
    <t>dv_upgd_story_temp_995</t>
  </si>
  <si>
    <t>dv_upgd_story_temp_996</t>
  </si>
  <si>
    <t>dv_upgd_story_temp_997</t>
  </si>
  <si>
    <t>dv_upgd_story_temp_998</t>
  </si>
  <si>
    <t>是尚处于测试阶段的初步改装</t>
  </si>
  <si>
    <t>设备升级 - 设定</t>
    <phoneticPr fontId="8" type="noConversion"/>
  </si>
  <si>
    <t>是尚處於測試階段的初步改裝</t>
  </si>
  <si>
    <t>It is a preliminary modification that is still in the testing stage</t>
  </si>
  <si>
    <t>Se trata de una modificación preliminar que aún se encuentra en fase de pruebas</t>
  </si>
  <si>
    <t>これはまだテスト段階にある予備的な変更です</t>
  </si>
  <si>
    <t>Это предварительная модификация, которая все еще находится на стадии испытаний</t>
  </si>
  <si>
    <t>아직 테스트 단계에 있는 예비 수정 사항입니다</t>
  </si>
  <si>
    <t>车轮可以不断收集氮气。&lt;br&gt;&lt;br&gt;点击冲刺按钮发动冲刺，冲刺效果受当前氮气量影响，满氮气时冲刺效果达到最大。&lt;br&gt;&lt;br&gt;氮气集满后可以累积冲刺点数，以连续发动多次冲刺。此时每次冲刺效果都等同于满氮气冲刺效果。&lt;br&gt;&lt;br&gt;提示: 当车子卡在上坡动弹不得时，可以尝试连续使用冲刺技能进行脱困。</t>
    <phoneticPr fontId="8" type="noConversion"/>
  </si>
  <si>
    <t>远程武器攻击前需要手动锁定敌人。拖动准星至敌人身上，松开鼠标即可完成锁定。&lt;br&gt;&lt;br&gt;当射程内存在已锁定的敌人时，远程武器会自动向目标射击。&lt;br&gt;&lt;br&gt;子弹不足时无法射击，需要手动装填。&lt;br&gt;&lt;br&gt;注意: 远程武器存在最小射程限制。</t>
    <phoneticPr fontId="8" type="noConversion"/>
  </si>
  <si>
    <t>攻击前需要手动锁定敌人。拖动准星至敌人身上，松开鼠标即可完成锁定。&lt;br&gt;&lt;br&gt;当射程内存在已锁定的敌人时，会自动向目标射击，并尝试钩住目标。&lt;br&gt;&lt;br&gt;射出钩索时及钩住敌人时，均会消耗“弹性蓄积量”&lt;br&gt;&lt;br&gt;“弹性蓄积量”不足时，钩索无法正常使用。&lt;br&gt;&lt;br&gt;手动摇动转轮，可以恢复设备的“弹性蓄积量”。&lt;br&gt;&lt;br&gt;提示: 钩索可以快速拆分合体类敌人。</t>
    <phoneticPr fontId="8" type="noConversion"/>
  </si>
  <si>
    <t>攻擊前需要手動鎖定敵人。 拖動準星至敵人身上，鬆開滑鼠即可完成鎖定。 &lt;br&gt;&lt;br&gt;當射程記憶體在已鎖定的敵人時，會自動向目標射擊，並嘗試鉤住目標。 &lt;br&gt;&lt;br&gt;射出鉤索時及鉤住敵人時，均會消耗“彈性蓄積量”&lt;br&gt;&lt;br&gt;“彈性蓄積量”不足時，鉤索無法正常使用。 &lt;br&gt;&lt;br&gt;手動搖動轉輪，可以恢復設備的“彈性蓄積量”。 &lt;br&gt;&lt;br&gt;提示： 鉤索可以快速拆分合體類敵人。</t>
  </si>
  <si>
    <t>You need to manually lock on to the enemy before attacking. Drag the crosshair over the enemy and release the mouse to lock on. &lt;br&gt;&lt;br&gt;When there is a locked enemy within range, it will automatically shoot at the target and try to hook the target. &lt;br&gt;&lt;br&gt;When shooting a hook or hooking an enemy, it consumes "Elastic Accumulation&lt;br&gt;&lt;br&gt;", and if the "Elastic Accumulation" is insufficient, the Hook will not be used properly. &lt;br&gt;&lt;br&gt;By shaking the runner by hand, the "elastic volume" of the equipment can be restored. &lt;br&gt;&lt;br&gt;Tip: Hooks can quickly split merge-type enemies.</t>
  </si>
  <si>
    <t>Debes fijar manualmente al enemigo antes de atacar. Arrastra el punto de mira sobre el enemigo y suelta el ratón para bloquearlo. &lt;br&gt;&lt;br&gt;Cuando hay un enemigo bloqueado dentro del alcance, disparará automáticamente al objetivo e intentará enganchar al objetivo. &lt;br&gt;&lt;br&gt;Al disparar un gancho o enganchar a un enemigo, consume "Acumulación elástica&lt;br&gt;&lt;br&gt;", y si la "Acumulación elástica" es insuficiente, el gancho no se usará correctamente. &lt;br&gt;&lt;br&gt;Al agitar el corredor con la mano, se puede restaurar el "volumen elástico" del equipo. &lt;br&gt;&lt;br&gt;Consejo: Los ganchos pueden dividir rápidamente a los enemigos de tipo fusión.</t>
  </si>
  <si>
    <t>攻撃する前に、手動で敵にロックオンする必要があります。 十字線を敵の上にドラッグし、マウスを離してロックオンします。 &lt;br&gt;&lt;br&gt;範囲内にロックされた敵がいると、自動的にターゲットを撃ち、ターゲットを引っ掛けようとします。 &lt;br&gt;&lt;br&gt;フックを撃ったり敵をフックしたりする際には「エラスティック・アキュムレーション」を消費し、「&lt;br&gt;&lt;br&gt;エラスティック・アキュムレーション」が足りないとフックがまともに使えなくなります。 &lt;br&gt;&lt;br&gt;ランナーを手で振ることで、機器の「弾性ボリューム」を回復させることができます。 &lt;br&gt;&lt;br&gt;ヒント:フックは合体タイプの敵をすばやく分割できます。</t>
  </si>
  <si>
    <t>Вам нужно вручную нацелиться на врага перед атакой. Наведите прицел на врага и отпустите мышь, чтобы захватить цель. &lt;br&gt;&lt;br&gt;Когда в пределах досягаемости находится заблокированный враг, он автоматически выстрелит в цель и попытается зацепить цель. &lt;br&gt;&lt;br&gt;При выстреле в крюк или зацеплении врага он расходует "Упругое накопление&lt;br&gt;&lt;br&gt;", и если "Упругого накопления" недостаточно, то крюк не будет использован должным образом. &lt;br&gt;&lt;br&gt;Встряхивая бегунок рукой, можно восстановить «эластичный объем» оборудования. &lt;br&gt;&lt;br&gt;Совет: Крюки могут быстро раскалывать врагов типа слияния.</t>
  </si>
  <si>
    <t>공격하기 전에 수동으로 적을 조준해야 합니다. 적 위로 십자선을 드래그하고 마우스를 놓으면 고정됩니다. &lt;br&gt;&lt;br&gt;사정거리 내에 잠긴 적이 있으면 자동으로 목표물을 향해 쏘고 갈고리를 시도합니다. &lt;br&gt;&lt;br&gt;훅을 쏘거나 적을 훅할 때는 「탄력 축적」을 소모&lt;br&gt;&lt;br&gt;해, 「탄력 축적」이 부족하면 훅을 제대로 사용할 수 없게 됩니다. &lt;br&gt;&lt;br&gt;러너를 손으로 흔드는 것으로, 장비의 "탄성 볼륨"을 회복할 수 있습니다. &lt;br&gt;&lt;br&gt;팁: 갈고리는 병합 타입의 적을 빠르게 분할할 수 있습니다.</t>
  </si>
  <si>
    <t>盾牌可以反射敌人射来的子弹。&lt;br&gt;&lt;br&gt;拖动准星至某一方向，可以使盾牌开启守护模式，主动守护此处。&lt;br&gt;&lt;br&gt;守护模式下的盾牌还可以推开碰到的敌人，不过拥有冷却时间。&lt;br&gt;&lt;br&gt;反射子弹及推开敌人均消耗能量，能量不足时盾牌会退出守护模式。</t>
    <phoneticPr fontId="8" type="noConversion"/>
  </si>
  <si>
    <t>盾牌可以反射敵人射來的子彈。 &lt;br&gt;&lt;br&gt;拖動準星至某一方向，可以使盾牌開啟守護模式，主動守護此處。 &lt;br&gt;&lt;br&gt;守護模式下的盾牌還可以推開碰到的敵人，不過擁有冷卻時間。 &lt;br&gt;&lt;br&gt;反射子彈及推開敵人均消耗能量，能量不足時盾牌會退出守護模式。</t>
  </si>
  <si>
    <t>The shield reflects bullets fired by enemies. &lt;br&gt;&lt;br&gt;Drag the crosshair in a certain direction to turn on the shield and actively guard the area. &lt;br&gt;&lt;br&gt;The shield in ward mode can also push away enemies it encounters, but it has a cooldown. &lt;br&gt;&lt;br&gt;Reflecting bullets and pushing enemies away consumes energy, and the shield exits wards when energy is low.</t>
  </si>
  <si>
    <t>El escudo refleja las balas disparadas por los enemigos. &lt;br&gt;&lt;br&gt;Arrastre la cruz en una dirección determinada para encender el escudo y proteger activamente el área. &lt;br&gt;&lt;br&gt;El escudo en el modo centinela también puede ahuyentar a los enemigos que encuentre, pero tiene un tiempo de reutilización. &lt;br&gt;&lt;br&gt;Reflejar las balas y alejar a los enemigos consume energía, y el escudo sale de las salas cuando la energía es baja.</t>
  </si>
  <si>
    <t>シールドは敵が発射した弾丸を反射します。 &lt;br&gt;&lt;br&gt;十字線を特定の方向にドラッグしてシールドをオンにし、エリアを積極的に保護します。 &lt;br&gt;&lt;br&gt;ワードモードのシールドは、遭遇した敵を押しのけることもできますが、クールダウンがあります。 &lt;br&gt;&lt;br&gt;弾丸を反射して敵を押しのけるとエネルギーが消費され、エネルギーが少なくなるとシールドはワードから出ます。</t>
  </si>
  <si>
    <t>Щит отражает пули, выпущенные врагами. &lt;br&gt;&lt;br&gt;Перетащите перекрестие в определенном направлении, чтобы включить щит и активно охранять территорию. &lt;br&gt;&lt;br&gt;Щит в режиме защиты также может отталкивать врагов, с которыми сталкивается, но у него есть перезарядка. &lt;br&gt;&lt;br&gt;Отражение пуль и отталкивание врагов потребляет энергию, а щит выходит из вардов, когда энергия заканчивается.</t>
  </si>
  <si>
    <t>방패는 적이 발사한 총알을 반사합니다. &lt;br&gt;&lt;br&gt;십자선을 특정 방향으로 드래그하여 방패를 켜고 해당 지역을 적극적으로 보호하세요. &lt;br&gt;&lt;br&gt;와드 모드의 방패는 마주치는 적을 밀어낼 수도 있지만 재사용 대기시간이 있습니다. &lt;br&gt;&lt;br&gt;총알을 반사하고 적을 밀어내면 에너지가 소모되며, 에너지가 부족할 때 방패가 와드를 빠져나갑니다.</t>
  </si>
  <si>
    <t>dv_upgd_name_6330101_11</t>
  </si>
  <si>
    <t>dv_upgd_name_6330101_12</t>
  </si>
  <si>
    <t>dv_upgd_name_6330101_13</t>
  </si>
  <si>
    <t>dv_upgd_name_6330101_14</t>
  </si>
  <si>
    <t>dv_upgd_name_6330101_21</t>
  </si>
  <si>
    <t>dv_upgd_name_6330101_22</t>
  </si>
  <si>
    <t>dv_upgd_name_6330101_23</t>
  </si>
  <si>
    <t>草率装填1</t>
  </si>
  <si>
    <t>草率装填2</t>
  </si>
  <si>
    <t>草率装填3</t>
  </si>
  <si>
    <t>草率装填4</t>
  </si>
  <si>
    <t>超载装填1</t>
  </si>
  <si>
    <t>超载装填2</t>
  </si>
  <si>
    <t>超载装填3</t>
  </si>
  <si>
    <t>草率裝填1</t>
  </si>
  <si>
    <t>Sloppy reload 1</t>
  </si>
  <si>
    <t>Recarga descuidada 1</t>
  </si>
  <si>
    <t>ずさんなリロード1</t>
  </si>
  <si>
    <t>Небрежная перезарядка 1</t>
  </si>
  <si>
    <t>엉성한 재장전 1</t>
  </si>
  <si>
    <t>草率裝填2</t>
  </si>
  <si>
    <t>Sloppy reload 2</t>
  </si>
  <si>
    <t>Recarga descuidada 2</t>
  </si>
  <si>
    <t>ずさんなリロード2</t>
  </si>
  <si>
    <t>Небрежная перезарядка 2</t>
  </si>
  <si>
    <t>엉성한 재장전 2</t>
  </si>
  <si>
    <t>草率裝填3</t>
  </si>
  <si>
    <t>Sloppy reload 3</t>
  </si>
  <si>
    <t>Recarga descuidada 3</t>
  </si>
  <si>
    <t>ずさんなリロード3</t>
  </si>
  <si>
    <t>Небрежная перезарядка 3</t>
  </si>
  <si>
    <t>엉성한 재장전 3</t>
  </si>
  <si>
    <t>草率裝填4</t>
  </si>
  <si>
    <t>Sloppy reload 4</t>
  </si>
  <si>
    <t>Recarga descuidada 4</t>
  </si>
  <si>
    <t>ずさんなリロード4</t>
  </si>
  <si>
    <t>Небрежная перезарядка 4</t>
  </si>
  <si>
    <t>엉성한 재장전 4</t>
  </si>
  <si>
    <t>超載裝填1</t>
  </si>
  <si>
    <t>Overload 1</t>
  </si>
  <si>
    <t>Sobrecarga 1</t>
  </si>
  <si>
    <t>オーバーロード 1</t>
  </si>
  <si>
    <t>Перегрузка 1</t>
  </si>
  <si>
    <t>과부하 1</t>
  </si>
  <si>
    <t>超載裝填2</t>
  </si>
  <si>
    <t>Overload 2</t>
  </si>
  <si>
    <t>Sobrecarga 2</t>
  </si>
  <si>
    <t>オーバーロード 2</t>
  </si>
  <si>
    <t>Перегрузка 2</t>
  </si>
  <si>
    <t>과부하 2</t>
  </si>
  <si>
    <t>超載裝填3</t>
  </si>
  <si>
    <t>Overload 3</t>
  </si>
  <si>
    <t>Sobrecarga 3</t>
  </si>
  <si>
    <t>オーバーロード 3</t>
  </si>
  <si>
    <t>Перегрузка 3</t>
  </si>
  <si>
    <t>과부하 3</t>
  </si>
  <si>
    <t>dv_upgd_desc_6330101_11</t>
  </si>
  <si>
    <t>dv_upgd_desc_6330101_12</t>
  </si>
  <si>
    <t>dv_upgd_desc_6330101_13</t>
  </si>
  <si>
    <t>dv_upgd_desc_6330101_14</t>
  </si>
  <si>
    <t>dv_upgd_desc_6330101_21</t>
  </si>
  <si>
    <t>dv_upgd_desc_6330101_22</t>
  </si>
  <si>
    <t>dv_upgd_desc_6330101_23</t>
  </si>
  <si>
    <t>基础散布角+10%; 基础装填阶段-1</t>
  </si>
  <si>
    <t>基础子弹数量+1; 基础装填速率-10%</t>
  </si>
  <si>
    <t>基礎散佈角+10%; 基礎裝填階段-1</t>
  </si>
  <si>
    <t>+10% base spread; Base Reload Phase -1</t>
  </si>
  <si>
    <t>+10% de spread base; Fase de recarga base -1</t>
  </si>
  <si>
    <t>+10%の基本スプレッド。 基本リロードフェーズ-1</t>
  </si>
  <si>
    <t>+10% к базовому спреду; Базовая перезарядка, фаза -1</t>
  </si>
  <si>
    <t>+10% 기본 퍼짐; 기본 재장전 단계 -1</t>
  </si>
  <si>
    <t>基礎子彈數量+1; 基礎裝填速率-10%</t>
  </si>
  <si>
    <t>+1 base bullet count; -10% base reload speed</t>
  </si>
  <si>
    <t>+1 conteo de balas base; -10% de velocidad de recarga base</t>
  </si>
  <si>
    <t>基本弾数+1; 基本リロード速度 -10%</t>
  </si>
  <si>
    <t>+1 к базовому количеству пуль; Базовая скорость перезарядки: -10%</t>
  </si>
  <si>
    <t>+1 기본 총알 수; 기본 재장전 속도 -10%</t>
  </si>
  <si>
    <t>小圆盾</t>
  </si>
  <si>
    <t>木盾</t>
  </si>
  <si>
    <t>长阔盾</t>
  </si>
  <si>
    <t>硬皮盾</t>
  </si>
  <si>
    <t>金属板</t>
  </si>
  <si>
    <t>尖刺格斗盾</t>
  </si>
  <si>
    <t>藤牌</t>
  </si>
  <si>
    <t>格斗短剑</t>
  </si>
  <si>
    <t>device_name_1340102_wooden_shield</t>
  </si>
  <si>
    <t>device_name_1340103_testudo</t>
  </si>
  <si>
    <t>device_name_1340104_leather_shield</t>
  </si>
  <si>
    <t>device_name_1340105_metal_plate</t>
  </si>
  <si>
    <t>device_name_1340106_spiked_shield</t>
  </si>
  <si>
    <t>device_name_1340107_vine_shield</t>
  </si>
  <si>
    <t>device_name_1340108_protective_short_sword</t>
  </si>
  <si>
    <t>Wooden shield</t>
  </si>
  <si>
    <t>Escudo de madera</t>
  </si>
  <si>
    <t>木製の盾</t>
  </si>
  <si>
    <t>Деревянный щит</t>
  </si>
  <si>
    <t>나무 방패</t>
  </si>
  <si>
    <t>長闊盾</t>
  </si>
  <si>
    <t>Long and broad shields</t>
  </si>
  <si>
    <t>Escudos largos y anchos</t>
  </si>
  <si>
    <t>長くて広いシールド</t>
  </si>
  <si>
    <t>Длинные и широкие щиты</t>
  </si>
  <si>
    <t>길고 넓은 방패</t>
  </si>
  <si>
    <t>Crusty shield</t>
  </si>
  <si>
    <t>Escudo crujiente</t>
  </si>
  <si>
    <t>クラスティシールド</t>
  </si>
  <si>
    <t>Хрустящий щит</t>
  </si>
  <si>
    <t>딱딱한 방패</t>
  </si>
  <si>
    <t>金屬板</t>
  </si>
  <si>
    <t>Sheet metal</t>
  </si>
  <si>
    <t>Hojalata</t>
  </si>
  <si>
    <t>板金</t>
  </si>
  <si>
    <t>Жесть</t>
  </si>
  <si>
    <t>판금</t>
  </si>
  <si>
    <t>尖刺格鬥盾</t>
  </si>
  <si>
    <t>Spiked fighting shield</t>
  </si>
  <si>
    <t>Escudo de combate con púas</t>
  </si>
  <si>
    <t>スパイク付きファイティングシールド</t>
  </si>
  <si>
    <t>Боевой щит с шипами</t>
  </si>
  <si>
    <t>가시 돋친 전투 방패</t>
  </si>
  <si>
    <t>Rattan</t>
  </si>
  <si>
    <t>Ratán</t>
  </si>
  <si>
    <t>藤</t>
  </si>
  <si>
    <t>Ротанг</t>
  </si>
  <si>
    <t>등나무</t>
  </si>
  <si>
    <t>格鬥短劍</t>
  </si>
  <si>
    <t>Fighting daggers</t>
  </si>
  <si>
    <t>Dagas de lucha</t>
  </si>
  <si>
    <t>ファイティングダガー</t>
  </si>
  <si>
    <t>Боевые кинжалы</t>
  </si>
  <si>
    <t>전투 단검</t>
  </si>
  <si>
    <t>device_name_1330107</t>
  </si>
  <si>
    <t>device_name_1330109</t>
  </si>
  <si>
    <t>device_name_1330110</t>
  </si>
  <si>
    <t>device_name_1330111</t>
  </si>
  <si>
    <t>device_name_1330112</t>
  </si>
  <si>
    <t>device_name_1330113</t>
  </si>
  <si>
    <t>黑洞发射器</t>
  </si>
  <si>
    <t>回收者</t>
  </si>
  <si>
    <t>气球枪</t>
  </si>
  <si>
    <t>铅球枪</t>
  </si>
  <si>
    <t>磁铁</t>
  </si>
  <si>
    <t>黑洞發射器</t>
  </si>
  <si>
    <t>Black hole emitter</t>
  </si>
  <si>
    <t>Emisor de agujero negro</t>
  </si>
  <si>
    <t>ブラックホールエミッター</t>
  </si>
  <si>
    <t>Излучатель черных дыр</t>
  </si>
  <si>
    <t>블랙홀 이미터</t>
  </si>
  <si>
    <t>Recyclers</t>
  </si>
  <si>
    <t>Recicladores</t>
  </si>
  <si>
    <t>リサイクル業者</t>
  </si>
  <si>
    <t>Переработчики</t>
  </si>
  <si>
    <t>재활용업체</t>
  </si>
  <si>
    <t>氣球槍</t>
  </si>
  <si>
    <t>Balloon guns</t>
  </si>
  <si>
    <t>Pistolas de globos</t>
  </si>
  <si>
    <t>バルーンガン</t>
  </si>
  <si>
    <t>Аэростатные пушки</t>
  </si>
  <si>
    <t>풍선 총</t>
  </si>
  <si>
    <t>鉛球槍</t>
  </si>
  <si>
    <t>Shot gun</t>
  </si>
  <si>
    <t>Escopeta</t>
  </si>
  <si>
    <t>Дробовик</t>
  </si>
  <si>
    <t>샷 건</t>
  </si>
  <si>
    <t>磁鐵</t>
  </si>
  <si>
    <t>magnet</t>
  </si>
  <si>
    <t>imán</t>
  </si>
  <si>
    <t>磁石</t>
  </si>
  <si>
    <t>магнит</t>
  </si>
  <si>
    <t>자석</t>
  </si>
  <si>
    <t>大百变怪</t>
    <phoneticPr fontId="8" type="noConversion"/>
  </si>
  <si>
    <t>device_name_1330108</t>
    <phoneticPr fontId="8" type="noConversion"/>
  </si>
  <si>
    <t>小百变怪</t>
    <phoneticPr fontId="8" type="noConversion"/>
  </si>
  <si>
    <t>大百變怪</t>
    <phoneticPr fontId="8" type="noConversion"/>
  </si>
  <si>
    <t>小百變怪</t>
    <phoneticPr fontId="8" type="noConversion"/>
  </si>
  <si>
    <t>BigDitto</t>
    <phoneticPr fontId="8" type="noConversion"/>
  </si>
  <si>
    <t>SmallDitto</t>
    <phoneticPr fontId="8" type="noConversion"/>
  </si>
  <si>
    <t>Grande Cambiable</t>
    <phoneticPr fontId="8" type="noConversion"/>
  </si>
  <si>
    <t>Pequeño Cambiable</t>
    <phoneticPr fontId="8" type="noConversion"/>
  </si>
  <si>
    <t>小さな異変</t>
    <phoneticPr fontId="8" type="noConversion"/>
  </si>
  <si>
    <t>大きな異変</t>
    <phoneticPr fontId="8" type="noConversion"/>
  </si>
  <si>
    <t>Маленькие странники</t>
    <phoneticPr fontId="8" type="noConversion"/>
  </si>
  <si>
    <t>Большие перемены</t>
    <phoneticPr fontId="8" type="noConversion"/>
  </si>
  <si>
    <r>
      <rPr>
        <sz val="11"/>
        <color theme="1"/>
        <rFont val="Malgun Gothic"/>
        <family val="2"/>
        <charset val="129"/>
      </rPr>
      <t>큰</t>
    </r>
    <r>
      <rPr>
        <sz val="11"/>
        <color theme="1"/>
        <rFont val="Calibri"/>
        <family val="2"/>
      </rPr>
      <t xml:space="preserve"> </t>
    </r>
    <r>
      <rPr>
        <sz val="11"/>
        <color theme="1"/>
        <rFont val="Malgun Gothic"/>
        <family val="2"/>
        <charset val="129"/>
      </rPr>
      <t>메타몽</t>
    </r>
    <phoneticPr fontId="8" type="noConversion"/>
  </si>
  <si>
    <r>
      <rPr>
        <sz val="11"/>
        <color theme="1"/>
        <rFont val="Malgun Gothic"/>
        <family val="2"/>
        <charset val="129"/>
      </rPr>
      <t>작은</t>
    </r>
    <r>
      <rPr>
        <sz val="11"/>
        <color theme="1"/>
        <rFont val="Calibri"/>
        <family val="2"/>
      </rPr>
      <t xml:space="preserve"> </t>
    </r>
    <r>
      <rPr>
        <sz val="11"/>
        <color theme="1"/>
        <rFont val="Malgun Gothic"/>
        <family val="2"/>
        <charset val="129"/>
      </rPr>
      <t>메타몽</t>
    </r>
    <phoneticPr fontId="8" type="noConversion"/>
  </si>
  <si>
    <t>device_name_1211801_wheel_lifebuoy</t>
  </si>
  <si>
    <t>救生圈</t>
  </si>
  <si>
    <t>buoy</t>
  </si>
  <si>
    <t>boya</t>
  </si>
  <si>
    <t>ブイ</t>
  </si>
  <si>
    <t>буй</t>
  </si>
  <si>
    <t>부표</t>
  </si>
  <si>
    <t>短柄渔叉</t>
  </si>
  <si>
    <t>device_name_1311801_short_harpoon</t>
  </si>
  <si>
    <t>轻机枪</t>
  </si>
  <si>
    <t>device_name_1320111_machine_gun</t>
  </si>
  <si>
    <t>device_name_1320112_anti_riot_revolver</t>
  </si>
  <si>
    <t>猎龙弩炮</t>
    <phoneticPr fontId="8" type="noConversion"/>
  </si>
  <si>
    <t>獵龍弩炮</t>
  </si>
  <si>
    <t>Hunting dragon ballistas</t>
  </si>
  <si>
    <t>Охота на драконьих баллист</t>
  </si>
  <si>
    <t>드래곤 발리스타 사냥</t>
  </si>
  <si>
    <t>Short-handled fishing fork</t>
  </si>
  <si>
    <t>Horquilla de pesca de mango corto</t>
  </si>
  <si>
    <t>柄の短い釣り用フォーク</t>
  </si>
  <si>
    <t>Вилка для рыбалки с короткой ручкой</t>
  </si>
  <si>
    <t>손잡이가 짧은 낚시 포크</t>
  </si>
  <si>
    <t>Light machine gun</t>
  </si>
  <si>
    <t>경기관총</t>
  </si>
  <si>
    <t>device_name_1320113_huge_ballista</t>
  </si>
  <si>
    <t>device_name_1320114_catapult</t>
  </si>
  <si>
    <t>Ametralladora ligera</t>
  </si>
  <si>
    <t>短柄漁叉</t>
  </si>
  <si>
    <t>relic_name_310203</t>
  </si>
  <si>
    <t>relic_name_310204</t>
  </si>
  <si>
    <t>relic_name_310205</t>
  </si>
  <si>
    <t>relic_name_310206</t>
  </si>
  <si>
    <t>relic_name_310207</t>
  </si>
  <si>
    <t>relic_name_310208</t>
  </si>
  <si>
    <t>relic_name_310217</t>
  </si>
  <si>
    <t>relic_name_310219</t>
  </si>
  <si>
    <t>relic_name_310407</t>
  </si>
  <si>
    <t>relic_name_310408</t>
  </si>
  <si>
    <t>relic_name_310409</t>
  </si>
  <si>
    <t>relic_desc_310203</t>
  </si>
  <si>
    <t>relic_desc_310204</t>
  </si>
  <si>
    <t>relic_desc_310205</t>
  </si>
  <si>
    <t>relic_desc_310206</t>
  </si>
  <si>
    <t>relic_desc_310207</t>
  </si>
  <si>
    <t>relic_desc_310208</t>
  </si>
  <si>
    <t>relic_desc_310217</t>
  </si>
  <si>
    <t>relic_desc_310219</t>
  </si>
  <si>
    <t>relic_desc_310407</t>
  </si>
  <si>
    <t>relic_desc_310408</t>
  </si>
  <si>
    <t>relic_desc_310409</t>
  </si>
  <si>
    <t>role_15101</t>
  </si>
  <si>
    <t>role_15102</t>
  </si>
  <si>
    <t>role_15103</t>
  </si>
  <si>
    <t>role_15104</t>
  </si>
  <si>
    <t>role_15105</t>
  </si>
  <si>
    <t>role_15106</t>
  </si>
  <si>
    <t>role_15107</t>
  </si>
  <si>
    <t>role_15108</t>
  </si>
  <si>
    <t>role_15109</t>
  </si>
  <si>
    <t>role_15110</t>
  </si>
  <si>
    <t>role_15111</t>
  </si>
  <si>
    <t>role_15112</t>
  </si>
  <si>
    <t>role_15113</t>
  </si>
  <si>
    <t>role_15114</t>
  </si>
  <si>
    <t>role_15115</t>
  </si>
  <si>
    <t>role_15116</t>
  </si>
  <si>
    <t>role_15117</t>
  </si>
  <si>
    <t>role_15118</t>
  </si>
  <si>
    <t>role_15119</t>
  </si>
  <si>
    <t>role_15120</t>
  </si>
  <si>
    <t>role_15121</t>
  </si>
  <si>
    <t>role_15122</t>
  </si>
  <si>
    <t>role_15123</t>
  </si>
  <si>
    <t>role_15124</t>
  </si>
  <si>
    <t>role_15125</t>
  </si>
  <si>
    <t>role_15126</t>
  </si>
  <si>
    <t>role_15127</t>
  </si>
  <si>
    <t>role_15128</t>
  </si>
  <si>
    <t>role_15129</t>
  </si>
  <si>
    <t>role_15130</t>
  </si>
  <si>
    <t>role_15131</t>
  </si>
  <si>
    <t>role_15132</t>
  </si>
  <si>
    <t>阿比盖尔</t>
  </si>
  <si>
    <t>阿飞</t>
  </si>
  <si>
    <t>雷锵锵</t>
  </si>
  <si>
    <t>响当当</t>
  </si>
  <si>
    <t>漆雕婵</t>
  </si>
  <si>
    <t>漆雕墩</t>
  </si>
  <si>
    <t>工头</t>
  </si>
  <si>
    <t>小绿人</t>
  </si>
  <si>
    <t>搞事</t>
  </si>
  <si>
    <t>小敏</t>
  </si>
  <si>
    <t>王亨利</t>
  </si>
  <si>
    <t>凯文</t>
  </si>
  <si>
    <t>村民</t>
  </si>
  <si>
    <t>爽爽</t>
  </si>
  <si>
    <t>古神</t>
  </si>
  <si>
    <t>鲁卡提耶</t>
  </si>
  <si>
    <t>帕奇</t>
  </si>
  <si>
    <t>呆呆兽</t>
  </si>
  <si>
    <t>蟹bro拟人</t>
  </si>
  <si>
    <t>艾米丽</t>
  </si>
  <si>
    <t>原创妹妹一</t>
  </si>
  <si>
    <t>原创妹妹二</t>
  </si>
  <si>
    <t>原创妹妹三</t>
  </si>
  <si>
    <t>原创妹妹四</t>
  </si>
  <si>
    <t>地宫特殊npc</t>
  </si>
  <si>
    <t>天空特殊npc</t>
  </si>
  <si>
    <t>密林特殊npc</t>
  </si>
  <si>
    <t>树梢特殊npc</t>
  </si>
  <si>
    <t>田野特殊npc</t>
  </si>
  <si>
    <t>永夜特殊npc</t>
  </si>
  <si>
    <t>沙漠特殊npc</t>
  </si>
  <si>
    <t>大湖特殊npc</t>
  </si>
  <si>
    <t>阿比蓋爾</t>
  </si>
  <si>
    <t>Abigail</t>
  </si>
  <si>
    <t>アビゲイル</t>
  </si>
  <si>
    <t>Камеристка</t>
  </si>
  <si>
    <t>애비</t>
  </si>
  <si>
    <t>阿飛</t>
  </si>
  <si>
    <t>hoodlum</t>
  </si>
  <si>
    <t>matón</t>
  </si>
  <si>
    <t>チンピラ</t>
  </si>
  <si>
    <t>хулиган</t>
  </si>
  <si>
    <t>불량배</t>
  </si>
  <si>
    <t>雷鏘鏘</t>
  </si>
  <si>
    <t>Thunder clang</t>
  </si>
  <si>
    <t>Sonido metálico de trueno</t>
  </si>
  <si>
    <t>雷鳴</t>
  </si>
  <si>
    <t>Лязг грома</t>
  </si>
  <si>
    <t>천둥 소리</t>
  </si>
  <si>
    <t>響噹噹</t>
  </si>
  <si>
    <t>Big</t>
  </si>
  <si>
    <t>Grande</t>
  </si>
  <si>
    <t>大きい</t>
  </si>
  <si>
    <t>Большой</t>
  </si>
  <si>
    <t>큰</t>
  </si>
  <si>
    <t>漆雕嬋</t>
  </si>
  <si>
    <t>Lacquer carving chan</t>
  </si>
  <si>
    <t>Tallado de laca</t>
  </si>
  <si>
    <t>漆彫りちゃん</t>
  </si>
  <si>
    <t>Чан для резьбы по лаку</t>
  </si>
  <si>
    <t>옻나무 조각 짱</t>
  </si>
  <si>
    <t>Lacquer carved pier</t>
  </si>
  <si>
    <t>Muelle tallado en laca</t>
  </si>
  <si>
    <t>漆彫りの桟橋</t>
  </si>
  <si>
    <t>Лакированная резная простенка</t>
  </si>
  <si>
    <t>옻칠 조각 교각</t>
  </si>
  <si>
    <t>工頭</t>
  </si>
  <si>
    <t>foreman</t>
  </si>
  <si>
    <t>capataz</t>
  </si>
  <si>
    <t>フォアマン</t>
  </si>
  <si>
    <t>мастер</t>
  </si>
  <si>
    <t>포먼</t>
  </si>
  <si>
    <t>小綠人</t>
  </si>
  <si>
    <t>Little Green Man</t>
  </si>
  <si>
    <t>Hombrecito Verde</t>
  </si>
  <si>
    <t>リトル・グリーンマン</t>
  </si>
  <si>
    <t>Маленький зеленый человечек</t>
  </si>
  <si>
    <t>리틀 그린 맨</t>
  </si>
  <si>
    <t>Cause trouble</t>
  </si>
  <si>
    <t>Causar problemas</t>
  </si>
  <si>
    <t>トラブルを引き起こす</t>
  </si>
  <si>
    <t>Причиняйте неприятности</t>
  </si>
  <si>
    <t>문제를 일으키다</t>
  </si>
  <si>
    <t>Xiao Min</t>
  </si>
  <si>
    <t>シャオミン</t>
  </si>
  <si>
    <t>Сяо Минь</t>
  </si>
  <si>
    <t>샤오민</t>
  </si>
  <si>
    <t>King Henry</t>
  </si>
  <si>
    <t>El rey Enrique</t>
  </si>
  <si>
    <t>ヘンリー王</t>
  </si>
  <si>
    <t>Король Генрих</t>
  </si>
  <si>
    <t>헨리 왕</t>
  </si>
  <si>
    <t>凱文</t>
  </si>
  <si>
    <t>Kevin</t>
  </si>
  <si>
    <t>ケビン</t>
  </si>
  <si>
    <t>Кевин</t>
  </si>
  <si>
    <t>케빈</t>
  </si>
  <si>
    <t>villager</t>
  </si>
  <si>
    <t>aldeano</t>
  </si>
  <si>
    <t>村人</t>
  </si>
  <si>
    <t>сельский житель</t>
  </si>
  <si>
    <t>마을 사람</t>
  </si>
  <si>
    <t>Refreshing</t>
  </si>
  <si>
    <t>Refrescante</t>
  </si>
  <si>
    <t>爽やか</t>
  </si>
  <si>
    <t>Освежающий</t>
  </si>
  <si>
    <t>상쾌한</t>
  </si>
  <si>
    <t>Ancient gods</t>
  </si>
  <si>
    <t>Dioses antiguos</t>
  </si>
  <si>
    <t>古代の神々</t>
  </si>
  <si>
    <t>Древние боги</t>
  </si>
  <si>
    <t>고대 신들</t>
  </si>
  <si>
    <t>魯卡提耶</t>
  </si>
  <si>
    <t>Rukatiye</t>
  </si>
  <si>
    <t>ルカティエ</t>
  </si>
  <si>
    <t>Рукатие</t>
  </si>
  <si>
    <t>루카티예</t>
  </si>
  <si>
    <t>Patch</t>
  </si>
  <si>
    <t>Parche</t>
  </si>
  <si>
    <t>パッチ</t>
  </si>
  <si>
    <t>Заплата</t>
  </si>
  <si>
    <t>패치</t>
  </si>
  <si>
    <t>呆呆獸</t>
  </si>
  <si>
    <t>Dumb beast</t>
  </si>
  <si>
    <t>Bestia tonta</t>
  </si>
  <si>
    <t>愚かな獣</t>
  </si>
  <si>
    <t>Бессловесная тварь</t>
  </si>
  <si>
    <t>멍청한 짐승</t>
  </si>
  <si>
    <t>蟹bro擬人</t>
  </si>
  <si>
    <t>Crab bro personified</t>
  </si>
  <si>
    <t>Hermano cangrejo personificado</t>
  </si>
  <si>
    <t>カニの兄弟を擬人化</t>
  </si>
  <si>
    <t>Олицетворение краба</t>
  </si>
  <si>
    <t>크랩 브라더의 의인화</t>
  </si>
  <si>
    <t>艾米麗</t>
  </si>
  <si>
    <t>Emily</t>
  </si>
  <si>
    <t>エミリー</t>
  </si>
  <si>
    <t>Эмили</t>
  </si>
  <si>
    <t>에밀리</t>
  </si>
  <si>
    <t>原創妹妹一</t>
  </si>
  <si>
    <t>Original sister one</t>
  </si>
  <si>
    <t>Hermana original uno</t>
  </si>
  <si>
    <t>オリジナル姉妹1</t>
  </si>
  <si>
    <t>Оригинальная сестра одна</t>
  </si>
  <si>
    <t>오리지날 자매 1 개</t>
  </si>
  <si>
    <t>原創妹妹二</t>
  </si>
  <si>
    <t>Original sister two</t>
  </si>
  <si>
    <t>Hermana original dos</t>
  </si>
  <si>
    <t>元の姉妹2人</t>
  </si>
  <si>
    <t>Первоначальная сестра две</t>
  </si>
  <si>
    <t>오리지날 자매 2명</t>
  </si>
  <si>
    <t>原創妹妹三</t>
  </si>
  <si>
    <t>Original sister three</t>
  </si>
  <si>
    <t>Hermana original tres</t>
  </si>
  <si>
    <t>元の姉妹3人</t>
  </si>
  <si>
    <t>Первоначальная сестра три</t>
  </si>
  <si>
    <t>오리지날 자매 3명</t>
  </si>
  <si>
    <t>原創妹妹四</t>
  </si>
  <si>
    <t>Original sister four</t>
  </si>
  <si>
    <t>Hermana original cuatro</t>
  </si>
  <si>
    <t>元々の姉妹4人</t>
  </si>
  <si>
    <t>Первоначальная четверка сестер</t>
  </si>
  <si>
    <t>오리지날 자매 4개</t>
  </si>
  <si>
    <t>地宮特殊npc</t>
  </si>
  <si>
    <t>Underground special NPC</t>
  </si>
  <si>
    <t>NPC especial subterráneo</t>
  </si>
  <si>
    <t>地下特殊NPC</t>
  </si>
  <si>
    <t>Подземный специальный NPC</t>
  </si>
  <si>
    <t>지하 특수 NPC</t>
  </si>
  <si>
    <t>Sky Special NPC</t>
  </si>
  <si>
    <t>NPC especial del cielo</t>
  </si>
  <si>
    <t>スカイスペシャルNPC</t>
  </si>
  <si>
    <t>Небесный особый NPC</t>
  </si>
  <si>
    <t>하늘 스페셜 NPC</t>
  </si>
  <si>
    <t>Dense forest special NPC</t>
  </si>
  <si>
    <t>NPC especial de bosque denso</t>
  </si>
  <si>
    <t>鬱蒼とした森の特殊NPC</t>
  </si>
  <si>
    <t>Особый NPC в густом лесу</t>
  </si>
  <si>
    <t>울창한 숲 특수 NPC</t>
  </si>
  <si>
    <t>樹梢特殊npc</t>
  </si>
  <si>
    <t>Treetop Special NPC</t>
  </si>
  <si>
    <t>NPC especial de copa de árbol</t>
  </si>
  <si>
    <t>ツリートップスペシャルNPC</t>
  </si>
  <si>
    <t>Особый NPC на верхушках деревьев</t>
  </si>
  <si>
    <t>나무 꼭대기 특수 NPC</t>
  </si>
  <si>
    <t>Field special NPC</t>
  </si>
  <si>
    <t>PNJ especial de campo</t>
  </si>
  <si>
    <t>フィールド特殊NPC</t>
  </si>
  <si>
    <t>Полевой специальный NPC</t>
  </si>
  <si>
    <t>필드 특수 NPC</t>
  </si>
  <si>
    <t>Eternal Night Special NPC</t>
  </si>
  <si>
    <t>NPC especial de la noche eterna</t>
  </si>
  <si>
    <t>永遠の夜スペシャルNPC</t>
  </si>
  <si>
    <t>Специальный NPC «Вечная ночь»</t>
  </si>
  <si>
    <t>영원한 밤 스페셜 NPC</t>
  </si>
  <si>
    <t>Desert Special NPC</t>
  </si>
  <si>
    <t>PNJ especial del desierto</t>
  </si>
  <si>
    <t>砂漠の特殊NPC</t>
  </si>
  <si>
    <t>Особый NPC пустыни</t>
  </si>
  <si>
    <t>사막 특별 NPC</t>
  </si>
  <si>
    <t>Great Lakes Special NPC</t>
  </si>
  <si>
    <t>NPC especial de los Grandes Lagos</t>
  </si>
  <si>
    <t>五大湖特別NPC</t>
  </si>
  <si>
    <t>Особый NPC «Великие озера»</t>
  </si>
  <si>
    <t>오대호 특별 NPC</t>
  </si>
  <si>
    <t>device_name_1361801_long_harpoon</t>
  </si>
  <si>
    <t>长柄鱼叉</t>
    <phoneticPr fontId="8" type="noConversion"/>
  </si>
  <si>
    <t>長柄魚叉</t>
  </si>
  <si>
    <t>Harpoon</t>
  </si>
  <si>
    <t>Arpón</t>
  </si>
  <si>
    <t>銛</t>
  </si>
  <si>
    <t>Гарпун</t>
  </si>
  <si>
    <t>작살</t>
  </si>
  <si>
    <t>loot_name_600101</t>
  </si>
  <si>
    <t>loot_name_600102</t>
  </si>
  <si>
    <t>loot_name_600103</t>
  </si>
  <si>
    <t>loot_name_600104</t>
  </si>
  <si>
    <t>loot_name_600105</t>
  </si>
  <si>
    <t>loot_name_600106</t>
  </si>
  <si>
    <t>loot_name_600107</t>
  </si>
  <si>
    <t>loot_name_600108</t>
  </si>
  <si>
    <t>loot_name_600109</t>
  </si>
  <si>
    <t>loot_name_600110</t>
  </si>
  <si>
    <t>loot_name_600401</t>
  </si>
  <si>
    <t>loot_name_600402</t>
  </si>
  <si>
    <t>loot_name_600403</t>
  </si>
  <si>
    <t>loot_name_600404</t>
  </si>
  <si>
    <t>loot_name_600405</t>
  </si>
  <si>
    <t>loot_name_600406</t>
  </si>
  <si>
    <t>loot_name_600407</t>
  </si>
  <si>
    <t>loot_name_600408</t>
  </si>
  <si>
    <t>loot_name_600409</t>
  </si>
  <si>
    <t>loot_name_600410</t>
  </si>
  <si>
    <t>loot_name_600701</t>
  </si>
  <si>
    <t>loot_name_600702</t>
  </si>
  <si>
    <t>loot_name_600703</t>
  </si>
  <si>
    <t>loot_name_600704</t>
  </si>
  <si>
    <t>loot_name_600705</t>
  </si>
  <si>
    <t>loot_name_600706</t>
  </si>
  <si>
    <t>loot_name_600707</t>
  </si>
  <si>
    <t>loot_name_600708</t>
  </si>
  <si>
    <t>loot_name_600709</t>
  </si>
  <si>
    <t>loot_name_600710</t>
  </si>
  <si>
    <t>loot_name_600801</t>
  </si>
  <si>
    <t>loot_name_600802</t>
  </si>
  <si>
    <t>loot_name_600803</t>
  </si>
  <si>
    <t>loot_name_600804</t>
  </si>
  <si>
    <t>loot_name_600805</t>
  </si>
  <si>
    <t>loot_name_600806</t>
  </si>
  <si>
    <t>loot_name_600807</t>
  </si>
  <si>
    <t>loot_name_600808</t>
  </si>
  <si>
    <t>loot_name_600809</t>
  </si>
  <si>
    <t>loot_name_600810</t>
  </si>
  <si>
    <t>loot_name_600811</t>
  </si>
  <si>
    <t>loot_name_600812</t>
  </si>
  <si>
    <t>loot_name_600813</t>
  </si>
  <si>
    <t>木武器柄</t>
  </si>
  <si>
    <t>洞穴人碎金</t>
  </si>
  <si>
    <t>狗头金</t>
  </si>
  <si>
    <t>洞穴人金块</t>
  </si>
  <si>
    <t>古代地宫柱梁</t>
  </si>
  <si>
    <t>古代地宫金砖</t>
  </si>
  <si>
    <t>古代地宫雕像</t>
  </si>
  <si>
    <t>大型鎏金木雕</t>
  </si>
  <si>
    <t>地宫怪物肉</t>
  </si>
  <si>
    <t>金属矛尖</t>
  </si>
  <si>
    <t>建木细枝</t>
  </si>
  <si>
    <t>建木粗枝</t>
  </si>
  <si>
    <t>系铃粗枝</t>
  </si>
  <si>
    <t>腐化粘液</t>
  </si>
  <si>
    <t>腐化细枝</t>
  </si>
  <si>
    <t>腐化粗枝</t>
  </si>
  <si>
    <t>腐化活木</t>
  </si>
  <si>
    <t>腐化新芽</t>
  </si>
  <si>
    <t>腐化果实</t>
  </si>
  <si>
    <t>焦腐朽木</t>
  </si>
  <si>
    <t>战箭残骸</t>
  </si>
  <si>
    <t>战刃残骸</t>
  </si>
  <si>
    <t>战斧残骸</t>
  </si>
  <si>
    <t>战盾残骸</t>
  </si>
  <si>
    <t>古代金币</t>
  </si>
  <si>
    <t>古代金饰</t>
  </si>
  <si>
    <t>古代金锭</t>
  </si>
  <si>
    <t>古代诅咒雕像1</t>
  </si>
  <si>
    <t>古代诅咒雕像2</t>
  </si>
  <si>
    <t>沙漠怪物肉</t>
  </si>
  <si>
    <t>水草</t>
  </si>
  <si>
    <t>Wooden weapon handle</t>
  </si>
  <si>
    <t>Mango de arma de madera</t>
  </si>
  <si>
    <t>木製武器ハンドル</t>
  </si>
  <si>
    <t>Деревянная рукоять оружия</t>
  </si>
  <si>
    <t>나무 무기 손잡이</t>
  </si>
  <si>
    <t>The cave man broke gold</t>
  </si>
  <si>
    <t>El hombre de las cavernas rompió oro</t>
  </si>
  <si>
    <t>穴居人は金を割った</t>
  </si>
  <si>
    <t>Пещерный человек разбил золото</t>
  </si>
  <si>
    <t>원시인이 금을 깨뜨렸다</t>
  </si>
  <si>
    <t>狗頭金</t>
  </si>
  <si>
    <t>Dog head gold</t>
  </si>
  <si>
    <t>Cabeza de perro dorada</t>
  </si>
  <si>
    <t>犬の頭の金</t>
  </si>
  <si>
    <t>Собачья голова золотая</t>
  </si>
  <si>
    <t>독 헤드 골드</t>
  </si>
  <si>
    <t>洞穴人金塊</t>
  </si>
  <si>
    <t>Caveman Nugget</t>
  </si>
  <si>
    <t>Pepita de hombre de las cavernas</t>
  </si>
  <si>
    <t>穴居人ナゲット</t>
  </si>
  <si>
    <t>Самородок пещерного человека</t>
  </si>
  <si>
    <t>원시인 너겟</t>
  </si>
  <si>
    <t>古代地宮柱樑</t>
  </si>
  <si>
    <t>Ancient underground palace pillars</t>
  </si>
  <si>
    <t>Antiguos pilares de palacios subterráneos</t>
  </si>
  <si>
    <t>古代の地下宮殿の柱</t>
  </si>
  <si>
    <t>Старинные подземные дворцовые колонны</t>
  </si>
  <si>
    <t>고대 지하 궁전 기둥</t>
  </si>
  <si>
    <t>古代地宮金磚</t>
  </si>
  <si>
    <t>Ancient underground palace gold bricks</t>
  </si>
  <si>
    <t>Antiguo palacio subterráneo de ladrillos dorados</t>
  </si>
  <si>
    <t>古代の地下宮殿の金レンガ</t>
  </si>
  <si>
    <t>Древние подземные дворцовые золотые кирпичи</t>
  </si>
  <si>
    <t>고대 지하 궁전 금벽돌</t>
  </si>
  <si>
    <t>古代地宮雕像</t>
  </si>
  <si>
    <t>Ancient underground palace statues</t>
  </si>
  <si>
    <t>Antiguas estatuas de palacios subterráneos</t>
  </si>
  <si>
    <t>古代の地下宮殿の彫像</t>
  </si>
  <si>
    <t>Древние подземные дворцовые статуи</t>
  </si>
  <si>
    <t>고대 지하 궁전 조각상</t>
  </si>
  <si>
    <t>Large gilt wood carving</t>
  </si>
  <si>
    <t>Gran talla de madera dorada</t>
  </si>
  <si>
    <t>大きな金箔の木彫り</t>
  </si>
  <si>
    <t>Крупная резьба по позолоченому дереву</t>
  </si>
  <si>
    <t>큰 금박 나무 조각</t>
  </si>
  <si>
    <t>地宮怪物肉</t>
  </si>
  <si>
    <t>Underground monster meat</t>
  </si>
  <si>
    <t>Carne de monstruo subterráneo</t>
  </si>
  <si>
    <t>地下モンスター肉</t>
  </si>
  <si>
    <t>Подземное мясо монстра</t>
  </si>
  <si>
    <t>지하 몬스터 고기</t>
  </si>
  <si>
    <t>金屬矛尖</t>
  </si>
  <si>
    <t>Metal spear tip</t>
  </si>
  <si>
    <t>Punta de lanza de metal</t>
  </si>
  <si>
    <t>金属製の槍先</t>
  </si>
  <si>
    <t>Металлический наконечник копья</t>
  </si>
  <si>
    <t>금속 창 끝</t>
  </si>
  <si>
    <t>建木細枝</t>
  </si>
  <si>
    <t>Build a tree twig</t>
  </si>
  <si>
    <t>Construye una ramita de árbol</t>
  </si>
  <si>
    <t>木の小枝を作る</t>
  </si>
  <si>
    <t>Соорудим ветку дерева</t>
  </si>
  <si>
    <t>나무 나뭇가지를 만들기</t>
  </si>
  <si>
    <t>Build a tree with thick branches</t>
  </si>
  <si>
    <t>Construye un árbol con ramas gruesas</t>
  </si>
  <si>
    <t>太い枝で木を建てる</t>
  </si>
  <si>
    <t>Строим дерево с толстыми ветвями</t>
  </si>
  <si>
    <t>가지가 굵은 나무를 짓기</t>
  </si>
  <si>
    <t>系鈴粗枝</t>
  </si>
  <si>
    <t>Tie the bell thick branch</t>
  </si>
  <si>
    <t>Ata la rama gruesa de la campana</t>
  </si>
  <si>
    <t>太い枝を鐘に結ぶ</t>
  </si>
  <si>
    <t>Подвязываем колокольчик толстой веткой</t>
  </si>
  <si>
    <t>종을 굵은 나뭇가지로 묶는다</t>
  </si>
  <si>
    <t>Corrupt slime</t>
  </si>
  <si>
    <t>Baba corrupta</t>
  </si>
  <si>
    <t>腐敗したスライム</t>
  </si>
  <si>
    <t>Испорченная слизь</t>
  </si>
  <si>
    <t>타락한 슬라임</t>
  </si>
  <si>
    <t>腐化細枝</t>
  </si>
  <si>
    <t>Corrupt twigs</t>
  </si>
  <si>
    <t>Ramitas corruptas</t>
  </si>
  <si>
    <t>腐敗した小枝</t>
  </si>
  <si>
    <t>Испорченные веточки</t>
  </si>
  <si>
    <t>부패한 나뭇가지</t>
  </si>
  <si>
    <t>Rotten thick branches</t>
  </si>
  <si>
    <t>Ramas gruesas y podridas</t>
  </si>
  <si>
    <t>腐った太い枝</t>
  </si>
  <si>
    <t>Гнилые толстые ветки</t>
  </si>
  <si>
    <t>썩은 굵은 가지</t>
  </si>
  <si>
    <t>Corrupt living wood</t>
  </si>
  <si>
    <t>Madera viva corrupta</t>
  </si>
  <si>
    <t>腐敗した生きた木</t>
  </si>
  <si>
    <t>Испорченная живая древесина</t>
  </si>
  <si>
    <t>부패한 살아있는 나무</t>
  </si>
  <si>
    <t>Corrupt shoots</t>
  </si>
  <si>
    <t>Brotes corruptos</t>
  </si>
  <si>
    <t>腐敗したシュート</t>
  </si>
  <si>
    <t>Испорченные побеги</t>
  </si>
  <si>
    <t>부패한 싹</t>
  </si>
  <si>
    <t>腐化果實</t>
  </si>
  <si>
    <t>Corrupted Fruit</t>
  </si>
  <si>
    <t>Fruta corrupta</t>
  </si>
  <si>
    <t>堕落した果実</t>
  </si>
  <si>
    <t>Оскверненный фрукт</t>
  </si>
  <si>
    <t>타락한 과일</t>
  </si>
  <si>
    <t>Scorched rotten wood</t>
  </si>
  <si>
    <t>Madera podrida chamuscada</t>
  </si>
  <si>
    <t>焦げた腐った木</t>
  </si>
  <si>
    <t>Опаленная гнилая древесина</t>
  </si>
  <si>
    <t>그을린 썩은 나무</t>
  </si>
  <si>
    <t>戰箭殘骸</t>
  </si>
  <si>
    <t>The wreckage of the arrows</t>
  </si>
  <si>
    <t>Los restos de las flechas</t>
  </si>
  <si>
    <t>矢の残骸</t>
  </si>
  <si>
    <t>Обломки стрел</t>
  </si>
  <si>
    <t>화살의 잔해</t>
  </si>
  <si>
    <t>戰刃殘骸</t>
  </si>
  <si>
    <t>The wreckage of the blade</t>
  </si>
  <si>
    <t>Los restos de la hoja</t>
  </si>
  <si>
    <t>ブレードの残骸</t>
  </si>
  <si>
    <t>Обломки клинка</t>
  </si>
  <si>
    <t>칼날의 잔해</t>
  </si>
  <si>
    <t>戰斧殘骸</t>
  </si>
  <si>
    <t>Tomahawk wreckage</t>
  </si>
  <si>
    <t>Restos del Tomahawk</t>
  </si>
  <si>
    <t>トマホークの残骸</t>
  </si>
  <si>
    <t>Обломки «Томагавка»</t>
  </si>
  <si>
    <t>토마호크 잔해</t>
  </si>
  <si>
    <t>戰盾殘骸</t>
  </si>
  <si>
    <t>The wreckage of the battle shield</t>
  </si>
  <si>
    <t>Los restos del escudo de batalla</t>
  </si>
  <si>
    <t>戦闘シールドの残骸</t>
  </si>
  <si>
    <t>Обломки боевого щита</t>
  </si>
  <si>
    <t>전투 방패의 잔해</t>
  </si>
  <si>
    <t>古代金幣</t>
  </si>
  <si>
    <t>Ancient gold coins</t>
  </si>
  <si>
    <t>Monedas de oro antiguas</t>
  </si>
  <si>
    <t>古代の金貨</t>
  </si>
  <si>
    <t>Старинные золотые монеты</t>
  </si>
  <si>
    <t>고대 금화</t>
  </si>
  <si>
    <t>古代金飾</t>
  </si>
  <si>
    <t>Ancient gold jewelry</t>
  </si>
  <si>
    <t>Joyas de oro antiguas</t>
  </si>
  <si>
    <t>古代の金のジュエリー</t>
  </si>
  <si>
    <t>Старинные золотые украшения</t>
  </si>
  <si>
    <t>고대 금 장신구</t>
  </si>
  <si>
    <t>古代金錠</t>
  </si>
  <si>
    <t>Ancient gold ingots</t>
  </si>
  <si>
    <t>Lingotes de oro antiguos</t>
  </si>
  <si>
    <t>古代の金塊</t>
  </si>
  <si>
    <t>Древние золотые слитки</t>
  </si>
  <si>
    <t>고대 금괴</t>
  </si>
  <si>
    <t>古代詛咒雕像1</t>
  </si>
  <si>
    <t>Ancient Curse Statue 1</t>
  </si>
  <si>
    <t>Estatua de la maldición antigua 1</t>
  </si>
  <si>
    <t>古代の呪いの像1</t>
  </si>
  <si>
    <t>Статуя древнего проклятия 1</t>
  </si>
  <si>
    <t>고대의 저주상1</t>
  </si>
  <si>
    <t>古代詛咒雕像2</t>
  </si>
  <si>
    <t>Ancient Cursed Statue 2</t>
  </si>
  <si>
    <t>Estatua maldita antigua 2</t>
  </si>
  <si>
    <t>古代の呪われた像 2</t>
  </si>
  <si>
    <t>Древняя проклятая статуя 2</t>
  </si>
  <si>
    <t>고대의 저주받은 조각상 2</t>
  </si>
  <si>
    <t>Desert monster meat</t>
  </si>
  <si>
    <t>Carne de monstruo del desierto</t>
  </si>
  <si>
    <t>砂漠のモンスター肉</t>
  </si>
  <si>
    <t>Мясо пустынного монстра</t>
  </si>
  <si>
    <t>사막 몬스터 고기</t>
  </si>
  <si>
    <t>Plants</t>
  </si>
  <si>
    <t>Plantas</t>
  </si>
  <si>
    <t>草木</t>
  </si>
  <si>
    <t>Растения</t>
  </si>
  <si>
    <t>식물</t>
  </si>
  <si>
    <t>营地资源 - 名称</t>
    <phoneticPr fontId="8" type="noConversion"/>
  </si>
  <si>
    <t>camp_res_name</t>
    <phoneticPr fontId="8" type="noConversion"/>
  </si>
  <si>
    <t>camp_res_name_6111</t>
  </si>
  <si>
    <t>camp_res_name_6112</t>
  </si>
  <si>
    <t>camp_res_name_6113</t>
  </si>
  <si>
    <t>camp_res_name_6114</t>
  </si>
  <si>
    <t>camp_res_name_6121</t>
  </si>
  <si>
    <t>camp_res_name_6122</t>
  </si>
  <si>
    <t>camp_res_name_6123</t>
  </si>
  <si>
    <t>camp_res_name_6124</t>
  </si>
  <si>
    <t>camp_res_name_6126</t>
  </si>
  <si>
    <t>camp_res_name_6127</t>
  </si>
  <si>
    <t>camp_res_name_6128</t>
  </si>
  <si>
    <t>黄金</t>
  </si>
  <si>
    <t>木材</t>
  </si>
  <si>
    <t>食物</t>
  </si>
  <si>
    <t>火硫磺</t>
  </si>
  <si>
    <t>天空石</t>
  </si>
  <si>
    <t>建木根须</t>
  </si>
  <si>
    <t>建木果实</t>
  </si>
  <si>
    <t>矮人矿石</t>
  </si>
  <si>
    <t>沙漠水晶</t>
  </si>
  <si>
    <t>珍珠</t>
  </si>
  <si>
    <t>金属</t>
    <phoneticPr fontId="8" type="noConversion"/>
  </si>
  <si>
    <t>黃金</t>
  </si>
  <si>
    <t>gold</t>
  </si>
  <si>
    <t>oro</t>
  </si>
  <si>
    <t>金</t>
  </si>
  <si>
    <t>золото</t>
  </si>
  <si>
    <t>금</t>
  </si>
  <si>
    <t>timber</t>
  </si>
  <si>
    <t>madera</t>
  </si>
  <si>
    <t>древесина</t>
  </si>
  <si>
    <t>목재</t>
  </si>
  <si>
    <t>food</t>
  </si>
  <si>
    <t>víveres</t>
  </si>
  <si>
    <t>食べ物</t>
  </si>
  <si>
    <t>пища</t>
  </si>
  <si>
    <t>음식</t>
  </si>
  <si>
    <t>金屬</t>
  </si>
  <si>
    <t>metal</t>
  </si>
  <si>
    <t>メタル</t>
  </si>
  <si>
    <t>металл</t>
  </si>
  <si>
    <t>금속</t>
  </si>
  <si>
    <t>Fire brimstone</t>
  </si>
  <si>
    <t>Azufre de fuego</t>
  </si>
  <si>
    <t>硫黄</t>
  </si>
  <si>
    <t>Огненная сера</t>
  </si>
  <si>
    <t>불유황</t>
  </si>
  <si>
    <t>Sky Stone</t>
  </si>
  <si>
    <t>Piedra del cielo</t>
  </si>
  <si>
    <t>スカイストーン</t>
  </si>
  <si>
    <t>Небесный камень</t>
  </si>
  <si>
    <t>스카이 스톤</t>
  </si>
  <si>
    <t>建木根須</t>
  </si>
  <si>
    <t>Build a tree root beard</t>
  </si>
  <si>
    <t>Construye una barba de raíz de árbol</t>
  </si>
  <si>
    <t>木の根のあごひげを作る</t>
  </si>
  <si>
    <t>Постройте бороду из корня дерева</t>
  </si>
  <si>
    <t>나무 뿌리 수염 만들기</t>
  </si>
  <si>
    <t>建木果實</t>
  </si>
  <si>
    <t>Fruit of Jianmu</t>
  </si>
  <si>
    <t>Fruta de Jianmu</t>
  </si>
  <si>
    <t>Jianmuの果実</t>
  </si>
  <si>
    <t>Плод Цзяньму</t>
  </si>
  <si>
    <t>젠무의 열매</t>
  </si>
  <si>
    <t>矮人礦石</t>
  </si>
  <si>
    <t>Dwarven ore</t>
  </si>
  <si>
    <t>Mineral enano</t>
  </si>
  <si>
    <t>ドワーフ鉱石</t>
  </si>
  <si>
    <t>Гномья руда</t>
  </si>
  <si>
    <t>드워프 광석</t>
  </si>
  <si>
    <t>Desert Crystal</t>
  </si>
  <si>
    <t>Cristal del desierto</t>
  </si>
  <si>
    <t>砂漠の結晶</t>
  </si>
  <si>
    <t>Пустынный кристалл</t>
  </si>
  <si>
    <t>사막의 수정</t>
  </si>
  <si>
    <t>pearl</t>
  </si>
  <si>
    <t>perla</t>
  </si>
  <si>
    <t>真珠</t>
  </si>
  <si>
    <t>жемчуг</t>
  </si>
  <si>
    <t>진주</t>
  </si>
  <si>
    <t>泥棒</t>
  </si>
  <si>
    <t>도둑</t>
  </si>
  <si>
    <t>device_name_1311802_tentacle</t>
  </si>
  <si>
    <t>海妖触手</t>
  </si>
  <si>
    <t>海妖觸手</t>
  </si>
  <si>
    <t>Siren tentacles</t>
  </si>
  <si>
    <t>Tentáculos de sirena</t>
  </si>
  <si>
    <t>サイレン触手</t>
  </si>
  <si>
    <t>Щупальца сирены</t>
  </si>
  <si>
    <t>사이렌 촉수</t>
  </si>
  <si>
    <t>滚木</t>
    <phoneticPr fontId="8" type="noConversion"/>
  </si>
  <si>
    <t>远程-滚木</t>
    <phoneticPr fontId="8" type="noConversion"/>
  </si>
  <si>
    <t>远程-投石器</t>
    <phoneticPr fontId="8" type="noConversion"/>
  </si>
  <si>
    <t>远程-猎龙弩炮</t>
    <phoneticPr fontId="8" type="noConversion"/>
  </si>
  <si>
    <t>device_name_1320115_roll_wood</t>
  </si>
  <si>
    <t>滾木</t>
  </si>
  <si>
    <t>Rolling wood</t>
  </si>
  <si>
    <t>ローリングウッド</t>
  </si>
  <si>
    <t>롤링 우드</t>
  </si>
  <si>
    <t>weather_name</t>
    <phoneticPr fontId="8" type="noConversion"/>
  </si>
  <si>
    <t>weather_desc</t>
    <phoneticPr fontId="8" type="noConversion"/>
  </si>
  <si>
    <t>天气 - 名称</t>
    <phoneticPr fontId="8" type="noConversion"/>
  </si>
  <si>
    <t>天气 - 描述</t>
    <phoneticPr fontId="8" type="noConversion"/>
  </si>
  <si>
    <t>weather_name_0</t>
  </si>
  <si>
    <t>weather_name_460401</t>
  </si>
  <si>
    <t>weather_name_460402</t>
  </si>
  <si>
    <t>weather_name_460403</t>
  </si>
  <si>
    <t>weather_name_460404</t>
  </si>
  <si>
    <t>weather_name_460701</t>
  </si>
  <si>
    <t>weather_name_460702</t>
  </si>
  <si>
    <t>weather_name_460703</t>
  </si>
  <si>
    <t>weather_name_460704</t>
  </si>
  <si>
    <t>weather_name_460705</t>
  </si>
  <si>
    <t>weather_name_460801</t>
  </si>
  <si>
    <t>weather_name_460802</t>
  </si>
  <si>
    <t>weather_name_460803</t>
  </si>
  <si>
    <t>weather_name_460804</t>
  </si>
  <si>
    <t>晴</t>
  </si>
  <si>
    <t>薄雾</t>
  </si>
  <si>
    <t>黑色妖雾</t>
  </si>
  <si>
    <t>浓厚妖雾</t>
  </si>
  <si>
    <t>扬尘</t>
  </si>
  <si>
    <t>沙暴</t>
  </si>
  <si>
    <t>阴天</t>
  </si>
  <si>
    <t>下雨</t>
  </si>
  <si>
    <t>暴雨</t>
  </si>
  <si>
    <t>雷暴</t>
  </si>
  <si>
    <t>weather_desc_0</t>
  </si>
  <si>
    <t>weather_desc_460401</t>
  </si>
  <si>
    <t>weather_desc_460402</t>
  </si>
  <si>
    <t>weather_desc_460403</t>
  </si>
  <si>
    <t>weather_desc_460404</t>
  </si>
  <si>
    <t>weather_desc_460701</t>
  </si>
  <si>
    <t>weather_desc_460702</t>
  </si>
  <si>
    <t>weather_desc_460703</t>
  </si>
  <si>
    <t>weather_desc_460704</t>
  </si>
  <si>
    <t>weather_desc_460705</t>
  </si>
  <si>
    <t>weather_desc_460801</t>
  </si>
  <si>
    <t>weather_desc_460802</t>
  </si>
  <si>
    <t>weather_desc_460803</t>
  </si>
  <si>
    <t>weather_desc_460804</t>
  </si>
  <si>
    <t>薄霧</t>
  </si>
  <si>
    <t>mist</t>
  </si>
  <si>
    <t>niebla</t>
  </si>
  <si>
    <t>霧</t>
  </si>
  <si>
    <t>туман</t>
  </si>
  <si>
    <t>안개</t>
  </si>
  <si>
    <t>黑色妖霧</t>
  </si>
  <si>
    <t>Black demon mist</t>
  </si>
  <si>
    <t>Niebla demoníaca negra</t>
  </si>
  <si>
    <t>黒魔霧</t>
  </si>
  <si>
    <t>Черный демонический туман</t>
  </si>
  <si>
    <t>검은 악마 안개</t>
  </si>
  <si>
    <t>濃厚妖霧</t>
  </si>
  <si>
    <t>Thick demonic mist</t>
  </si>
  <si>
    <t>Espesa niebla demoníaca</t>
  </si>
  <si>
    <t>濃い魔の霧</t>
  </si>
  <si>
    <t>Густой демонический туман</t>
  </si>
  <si>
    <t>짙은 악마의 안개</t>
  </si>
  <si>
    <t>揚塵</t>
  </si>
  <si>
    <t>Dust</t>
  </si>
  <si>
    <t>Polvo</t>
  </si>
  <si>
    <t>塵</t>
  </si>
  <si>
    <t>Пыль</t>
  </si>
  <si>
    <t>먼지</t>
  </si>
  <si>
    <t>sandstorm</t>
  </si>
  <si>
    <t>tormenta de arena</t>
  </si>
  <si>
    <t>砂嵐</t>
  </si>
  <si>
    <t>самум</t>
  </si>
  <si>
    <t>모래 폭풍</t>
  </si>
  <si>
    <t>陰天</t>
  </si>
  <si>
    <t>cloudy</t>
  </si>
  <si>
    <t>nublado</t>
  </si>
  <si>
    <t>曇り</t>
  </si>
  <si>
    <t>облачный</t>
  </si>
  <si>
    <t>흐린</t>
  </si>
  <si>
    <t>Rain</t>
  </si>
  <si>
    <t>Lluvia</t>
  </si>
  <si>
    <t>雨</t>
  </si>
  <si>
    <t>Дождь</t>
  </si>
  <si>
    <t>비</t>
  </si>
  <si>
    <t>rainstorm</t>
  </si>
  <si>
    <t>tormenta</t>
  </si>
  <si>
    <t>暴風雨</t>
  </si>
  <si>
    <t>ливень с ураганом</t>
  </si>
  <si>
    <t>폭풍우</t>
  </si>
  <si>
    <t>thunderstorm</t>
  </si>
  <si>
    <t>雷雨</t>
  </si>
  <si>
    <t>гроза</t>
  </si>
  <si>
    <t>뇌우</t>
  </si>
  <si>
    <t>weather_name_460700</t>
  </si>
  <si>
    <t>weather_name_460800</t>
  </si>
  <si>
    <t>积沙</t>
  </si>
  <si>
    <t>积沙，扬尘</t>
  </si>
  <si>
    <t>积沙，沙暴</t>
  </si>
  <si>
    <t>積沙</t>
  </si>
  <si>
    <t>Sand accumulates</t>
  </si>
  <si>
    <t>La arena se acumula</t>
  </si>
  <si>
    <t>砂がたまる</t>
  </si>
  <si>
    <t>Накапливается песок</t>
  </si>
  <si>
    <t>모래가 쌓인다</t>
  </si>
  <si>
    <t>積沙，揚塵</t>
  </si>
  <si>
    <t>Sand accumulates and raises dust</t>
  </si>
  <si>
    <t>La arena se acumula y levanta polvo</t>
  </si>
  <si>
    <t>砂がたまり、ほこりが発生します</t>
  </si>
  <si>
    <t>Песок накапливается и поднимает пыль</t>
  </si>
  <si>
    <t>모래가 쌓여 먼지가 발생합니다.</t>
  </si>
  <si>
    <t>積沙，沙暴</t>
  </si>
  <si>
    <t>Sand accumulation, sandstorm</t>
  </si>
  <si>
    <t>Acumulación de arena, tormenta de arena</t>
  </si>
  <si>
    <t>砂の蓄積、砂嵐</t>
  </si>
  <si>
    <t>Накопление песка, песчаная буря</t>
  </si>
  <si>
    <t>모래 축적, 모래 폭풍</t>
  </si>
  <si>
    <t>weather_desc_460700</t>
  </si>
  <si>
    <t>weather_desc_460800</t>
  </si>
  <si>
    <t>weather_name_460400</t>
  </si>
  <si>
    <t>晴空</t>
  </si>
  <si>
    <t>浓雾</t>
  </si>
  <si>
    <t>曝晒</t>
  </si>
  <si>
    <t>暖阳</t>
  </si>
  <si>
    <t>cloudless sky</t>
  </si>
  <si>
    <t>cielo despejado</t>
  </si>
  <si>
    <t>雲ひとつない空</t>
  </si>
  <si>
    <t>безоблачное небо</t>
  </si>
  <si>
    <t>구름 한 점 없는 하늘</t>
  </si>
  <si>
    <t>濃霧</t>
  </si>
  <si>
    <t>Dense fog</t>
  </si>
  <si>
    <t>Niebla densa</t>
  </si>
  <si>
    <t>Густой туман</t>
  </si>
  <si>
    <t>짙은 안개</t>
  </si>
  <si>
    <t>曝曬</t>
  </si>
  <si>
    <t>Exposure</t>
  </si>
  <si>
    <t>Exposición</t>
  </si>
  <si>
    <t>接触</t>
  </si>
  <si>
    <t>Экспозиция</t>
  </si>
  <si>
    <t>노출</t>
  </si>
  <si>
    <t>暖陽</t>
  </si>
  <si>
    <t>Warm sun</t>
  </si>
  <si>
    <t>Sol cálido</t>
  </si>
  <si>
    <t>暖かい太陽</t>
  </si>
  <si>
    <t>Теплое солнце</t>
  </si>
  <si>
    <t>따뜻한 태양</t>
  </si>
  <si>
    <t>weather_desc_460400</t>
  </si>
  <si>
    <t>飞星不动，脱水脱水。&lt;br&gt;&lt;br&gt;&lt;i&gt;无特殊效果&lt;/i&gt;</t>
  </si>
  <si>
    <t>日照芳林，金光如霰。&lt;br&gt;&lt;br&gt;&lt;i&gt;无特殊效果&lt;/i&gt;</t>
  </si>
  <si>
    <t>薄雾朦胧，如梦似幻。&lt;br&gt;&lt;br&gt;&lt;i&gt;限制视野范围（轻微）&lt;/i&gt;</t>
  </si>
  <si>
    <t>林雾环绕，鸟兽隐现。&lt;br&gt;&lt;br&gt;&lt;i&gt;限制视野范围（中等）&lt;/i&gt;&lt;br&gt;&lt;i&gt;浓雾中刷出各种丛林生物&lt;/i&gt;</t>
  </si>
  <si>
    <t>妖雾乍起，妖邪初现。&lt;br&gt;&lt;br&gt;&lt;i&gt;限制视野范围（中等）&lt;/i&gt;&lt;br&gt;&lt;i&gt;浓雾中刷出各种魔物&lt;/i&gt;</t>
  </si>
  <si>
    <t>浓雾弥漫，鬼魅丛生。&lt;br&gt;&lt;br&gt;&lt;i&gt;限制视野范围（中等）&lt;/i&gt;&lt;br&gt;&lt;i&gt;浓雾中刷出各种魔物&lt;/i&gt;&lt;br&gt;&lt;i&gt;所有魔物快速回血&lt;/i&gt;</t>
  </si>
  <si>
    <t>烈日当空，赤地千里。&lt;br&gt;&lt;br&gt;&lt;i&gt;无特殊效果&lt;/i&gt;</t>
  </si>
  <si>
    <t>扬尘四起，八方迷离。&lt;br&gt;&lt;br&gt;&lt;i&gt;所有飞射物额外产生20%未命中几率。&lt;/i&gt;</t>
  </si>
  <si>
    <t>沙暴肆虐，遮天蔽日。&lt;br&gt;&lt;br&gt;&lt;i&gt;所有飞射物额外产生80%未命中几率。&lt;/i&gt;</t>
  </si>
  <si>
    <t>遍地积沙，长路难行。&lt;br&gt;&lt;br&gt;&lt;i&gt;减缓车辆移速。&lt;/i&gt;&lt;br&gt;&lt;i&gt;周期性从流沙中生成沙漠蛇与毒蝎。&lt;/i&gt;</t>
  </si>
  <si>
    <t>流沙在下，扬尘在前。&lt;br&gt;&lt;br&gt;&lt;i&gt;减缓车辆移速。&lt;/i&gt;&lt;br&gt;&lt;i&gt;周期性从流沙中生成沙漠蛇与毒蝎。&lt;/i&gt;&lt;br&gt;&lt;i&gt;所有飞射物额外产生30%未命中几率。&lt;/i&gt;</t>
  </si>
  <si>
    <t>困于深沙，陷于尘暴。&lt;br&gt;&lt;br&gt;&lt;i&gt;减缓车辆移速。&lt;/i&gt;&lt;br&gt;&lt;i&gt;周期性从流沙中生成沙漠蛇与毒蝎。&lt;/i&gt;&lt;br&gt;&lt;i&gt;所有飞射物额外产生80%未命中几率。&lt;/i&gt;</t>
  </si>
  <si>
    <t>暖阳高照，正当其时。&lt;br&gt;&lt;br&gt;&lt;i&gt;无特殊效果&lt;/i&gt;</t>
  </si>
  <si>
    <t>乌云密布，山雨欲来。&lt;br&gt;&lt;br&gt;&lt;i&gt;无特殊效果&lt;/i&gt;</t>
  </si>
  <si>
    <t>细雨朦胧，润物无声。&lt;br&gt;&lt;br&gt;&lt;i&gt;所有水生生物周期性获得生命恢复。&lt;/i&gt;&lt;br&gt;&lt;i&gt;持续移除场景中的燃烧与酸蚀效果。&lt;/i&gt;</t>
  </si>
  <si>
    <t>暴雨如注，倾盆如瀑。&lt;br&gt;&lt;br&gt;&lt;i&gt;所有水生生物周期性获得生命恢复。&lt;/i&gt;&lt;br&gt;&lt;i&gt;持续移除场景中的燃烧与酸蚀效果。&lt;/i&gt;&lt;br&gt;&lt;i&gt;不断有螃蟹从天空中掉下。&lt;/i&gt;</t>
  </si>
  <si>
    <t>惊雷动地，霹雳破空。&lt;br&gt;&lt;br&gt;&lt;i&gt;所有水生生物周期性获得生命恢复。&lt;/i&gt;&lt;br&gt;&lt;i&gt;持续移除场景中的燃烧与酸蚀效果。&lt;/i&gt;&lt;br&gt;&lt;i&gt;不断有螃蟹从天空中掉下。&lt;/i&gt;</t>
  </si>
  <si>
    <t>飛星不動，脫水脫水。 &lt;br&gt;&lt;br&gt;&lt;i&gt;無特殊效果&lt;/i&gt;</t>
  </si>
  <si>
    <t>The flying star does not move, dehydrated and dehydrated. &lt;br&gt;&lt;br&gt;&lt;i&gt;No special effects&lt;/i&gt;</t>
  </si>
  <si>
    <t>La estrella voladora no se mueve, deshidratada y deshidratada. &lt;br&gt;&lt;br&gt;&lt;i&gt;Sin efectos especiales&lt;/i&gt;</t>
  </si>
  <si>
    <t>空飛ぶ星は動かず、脱水され、脱水されます。 &lt;br&gt;&lt;br&gt;&lt;i&gt;特殊効果なし&lt;/i&gt;</t>
  </si>
  <si>
    <t>Летящая звезда не двигается, обезвоженная и обезвоженная. &lt;br&gt;&lt;br&gt;&lt;i&gt;Никаких спецэффектов&lt;/i&gt;</t>
  </si>
  <si>
    <t>플라잉 스타는 움직이지 않고 탈수되고 탈수됩니다. &lt;br&gt;&lt;br&gt;&lt;i&gt;특수 효과 없음&lt;/i&gt;</t>
  </si>
  <si>
    <t>日照芳林，金光如霰。 &lt;br&gt;&lt;br&gt;&lt;i&gt;無特殊效果&lt;/i&gt;</t>
  </si>
  <si>
    <t>The sun shines on the fragrant forest, and the golden light is like a hail. &lt;br&gt;&lt;br&gt;&lt;i&gt;No special effects&lt;/i&gt;</t>
  </si>
  <si>
    <t>El sol brilla sobre el bosque fragante y la luz dorada es como un granizo. &lt;br&gt;&lt;br&gt;&lt;i&gt;Sin efectos especiales&lt;/i&gt;</t>
  </si>
  <si>
    <t>太陽が香りのよい森を照らし、金色の光は雹のようです。 &lt;br&gt;&lt;br&gt;&lt;i&gt;特殊効果なし&lt;/i&gt;</t>
  </si>
  <si>
    <t>Солнце светит на благоухающий лес, и золотой свет похож на град. &lt;br&gt;&lt;br&gt;&lt;i&gt;Никаких спецэффектов&lt;/i&gt;</t>
  </si>
  <si>
    <t>태양이 향기로운 숲을 비추고 황금빛은 우박과 같습니다. &lt;br&gt;&lt;br&gt;&lt;i&gt;특수 효과 없음&lt;/i&gt;</t>
  </si>
  <si>
    <t>薄霧朦朧，如夢似幻。 &lt;br&gt;&lt;br&gt;&lt;i&gt;限制視野範圍（輕微）&lt;/i&gt;</t>
  </si>
  <si>
    <t>The mist is hazy, like a dream. &lt;br&gt;&lt;br&gt;&lt;i&gt;Limit the range of the field of view (slightly).&lt;/i&gt;</t>
  </si>
  <si>
    <t>La niebla es brumosa, como un sueño. &lt;br&gt;&lt;br&gt;&lt;i&gt;Limite el alcance del campo de visión (ligeramente).&lt;/i&gt;</t>
  </si>
  <si>
    <t>霧は夢のようにかすんでいます。 &lt;br&gt;&lt;br&gt;&lt;i&gt;視野の範囲を(わずかに)制限します。&lt;/i&gt;</t>
  </si>
  <si>
    <t>Туман туманный, как сон. &lt;br&gt;&lt;br&gt;&lt;i&gt;Ограничьте диапазон поля зрения (незначительно).&lt;/i&gt;</t>
  </si>
  <si>
    <t>안개는 꿈처럼 흐릿합니다. &lt;br&gt;&lt;br&gt;&lt;i&gt;시야의 범위를 약간(약간) 제한합니다.&lt;/i&gt;</t>
  </si>
  <si>
    <t>林霧環繞，鳥獸隱現。 &lt;br&gt;&lt;br&gt;&lt;i&gt;限制視野範圍（中等）&lt;/i&gt;&lt;br&gt;&lt;i&gt;濃霧中刷出各種叢林生物&lt;/i&gt;</t>
  </si>
  <si>
    <t>Surrounded by forest mist, birds and beasts appear. &lt;br&gt;&lt;br&gt;&lt;i&gt;Limit your vision range (medium)&lt;/i&gt; &lt;br&gt;&lt;i&gt;Various jungle creatures will be brushed in dense fog&lt;/i&gt;</t>
  </si>
  <si>
    <t>Rodeados de niebla forestal, aparecen pájaros y bestias. &lt;br&gt;&lt;br&gt;&lt;i&gt;Limita tu rango de visión (medio)&lt;/i&gt; &lt;br&gt;&lt;i&gt;Varias criaturas de la jungla serán cepilladas por una densa niebla&lt;/i&gt;</t>
  </si>
  <si>
    <t>森の霧に包まれて鳥や獣が現れます。 &lt;br&gt;&lt;br&gt;&lt;i&gt;視界を制限する(中)&lt;/i&gt;&lt;br&gt;&lt;i&gt;さまざまなジャングルの生き物が濃い霧の中でブラッシングされます&lt;/i&gt;</t>
  </si>
  <si>
    <t>В окружении лесного тумана появляются птицы и звери. &lt;br&gt;&lt;br&gt;&lt;i&gt;Ограничьте дальность обзора (средняя)&lt;/i&gt; &lt;br&gt;&lt;i&gt;Различные существа джунглей будут замечены в густом тумане&lt;/i&gt;</t>
  </si>
  <si>
    <t>숲의 안개에 둘러싸여 새와 짐승이 나타납니다. &lt;br&gt;&lt;br&gt;&lt;i&gt;시야 범위 제한(중간)&lt;/i&gt; &lt;br&gt;&lt;i&gt;짙은 안개 속에서 다양한 정글 생물이 스쳐 지나&lt;/i&gt;갑니다.</t>
  </si>
  <si>
    <t>妖霧乍起，妖邪初現。 &lt;br&gt;&lt;br&gt;&lt;i&gt;限制視野範圍（中等）&lt;/i&gt;&lt;br&gt;&lt;i&gt;濃霧中刷出各種魔物&lt;/i&gt;</t>
  </si>
  <si>
    <t>The demonic mist suddenly rose, and the demons began to appear. &lt;br&gt;&lt;br&gt;&lt;i&gt;Limit the range of vision (medium)&lt;/i&gt; &lt;br&gt;&lt;i&gt;Various monsters are brushed out in the thick fog&lt;/i&gt;</t>
  </si>
  <si>
    <t>La niebla demoníaca se elevó repentinamente y los demonios comenzaron a aparecer. &lt;br&gt;&lt;br&gt;&lt;i&gt;Limitar el rango de visión (medio)&lt;/i&gt; &lt;br&gt;&lt;i&gt;Varios monstruos son eliminados en la espesa niebla&lt;/i&gt;</t>
  </si>
  <si>
    <t>突然悪魔の霧が立ち上がり、悪魔が現れ始めた。 &lt;br&gt;&lt;br&gt;&lt;i&gt;視界範囲を制限する(中)&lt;/i&gt;&lt;br&gt;&lt;i&gt;濃い霧の中で様々なモンスターを筆殺す&lt;/i&gt;</t>
  </si>
  <si>
    <t>Демонический туман внезапно поднялся, и демоны начали появляться. &lt;br&gt;&lt;br&gt;&lt;i&gt;Ограничение дальности обзора (средняя)&lt;/i&gt; &lt;br&gt;&lt;i&gt;Различные монстры отметаются в густом тумане&lt;/i&gt;</t>
  </si>
  <si>
    <t>갑자기 악마의 안개가 피어오르고 악마들이 나타나기 시작했습니다. &lt;br&gt;&lt;br&gt;&lt;i&gt;시야 범위를 제한 (중)&lt;/i&gt; &lt;br&gt;&lt;i&gt;짙은 안개 속에서 다양한 몬스터가 스쳐 나간다&lt;/i&gt;</t>
  </si>
  <si>
    <t>濃霧瀰漫，鬼魅叢生。 &lt;br&gt;&lt;br&gt;&lt;i&gt;限制視野範圍（中等）&lt;/i&gt;&lt;br&gt;&lt;i&gt;濃霧中刷出各種魔物&lt;/i&gt;&lt;br&gt;&lt;i&gt;所有魔物快速回血&lt;/i&gt;</t>
  </si>
  <si>
    <t>Thick fog filled the air, and ghosts were infested. &lt;br&gt;&lt;br&gt;&lt;i&gt;Limit the field of view (medium)&lt;/i&gt; &lt;br&gt;&lt;i&gt;Brush out various monsters in the thick fog,&lt;/i&gt; &lt;br&gt;&lt;i&gt;and all monsters will quickly recover health&lt;/i&gt;</t>
  </si>
  <si>
    <t>Una espesa niebla llenaba el aire y los fantasmas estaban infestados. &lt;br&gt;&lt;br&gt;&lt;i&gt;Limita el campo de visión (medio)&lt;/i&gt; &lt;br&gt;&lt;i&gt;Elimina varios monstruos en la espesa niebla&lt;/i&gt; &lt;br&gt;&lt;i&gt;y todos los monstruos recuperarán salud rápidamente&lt;/i&gt;</t>
  </si>
  <si>
    <t>濃い霧が空気を満たし、幽霊がはびこった。 &lt;br&gt;&lt;br&gt;&lt;i&gt;視野制限(中)&lt;/i&gt;&lt;br&gt;&lt;i&gt;濃霧の中で様々なモンスターを殴&lt;/i&gt;り、&lt;br&gt;&lt;i&gt;すべてのモンスターが素早く体力を回復する&lt;/i&gt;</t>
  </si>
  <si>
    <t>Воздух был наполнен густым туманом, и в нем кишели призраки. &lt;br&gt;&lt;br&gt;&lt;i&gt;Ограничьте поле зрения (среднее)&lt;/i&gt; &lt;br&gt;&lt;i&gt;Отметайте различных монстров в густом тумане,&lt;/i&gt; &lt;br&gt;&lt;i&gt;и все монстры быстро восстановят здоровье&lt;/i&gt;</t>
  </si>
  <si>
    <t>짙은 안개가 공기를 가득 채웠고 유령들이 들끓었습니다. &lt;br&gt;&lt;br&gt;&lt;i&gt;시야 제한(중간)&lt;/i&gt; &lt;br&gt;&lt;i&gt;짙은 안개 속에서 다양한 몬스터를 털어내&lt;/i&gt;면 &lt;br&gt;&lt;i&gt;모든 몬스터가 빠르게 체력을 회복합니다&lt;/i&gt;.</t>
  </si>
  <si>
    <t>烈日當空，赤地千里。 &lt;br&gt;&lt;br&gt;&lt;i&gt;無特殊效果&lt;/i&gt;</t>
  </si>
  <si>
    <t>The scorching sun shines brightly in the sky, and the ground is barren for a thousand miles. &lt;br&gt;&lt;br&gt;&lt;i&gt;No special effects&lt;/i&gt;</t>
  </si>
  <si>
    <t>El sol abrasador brilla intensamente en el cielo y el suelo es estéril por mil millas. &lt;br&gt;&lt;br&gt;&lt;i&gt;Sin efectos especiales&lt;/i&gt;</t>
  </si>
  <si>
    <t>灼熱の太陽が空に明るく輝き、大地は千里にわたって不毛です。 &lt;br&gt;&lt;br&gt;&lt;i&gt;特殊効果なし&lt;/i&gt;</t>
  </si>
  <si>
    <t>Палящее солнце ярко светит в небе, и земля бесплодна на тысячу миль. &lt;br&gt;&lt;br&gt;&lt;i&gt;Никаких спецэффектов&lt;/i&gt;</t>
  </si>
  <si>
    <t>뜨거운 태양이 하늘을 밝게 빛나고 천 마일에 걸쳐 땅은 황량합니다. &lt;br&gt;&lt;br&gt;&lt;i&gt;특수 효과 없음&lt;/i&gt;</t>
  </si>
  <si>
    <t>揚塵四起，八方迷離。 &lt;br&gt;&lt;br&gt;&lt;i&gt;所有飛射物額外產生20%未命中幾率。 &lt;/i&gt;</t>
  </si>
  <si>
    <t>Dust rises everywhere, and all directions are confused. &lt;br&gt;&lt;br&gt;&lt;i&gt;All projectiles have an additional 20% chance of missing a hit. &lt;/i&gt;</t>
  </si>
  <si>
    <t>El polvo se eleva por todas partes y todas las direcciones se confunden. &lt;br&gt;&lt;br&gt;&lt;i&gt;Todos los proyectiles tienen un 20% adicional de probabilidad de fallar un impacto. &lt;/i&gt;</t>
  </si>
  <si>
    <t>あちこちにほこりが立ち上がり、四方八方が混乱する。 &lt;br&gt;&lt;br&gt;&lt;i&gt;すべての投射体はさらに20%の確率で命中を外れる。 &lt;/i&gt;</t>
  </si>
  <si>
    <t>Повсюду поднимается пыль, и все стороны путаются. &lt;br&gt;&lt;br&gt;&lt;i&gt;У всех снарядов есть дополнительный шанс промахнуться на 20%. &lt;/i&gt;</t>
  </si>
  <si>
    <t>사방에 먼지가 올라가고 사방이 혼란스럽습니다. &lt;br&gt;&lt;br&gt;&lt;i&gt;모든 투사체는 추가로 20%의 확률로 명중을 놓칠 수 있습니다. &lt;/i&gt;</t>
  </si>
  <si>
    <t>沙暴肆虐，遮天蔽日。 &lt;br&gt;&lt;br&gt;&lt;i&gt;所有飛射物額外產生80%未命中幾率。 &lt;/i&gt;</t>
  </si>
  <si>
    <t>The sand is raging, obscuring the sky and the sun. &lt;br&gt;&lt;br&gt;&lt;i&gt;All projectiles have an additional 80% chance of missing a hit. &lt;/i&gt;</t>
  </si>
  <si>
    <t>La arena está furiosa, oscureciendo el cielo y el sol. &lt;br&gt;&lt;br&gt;&lt;i&gt;Todos los proyectiles tienen un 80% adicional de probabilidad de fallar un impacto. &lt;/i&gt;</t>
  </si>
  <si>
    <t>砂が荒れ狂い、空と太陽を覆い隠しています。 &lt;br&gt;&lt;br&gt;&lt;i&gt;すべての投射体はさらに80%の確率で命中を外れる。 &lt;/i&gt;</t>
  </si>
  <si>
    <t>Бушует песок, заслоняя небо и солнце. &lt;br&gt;&lt;br&gt;&lt;i&gt;У всех снарядов есть дополнительный шанс промахнуться с вероятностью 80%. &lt;/i&gt;</t>
  </si>
  <si>
    <t>모래가 맹렬히 타오르며 하늘과 태양을 가리고 있습니다. &lt;br&gt;&lt;br&gt;&lt;i&gt;모든 투사체는 추가로 80%의 확률로 적중을 놓칠 수 있습니다. &lt;/i&gt;</t>
  </si>
  <si>
    <t>遍地積沙，長路難行。 &lt;br&gt;&lt;br&gt;&lt;i&gt;減緩車輛移速。 &lt;/i&gt;&lt;br&gt;&lt;i&gt;週期性從流沙中生成沙漠蛇與毒蝎。 &lt;/i&gt;</t>
  </si>
  <si>
    <t>There is sand everywhere, and the long road is difficult to walk. &lt;br&gt;&lt;br&gt;&lt;i&gt;Slow down the vehicle. &lt;/i&gt;&lt;br&gt;&lt;i&gt;Desert snakes and poisonous scorpions are periodically generated from quicksand. &lt;/i&gt;</t>
  </si>
  <si>
    <t>Hay arena por todas partes y el largo camino es difícil de caminar. &lt;br&gt;&lt;br&gt;&lt;i&gt;Reduzca la velocidad del vehículo. &lt;/i&gt;&lt;br&gt;&lt;i&gt;Las serpientes del desierto y los escorpiones venenosos se generan periódicamente a partir de arenas movedizas. &lt;/i&gt;</t>
  </si>
  <si>
    <t>いたるところに砂があり、長い道のりは歩きにくいです。 &lt;br&gt;&lt;br&gt;&lt;i&gt;車両の速度を落とします。 &lt;/i&gt;&lt;br&gt;&lt;i&gt;砂漠のヘビと有毒なサソリは流砂から定期的に生成されます。 &lt;/i&gt;</t>
  </si>
  <si>
    <t>Повсюду песок, а по длинной дороге сложно идти. &lt;br&gt;&lt;br&gt;&lt;i&gt;Снизьте скорость автомобиля. &lt;/i&gt;&lt;br&gt;&lt;i&gt;Из зыбучих песков периодически генерируются пустынные змеи и ядовитые скорпионы. &lt;/i&gt;</t>
  </si>
  <si>
    <t>사방에 모래가 있고 긴 길은 걷기가 어렵습니다. &lt;br&gt;&lt;br&gt;&lt;i&gt;차량 속도를 줄이십시오. &lt;/i&gt;&lt;br&gt;&lt;i&gt;사막 뱀과 독 전갈은 유사에서 주기적으로 생성됩니다. &lt;/i&gt;</t>
  </si>
  <si>
    <t>流沙在下，揚塵在前。 &lt;br&gt;&lt;br&gt;&lt;i&gt;減緩車輛移速。 &lt;/i&gt;&lt;br&gt;&lt;i&gt;週期性從流沙中生成沙漠蛇與毒蝎。 &lt;/i&gt;&lt;br&gt;&lt;i&gt;所有飛射物額外產生30%未命中幾率。 &lt;/i&gt;</t>
  </si>
  <si>
    <t>The quicksand is below, and the dust is ahead. &lt;br&gt;&lt;br&gt;&lt;i&gt;Slow down the vehicle. &lt;/i&gt;&lt;br&gt;&lt;i&gt;Desert snakes and poisonous scorpions are periodically generated from quicksand. &lt;/i&gt;&lt;br&gt;&lt;i&gt;All projectiles have an additional 30% chance to miss. &lt;/i&gt;</t>
  </si>
  <si>
    <t>Las arenas movedizas están abajo y el polvo está adelante. &lt;br&gt;&lt;br&gt;&lt;i&gt;Reduzca la velocidad del vehículo. &lt;/i&gt;&lt;br&gt;&lt;i&gt;Las serpientes del desierto y los escorpiones venenosos se generan periódicamente a partir de arenas movedizas. &lt;/i&gt;&lt;br&gt;&lt;i&gt;Todos los proyectiles tienen un 30% adicional de probabilidad de fallar. &lt;/i&gt;</t>
  </si>
  <si>
    <t>流砂は下にあり、ほこりは前方にあります。 &lt;br&gt;&lt;br&gt;&lt;i&gt;車両の速度を落とします。 &lt;/i&gt;&lt;br&gt;&lt;i&gt;砂漠のヘビと有毒なサソリは流砂から定期的に生成されます。 &lt;/i&gt;&lt;br&gt;&lt;i&gt;すべての投射体はさらに30%の確率で外れます。 &lt;/i&gt;</t>
  </si>
  <si>
    <t>Внизу зыбучие пески, а впереди пыль. &lt;br&gt;&lt;br&gt;&lt;i&gt;Снизьте скорость автомобиля. &lt;/i&gt;&lt;br&gt;&lt;i&gt;Из зыбучих песков периодически генерируются пустынные змеи и ядовитые скорпионы. &lt;/i&gt;&lt;br&gt;&lt;i&gt;У всех снарядов есть дополнительный шанс промахнуться на 30%. &lt;/i&gt;</t>
  </si>
  <si>
    <t>유사는 아래에 있고 먼지는 앞에 있습니다. &lt;br&gt;&lt;br&gt;&lt;i&gt;차량 속도를 줄이십시오. &lt;/i&gt;&lt;br&gt;&lt;i&gt;사막 뱀과 독 전갈은 유사에서 주기적으로 생성됩니다. &lt;/i&gt;&lt;br&gt;&lt;i&gt;모든 투사체는 추가로 30%의 확률로 빗나갑니다. &lt;/i&gt;</t>
  </si>
  <si>
    <t>困於深沙，陷於塵暴。 &lt;br&gt;&lt;br&gt;&lt;i&gt;減緩車輛移速。 &lt;/i&gt;&lt;br&gt;&lt;i&gt;週期性從流沙中生成沙漠蛇與毒蝎。 &lt;/i&gt;&lt;br&gt;&lt;i&gt;所有飛射物額外產生80%未命中幾率。 &lt;/i&gt;</t>
  </si>
  <si>
    <t>Trapped in the deep sand, trapped in dust storms. &lt;br&gt;&lt;br&gt;&lt;i&gt;Slow down the vehicle. &lt;/i&gt;&lt;br&gt;&lt;i&gt;Desert snakes and poisonous scorpions are periodically generated from quicksand. &lt;/i&gt;&lt;br&gt;&lt;i&gt;All projectiles have an additional 80% chance of missing a hit. &lt;/i&gt;</t>
  </si>
  <si>
    <t>Atrapado en la arena profunda, atrapado en tormentas de polvo. &lt;br&gt;&lt;br&gt;&lt;i&gt;Reduzca la velocidad del vehículo. &lt;/i&gt;&lt;br&gt;&lt;i&gt;Las serpientes del desierto y los escorpiones venenosos se generan periódicamente a partir de arenas movedizas. &lt;/i&gt;&lt;br&gt;&lt;i&gt;Todos los proyectiles tienen un 80% adicional de probabilidad de fallar un impacto. &lt;/i&gt;</t>
  </si>
  <si>
    <t>深い砂に閉じ込められ、砂嵐に閉じ込められました。 &lt;br&gt;&lt;br&gt;&lt;i&gt;車両の速度を落とします。 &lt;/i&gt;&lt;br&gt;&lt;i&gt;砂漠のヘビと有毒なサソリは流砂から定期的に生成されます。 &lt;/i&gt;&lt;br&gt;&lt;i&gt;すべての投射体はさらに80%の確率で命中を外れる。 &lt;/i&gt;</t>
  </si>
  <si>
    <t>В ловушке в глубоком песке, в ловушке пыльных бурь. &lt;br&gt;&lt;br&gt;&lt;i&gt;Снизьте скорость автомобиля. &lt;/i&gt;&lt;br&gt;&lt;i&gt;Из зыбучих песков периодически генерируются пустынные змеи и ядовитые скорпионы. &lt;/i&gt;&lt;br&gt;&lt;i&gt;У всех снарядов есть дополнительный шанс промахнуться с вероятностью 80%. &lt;/i&gt;</t>
  </si>
  <si>
    <t>깊은 모래에 갇히고, 먼지 폭풍에 갇혔습니다. &lt;br&gt;&lt;br&gt;&lt;i&gt;차량 속도를 줄이십시오. &lt;/i&gt;&lt;br&gt;&lt;i&gt;사막 뱀과 독 전갈은 유사에서 주기적으로 생성됩니다. &lt;/i&gt;&lt;br&gt;&lt;i&gt;모든 투사체는 추가로 80%의 확률로 적중을 놓칠 수 있습니다. &lt;/i&gt;</t>
  </si>
  <si>
    <t>暖陽高照，正當其時。 &lt;br&gt;&lt;br&gt;&lt;i&gt;無特殊效果&lt;/i&gt;</t>
  </si>
  <si>
    <t>The warm sun shines high, and it is the right time. &lt;br&gt;&lt;br&gt;&lt;i&gt;No special effects&lt;/i&gt;</t>
  </si>
  <si>
    <t>El cálido sol brilla alto y es el momento adecuado. &lt;br&gt;&lt;br&gt;&lt;i&gt;Sin efectos especiales&lt;/i&gt;</t>
  </si>
  <si>
    <t>暖かい太陽が高く輝いており、ちょうどいい時期です。 &lt;br&gt;&lt;br&gt;&lt;i&gt;特殊効果なし&lt;/i&gt;</t>
  </si>
  <si>
    <t>Теплое солнце светит высоко, и это самое подходящее время. &lt;br&gt;&lt;br&gt;&lt;i&gt;Никаких спецэффектов&lt;/i&gt;</t>
  </si>
  <si>
    <t>따뜻한 태양이 높이 빛나고 적절한 시기입니다. &lt;br&gt;&lt;br&gt;&lt;i&gt;특수 효과 없음&lt;/i&gt;</t>
  </si>
  <si>
    <t>烏雲密佈，山雨欲來。 &lt;br&gt;&lt;br&gt;&lt;i&gt;無特殊效果&lt;/i&gt;</t>
  </si>
  <si>
    <t>Dark clouds are thick, and mountain rain is coming. &lt;br&gt;&lt;br&gt;&lt;i&gt;No special effects&lt;/i&gt;</t>
  </si>
  <si>
    <t>Las nubes oscuras son espesas y se acerca la lluvia de montaña. &lt;br&gt;&lt;br&gt;&lt;i&gt;Sin efectos especiales&lt;/i&gt;</t>
  </si>
  <si>
    <t>暗雲が濃く、山の雨が降っています。 &lt;br&gt;&lt;br&gt;&lt;i&gt;特殊効果なし&lt;/i&gt;</t>
  </si>
  <si>
    <t>Темные тучи сгущаются, и надвигается горный дождь. &lt;br&gt;&lt;br&gt;&lt;i&gt;Никаких спецэффектов&lt;/i&gt;</t>
  </si>
  <si>
    <t>먹구름이 짙고 산비가 내리고 있습니다. &lt;br&gt;&lt;br&gt;&lt;i&gt;특수 효과 없음&lt;/i&gt;</t>
  </si>
  <si>
    <t>細雨朦朧，潤物無聲。 &lt;br&gt;&lt;br&gt;&lt;i&gt;所有水生生物周期性獲得生命恢復。 &lt;/i&gt;&lt;br&gt;&lt;i&gt;持續移除場景中的燃燒與酸蝕效果。 &lt;/i&gt;</t>
  </si>
  <si>
    <t>The drizzle is hazy, and the moisturizing things are silent. &lt;br&gt;&lt;br&gt;&lt;i&gt;All aquatic organisms periodically receive life recovery. &lt;/i&gt;&lt;br&gt;&lt;i&gt;Continuously removes burning and acid etching effects from the scene. &lt;/i&gt;</t>
  </si>
  <si>
    <t>La llovizna es brumosa y las cosas hidratantes son silenciosas. &lt;br&gt;&lt;br&gt;&lt;i&gt;Todos los organismos acuáticos reciben periódicamente recuperación de vida. &lt;/i&gt;&lt;br&gt;&lt;i&gt;Elimina continuamente los efectos de quemado y grabado ácido de la escena. &lt;/i&gt;</t>
  </si>
  <si>
    <t>霧雨は霞んでおり、保湿物は静かです。 &lt;br&gt;&lt;br&gt;&lt;i&gt;すべての水生生物は定期的に生命回復を受けます。 &lt;/i&gt;&lt;br&gt;&lt;i&gt;シーンから焼けや酸エッチング効果を連続的に除去します。 &lt;/i&gt;</t>
  </si>
  <si>
    <t>Моросящий дождь туманный, а увлажняющие вещества молчат. &lt;br&gt;&lt;br&gt;&lt;i&gt;Все гидробиоты периодически получают жизненные восстановительные работы. &lt;/i&gt;&lt;br&gt;&lt;i&gt;Непрерывно удаляет с сцены эффекты горения и кислотного травления. &lt;/i&gt;</t>
  </si>
  <si>
    <t>이슬비가 흐릿하고 보습하는 것은 조용합니다. &lt;br&gt;&lt;br&gt;&lt;i&gt;모든 수생 생물은 주기적으로 생명 회복을 받습니다. &lt;/i&gt;&lt;br&gt;&lt;i&gt;장면에서 연소 및 산성 에칭 효과를 지속적으로 제거합니다. &lt;/i&gt;</t>
  </si>
  <si>
    <t>暴雨如注，傾盆如瀑。 &lt;br&gt;&lt;br&gt;&lt;i&gt;所有水生生物周期性獲得生命恢復。 &lt;/i&gt;&lt;br&gt;&lt;i&gt;持續移除場景中的燃燒與酸蝕效果。 &lt;/i&gt;&lt;br&gt;&lt;i&gt;不斷有螃蟹從天空中掉下。 &lt;/i&gt;</t>
  </si>
  <si>
    <t>The torrential rain poured down like a waterfall. &lt;br&gt;&lt;br&gt;&lt;i&gt;All aquatic organisms periodically receive life recovery. &lt;/i&gt;&lt;br&gt;&lt;i&gt;Continuously removes burning and acid etching effects from the scene. &lt;/i&gt;&lt;br&gt;&lt;i&gt;Crabs are constantly falling from the sky. &lt;/i&gt;</t>
  </si>
  <si>
    <t>La lluvia torrencial cayó como una cascada. &lt;br&gt;&lt;br&gt;&lt;i&gt;Todos los organismos acuáticos reciben periódicamente recuperación de vida. &lt;/i&gt;&lt;br&gt;&lt;i&gt;Elimina continuamente los efectos de quemado y grabado ácido de la escena. &lt;/i&gt;&lt;br&gt;&lt;i&gt;Los cangrejos caen constantemente del cielo. &lt;/i&gt;</t>
  </si>
  <si>
    <t>集中豪雨が滝のように降り注いだ。 &lt;br&gt;&lt;br&gt;&lt;i&gt;すべての水生生物は定期的に生命回復を受けます。 &lt;/i&gt;&lt;br&gt;&lt;i&gt;シーンから焼けや酸エッチング効果を連続的に除去します。 &lt;/i&gt;&lt;br&gt;&lt;i&gt;カニは空から絶えず落ちています。 &lt;/i&gt;</t>
  </si>
  <si>
    <t>Проливной дождь лил водопадом. &lt;br&gt;&lt;br&gt;&lt;i&gt;Все гидробиоты периодически получают жизненные восстановительные работы. &lt;/i&gt;&lt;br&gt;&lt;i&gt;Непрерывно удаляет с сцены эффекты горения и кислотного травления. &lt;/i&gt;&lt;br&gt;&lt;i&gt;С неба постоянно падают крабы. &lt;/i&gt;</t>
  </si>
  <si>
    <t>폭우가 폭포처럼 쏟아졌다. &lt;br&gt;&lt;br&gt;&lt;i&gt;모든 수생 생물은 주기적으로 생명 회복을 받습니다. &lt;/i&gt;&lt;br&gt;&lt;i&gt;장면에서 연소 및 산성 에칭 효과를 지속적으로 제거합니다. &lt;/i&gt;&lt;br&gt;&lt;i&gt;게는 하늘에서 끊임없이 떨어지고 있습니다. &lt;/i&gt;</t>
  </si>
  <si>
    <t>驚雷動地，霹靂破空。 &lt;br&gt;&lt;br&gt;&lt;i&gt;所有水生生物周期性獲得生命恢復。 &lt;/i&gt;&lt;br&gt;&lt;i&gt;持續移除場景中的燃燒與酸蝕效果。 &lt;/i&gt;&lt;br&gt;&lt;i&gt;不斷有螃蟹從天空中掉下。 &lt;/i&gt;</t>
  </si>
  <si>
    <t>Thunder shook the earth, and thunder broke through the sky. &lt;br&gt;&lt;br&gt;&lt;i&gt;All aquatic organisms periodically receive life recovery. &lt;/i&gt;&lt;br&gt;&lt;i&gt;Continuously removes burning and acid etching effects from the scene. &lt;/i&gt;&lt;br&gt;&lt;i&gt;Crabs are constantly falling from the sky. &lt;/i&gt;</t>
  </si>
  <si>
    <t>Un trueno sacudió la tierra y un trueno atravesó el cielo. &lt;br&gt;&lt;br&gt;&lt;i&gt;Todos los organismos acuáticos reciben periódicamente recuperación de vida. &lt;/i&gt;&lt;br&gt;&lt;i&gt;Elimina continuamente los efectos de quemado y grabado ácido de la escena. &lt;/i&gt;&lt;br&gt;&lt;i&gt;Los cangrejos caen constantemente del cielo. &lt;/i&gt;</t>
  </si>
  <si>
    <t>雷が大地を揺さぶり、雷が空を突き破った。 &lt;br&gt;&lt;br&gt;&lt;i&gt;すべての水生生物は定期的に生命回復を受けます。 &lt;/i&gt;&lt;br&gt;&lt;i&gt;シーンから焼けや酸エッチング効果を連続的に除去します。 &lt;/i&gt;&lt;br&gt;&lt;i&gt;カニは空から絶えず落ちています。 &lt;/i&gt;</t>
  </si>
  <si>
    <t>Гром сотряс землю, и гром прорвался сквозь небо. &lt;br&gt;&lt;br&gt;&lt;i&gt;Все гидробиоты периодически получают жизненные восстановительные работы. &lt;/i&gt;&lt;br&gt;&lt;i&gt;Непрерывно удаляет с сцены эффекты горения и кислотного травления. &lt;/i&gt;&lt;br&gt;&lt;i&gt;С неба постоянно падают крабы. &lt;/i&gt;</t>
  </si>
  <si>
    <t>천둥이 땅을 뒤흔들었고 천둥이 하늘을 뚫었습니다. &lt;br&gt;&lt;br&gt;&lt;i&gt;모든 수생 생물은 주기적으로 생명 회복을 받습니다. &lt;/i&gt;&lt;br&gt;&lt;i&gt;장면에서 연소 및 산성 에칭 효과를 지속적으로 제거합니다. &lt;/i&gt;&lt;br&gt;&lt;i&gt;게는 하늘에서 끊임없이 떨어지고 있습니다. &lt;/i&gt;</t>
  </si>
  <si>
    <t>场景 - 名称</t>
    <phoneticPr fontId="8" type="noConversion"/>
  </si>
  <si>
    <t>scene</t>
    <phoneticPr fontId="8" type="noConversion"/>
  </si>
  <si>
    <t>沉睡旷野</t>
  </si>
  <si>
    <t>石墟遗林</t>
  </si>
  <si>
    <t>失落围城</t>
  </si>
  <si>
    <t>青霄古城</t>
  </si>
  <si>
    <t>百花山谷</t>
  </si>
  <si>
    <t>树海天阶</t>
  </si>
  <si>
    <t>烈阳沙林</t>
  </si>
  <si>
    <t>地火荒原</t>
  </si>
  <si>
    <t>风吞大漠</t>
  </si>
  <si>
    <t>大人之堂</t>
  </si>
  <si>
    <t>水天灵境</t>
  </si>
  <si>
    <t>流波群山</t>
  </si>
  <si>
    <t>scene_1A</t>
  </si>
  <si>
    <t>scene_1B</t>
  </si>
  <si>
    <t>scene_1C</t>
  </si>
  <si>
    <t>scene_4A</t>
  </si>
  <si>
    <t>scene_4B</t>
  </si>
  <si>
    <t>scene_4C</t>
  </si>
  <si>
    <t>scene_7A</t>
  </si>
  <si>
    <t>scene_7B</t>
  </si>
  <si>
    <t>scene_7C</t>
  </si>
  <si>
    <t>scene_8A</t>
  </si>
  <si>
    <t>scene_8B</t>
  </si>
  <si>
    <t>scene_8C</t>
  </si>
  <si>
    <t>沉睡曠野</t>
  </si>
  <si>
    <t>Sleeping in the wilderness</t>
  </si>
  <si>
    <t>Durmiendo en el desierto</t>
  </si>
  <si>
    <t>荒野で眠る</t>
  </si>
  <si>
    <t>Сон в пустыне</t>
  </si>
  <si>
    <t>광야에서 잠들다</t>
  </si>
  <si>
    <t>石墟遺林</t>
  </si>
  <si>
    <t>Stone ruins and forests</t>
  </si>
  <si>
    <t>Ruinas de piedra y bosques</t>
  </si>
  <si>
    <t>石造りの遺跡と森</t>
  </si>
  <si>
    <t>Каменные руины и леса</t>
  </si>
  <si>
    <t>돌 유적과 숲</t>
  </si>
  <si>
    <t>失落圍城</t>
  </si>
  <si>
    <t>Lost and besieged</t>
  </si>
  <si>
    <t>Perdido y sitiado</t>
  </si>
  <si>
    <t>迷子になり、包囲された</t>
  </si>
  <si>
    <t>Потерянные и осажденные</t>
  </si>
  <si>
    <t>길을 잃고 포위됨</t>
  </si>
  <si>
    <t>Qingxiao Ancient City</t>
  </si>
  <si>
    <t>Ciudad antigua de Qingxiao</t>
  </si>
  <si>
    <t>Древний город Цинсяо</t>
  </si>
  <si>
    <t>칭샤오 고대 도시</t>
  </si>
  <si>
    <t>Hundred Flowers Valley</t>
  </si>
  <si>
    <t>Valle de las Cien Flores</t>
  </si>
  <si>
    <t>百花渓谷</t>
  </si>
  <si>
    <t>Долина Ста Цветов</t>
  </si>
  <si>
    <t>백꽃 계곡</t>
  </si>
  <si>
    <t>樹海天階</t>
  </si>
  <si>
    <t>Establish a sea and a heavenly staircase</t>
  </si>
  <si>
    <t>Establece un mar y una escalera celestial</t>
  </si>
  <si>
    <t>海と天の階段を建てる</t>
  </si>
  <si>
    <t>Установите море и небесную лестницу</t>
  </si>
  <si>
    <t>바다와 천상의 계단을 세우다</t>
  </si>
  <si>
    <t>烈陽沙林</t>
  </si>
  <si>
    <t>The fierce sun and sand forest</t>
  </si>
  <si>
    <t>El feroz sol y el bosque de arena</t>
  </si>
  <si>
    <t>猛烈な太陽と砂の森</t>
  </si>
  <si>
    <t>Яростное солнце и песчаный лес</t>
  </si>
  <si>
    <t>맹렬한 태양과 모래 숲</t>
  </si>
  <si>
    <t>Earthfire wasteland</t>
  </si>
  <si>
    <t>Páramo de incendios de tierra</t>
  </si>
  <si>
    <t>アースファイア荒れ地</t>
  </si>
  <si>
    <t>Пустошь от земляных пожаров</t>
  </si>
  <si>
    <t>대지불 황무지</t>
  </si>
  <si>
    <t>風吞大漠</t>
  </si>
  <si>
    <t>The wind swallows the desert</t>
  </si>
  <si>
    <t>El viento se traga el desierto</t>
  </si>
  <si>
    <t>風が砂漠を飲み込む</t>
  </si>
  <si>
    <t>Ветер проглатывает пустыню</t>
  </si>
  <si>
    <t>바람이 사막을 삼킨다</t>
  </si>
  <si>
    <t>The Hall of the Great</t>
  </si>
  <si>
    <t>El Salón de los Grandes</t>
  </si>
  <si>
    <t>大王の殿堂</t>
  </si>
  <si>
    <t>Зал Великих</t>
  </si>
  <si>
    <t>위대한 전당</t>
  </si>
  <si>
    <t>水天靈境</t>
  </si>
  <si>
    <t>Water and sky spiritual realm</t>
  </si>
  <si>
    <t>Reino espiritual del agua y el cielo</t>
  </si>
  <si>
    <t>水と空のスピリチュアルな領域</t>
  </si>
  <si>
    <t>Духовное царство воды и неба</t>
  </si>
  <si>
    <t>물과 하늘의 영적 영역</t>
  </si>
  <si>
    <t>Flowing through the mountains</t>
  </si>
  <si>
    <t>Fluyendo a través de las montañas</t>
  </si>
  <si>
    <t>山々を流れる</t>
  </si>
  <si>
    <t>Протекая по горам</t>
  </si>
  <si>
    <t>산을 흐르는</t>
  </si>
  <si>
    <t>远程武器 齐发数量 + 1</t>
  </si>
  <si>
    <t>远程武器 齐发数量 + 2</t>
  </si>
  <si>
    <t>Ranged Weapon Salvo + 1</t>
  </si>
  <si>
    <t>Salva de armas a distancia + 1</t>
  </si>
  <si>
    <t>遠距離武器一斉射撃+1</t>
  </si>
  <si>
    <t>Залп дальнего оружия + 1</t>
  </si>
  <si>
    <t>원거리 무기 일제 + 1</t>
  </si>
  <si>
    <t>Ranged Weapon Number of Salvos + 2</t>
  </si>
  <si>
    <t>Número de Salvos de Arma a Distancia + 2</t>
  </si>
  <si>
    <t>遠距離武器 一斉射撃数 + 2</t>
  </si>
  <si>
    <t>Количество залпов дальнего оружия + 2</t>
  </si>
  <si>
    <t>원거리 무기 일제 발사 횟수 + 2회</t>
  </si>
  <si>
    <t>鱼肉</t>
  </si>
  <si>
    <t>鱼油</t>
  </si>
  <si>
    <t>海蜇肉</t>
  </si>
  <si>
    <t>蟹肉</t>
  </si>
  <si>
    <t>蟹钳</t>
  </si>
  <si>
    <t>贝肉</t>
  </si>
  <si>
    <t>蚌壳</t>
  </si>
  <si>
    <t>黑珍珠</t>
  </si>
  <si>
    <t>朽木</t>
  </si>
  <si>
    <t>锈铁</t>
  </si>
  <si>
    <t>湖盐</t>
  </si>
  <si>
    <t>水草</t>
    <phoneticPr fontId="8" type="noConversion"/>
  </si>
  <si>
    <t>魚肉</t>
  </si>
  <si>
    <t>fish</t>
  </si>
  <si>
    <t>pescado</t>
  </si>
  <si>
    <t>魚</t>
  </si>
  <si>
    <t>рыба</t>
  </si>
  <si>
    <t>물고기</t>
  </si>
  <si>
    <t>魚油</t>
  </si>
  <si>
    <t>fish oil</t>
  </si>
  <si>
    <t>Aceite de pescado</t>
  </si>
  <si>
    <t>рыбий жир</t>
  </si>
  <si>
    <t>어유</t>
  </si>
  <si>
    <t>Jellyfish meat</t>
  </si>
  <si>
    <t>Carne de medusa</t>
  </si>
  <si>
    <t>クラゲ肉</t>
  </si>
  <si>
    <t>Мясо медуз</t>
  </si>
  <si>
    <t>해파리 고기</t>
  </si>
  <si>
    <t>Crab meat</t>
  </si>
  <si>
    <t>Carne de cangrejo</t>
  </si>
  <si>
    <t>カニ肉</t>
  </si>
  <si>
    <t>Мясо краба</t>
  </si>
  <si>
    <t>게살</t>
  </si>
  <si>
    <t>蟹鉗</t>
  </si>
  <si>
    <t>Crab claws</t>
  </si>
  <si>
    <t>Pinzas de cangrejo</t>
  </si>
  <si>
    <t>カニの爪</t>
  </si>
  <si>
    <t>Когти краба</t>
  </si>
  <si>
    <t>게 발톱</t>
  </si>
  <si>
    <t>貝肉</t>
  </si>
  <si>
    <t>shellfish meat</t>
  </si>
  <si>
    <t>Carne de marisco</t>
  </si>
  <si>
    <t>貝類肉</t>
  </si>
  <si>
    <t>Мясо моллюсков</t>
  </si>
  <si>
    <t>조개류 고기</t>
  </si>
  <si>
    <t>蚌殼</t>
  </si>
  <si>
    <t>Clam shells</t>
  </si>
  <si>
    <t>Conchas de almeja</t>
  </si>
  <si>
    <t>ハマグリの殻</t>
  </si>
  <si>
    <t>Раковины моллюсков</t>
  </si>
  <si>
    <t>조개 껍데기</t>
  </si>
  <si>
    <t>Black pearl</t>
  </si>
  <si>
    <t>Perla negra</t>
  </si>
  <si>
    <t>ブラックパール</t>
  </si>
  <si>
    <t>Чёрная жемчужина</t>
  </si>
  <si>
    <t>블랙펄</t>
  </si>
  <si>
    <t>deadwood</t>
  </si>
  <si>
    <t>Deadwood</t>
  </si>
  <si>
    <t>枯れ木</t>
  </si>
  <si>
    <t>дейдвуд</t>
  </si>
  <si>
    <t>데드우드</t>
  </si>
  <si>
    <t>鏽鐵</t>
  </si>
  <si>
    <t>Rust iron</t>
  </si>
  <si>
    <t>Hierro oxidado</t>
  </si>
  <si>
    <t>錆鉄</t>
  </si>
  <si>
    <t>Ржавое железо</t>
  </si>
  <si>
    <t>녹슨 철</t>
  </si>
  <si>
    <t>湖鹽</t>
  </si>
  <si>
    <t>Lake salt</t>
  </si>
  <si>
    <t>Sal de lago</t>
  </si>
  <si>
    <t>湖塩</t>
  </si>
  <si>
    <t>Озёрная соль</t>
  </si>
  <si>
    <t>호수 소금</t>
  </si>
  <si>
    <t>loot_desc</t>
    <phoneticPr fontId="8" type="noConversion"/>
  </si>
  <si>
    <t>物品 - 描述</t>
    <phoneticPr fontId="8" type="noConversion"/>
  </si>
  <si>
    <t>loot_desc_600800</t>
    <phoneticPr fontId="8" type="noConversion"/>
  </si>
  <si>
    <t>通用描述</t>
    <phoneticPr fontId="8" type="noConversion"/>
  </si>
  <si>
    <t>&lt;br&gt;&lt;i&gt;可以用来结算为营地货币的战利品…&lt;/i&gt;&lt;br&gt;</t>
  </si>
  <si>
    <t>&lt;br&gt;&lt;i&gt;可以用來結算為營地貨幣的戰利品...&lt;/i&gt;&lt;br&gt;</t>
  </si>
  <si>
    <t>&lt;br&gt;&lt;i&gt;Loot that can be used to settle for camp currency....&lt;/i&gt;&lt;br&gt;</t>
  </si>
  <si>
    <t>&lt;br&gt;&lt;i&gt;Botín que se puede usar para asentarse con moneda del campamento....&lt;/i&gt;&lt;br&gt;</t>
  </si>
  <si>
    <t>&lt;br&gt;&lt;i&gt;キャンプ通貨と交換できる戦利品......&lt;/i&gt;&lt;br&gt;</t>
  </si>
  <si>
    <t>&lt;br&gt;&lt;i&gt;Добыча, которую можно использовать для обитания на валюту лагеря....&lt;/i&gt;&lt;br&gt;</t>
  </si>
  <si>
    <t>&lt;br&gt;&lt;i&gt;캠프 화폐로 결제할 수 있는 전리품....&lt;/i&gt;&lt;br&gt;</t>
  </si>
  <si>
    <t>左轮手枪</t>
    <phoneticPr fontId="8" type="noConversion"/>
  </si>
  <si>
    <t>Bow and arrow</t>
  </si>
  <si>
    <t>弓矢</t>
  </si>
  <si>
    <t>Лук и стрелы</t>
  </si>
  <si>
    <t>Pistolas de autodefensa</t>
  </si>
  <si>
    <t>Пистолеты самообороны</t>
  </si>
  <si>
    <t>자기방어 권총</t>
  </si>
  <si>
    <t>Trumpet shotgun</t>
  </si>
  <si>
    <t>Escopeta trompeta</t>
  </si>
  <si>
    <t>トランペットショットガン</t>
  </si>
  <si>
    <t>Труба-дробовик</t>
  </si>
  <si>
    <t>트럼펫 샷건</t>
  </si>
  <si>
    <t>Mechanism arrow box</t>
  </si>
  <si>
    <t>Caja de flechas del mecanismo</t>
  </si>
  <si>
    <t>機構用矢印箱</t>
  </si>
  <si>
    <t>Коробка стрелок механизма</t>
  </si>
  <si>
    <t>메커니즘 화살표 박스</t>
  </si>
  <si>
    <t>rocket bombs</t>
  </si>
  <si>
    <t>Cohetes bomba</t>
  </si>
  <si>
    <t>ロケット爆弾</t>
  </si>
  <si>
    <t>Ракетные бомбы</t>
  </si>
  <si>
    <t>로켓 폭탄</t>
  </si>
  <si>
    <t>Homemade rocket bombs</t>
  </si>
  <si>
    <t>Cohetes bomba caseras</t>
  </si>
  <si>
    <t>自家製ロケット爆弾</t>
  </si>
  <si>
    <t>Самодельные ракетные бомбы</t>
  </si>
  <si>
    <t>자작 로켓 폭탄</t>
  </si>
  <si>
    <t>Mosquetes de un solo disparo</t>
  </si>
  <si>
    <t>単発マスケット銃</t>
  </si>
  <si>
    <t>Destiny Pistol</t>
  </si>
  <si>
    <t>Pistola del Destino</t>
  </si>
  <si>
    <t>デスティニーピストル</t>
  </si>
  <si>
    <t>Пистолет Destiny</t>
  </si>
  <si>
    <t>운명 권총</t>
  </si>
  <si>
    <t>輕機槍</t>
  </si>
  <si>
    <t>軽機関銃</t>
  </si>
  <si>
    <t>Лёгкий пулемёт</t>
  </si>
  <si>
    <t>左輪手槍</t>
  </si>
  <si>
    <t>Revolver</t>
  </si>
  <si>
    <t>Revólver</t>
  </si>
  <si>
    <t>リボルバー</t>
  </si>
  <si>
    <t>Револьвер</t>
  </si>
  <si>
    <t>리볼버</t>
  </si>
  <si>
    <t>Ballistas de dragones cazadores</t>
  </si>
  <si>
    <t>ドラゴンバリスタ狩り</t>
  </si>
  <si>
    <t>Vehicle trebuchets</t>
  </si>
  <si>
    <t>Trabuquetes de vehículos</t>
  </si>
  <si>
    <t>車両用トレビュシェット</t>
  </si>
  <si>
    <t>Требушети для транспортных средств</t>
  </si>
  <si>
    <t>차량용 투석기</t>
  </si>
  <si>
    <t>Madera rodando</t>
  </si>
  <si>
    <t>Катящая древесина</t>
  </si>
  <si>
    <t>Anti-riot revolver</t>
  </si>
  <si>
    <t>暴動鎮圧リボルバー</t>
  </si>
  <si>
    <t>Револьвер против беспорядков</t>
  </si>
  <si>
    <t>진압 권총</t>
  </si>
  <si>
    <t>device_name_1310105_inflatable_stick</t>
  </si>
  <si>
    <t>充气球棒</t>
    <phoneticPr fontId="8" type="noConversion"/>
  </si>
  <si>
    <t>充氣球棒</t>
  </si>
  <si>
    <t>Inflatable bats</t>
  </si>
  <si>
    <t>Bates inflables</t>
  </si>
  <si>
    <t>膨らませるバット</t>
  </si>
  <si>
    <t>Надувные биты</t>
  </si>
  <si>
    <t>팽창식 배트</t>
  </si>
  <si>
    <t>转轮机枪</t>
    <phoneticPr fontId="8" type="noConversion"/>
  </si>
  <si>
    <t>轉輪機槍</t>
  </si>
  <si>
    <t>Minigun</t>
  </si>
  <si>
    <t>ミニガン</t>
  </si>
  <si>
    <t>Миниган</t>
  </si>
  <si>
    <t>미니건</t>
  </si>
  <si>
    <t>device_name_1331801_tesla</t>
  </si>
  <si>
    <t>特斯拉电极</t>
  </si>
  <si>
    <t>特斯拉电极</t>
    <phoneticPr fontId="8" type="noConversion"/>
  </si>
  <si>
    <t>特斯拉電極</t>
  </si>
  <si>
    <t>Tesla electrodes</t>
  </si>
  <si>
    <t>Electrodos de Tesla</t>
  </si>
  <si>
    <t>テスラ電極</t>
  </si>
  <si>
    <t>Электроды Теслы</t>
  </si>
  <si>
    <t>테슬라 전극</t>
  </si>
  <si>
    <t>device_name_1310106_circlesaw</t>
    <phoneticPr fontId="8" type="noConversion"/>
  </si>
  <si>
    <t>圆锯</t>
    <phoneticPr fontId="8" type="noConversion"/>
  </si>
  <si>
    <t>圓鋸</t>
  </si>
  <si>
    <t>circular saw</t>
  </si>
  <si>
    <t>Sierra circular</t>
  </si>
  <si>
    <t>丸ノコ</t>
  </si>
  <si>
    <t>циркулярная пила</t>
  </si>
  <si>
    <t>원형톱</t>
  </si>
  <si>
    <t>device_name_1319001_amy_baton</t>
  </si>
  <si>
    <t>劣质钉棍</t>
    <phoneticPr fontId="8" type="noConversion"/>
  </si>
  <si>
    <t>劣質釘棍</t>
  </si>
  <si>
    <t>Inferior nail stick</t>
  </si>
  <si>
    <t>Punzón de uñas inferior</t>
  </si>
  <si>
    <t>劣ったネイルスティック</t>
  </si>
  <si>
    <t>Слабая палочка для ногтей</t>
  </si>
  <si>
    <t>열등한 네일 스틱</t>
  </si>
  <si>
    <t>双刃铡刀</t>
    <phoneticPr fontId="8" type="noConversion"/>
  </si>
  <si>
    <t>雙刃鍘刀</t>
  </si>
  <si>
    <t>Espada de doble filo</t>
  </si>
  <si>
    <t>両刃の剣</t>
  </si>
  <si>
    <t>Палка о двух концах</t>
  </si>
  <si>
    <t>양날의 검</t>
  </si>
  <si>
    <t>Double-edged sword</t>
    <phoneticPr fontId="8" type="noConversion"/>
  </si>
  <si>
    <t>device_name_1310107_double_edged_cutter</t>
    <phoneticPr fontId="8" type="noConversion"/>
  </si>
  <si>
    <t>loot_name_10000</t>
  </si>
  <si>
    <t>铜币</t>
  </si>
  <si>
    <t>铜币</t>
    <phoneticPr fontId="8" type="noConversion"/>
  </si>
  <si>
    <t>銅幣</t>
  </si>
  <si>
    <t>Copper coins</t>
  </si>
  <si>
    <t>Monedas de cobre</t>
  </si>
  <si>
    <t>銅貨</t>
  </si>
  <si>
    <t>Медные монеты</t>
  </si>
  <si>
    <t>구리 동전</t>
  </si>
  <si>
    <t>safe_zone</t>
    <phoneticPr fontId="8" type="noConversion"/>
  </si>
  <si>
    <t>安全区</t>
    <phoneticPr fontId="8" type="noConversion"/>
  </si>
  <si>
    <t>safe_zone_0</t>
  </si>
  <si>
    <t>safe_zone_1</t>
  </si>
  <si>
    <t>safe_zone_2</t>
  </si>
  <si>
    <t>safe_zone_3</t>
  </si>
  <si>
    <t>safe_zone_5</t>
  </si>
  <si>
    <t>修理匠</t>
  </si>
  <si>
    <t>饰品奖励</t>
  </si>
  <si>
    <t>饰品购买</t>
  </si>
  <si>
    <t>饰品购买</t>
    <phoneticPr fontId="8" type="noConversion"/>
  </si>
  <si>
    <t>旅者营帐</t>
  </si>
  <si>
    <t>旅者营帐</t>
    <phoneticPr fontId="8" type="noConversion"/>
  </si>
  <si>
    <t>设备篷车</t>
  </si>
  <si>
    <t>设备篷车</t>
    <phoneticPr fontId="8" type="noConversion"/>
  </si>
  <si>
    <t>饰品奖励</t>
    <phoneticPr fontId="8" type="noConversion"/>
  </si>
  <si>
    <t>Repairman</t>
  </si>
  <si>
    <t>Reparador</t>
  </si>
  <si>
    <t>修理工</t>
  </si>
  <si>
    <t>Мастер по ремонту</t>
  </si>
  <si>
    <t>수리공</t>
  </si>
  <si>
    <t>飾品購買</t>
  </si>
  <si>
    <t>Jewelry purchase</t>
  </si>
  <si>
    <t>Compra de joyas</t>
  </si>
  <si>
    <t>ジュエリー購入</t>
  </si>
  <si>
    <t>Покупка ювелирных изделий</t>
  </si>
  <si>
    <t>보석 구매</t>
  </si>
  <si>
    <t>設備篷車</t>
  </si>
  <si>
    <t>Equipment caravan</t>
  </si>
  <si>
    <t>Caravana de equipos</t>
  </si>
  <si>
    <t>装備キャラバン</t>
  </si>
  <si>
    <t>Караван снаряжения</t>
  </si>
  <si>
    <t>장비 카라반</t>
  </si>
  <si>
    <t>旅者營帳</t>
  </si>
  <si>
    <t>Travelers set up tents</t>
  </si>
  <si>
    <t>Los viajeros montaban tiendas de campaña</t>
  </si>
  <si>
    <t>旅人たちはテントを設営しました</t>
  </si>
  <si>
    <t>Путешественники ставят палатки</t>
  </si>
  <si>
    <t>여행자들이 텐트를 치고 있습니다</t>
  </si>
  <si>
    <t>飾品獎勵</t>
  </si>
  <si>
    <t>Cosmetic rewards</t>
  </si>
  <si>
    <t>Recompensas cosméticas</t>
  </si>
  <si>
    <t>見た目の報酬</t>
  </si>
  <si>
    <t>Косметические награды</t>
  </si>
  <si>
    <t>외형 보상</t>
  </si>
  <si>
    <t>device_name_1330101_solid_rocket</t>
  </si>
  <si>
    <t>固体火箭</t>
    <phoneticPr fontId="8" type="noConversion"/>
  </si>
  <si>
    <t>火焰喷射器</t>
    <phoneticPr fontId="8" type="noConversion"/>
  </si>
  <si>
    <t>火焰噴射器</t>
  </si>
  <si>
    <t>Flamethrower</t>
  </si>
  <si>
    <t>Lanzallamas</t>
  </si>
  <si>
    <t>火炎放射器</t>
  </si>
  <si>
    <t>Огнемёт</t>
  </si>
  <si>
    <t>화염방사기</t>
  </si>
  <si>
    <t>device_name_1330106_car_bomb</t>
  </si>
  <si>
    <t>紧急炸药包</t>
    <phoneticPr fontId="8" type="noConversion"/>
  </si>
  <si>
    <t>采矿炸弹</t>
    <phoneticPr fontId="8" type="noConversion"/>
  </si>
  <si>
    <t>採礦炸彈</t>
  </si>
  <si>
    <t>Mining bombs</t>
  </si>
  <si>
    <t>Bombas mineras</t>
  </si>
  <si>
    <t>鉱山爆弾</t>
  </si>
  <si>
    <t>Минные бомбы</t>
  </si>
  <si>
    <t>광산 폭탄</t>
  </si>
  <si>
    <t>菌菇挡板</t>
    <phoneticPr fontId="8" type="noConversion"/>
  </si>
  <si>
    <t>镐子</t>
  </si>
  <si>
    <t>无黄蛋</t>
  </si>
  <si>
    <t>無黃蛋</t>
  </si>
  <si>
    <t>No yolk eggs</t>
  </si>
  <si>
    <t>Sin huevos de yema</t>
  </si>
  <si>
    <t>黄身卵はダメ</t>
  </si>
  <si>
    <t>Без желтковых яиц</t>
  </si>
  <si>
    <t>노른자 달걀은 안 돼요</t>
  </si>
  <si>
    <t>鎬子</t>
  </si>
  <si>
    <t>Pickaxe</t>
  </si>
  <si>
    <t>Piqueta</t>
  </si>
  <si>
    <t>ツルハシ</t>
  </si>
  <si>
    <t>Кирка</t>
  </si>
  <si>
    <t>곡괭이</t>
  </si>
  <si>
    <t>tech_name</t>
    <phoneticPr fontId="8" type="noConversion"/>
  </si>
  <si>
    <t>tech_desc</t>
    <phoneticPr fontId="8" type="noConversion"/>
  </si>
  <si>
    <t>科技 - 名称</t>
    <phoneticPr fontId="8" type="noConversion"/>
  </si>
  <si>
    <t>科技 - 描述</t>
    <phoneticPr fontId="8" type="noConversion"/>
  </si>
  <si>
    <t>tech_name_656001</t>
  </si>
  <si>
    <t>tech_name_656002</t>
  </si>
  <si>
    <t>tech_name_656003</t>
  </si>
  <si>
    <t>tech_name_656004</t>
  </si>
  <si>
    <t>tech_name_656005</t>
  </si>
  <si>
    <t>tech_name_656011</t>
  </si>
  <si>
    <t>tech_name_656012</t>
  </si>
  <si>
    <t>tech_name_656013</t>
  </si>
  <si>
    <t>tech_name_656014</t>
  </si>
  <si>
    <t>tech_name_656015</t>
  </si>
  <si>
    <t>启动资金 1</t>
  </si>
  <si>
    <t>启动资金 2</t>
  </si>
  <si>
    <t>启动资金 3</t>
  </si>
  <si>
    <t>启动资金 4</t>
  </si>
  <si>
    <t>启动资金 5</t>
  </si>
  <si>
    <t>货舱扩容 1</t>
  </si>
  <si>
    <t>货舱扩容 2</t>
  </si>
  <si>
    <t>货舱扩容 3</t>
  </si>
  <si>
    <t>货舱扩容 4</t>
  </si>
  <si>
    <t>货舱扩容 5</t>
  </si>
  <si>
    <t>啟動資金 1</t>
  </si>
  <si>
    <t>Startup Capital 1</t>
  </si>
  <si>
    <t>Capital Startup 1</t>
  </si>
  <si>
    <t>スタートアップキャピタル1</t>
  </si>
  <si>
    <t>스타트업 캐피탈 1</t>
  </si>
  <si>
    <t>啟動資金 2</t>
  </si>
  <si>
    <t>Startup Capital 2</t>
  </si>
  <si>
    <t>Capital de Startups 2</t>
  </si>
  <si>
    <t>スタートアップキャピタル2</t>
  </si>
  <si>
    <t>스타트업 캐피탈 2</t>
  </si>
  <si>
    <t>啟動資金 3</t>
  </si>
  <si>
    <t>Startup Capital 3</t>
  </si>
  <si>
    <t>Capital de Startups 3</t>
  </si>
  <si>
    <t>スタートアップキャピタル3</t>
  </si>
  <si>
    <t>스타트업 캐피탈 3</t>
  </si>
  <si>
    <t>啟動資金 4</t>
  </si>
  <si>
    <t>Startup capital 4</t>
  </si>
  <si>
    <t>Capital inicial 4</t>
  </si>
  <si>
    <t>スタートアップ資本 4</t>
  </si>
  <si>
    <t>Стартовый капитал 4</t>
  </si>
  <si>
    <t>스타트업 자본 4</t>
  </si>
  <si>
    <t>啟動資金 5</t>
  </si>
  <si>
    <t>Start-up capital 5</t>
  </si>
  <si>
    <t>Capital inicial 5</t>
  </si>
  <si>
    <t>スタートアップキャピタル5</t>
  </si>
  <si>
    <t>Стартовый капитал 5</t>
  </si>
  <si>
    <t>창업 자본 5</t>
  </si>
  <si>
    <t>貨艙擴容 1</t>
  </si>
  <si>
    <t>Cargo space expansion 1</t>
  </si>
  <si>
    <t>Expansión del espacio de carga 1</t>
  </si>
  <si>
    <t>貨物空間拡張1</t>
  </si>
  <si>
    <t>Расширение грузового пространства 1</t>
  </si>
  <si>
    <t>화물 공간 확장 1</t>
  </si>
  <si>
    <t>貨艙擴容 2</t>
  </si>
  <si>
    <t>Cargo space expansion 2</t>
  </si>
  <si>
    <t>Expansión del espacio de carga 2</t>
  </si>
  <si>
    <t>貨物空間拡張2</t>
  </si>
  <si>
    <t>Расширение грузового пространства 2</t>
  </si>
  <si>
    <t>화물 공간 확장 2</t>
  </si>
  <si>
    <t>貨艙擴容 3</t>
  </si>
  <si>
    <t>Cargo space expansion 3</t>
  </si>
  <si>
    <t>Expansión del espacio de carga 3</t>
  </si>
  <si>
    <t>カーゴスペース拡張3</t>
  </si>
  <si>
    <t>Расширение грузового пространства 3</t>
  </si>
  <si>
    <t>화물 공간 확장 3</t>
  </si>
  <si>
    <t>貨艙擴容 4</t>
  </si>
  <si>
    <t>Cargo space expansion 4</t>
  </si>
  <si>
    <t>Expansión del espacio de carga 4</t>
  </si>
  <si>
    <t>カーゴスペース拡張4</t>
  </si>
  <si>
    <t>Дополнение для грузового пространства 4</t>
  </si>
  <si>
    <t>화물 공간 확장 4</t>
  </si>
  <si>
    <t>tech_desc_656011</t>
  </si>
  <si>
    <t>tech_desc_656001</t>
  </si>
  <si>
    <t>货舱容量+2</t>
  </si>
  <si>
    <t>旅程开始时，可以额外携带&lt;color=#CE8F22&gt;5&lt;/color&gt;枚&lt;color=#CE8F22&gt;铜币&lt;/color&gt;</t>
  </si>
  <si>
    <t>旅程開始時，可以額外攜帶&lt;color=#CE8F22&gt; 5&lt;/color&gt;枚&lt;color=#CE8F22&gt; 銅幣&lt;/color&gt;</t>
  </si>
  <si>
    <t>At the beginning of the journey, you can bring an additional 5 copper coins &lt;color=#CE8F22&gt;&lt;/color&gt;&lt;color=#CE8F22&gt;&lt;/color&gt;</t>
  </si>
  <si>
    <t>Al comienzo del viaje, puedes llevar 5 monedas de cobre adicionales &lt;color=#CE8F22&gt;&lt;/color&gt;&lt;color=#CE8F22&gt;&lt;/color&gt;</t>
  </si>
  <si>
    <t>旅の始まりには、追加で銅貨5枚を持っていくことができます&lt;color=#CE8F22&gt;&lt;/color&gt;&lt;color=#CE8F22&gt;&lt;/color&gt;</t>
  </si>
  <si>
    <t>В начале путешествия вы можете взять с собой дополнительно 5 медных монет &lt;цвет=#CE8F22&gt;&lt;/color&gt;&lt;цвет=#CE8F22&gt;&lt;/color&gt;</t>
  </si>
  <si>
    <t>여정 시작 시 추가로 구리 동전 5개를 가져올 수 있습니다 &lt;color=#CE8F22&gt;&lt;/color&gt;&lt;color=#CE8F22&gt;&lt;/color&gt;</t>
  </si>
  <si>
    <t>relic_name_30001</t>
  </si>
  <si>
    <t>relic_name_30003</t>
  </si>
  <si>
    <t>relic_name_30004</t>
  </si>
  <si>
    <t>relic_name_30007</t>
  </si>
  <si>
    <t>relic_name_30008</t>
  </si>
  <si>
    <t>relic_name_30101</t>
  </si>
  <si>
    <t>relic_name_30103</t>
  </si>
  <si>
    <t>relic_name_30104</t>
  </si>
  <si>
    <t>relic_name_30105</t>
  </si>
  <si>
    <t>relic_name_30201</t>
  </si>
  <si>
    <t>relic_name_30203</t>
  </si>
  <si>
    <t>relic_name_30204</t>
  </si>
  <si>
    <t>relic_name_30223</t>
  </si>
  <si>
    <t>relic_name_30232</t>
  </si>
  <si>
    <t>relic_name_310223</t>
  </si>
  <si>
    <t>relic_name_310224</t>
  </si>
  <si>
    <t>relic_name_310225</t>
  </si>
  <si>
    <t>花洒 Lv.1</t>
  </si>
  <si>
    <t>花洒 Lv.2</t>
  </si>
  <si>
    <t>花洒 Lv.3</t>
  </si>
  <si>
    <t>蛋糕 Lv.1</t>
  </si>
  <si>
    <t>蛋糕 Lv.2</t>
  </si>
  <si>
    <t>蛋糕 Lv.3</t>
  </si>
  <si>
    <t>Muscle goldenrod</t>
  </si>
  <si>
    <t>Vara de oro muscular</t>
  </si>
  <si>
    <t>マッスルキロッド</t>
  </si>
  <si>
    <t>Мышечный золотарник</t>
  </si>
  <si>
    <t>머슬 골든로드</t>
  </si>
  <si>
    <t>Tollian</t>
  </si>
  <si>
    <t>トリアン</t>
  </si>
  <si>
    <t>Толлиан</t>
  </si>
  <si>
    <t>톨리언</t>
  </si>
  <si>
    <t>Guardian Charm</t>
  </si>
  <si>
    <t>Encantamiento de Guardián</t>
  </si>
  <si>
    <t>ガーディアンチャーム</t>
  </si>
  <si>
    <t>Заклинание Стража</t>
  </si>
  <si>
    <t>수호자 부적</t>
  </si>
  <si>
    <t>Literary talisman</t>
  </si>
  <si>
    <t>Talismán literario</t>
  </si>
  <si>
    <t>文学の護符</t>
  </si>
  <si>
    <t>Литературный талисман</t>
  </si>
  <si>
    <t>문학 부적</t>
  </si>
  <si>
    <t>axe</t>
  </si>
  <si>
    <t>Wrench</t>
  </si>
  <si>
    <t>Llave inglesa</t>
  </si>
  <si>
    <t>Гаечный ключ</t>
  </si>
  <si>
    <t>Starter</t>
  </si>
  <si>
    <t>スターター</t>
  </si>
  <si>
    <t>Стартер</t>
  </si>
  <si>
    <t>스타터</t>
  </si>
  <si>
    <t>天地は香り高い</t>
  </si>
  <si>
    <t>천지가 향기롭다</t>
  </si>
  <si>
    <t>The mother and son have spring cocoons</t>
  </si>
  <si>
    <t>La madre y el hijo tienen capullos primaverales</t>
  </si>
  <si>
    <t>母子は春の繭を持っています</t>
  </si>
  <si>
    <t>У матери и сына весенние коконы</t>
  </si>
  <si>
    <t>어머니와 아들은 봄 고치를 가지고 있습니다</t>
  </si>
  <si>
    <t>Ovejas de tejado</t>
  </si>
  <si>
    <t>ルーフシープ</t>
  </si>
  <si>
    <t>Крышные овцы</t>
  </si>
  <si>
    <t>지붕양</t>
  </si>
  <si>
    <t>花灑 Lv.1</t>
  </si>
  <si>
    <t>Shower Lv.1</t>
  </si>
  <si>
    <t>Ducha Nv.1</t>
  </si>
  <si>
    <t>シャワー レベル1</t>
  </si>
  <si>
    <t>샤워기 1단계</t>
  </si>
  <si>
    <t>花灑 Lv.2</t>
  </si>
  <si>
    <t>Shower Lv.2</t>
  </si>
  <si>
    <t>Ducha Nv.2</t>
  </si>
  <si>
    <t>シャワー レベル2</t>
  </si>
  <si>
    <t>Душ уровень 2</t>
  </si>
  <si>
    <t>샤워기 2단계</t>
  </si>
  <si>
    <t>花灑 Lv.3</t>
  </si>
  <si>
    <t>Shower Lv.3</t>
  </si>
  <si>
    <t>Ducha Nv.3</t>
  </si>
  <si>
    <t>シャワー レベル3</t>
  </si>
  <si>
    <t>Душ уровень 3</t>
  </si>
  <si>
    <t>샤워 3단계</t>
  </si>
  <si>
    <t>Cake Lv.1</t>
  </si>
  <si>
    <t>Pastel Nv.1</t>
  </si>
  <si>
    <t>ケーキ Lv.1</t>
  </si>
  <si>
    <t>Торт Уровень 1</t>
  </si>
  <si>
    <t>케이크 레벨 1</t>
  </si>
  <si>
    <t>Cake Lv.2</t>
  </si>
  <si>
    <t>Pastel Nv.2</t>
  </si>
  <si>
    <t>ケーキ Lv.2</t>
  </si>
  <si>
    <t>Торт Уровень 2</t>
  </si>
  <si>
    <t>케이크 Lv.2</t>
  </si>
  <si>
    <t>Cake Lv.3</t>
  </si>
  <si>
    <t>Pastel Nv.3</t>
  </si>
  <si>
    <t>ケーキ Lv.3</t>
  </si>
  <si>
    <t>Торт уровень 3</t>
  </si>
  <si>
    <t>케이크 레벨 3</t>
  </si>
  <si>
    <t>relic_desc_300014</t>
  </si>
  <si>
    <t>relic_desc_300034</t>
  </si>
  <si>
    <t>relic_desc_300044</t>
  </si>
  <si>
    <t>relic_desc_300074</t>
  </si>
  <si>
    <t>relic_desc_300084</t>
  </si>
  <si>
    <t>relic_desc_301014</t>
  </si>
  <si>
    <t>relic_desc_301034</t>
  </si>
  <si>
    <t>relic_desc_301044</t>
  </si>
  <si>
    <t>relic_desc_301054</t>
  </si>
  <si>
    <t>relic_desc_302014</t>
  </si>
  <si>
    <t>relic_desc_302034</t>
  </si>
  <si>
    <t>relic_desc_302044</t>
  </si>
  <si>
    <t>relic_desc_310223</t>
  </si>
  <si>
    <t>relic_desc_310224</t>
  </si>
  <si>
    <t>relic_desc_310225</t>
  </si>
  <si>
    <t>近战武器 伤害 + 20%</t>
  </si>
  <si>
    <t>近战武器 伤害 + 40%</t>
  </si>
  <si>
    <t>近战武器 伤害 + 80%</t>
  </si>
  <si>
    <t>近战武器 伤害 + 160%</t>
  </si>
  <si>
    <t>近战武器 暴击几率 + 5%</t>
  </si>
  <si>
    <t>近战武器 暴击几率 + 8%</t>
  </si>
  <si>
    <t>近战武器 暴击几率 + 12%</t>
  </si>
  <si>
    <t>近战武器 暴击几率 + 18%</t>
  </si>
  <si>
    <t>近战武器 暴击伤害 + 15%</t>
  </si>
  <si>
    <t>近战武器 暴击伤害 + 30%</t>
  </si>
  <si>
    <t>近战武器 暴击伤害 + 60%</t>
  </si>
  <si>
    <t>近战武器 暴击伤害 + 120%</t>
  </si>
  <si>
    <t>近战武器 击退 + 10%</t>
  </si>
  <si>
    <t>近战武器 击退 + 20%</t>
  </si>
  <si>
    <t>近战武器 击退 + 40%</t>
  </si>
  <si>
    <t>近战武器 击退 + 80%</t>
  </si>
  <si>
    <t>飞射物 伤害 + 20%</t>
  </si>
  <si>
    <t>飞射物 伤害 + 40%</t>
  </si>
  <si>
    <t>飞射物 伤害 + 80%</t>
  </si>
  <si>
    <t>飞射物 伤害 + 160%</t>
  </si>
  <si>
    <t>飞射物 暴击几率 + 5%</t>
  </si>
  <si>
    <t>飞射物 暴击几率 + 8%</t>
  </si>
  <si>
    <t>飞射物 暴击几率 + 12%</t>
  </si>
  <si>
    <t>飞射物 暴击几率 + 18%</t>
  </si>
  <si>
    <t>飞射物 暴击伤害 + 15%</t>
  </si>
  <si>
    <t>飞射物 暴击伤害 + 30%</t>
  </si>
  <si>
    <t>飞射物 暴击伤害 + 60%</t>
  </si>
  <si>
    <t>飞射物 暴击伤害 + 120%</t>
  </si>
  <si>
    <t>远程武器 齐发数量 + 4</t>
  </si>
  <si>
    <t>飞射物 体积增大 + 25%</t>
  </si>
  <si>
    <t>飞射物 体积增大 + 40%</t>
  </si>
  <si>
    <t>飞射物 体积增大 + 60%</t>
  </si>
  <si>
    <t>首次命中敌人后，发生裂变。（新子弹方向随机，速度初始化，寿命继承，已裂变次数继承）</t>
  </si>
  <si>
    <t>每次击杀敌人时，发生裂变。（新子弹方向随机，速度初始化，寿命继承，已裂变次数继承）</t>
  </si>
  <si>
    <t>销毁时，50%几率发生裂变。（新子弹方向随机，速度初始化，寿命重置，已裂变次数继承）</t>
  </si>
  <si>
    <t>飞射物现在碰到镜头边缘时会弹回</t>
  </si>
  <si>
    <t>飞射物反弹时，速度被重置为初始速度。</t>
  </si>
  <si>
    <t>飞射物每反弹一次，体积与伤害 + 10%（上限为3次）</t>
  </si>
  <si>
    <t>[升级] 飞射物每反弹一次，体积与伤害 + 30%（上限为4次）</t>
  </si>
  <si>
    <t>[升级] 飞射物每反弹一次，体积与伤害 + 50%（上限为5次）</t>
  </si>
  <si>
    <t>近戰武器 傷害 + 20%</t>
  </si>
  <si>
    <t>Melee Weapon Damage + 20%</t>
  </si>
  <si>
    <t>Daño de armas cuerpo a cuerpo + 20%</t>
  </si>
  <si>
    <t>近接武器ダメージ+20%</t>
  </si>
  <si>
    <t>Урон от оружия ближнего боя + 20%</t>
  </si>
  <si>
    <t>근접 무기 피해 + 20%</t>
  </si>
  <si>
    <t>近戰武器 傷害 + 40%</t>
  </si>
  <si>
    <t>Melee Weapon Damage + 40%</t>
  </si>
  <si>
    <t>Daño de armas cuerpo a cuerpo + 40%</t>
  </si>
  <si>
    <t>近接武器ダメージ + 40%</t>
  </si>
  <si>
    <t>Урон ближнего боя + 40%</t>
  </si>
  <si>
    <t>근접 무기 피해 + 40%</t>
  </si>
  <si>
    <t>近戰武器 傷害 + 80%</t>
  </si>
  <si>
    <t>Melee Weapon Damage + 80%</t>
  </si>
  <si>
    <t>Daño de armas cuerpo a cuerpo + 80%</t>
  </si>
  <si>
    <t>近接武器ダメージ+80%</t>
  </si>
  <si>
    <t>Урон ближнего боя + 80%</t>
  </si>
  <si>
    <t>근접 무기 피해 + 80%</t>
  </si>
  <si>
    <t>近戰武器 傷害 + 160%</t>
  </si>
  <si>
    <t>Melee Weapon Damage + 160%</t>
  </si>
  <si>
    <t>Daño de arma cuerpo a cuerpo + 160%</t>
  </si>
  <si>
    <t>近接武器ダメージ+160%</t>
  </si>
  <si>
    <t>Урон от оружия ближнего боя + 160%</t>
  </si>
  <si>
    <t>근접 무기 피해 + 160%</t>
  </si>
  <si>
    <t>近戰武器 暴擊幾率 + 5%</t>
  </si>
  <si>
    <t>Melee Weapon Critical Hit Chance + 5%</t>
  </si>
  <si>
    <t>Probabilidad de golpe crítico en armas cuerpo a cuerpo + 5%</t>
  </si>
  <si>
    <t>近接武器 クリティカルヒット率 + 5%</t>
  </si>
  <si>
    <t>Шанс критического удара ближним оружием + 5%</t>
  </si>
  <si>
    <t>근접 무기 치명타 확률 + 5%</t>
  </si>
  <si>
    <t>近戰武器 暴擊幾率 + 8%</t>
  </si>
  <si>
    <t>Melee Weapon Critical Strike Chance + 8%</t>
  </si>
  <si>
    <t>Probabilidad de golpe crítico con arma cuerpo a cuerpo + 8%</t>
  </si>
  <si>
    <t>近接武器 クリティカルストライク率 + 8%</t>
  </si>
  <si>
    <t>Шанс критического удара ближнего боя + 8%</t>
  </si>
  <si>
    <t>근접 무기 치명타 확률 + 8%</t>
  </si>
  <si>
    <t>近戰武器 暴擊幾率 + 12%</t>
  </si>
  <si>
    <t>Melee Weapon Critical Hit Chance + 12%</t>
  </si>
  <si>
    <t>Probabilidad de acerto crítico en armas cuerpo a cuerpo + 12%</t>
  </si>
  <si>
    <t>近接武器 クリティカルヒット率 + 12%</t>
  </si>
  <si>
    <t>Шанс критического попадания в ближнем бою + 12%</t>
  </si>
  <si>
    <t>근접 무기 치명타 확률 + 12%</t>
  </si>
  <si>
    <t>近戰武器 暴擊幾率 + 18%</t>
  </si>
  <si>
    <t>Melee Weapons Critical Strike Chance + 18%</t>
  </si>
  <si>
    <t>Probabilidad de golpe crítico con armas cuerpo a cuerpo + 18%</t>
  </si>
  <si>
    <t>近接武器 クリティカル攻撃確率 + 18%</t>
  </si>
  <si>
    <t>Шанс критического удара в ближнем бою + 18%</t>
  </si>
  <si>
    <t>근접 무기 치명타 확률 + 18%</t>
  </si>
  <si>
    <t>近戰武器 暴擊傷害 + 15%</t>
  </si>
  <si>
    <t>Melee Weapon Critical Strike Damage + 15%</t>
  </si>
  <si>
    <t>Daño crítico de golpe con arma cuerpo a cuerpo + 15%</t>
  </si>
  <si>
    <t>近接武器 クリティカルストライクダメージ + 15%</t>
  </si>
  <si>
    <t>Критический урон от оружия ближнего боя + 15%</t>
  </si>
  <si>
    <t>근접 무기 치명타 피해 + 15%</t>
  </si>
  <si>
    <t>近戰武器 暴擊傷害 + 30%</t>
  </si>
  <si>
    <t>Melee Weapon Critical Strike Damage + 30%</t>
  </si>
  <si>
    <t>Daño crítico de golpe con armas cuerpo a cuerpo + 30%</t>
  </si>
  <si>
    <t>近接武器 クリティカルストライクダメージ + 30%</t>
  </si>
  <si>
    <t>Критический урон от оружия ближнего боя + 30%</t>
  </si>
  <si>
    <t>근접 무기 치명타 피해 + 30%</t>
  </si>
  <si>
    <t>近戰武器 暴擊傷害 + 60%</t>
  </si>
  <si>
    <t>Melee Weapon Critical Strike Damage + 60%</t>
  </si>
  <si>
    <t>Daño crítico de golpe con arma cuerpo a cuerpo + 60%</t>
  </si>
  <si>
    <t>近接武器 クリティカルストライクダメージ+60%</t>
  </si>
  <si>
    <t>Критический урон от оружия ближнего боя + 60%</t>
  </si>
  <si>
    <t>근접 무기 치명타 피해 + 60%</t>
  </si>
  <si>
    <t>近戰武器 暴擊傷害 + 120%</t>
  </si>
  <si>
    <t>Melee Weapon Critical Strike Damage + 120%</t>
  </si>
  <si>
    <t>Daño crítico de golpe con arma cuerpo a cuerpo + 120%</t>
  </si>
  <si>
    <t>近接武器 クリティカルストライクダメージ + 120%</t>
  </si>
  <si>
    <t>Критический урон от оружия ближнего боя + 120%</t>
  </si>
  <si>
    <t>근접 무기 치명타 피해 + 120%</t>
  </si>
  <si>
    <t>近戰武器 擊退 + 10%</t>
  </si>
  <si>
    <t>Melee Weapon Knockback +10%</t>
  </si>
  <si>
    <t>Retroceso de armas cuerpo a cuerpo +10%</t>
  </si>
  <si>
    <t>近接武器ノックバック +10%</t>
  </si>
  <si>
    <t>Отбрасывание оружия ближнего боя +10%</t>
  </si>
  <si>
    <t>근접 무기 넉백 +10%</t>
  </si>
  <si>
    <t>近戰武器 擊退 + 20%</t>
  </si>
  <si>
    <t>Melee Weapon Knockback +20%</t>
  </si>
  <si>
    <t>Retroceso de armas cuerpo a cuerpo +20%</t>
  </si>
  <si>
    <t>近接武器ノックバック +20%</t>
  </si>
  <si>
    <t>Отбрасывание оружия ближнего боя +20%</t>
  </si>
  <si>
    <t>근접 무기 넉백 +20%</t>
  </si>
  <si>
    <t>近戰武器 擊退 + 40%</t>
  </si>
  <si>
    <t>Melee Weapons Knockback +40%</t>
  </si>
  <si>
    <t>Retroceso de armas cuerpo a cuerpo +40%</t>
  </si>
  <si>
    <t>近接武器ノックバック +40%</t>
  </si>
  <si>
    <t>Отбрасывание оружия ближнего боя +40%</t>
  </si>
  <si>
    <t>근접 무기 넉백 +40%</t>
  </si>
  <si>
    <t>近戰武器 擊退 + 80%</t>
  </si>
  <si>
    <t>Melee Weapons Knockback +80%</t>
  </si>
  <si>
    <t>Retroceso de armas cuerpo a cuerpo +80%</t>
  </si>
  <si>
    <t>近接武器のノックバック +80%</t>
  </si>
  <si>
    <t>Отбрасывание ближнего боя +80%</t>
  </si>
  <si>
    <t>근접 무기 넉백 +80%</t>
  </si>
  <si>
    <t>飛射物 傷害 + 20%</t>
  </si>
  <si>
    <t>Projectile Damage + 20%</t>
  </si>
  <si>
    <t>Daño de proyectiles + 20%</t>
  </si>
  <si>
    <t>投射ダメージ + 20%</t>
  </si>
  <si>
    <t>Урон от снарядов + 20%</t>
  </si>
  <si>
    <t>투사체 피해 + 20%</t>
  </si>
  <si>
    <t>飛射物 傷害 + 40%</t>
  </si>
  <si>
    <t>Projectile Damage + 40%</t>
  </si>
  <si>
    <t>Daño de proyectil + 40%</t>
  </si>
  <si>
    <t>弾道ダメージ + 40%</t>
  </si>
  <si>
    <t>Урон от снарядов + 40%</t>
  </si>
  <si>
    <t>투사체 피해 + 40%</t>
  </si>
  <si>
    <t>飛射物 傷害 + 80%</t>
  </si>
  <si>
    <t>Projectile Damage + 80%</t>
  </si>
  <si>
    <t>Daño de proyectil + 80%</t>
  </si>
  <si>
    <t>投射物ダメージ + 80%</t>
  </si>
  <si>
    <t>Урон от снарядов + 80%</t>
  </si>
  <si>
    <t>투사체 피해 + 80%</t>
  </si>
  <si>
    <t>飛射物 傷害 + 160%</t>
  </si>
  <si>
    <t>Projectile Damage + 160%</t>
  </si>
  <si>
    <t>Daño de proyectil + 160%</t>
  </si>
  <si>
    <t>弾丸ダメージ + 160%</t>
  </si>
  <si>
    <t>Урон от снарядов + 160%</t>
  </si>
  <si>
    <t>투사체 피해 + 160%</t>
  </si>
  <si>
    <t>飛射物 暴擊幾率 + 5%</t>
  </si>
  <si>
    <t>Projectile Critical Hit Chance + 5%</t>
  </si>
  <si>
    <t>Probabilidad de acerto crítico del proyectil + 5%</t>
  </si>
  <si>
    <t>飛び道具クリティカルヒット率 + 5%</t>
  </si>
  <si>
    <t>Шанс критического попадания снаряда + 5%</t>
  </si>
  <si>
    <t>투사체 치명타 확률 + 5%</t>
  </si>
  <si>
    <t>飛射物 暴擊幾率 + 8%</t>
  </si>
  <si>
    <t>Projectile Critical Hit Chance + 8%</t>
  </si>
  <si>
    <t>Probabilidad de acerto crítico del proyectil + 8%</t>
  </si>
  <si>
    <t>弾丸クリティカルヒット率+8%</t>
  </si>
  <si>
    <t>Шанс критического попадания снаряда + 8%</t>
  </si>
  <si>
    <t>투사체 치명타 확률 + 8%</t>
  </si>
  <si>
    <t>飛射物 暴擊幾率 + 12%</t>
  </si>
  <si>
    <t>Projectile Critical Hit Chance + 12%</t>
  </si>
  <si>
    <t>Probabilidad de acerto crítico del proyectil + 12%</t>
  </si>
  <si>
    <t>弾丸クリティカルヒット率 + 12%</t>
  </si>
  <si>
    <t>Шанс критического попадания снаряда + 12%</t>
  </si>
  <si>
    <t>투사체 치명타 확률 + 12%</t>
  </si>
  <si>
    <t>飛射物 暴擊幾率 + 18%</t>
  </si>
  <si>
    <t>Projectile Critical Hit Chance + 18%</t>
  </si>
  <si>
    <t>Probabilidad de acerto crítico del proyectil + 18%</t>
  </si>
  <si>
    <t>弾丸クリティカルヒット率 + 18%</t>
  </si>
  <si>
    <t>Шанс критического попадания снаряда + 18%</t>
  </si>
  <si>
    <t>투사체 치명타 확률 + 18%</t>
  </si>
  <si>
    <t>飛射物 暴擊傷害 + 15%</t>
  </si>
  <si>
    <t>Projectile Critical Strike Damage + 15%</t>
  </si>
  <si>
    <t>Daño crítico por proyectil + 15%</t>
  </si>
  <si>
    <t>飛び道具クリティカル攻撃ダメージ+15%</t>
  </si>
  <si>
    <t>Критический урон от снаряда + 15%</t>
  </si>
  <si>
    <t>투사체 치명타 피해 + 15%</t>
  </si>
  <si>
    <t>飛射物 暴擊傷害 + 30%</t>
  </si>
  <si>
    <t>Projectile Critical Strike Damage + 30%</t>
  </si>
  <si>
    <t>Daño crítico de proyectil + 30%</t>
  </si>
  <si>
    <t>弾丸クリティカル攻撃ダメージ+30%</t>
  </si>
  <si>
    <t>Критический урон от снаряда + 30%</t>
  </si>
  <si>
    <t>투사체 치명타 피해 + 30%</t>
  </si>
  <si>
    <t>飛射物 暴擊傷害 + 60%</t>
  </si>
  <si>
    <t>Projectile Critical Strike Damage + 60%</t>
  </si>
  <si>
    <t>Daño de Golpe Crítico de Proyectil + 60%</t>
  </si>
  <si>
    <t>飛び道具クリティカル攻撃ダメージ+60%</t>
  </si>
  <si>
    <t>Критический урон от снаряда + 60%</t>
  </si>
  <si>
    <t>투사체 치명타 피해 + 60%</t>
  </si>
  <si>
    <t>飛射物 暴擊傷害 + 120%</t>
  </si>
  <si>
    <t>Projectile Critical Strike Damage + 120%</t>
  </si>
  <si>
    <t>Daño crítico de proyectil + 120%</t>
  </si>
  <si>
    <t>飛び道具クリティカル攻撃ダメージ+120%</t>
  </si>
  <si>
    <t>Критический урон от снаряда + 120%</t>
  </si>
  <si>
    <t>투사체 치명타 피해 + 120%</t>
  </si>
  <si>
    <t>遠端武器 齊發數量 + 4</t>
  </si>
  <si>
    <t>Ranged weapons Number of salvos + 4</t>
  </si>
  <si>
    <t>Armas a distancia Número de salvas + 4</t>
  </si>
  <si>
    <t>遠距離武器 一斉射撃数+4回</t>
  </si>
  <si>
    <t>Дальнобойное оружие Количество залпов + 4</t>
  </si>
  <si>
    <t>원거리 무기 일제 발사 횟수 + 4회</t>
  </si>
  <si>
    <t>飛射物 體積增大 + 25%</t>
  </si>
  <si>
    <t>Projectile Size Increases by +25%</t>
  </si>
  <si>
    <t>El tamaño del proyectil aumenta un +25%</t>
  </si>
  <si>
    <t>弾丸サイズが+25%増加</t>
  </si>
  <si>
    <t>Размер снаряда увеличивается на +25%</t>
  </si>
  <si>
    <t>탄환 크기 +25% 증가</t>
  </si>
  <si>
    <t>飛射物 體積增大 + 40%</t>
  </si>
  <si>
    <t>Projectile Size Increases by +40%</t>
  </si>
  <si>
    <t>El tamaño del proyectil aumenta un +40%</t>
  </si>
  <si>
    <t>弾丸サイズが+40%増加</t>
  </si>
  <si>
    <t>Размер снаряда увеличивается на +40%</t>
  </si>
  <si>
    <t>투사체 크기 +40% 증가</t>
  </si>
  <si>
    <t>飛射物 體積增大 + 60%</t>
  </si>
  <si>
    <t>Projectile Size Increases by +60%</t>
  </si>
  <si>
    <t>El tamaño del proyectil aumenta en un +60%</t>
  </si>
  <si>
    <t>弾丸サイズが+60%増加</t>
  </si>
  <si>
    <t>Размер снаряда увеличивается на +60%</t>
  </si>
  <si>
    <t>투사체 크기 +60% 증가</t>
  </si>
  <si>
    <t>首次命中敵人後，發生裂變。 （新子彈方向隨機，速度初始化，壽命繼承，已裂變次數繼承）</t>
  </si>
  <si>
    <t>After hitting the enemy for the first time, fission occurs. (New bullet direction is random, speed initialization, life inheritance, fission number inheritance)</t>
  </si>
  <si>
    <t>Tras golpear al enemigo por primera vez, ocurre fisión. (La nueva dirección de las vilas es aleatoria, inicialización de velocidad, herencia de vida, herencia del número de fisión)</t>
  </si>
  <si>
    <t>敵に初めて命中した後、核分裂が起こります。 (新しい弾丸の方向はランダム、速度初期化、生命継承、核分裂数継承)</t>
  </si>
  <si>
    <t>После первого попадания по врагу происходит деление. (Новое направление пули случайное, инициализация скорости, наследование жизни, наследование чисел деления)</t>
  </si>
  <si>
    <t>적을 처음 타격한 후 핵분열이 일어납니다. (새로운 탄환 방향은 무작위이며, 속도 초기화, 생명 상속, 핵분열 수 상속)</t>
  </si>
  <si>
    <t>每次擊殺敵人時，發生裂變。 （新子彈方向隨機，速度初始化，壽命繼承，已裂變次數繼承）</t>
  </si>
  <si>
    <t>Every time an enemy is killed, fission occurs. (New bullet direction is random, speed initialization, life inheritance, fission number inheritance)</t>
  </si>
  <si>
    <t>Cada vez que un enemigo es eliminado, se produce fisión. (La nueva dirección de las vilas es aleatoria, inicialización de velocidad, herencia de vida, herencia del número de fisión)</t>
  </si>
  <si>
    <t>敵が倒されるたびに核分裂が発生します。 (新しい弾丸の方向はランダム、速度初期化、生命継承、核分裂数継承)</t>
  </si>
  <si>
    <t>Каждый раз, когда враг погибает, происходит деление. (Новое направление пули случайное, инициализация скорости, наследование жизни, наследование чисел деления)</t>
  </si>
  <si>
    <t>적이 처치될 때마다 핵분열이 일어납니다. (새로운 탄환 방향은 무작위이며, 속도 초기화, 생명 상속, 핵분열 수 상속)</t>
  </si>
  <si>
    <t>銷毀時，50%幾率發生裂變。 （新子彈方向隨機，速度初始化，壽命重置，已裂變次數繼承）</t>
  </si>
  <si>
    <t>When destroyed, there is a 50% chance of fission. (New bullet direction is random, speed is initialized, life is reset, fission number is inherited)</t>
  </si>
  <si>
    <t>Cuando se destruye, hay un 50% de probabilidad de fisión. (La nueva dirección de bala es aleatoria, se inicializa la velocidad, se reinicia la vida y se hereda el número de fisión)</t>
  </si>
  <si>
    <t>破壊されると、核分裂の確率は50%です。 (新しい弾の方向はランダムで、速度が初期化され、寿命がリセットされ、核分裂数が継承されます)</t>
  </si>
  <si>
    <t>При уничтожении вероятность расщепления составляет 50%. (Новое направление пули происходит случайно, скорость инициализируется, жизнь сбрасывается, число деления наследуется)</t>
  </si>
  <si>
    <t>파괴되면 핵분열 확률이 50%입니다. (새로운 탄환 방향은 무작위이며, 속도가 초기화되며, 생명이 초기화되며, 핵분열 수가 상속됩니다)</t>
  </si>
  <si>
    <t>飛射物現在碰到鏡頭邊緣時會彈回</t>
  </si>
  <si>
    <t>Projectiles now bounce off the edge of the lens</t>
  </si>
  <si>
    <t>Los proyectiles ahora rebotan en el borde de la lente</t>
  </si>
  <si>
    <t>弾丸はレンズの縁に跳ね返ります</t>
  </si>
  <si>
    <t>Теперь снаряды отскакивают от края объектива</t>
  </si>
  <si>
    <t>이제 투사체가 렌즈 가장자리에 튕겨 나갑니다</t>
  </si>
  <si>
    <t>飛射物反彈時，速度被重置為初始速度。</t>
  </si>
  <si>
    <t>When the projectile bounces, the speed is reset to the initial velocity.</t>
  </si>
  <si>
    <t>Cuando el proyectil rebota, la velocidad se restablece a la velocidad inicial.</t>
  </si>
  <si>
    <t>弾丸が跳ね返ると、速度は初期速度にリセットされます。</t>
  </si>
  <si>
    <t>Когда снаряд отскакивает, скорость сбрасывается до начальной скорости.</t>
  </si>
  <si>
    <t>투사체가 튕기면 속도는 초기 속도로 재설정됩니다.</t>
  </si>
  <si>
    <t>飛射物每反彈一次，體積與傷害 + 10%（上限為3次）</t>
  </si>
  <si>
    <t>For each bounce of projectiles, Volume and Damage +10% (up to 3 times)</t>
  </si>
  <si>
    <t>Por cada rebote de proyectiles, Volumen y Daño +10% (hasta 3 veces)</t>
  </si>
  <si>
    <t>弾丸の跳ね返りごとに体積とダメージ+10%(最大3回)</t>
  </si>
  <si>
    <t>За каждый отскок снаряда Объём и Урон +10% (до 3 раз)</t>
  </si>
  <si>
    <t>투사체가 튕길 때마다 부피와 피해 +10% (최대 3회)</t>
  </si>
  <si>
    <t>[升級] 飛射物每反彈一次，體積與傷害 + 30%（上限為4次）</t>
  </si>
  <si>
    <t>[Upgrade] Projectiles bounce off each time, + 30% Volume and Damage (up to 4 times)</t>
  </si>
  <si>
    <t>[Mejora] Los proyectiles rebotan cada vez, + 30% de Volumen y Daño (hasta 4 veces)</t>
  </si>
  <si>
    <t>[アップグレード] 弾は毎回跳ね返り、+30%の体積とダメージ(最大4回)</t>
  </si>
  <si>
    <t>[Апгрейд] Снаряды отскакивают каждый раз, + 30% Объёма и Урона (до 4 раз)</t>
  </si>
  <si>
    <t>[업그레이드] 투사체는 매번 튕겨 나가며, + 30% 부피와 피해 (최대 4회)</t>
  </si>
  <si>
    <t>[升級] 飛射物每反彈一次，體積與傷害 + 50%（上限為5次）</t>
  </si>
  <si>
    <t>[Upgrade] Size and Damage +50% for each projectile bounce (up to 5 times)</t>
  </si>
  <si>
    <t>[Mejora] Tamaño y daño +50% por cada rebote de proyectil (hasta 5 veces)</t>
  </si>
  <si>
    <t>[アップグレード] 弾丸の跳ね返りごとにサイズとダメージ+50%(最大5回)</t>
  </si>
  <si>
    <t>[Улучшение] Размер и урон +50% за каждый отскок снаряда (до 5 раз)</t>
  </si>
  <si>
    <t>[업그레이드] 크기와 피해 +50% 투사체 튕김 당시 최대 5회</t>
  </si>
  <si>
    <t>When the number of bullets in the magazine is restored, there is a 10% chance to fire 1 free bullet immediately</t>
  </si>
  <si>
    <t>Cuando se restaura el número de balas en el cargador, hay un 10% de probabilidad de disparar 1 bala gratis inmediatamente</t>
  </si>
  <si>
    <t>マガジンの弾数が回復すると、10%の確率で1発のフリー弾を即座に発射できます</t>
  </si>
  <si>
    <t>Когда количество пуль в магазине восстановлено, шанс сразу выпустить одну свободную пулю составляет 10%</t>
  </si>
  <si>
    <t>탄창 내 탄환 수가 회복되면 즉시 10%의 확률로 자유탄환 1발을 발사할 수 있습니다</t>
  </si>
  <si>
    <t>tech_name_651001</t>
  </si>
  <si>
    <t>tech_name_651002</t>
  </si>
  <si>
    <t>tech_name_651003</t>
  </si>
  <si>
    <t>tech_name_651004</t>
  </si>
  <si>
    <t>tech_name_651005</t>
  </si>
  <si>
    <t>tech_name_651006</t>
  </si>
  <si>
    <t>tech_name_651007</t>
  </si>
  <si>
    <t>tech_name_651008</t>
  </si>
  <si>
    <t>区域：地宫</t>
  </si>
  <si>
    <t>区域：云间</t>
  </si>
  <si>
    <t>区域：密林</t>
  </si>
  <si>
    <t>区域：树梢</t>
  </si>
  <si>
    <t>区域：田间</t>
  </si>
  <si>
    <t>区域：永夜</t>
  </si>
  <si>
    <t>区域：荒漠</t>
  </si>
  <si>
    <t>区域：大湖</t>
  </si>
  <si>
    <t>區域：地宮</t>
  </si>
  <si>
    <t>Area: Underground Palace</t>
  </si>
  <si>
    <t>Área: Palacio Subterráneo</t>
  </si>
  <si>
    <t>エリア:地下宮殿</t>
  </si>
  <si>
    <t>Территория: Подземный дворец</t>
  </si>
  <si>
    <t>지역: 지하궁전</t>
  </si>
  <si>
    <t>區域：雲間</t>
  </si>
  <si>
    <t>Region: Clouds</t>
  </si>
  <si>
    <t>Región: Nubes</t>
  </si>
  <si>
    <t>地域:雲</t>
  </si>
  <si>
    <t>Регион: Облака</t>
  </si>
  <si>
    <t>지역: 구름</t>
  </si>
  <si>
    <t>區域：密林</t>
  </si>
  <si>
    <t>Area: Dense forest</t>
  </si>
  <si>
    <t>Área: Bosque denso</t>
  </si>
  <si>
    <t>面積:密林</t>
  </si>
  <si>
    <t>Площадь: густой лес</t>
  </si>
  <si>
    <t>면적: 울창한 숲</t>
  </si>
  <si>
    <t>區域：樹梢</t>
  </si>
  <si>
    <t>Area: treetops</t>
  </si>
  <si>
    <t>Área: copas de árboles</t>
  </si>
  <si>
    <t>面積:樹冠</t>
  </si>
  <si>
    <t>Площадь: верхушки деревьев</t>
  </si>
  <si>
    <t>면적: 나무 꼭대기</t>
  </si>
  <si>
    <t>區域：田間</t>
  </si>
  <si>
    <t>Area: Field</t>
  </si>
  <si>
    <t>Área: Campo</t>
  </si>
  <si>
    <t>エリア:フィールド</t>
  </si>
  <si>
    <t>Площадь: Поле</t>
  </si>
  <si>
    <t>면적: 필드</t>
  </si>
  <si>
    <t>區域：永夜</t>
  </si>
  <si>
    <t>Area: Eternal Night</t>
  </si>
  <si>
    <t>Zona: Noche Eterna</t>
  </si>
  <si>
    <t>エリア:エターナルナイト</t>
  </si>
  <si>
    <t>Район: Вечная ночь</t>
  </si>
  <si>
    <t>지역: 이터널 나이트</t>
  </si>
  <si>
    <t>區域：荒漠</t>
  </si>
  <si>
    <t>Area: desert</t>
  </si>
  <si>
    <t>Zona: desierto</t>
  </si>
  <si>
    <t>エリア:砂漠</t>
  </si>
  <si>
    <t>Территория: пустыня</t>
  </si>
  <si>
    <t>지역: 사막</t>
  </si>
  <si>
    <t>區域：大湖</t>
  </si>
  <si>
    <t>Area: Great Lakes</t>
  </si>
  <si>
    <t>Zona: Grandes Lagos</t>
  </si>
  <si>
    <t>地域:五大湖</t>
  </si>
  <si>
    <t>Район: Великие озёра</t>
  </si>
  <si>
    <t>면적: 오대호</t>
  </si>
  <si>
    <t>tech_desc_651001</t>
  </si>
  <si>
    <t>tech_desc_651002</t>
  </si>
  <si>
    <t>tech_desc_651003</t>
  </si>
  <si>
    <t>tech_desc_651004</t>
  </si>
  <si>
    <t>tech_desc_651005</t>
  </si>
  <si>
    <t>tech_desc_651006</t>
  </si>
  <si>
    <t>tech_desc_651007</t>
  </si>
  <si>
    <t>tech_desc_651008</t>
  </si>
  <si>
    <t>开放&lt;color=#C57C4C&gt;地宫&lt;/color&gt;世界的探索权限</t>
  </si>
  <si>
    <t>开放&lt;color=#C57C4C&gt;云间&lt;/color&gt;世界的探索权限</t>
  </si>
  <si>
    <t>开放&lt;color=#C57C4C&gt;密林&lt;/color&gt;世界的探索权限</t>
  </si>
  <si>
    <t>开放&lt;color=#C57C4C&gt;树梢&lt;/color&gt;世界的探索权限</t>
  </si>
  <si>
    <t>开放&lt;color=#C57C4C&gt;田间&lt;/color&gt;世界的探索权限</t>
  </si>
  <si>
    <t>开放&lt;color=#C57C4C&gt;永夜&lt;/color&gt;世界的探索权限</t>
  </si>
  <si>
    <t>开放&lt;color=#C57C4C&gt;荒漠&lt;/color&gt;世界的探索权限</t>
  </si>
  <si>
    <t>开放&lt;color=#C57C4C&gt;大湖&lt;/color&gt;世界的探索权限</t>
  </si>
  <si>
    <t>&lt;color=#C57C4C&gt;战利品货舱&lt;/color&gt;的容量上限&lt;color=#C57C4C&gt;+2&lt;/color&gt;，可以携带更多战利品</t>
  </si>
  <si>
    <t>開放&lt;color=#C57C4C&gt; 地宮&lt;/color&gt;世界的探索許可權</t>
  </si>
  <si>
    <t>Unlocks &lt;color=#C57C4C&gt; access to explore the underground world&lt;/color&gt;</t>
  </si>
  <si>
    <t>Desbloquea &lt;color=#C57C4C&gt; acceso para explorar el mundo subterráneo&lt;/color&gt;</t>
  </si>
  <si>
    <t>&lt;color=#C57C4C&gt; 地下世界を探索するためのアクセスが解放されます&lt;/color&gt;</t>
  </si>
  <si>
    <t>Открывает &lt;цвет=#C57C4C&gt; доступ к исследованию подземного мира&lt;/color&gt;</t>
  </si>
  <si>
    <t>지하 세계를 탐험할 수 있는 &lt;color=#C57C4C&gt; 잠금 해제&lt;/color&gt;</t>
  </si>
  <si>
    <t>開放&lt;color=#C57C4C&gt; 雲間&lt;/color&gt;世界的探索許可權</t>
  </si>
  <si>
    <t>Open &lt;color=#C57C4C&gt; access to explore the world in the clouds&lt;/color&gt;</t>
  </si>
  <si>
    <t>Abierto &lt;color=#C57C4C&gt; acceso para explorar el mundo en las nubes&lt;/color&gt;</t>
  </si>
  <si>
    <t>&lt;color=#C57C4C&gt; 雲の世界を探検するためのアクセスを開く&lt;/color&gt;</t>
  </si>
  <si>
    <t>Открыть &lt;цвет=#C57C4C&gt; доступ к исследованию мира в облаках&lt;/color&gt;</t>
  </si>
  <si>
    <t>구름 속 세계를 탐험할 수 있는 &lt;color=#C57C4C&gt; 열기&lt;/color&gt;</t>
  </si>
  <si>
    <t>開放&lt;color=#C57C4C&gt; 密林&lt;/color&gt;世界的探索許可權</t>
  </si>
  <si>
    <t>Open &lt;color=#C57C4C&gt;&lt;/color&gt; access to explore the jungle world</t>
  </si>
  <si>
    <t>Abierto &lt;color=#C57C4C&gt;&lt;/color&gt; acceso para explorar el mundo de la jungla</t>
  </si>
  <si>
    <t>&lt;color=#C57C4C&gt; ジャン&lt;/color&gt;グルの世界を探索するためのアクセスを開けています</t>
  </si>
  <si>
    <t>Открыть &lt;color=#C57C4C&gt;&lt;/color&gt; доступ к исследованию мира джунглей</t>
  </si>
  <si>
    <t>정&lt;/color&gt;글 세계를 탐험할 수 있는 &lt;color=#C57C4C&gt; 오픈</t>
  </si>
  <si>
    <t>開放&lt;color=#C57C4C&gt; 樹梢&lt;/color&gt;世界的探索許可權</t>
  </si>
  <si>
    <t>Open &lt;color=#C57C4C&gt;&lt;/color&gt; access to explore the treetop world</t>
  </si>
  <si>
    <t>Abrir &lt;color=#C57C4C&gt;&lt;/color&gt; acceso para explorar el mundo de las copas de los árboles</t>
  </si>
  <si>
    <t>&lt;color=#C57C4C&gt; 樹&lt;/color&gt;上の世界を探索するためのアクセスを開きます</t>
  </si>
  <si>
    <t>Открыть &lt;color=#C57C4C&gt;&lt;/color&gt; доступ к исследованию мира верхушек деревьев</t>
  </si>
  <si>
    <t>나무&lt;/color&gt; 꼭대기 세계를 탐험할 수 있는 &lt;color=#C57C4C&gt; 열기</t>
  </si>
  <si>
    <t>開放&lt;color=#C57C4C&gt; 田間&lt;/color&gt;世界的探索許可權</t>
  </si>
  <si>
    <t>Open &lt;color=#C57C4C&gt; access to explore the field&lt;/color&gt; world</t>
  </si>
  <si>
    <t>Acceso abierto &lt;color=#C57C4C&gt; para explorar el mundo del campo&lt;/color&gt;</t>
  </si>
  <si>
    <t>&lt;color=#C57C4C&gt; フィールドの世界を探求するためのアクセスを開く&lt;/color&gt;</t>
  </si>
  <si>
    <t>Открыть &lt;color=#C57C4C&gt; доступ к исследованию мира поля&lt;/color&gt;</t>
  </si>
  <si>
    <t>오픈 &lt;color=#C57C4C&gt; 현장 세계 탐색&lt;/color&gt; 접근</t>
  </si>
  <si>
    <t>開放&lt;color=#C57C4C&gt; 永夜&lt;/color&gt;世界的探索許可權</t>
  </si>
  <si>
    <t>Open &lt;color=#C57C4C&gt; access to explore the world of Eternal Night&lt;/color&gt;</t>
  </si>
  <si>
    <t>Abierto &lt;color=#C57C4C&gt; acceso para explorar el mundo de la Noche Eterna&lt;/color&gt;</t>
  </si>
  <si>
    <t>&lt;color=#C57C4C&gt; 永遠の夜の世界を探検するためのアクセスを開けてください&lt;/color&gt;</t>
  </si>
  <si>
    <t>Открыть &lt;color=#C57C4C&gt; доступ к исследованию мира Вечной Ночи&lt;/color&gt;</t>
  </si>
  <si>
    <t>열려 &lt;color=#C57C4C&gt; 영원한 밤의 세계를 탐험할 수 있는 접근&lt;/color&gt;</t>
  </si>
  <si>
    <t>開放&lt;color=#C57C4C&gt; 荒漠&lt;/color&gt;世界的探索許可權</t>
  </si>
  <si>
    <t>Open &lt;color=#C57C4C&gt;&lt;/color&gt; access to explore the desert world</t>
  </si>
  <si>
    <t>Acceso abierto &lt;color=#C57C4C&gt;&lt;/color&gt; para explorar el mundo desértico</t>
  </si>
  <si>
    <t>&lt;color=#C57C4C&gt; 砂&lt;/color&gt;漠の世界を探索するためのアクセスを開く</t>
  </si>
  <si>
    <t>Открыть &lt;цвет=#C57C4C&gt;&lt;/color&gt; доступ для исследования пустынного мира</t>
  </si>
  <si>
    <t>사막 세계 탐험 #C57C4C&gt; &lt;color= 개방&lt;/color&gt;</t>
  </si>
  <si>
    <t>開放&lt;color=#C57C4C&gt; 大湖&lt;/color&gt;世界的探索許可權</t>
  </si>
  <si>
    <t>Open &lt;color=#C57C4C&gt;&lt;/color&gt; access to explore the Great Lakes world</t>
  </si>
  <si>
    <t>Acceso abierto &lt;color=#C57C4C&gt;&lt;/color&gt; para explorar el mundo de los Grandes Lagos</t>
  </si>
  <si>
    <t>オープン &lt;color=#C57C4C&gt;&lt;/color&gt; 五大湖の世界を探検するためのアクセス</t>
  </si>
  <si>
    <t>Открыть &lt;color=#C57C4C&gt;&lt;/color&gt; доступ для исследования мира Великих озёр</t>
  </si>
  <si>
    <t>오대호 세계 탐험 &lt;color=#C57C4C&gt; 접근&lt;/color&gt;</t>
  </si>
  <si>
    <t>&lt;color=#C57C4C&gt; 戰利品貨艙&lt;/color&gt;的容量上限&lt;color=#C57C4C&gt;+2&lt;/color&gt;，可以攜帶更多戰利品</t>
  </si>
  <si>
    <t>&lt;color=#C57C4C&gt; The maximum capacity of the loot cargo compartment&lt;/color&gt; &lt;color=#C57C4C&gt;+2&lt;/color&gt; allows you to carry more loot</t>
  </si>
  <si>
    <t>&lt;color=#C57C4C&gt; La capacidad máxima del compartimento de carga del botín&lt;/color&gt; &lt;color=#C57C4C&gt;+2&lt;/color&gt; permite llevar más botín</t>
  </si>
  <si>
    <t>&lt;color=#C57C4C&gt; 戦利品貨物区画の最大収容能力&lt;&lt;/color&gt;color=#C57C4C&gt;+2)により&lt;/color&gt;、より多くの戦利品を運べます</t>
  </si>
  <si>
    <t>&lt;цвет=#C57C4C&gt; Максимальная ёмкость грузового отсека&lt;/color&gt; &lt;цвет=#C57C4C&gt;+2&lt;/color&gt; позволяет носить больше лута</t>
  </si>
  <si>
    <t>&lt;color=#C57C4C&gt; 전리품 화물칸의 최대 용량&lt;/color&gt; &lt;color=#C57C4C&gt;+2)는&lt;/color&gt; 더 많은 전리품을 운반할 수 있게 해줍니다</t>
  </si>
  <si>
    <t>relic_name_310501</t>
  </si>
  <si>
    <t>relic_name_310502</t>
  </si>
  <si>
    <t>relic_name_310503</t>
  </si>
  <si>
    <t>relic_name_310504</t>
  </si>
  <si>
    <t>relic_name_310505</t>
  </si>
  <si>
    <t>relic_name_310506</t>
  </si>
  <si>
    <t>relic_name_310507</t>
  </si>
  <si>
    <t>箱子 Lv.1</t>
  </si>
  <si>
    <t>箱子 Lv.2</t>
  </si>
  <si>
    <t>箱子 Lv.3</t>
  </si>
  <si>
    <t>符纸 Lv.1</t>
  </si>
  <si>
    <t>符纸 Lv.2</t>
  </si>
  <si>
    <t>符纸 Lv.3</t>
  </si>
  <si>
    <t>玩火艺人</t>
  </si>
  <si>
    <t>Chest Lv.1</t>
  </si>
  <si>
    <t>Pecho Nv.1</t>
  </si>
  <si>
    <t>チェスト レベル1</t>
  </si>
  <si>
    <t>Сундук Уровень 1</t>
  </si>
  <si>
    <t>상자 레벨 1</t>
  </si>
  <si>
    <t>Chest Lv.2</t>
  </si>
  <si>
    <t>Pecho Nv.2</t>
  </si>
  <si>
    <t>チェスト レベル2</t>
  </si>
  <si>
    <t>Грудь уровня 2</t>
  </si>
  <si>
    <t>상자 레벨 2</t>
  </si>
  <si>
    <t>Chest Lv.3</t>
  </si>
  <si>
    <t>Pecho nivel 3</t>
  </si>
  <si>
    <t>チェスト レベル3</t>
  </si>
  <si>
    <t>Грудь уровень 3</t>
  </si>
  <si>
    <t>상자 레벨 3</t>
  </si>
  <si>
    <t>符紙 Lv.1</t>
  </si>
  <si>
    <t>Talisman Paper Lv.1</t>
  </si>
  <si>
    <t>Papel de talismán Nv.1</t>
  </si>
  <si>
    <t>護符紙 Lv.1</t>
  </si>
  <si>
    <t>Талисманная бумага уровня 1</t>
  </si>
  <si>
    <t>부적 종이 Lv.1</t>
  </si>
  <si>
    <t>符紙 Lv.2</t>
  </si>
  <si>
    <t>Talisman Paper Lv.2</t>
  </si>
  <si>
    <t>Papel de talismanes nivel 2</t>
  </si>
  <si>
    <t>護符紙 Lv.2</t>
  </si>
  <si>
    <t>Талисманная бумага 2 уровня</t>
  </si>
  <si>
    <t>부적 종이 Lv.2</t>
  </si>
  <si>
    <t>符紙 Lv.3</t>
  </si>
  <si>
    <t>Talisman Paper Lv.3</t>
  </si>
  <si>
    <t>Papel de talismán nivel 3</t>
  </si>
  <si>
    <t>護符紙 Lv.3</t>
  </si>
  <si>
    <t>Талисманная бумага уровень 3</t>
  </si>
  <si>
    <t>부적 종이 3단계</t>
  </si>
  <si>
    <t>玩火藝人</t>
  </si>
  <si>
    <t>Fire artist</t>
  </si>
  <si>
    <t>Artista de fuego</t>
  </si>
  <si>
    <t>火のアーティスト</t>
  </si>
  <si>
    <t>Огненный художник</t>
  </si>
  <si>
    <t>불꽃 예술가</t>
  </si>
  <si>
    <t>relic_desc_310501</t>
  </si>
  <si>
    <t>近战设备每次造成暴击伤害，有15%概率在目标处生成1枚铜币</t>
  </si>
  <si>
    <t>relic_desc_310502</t>
  </si>
  <si>
    <t>[升级] 近战设备每次造成暴击伤害，有30%概率在目标处生成1枚铜币</t>
  </si>
  <si>
    <t>relic_desc_310503</t>
  </si>
  <si>
    <t>[升级] 近战设备每次造成暴击伤害，有60%概率在目标处生成1枚铜币</t>
  </si>
  <si>
    <t>relic_desc_310504</t>
  </si>
  <si>
    <t>近战设备每次暴击，有20%几率秒杀目标（目标当前生命值不能超过设备伤害的6倍）</t>
  </si>
  <si>
    <t>relic_desc_310505</t>
  </si>
  <si>
    <t>[升级] 近战设备每次暴击，有40%几率秒杀目标（目标当前生命值不能超过设备伤害的9倍）</t>
  </si>
  <si>
    <t>relic_desc_310506</t>
  </si>
  <si>
    <t>[升级] 近战设备每次暴击，有60%几率秒杀目标（目标当前生命值不能超过设备伤害的12倍）</t>
  </si>
  <si>
    <t>relic_desc_310507</t>
  </si>
  <si>
    <t>近战设备获得32点额外火焰伤害，但每次发动攻击，有5%的概率点燃自身。</t>
  </si>
  <si>
    <t>弹匣内子弹数量得到恢复时，有10%概率立刻射出1发免费的子弹</t>
  </si>
  <si>
    <t>[升级] 弹匣内子弹数量得到恢复时，有20%概率立刻射出1发免费的子弹</t>
  </si>
  <si>
    <t>[升级] 弹匣内子弹数量得到恢复时，有40%概率立刻射出1发免费的子弹</t>
  </si>
  <si>
    <t>彈匣內子彈數量得到恢復時，有10%概率立刻射出1發免費的子彈</t>
  </si>
  <si>
    <t>[升級] 彈匣內子彈數量得到恢復時，有20%概率立刻射出1發免費的子彈</t>
  </si>
  <si>
    <t>When the number of bullets in the magazine is restored, there is a 20% chance to fire 1 free bullet immediately</t>
  </si>
  <si>
    <t>Cuando se restaura el número de balas en el cargador, hay un 20% de probabilidad de disparar 1 bala gratis inmediatamente</t>
  </si>
  <si>
    <t>マガジンの弾数が回復すると、20%の確率で1発のフリー弾を即座に発射できます</t>
  </si>
  <si>
    <t>Когда количество пуль в магазине восстановлено, вероятность сразу выпустить 1 свободную пулю составляет 20%</t>
  </si>
  <si>
    <t>탄창 내 탄환 수가 회복되면 즉시 1발의 자유탄환을 발사할 확률이 20%에 달합니다</t>
  </si>
  <si>
    <t>[升級] 彈匣內子彈數量得到恢復時，有40%概率立刻射出1發免費的子彈</t>
  </si>
  <si>
    <t>When the number of bullets in the magazine is restored, there is a 40% chance to fire 1 free bullet immediately</t>
  </si>
  <si>
    <t>Cuando se restaura el número de balas en el cargador, hay un 40% de probabilidad de disparar 1 bala libre inmediatamente</t>
  </si>
  <si>
    <t>マガジンの弾数が回復すると、40%の確率で1発のフリー弾を即座に発射できます</t>
  </si>
  <si>
    <t>Когда количество пуль в магазине восстановлено, вероятность сразу выпустить одну свободную пулю составляет 40%</t>
  </si>
  <si>
    <t>탄창 내 탄환 수가 회복되면 즉시 자유탄환 1발을 발사할 확률이 40%에 달합니다</t>
  </si>
  <si>
    <t>近戰設備每次造成暴擊傷害，有15%概率在目標處生成1枚銅幣</t>
  </si>
  <si>
    <t>Each time a melee device deals critical damage, there is a 15% chance to generate 1 copper coin at the target</t>
  </si>
  <si>
    <t>Cada vez que un dispositivo cuerpo a cuerpo inflige daño crítico, hay un 15% de probabilidad de generar 1 moneda de cobre en el objetivo</t>
  </si>
  <si>
    <t>近接攻撃がクリティカルダメージを与えるたびに、対象に15%の確率で1枚の銅貨が生成されます</t>
  </si>
  <si>
    <t>Каждый раз, когда устройство ближнего боя наносит критический урон, есть 15% шанс собрать 1 медную монету по цели</t>
  </si>
  <si>
    <t>근접 무기가 치명피해를 입힐 때마다 15% 확률로 대상에 구리 동전 1개가 생성됩니다</t>
  </si>
  <si>
    <t>[升級] 近戰設備每次造成暴擊傷害，有30%概率在目標處生成1枚銅幣</t>
  </si>
  <si>
    <t>[Upgrade] Melee equipment has a 30% chance to generate 1 Bronze Coin at the target each time it deals critical damage</t>
  </si>
  <si>
    <t>[Mejora] El equipo cuerpo a cuerpo tiene un 30% de probabilidad de generar 1 Moneda de Bronce en el objetivo cada vez que inflige daño crítico</t>
  </si>
  <si>
    <t>[アップグレード] 近接装備はクリティカルダメージを与えるたびに30%の確率で対象にブロンズコインを1枚生成します</t>
  </si>
  <si>
    <t>[Апгрейд] Ближнее снаряжение имеет 30% шанс сгенерировать 1 бронзовую монету по цели каждый раз, когда наносит критический урон</t>
  </si>
  <si>
    <t>[업그레이드] 근접 장비는 치명타 피해를 입힐 때마다 30% 확률로 대상에게 1개의 청동 동전을 생성합니다</t>
  </si>
  <si>
    <t>[升級] 近戰設備每次造成暴擊傷害，有60%概率在目標處生成1枚銅幣</t>
  </si>
  <si>
    <t>[Upgrade] Melee equipment deals critical damage with a 60% chance to generate 1 Bronze Coin at the target</t>
  </si>
  <si>
    <t>[Mejora] El equipo cuerpo a cuerpo inflige daño crítico con un 60% de probabilidad de generar 1 Moneda de Bronce en el objetivo</t>
  </si>
  <si>
    <t>[アップグレード] 近接装備はクリティカルダメージを与え、対象にブロンズコイン1枚を生成する確率で60%の確率で発生します</t>
  </si>
  <si>
    <t>[Апгрейд] Ближнее снаряжение наносит критический урон с вероятностью 60% генерировать 1 бронзовую монету по цели</t>
  </si>
  <si>
    <t>[업그레이드] 근접 장비는 치명타 피해를 입히며, 목표에 1개의 브론즈 코인을 생성할 확률이 60%</t>
  </si>
  <si>
    <t>近戰設備每次暴擊，有20%幾率秒殺目標（目標當前生命值不能超過設備傷害的6倍）</t>
  </si>
  <si>
    <t>Each critical hit of melee equipment has a 20% chance to kill the target in seconds (the target's current health cannot exceed 6 times the damage of the device).</t>
  </si>
  <si>
    <t>Cada golpe crítico de equipo cuerpo a cuerpo tiene un 20% de probabilidad de matar al objetivo en segundos (la salud actual del objetivo no puede superar 6 veces el daño del dispositivo).</t>
  </si>
  <si>
    <t>近接装備のクリティカルヒットごとに20%の確率で対象を秒殺します(対象の現在の体力は装置のダメージの6倍を超えてはなりません)。</t>
  </si>
  <si>
    <t>Каждый критический удар по технике ближнего боя имеет 20% шанс убить цель за секунды (текущее здоровье цели не должно превышать 6 урона устройства).</t>
  </si>
  <si>
    <t>근접 장비의 치명타 하나당 20% 확률로 몇 초 만에 대상을 죽일 수 있으며(현재 대상의 체력은 장치 피해량의 6배를 초과할 수 없습니다).</t>
  </si>
  <si>
    <t>[升級] 近戰設備每次暴擊，有40%幾率秒殺目標（目標當前生命值不能超過設備傷害的9倍）</t>
  </si>
  <si>
    <t>[Upgrade] Each critical hit of melee equipment has a 40% chance to kill the target instantly (the target's current health cannot exceed 9 times the damage of the device).</t>
  </si>
  <si>
    <t>[Mejora] Cada golpe crítico de equipo cuerpo a cuerpo tiene un 40% de probabilidad de matar al objetivo al instante (la salud actual del objetivo no puede superar 9 veces el daño del dispositivo).</t>
  </si>
  <si>
    <t>[アップグレード] 近接装備のクリティカルヒットごとに40%の確率で対象を即死させる(対象の現在の体力は装置のダメージの9倍を超えてはならない)。</t>
  </si>
  <si>
    <t>[Улучшение] Каждый критический удар по ближнему бою имеет 40% шанс убить цель мгновенно (текущее здоровье цели не должно превышать 9 раз урона устройства).</t>
  </si>
  <si>
    <t>[업그레이드] 근접 장비의 치명타 타격마다 40% 확률로 즉시 죽일 수 있습니다(대상의 현재 체력은 장치 피해량의 9배를 초과할 수 없습니다).</t>
  </si>
  <si>
    <t>[升級] 近戰設備每次暴擊，有60%幾率秒殺目標（目標當前生命值不能超過設備傷害的12倍）</t>
  </si>
  <si>
    <t>[Upgrade] Each critical hit of melee equipment has a 60% chance to kill the target in an instant (the target's current health cannot exceed 12 times the damage of the device).</t>
  </si>
  <si>
    <t>[Mejora] Cada golpe crítico de equipo cuerpo a cuerpo tiene un 60% de probabilidad de matar al objetivo al instante (la salud actual del objetivo no puede superar las 12 veces el daño del dispositivo).</t>
  </si>
  <si>
    <t>[アップグレード] 近接装備のクリティカルヒットごとに60%の確率で対象を瞬時に倒す(対象の現在の体力は装置のダメージの12倍を超えてはならない)。</t>
  </si>
  <si>
    <t>[Апгрейд] Каждый критический удар по технике ближнего боя имеет 60% шанс убить цель мгновенно (текущее здоровье цели не может превышать 12-кратный урон устройства).</t>
  </si>
  <si>
    <t>[업그레이드] 근접 장비의 치명타 타격마다 즉시 60% 확률로 대상을 죽일 수 있습니다(현재 대상의 체력은 장치 피해량의 12배를 초과할 수 없습니다).</t>
  </si>
  <si>
    <t>近戰設備獲得32點額外火焰傷害，但每次發動攻擊，有5%的概率點燃自身。</t>
  </si>
  <si>
    <t>Melee equipment gains 32 bonus Fire damage, but has a 5% chance to ignite itself with each attack.</t>
  </si>
  <si>
    <t>El equipo cuerpo a cuerpo obtiene 32 de daño de fuego adicional, pero tiene un 5% de probabilidad de encenderse con cada ataque.</t>
  </si>
  <si>
    <t>近接装備は32の火属性ダメージを得ますが、攻撃ごとに5%の確率で自己発火します。</t>
  </si>
  <si>
    <t>Экипировка ближнего боя получает 32 бонусных огненного урона, но имеет 5% шанс воспламениться при каждой атаке.</t>
  </si>
  <si>
    <t>근접 장비는 32의 추가 화염 피해를 얻지만, 공격 때마다 5% 확률로 스스로 점화됩니다.</t>
  </si>
  <si>
    <t>作弊骰 Lv.1</t>
  </si>
  <si>
    <t>作弊骰 Lv.1</t>
    <phoneticPr fontId="8" type="noConversion"/>
  </si>
  <si>
    <t>作弊骰 Lv.2</t>
  </si>
  <si>
    <t>作弊骰 Lv.3</t>
  </si>
  <si>
    <t xml:space="preserve">蟹钳 蒜蓉 </t>
  </si>
  <si>
    <t>蟹钳 麻辣</t>
  </si>
  <si>
    <t>蟹钳 十三香</t>
  </si>
  <si>
    <t>relic_name_310218</t>
    <phoneticPr fontId="8" type="noConversion"/>
  </si>
  <si>
    <t>牢门</t>
  </si>
  <si>
    <t>警卫制服</t>
  </si>
  <si>
    <t>工头喇叭</t>
  </si>
  <si>
    <t>牢門</t>
  </si>
  <si>
    <t>Prison door</t>
  </si>
  <si>
    <t>Puerta de prisión</t>
  </si>
  <si>
    <t>刑務所の扉</t>
  </si>
  <si>
    <t>Дверь тюрьмы</t>
  </si>
  <si>
    <t>교도소 문</t>
  </si>
  <si>
    <t>警衛制服</t>
  </si>
  <si>
    <t>Guard uniform</t>
  </si>
  <si>
    <t>Uniforme de la guardia</t>
  </si>
  <si>
    <t>警備隊の制服</t>
  </si>
  <si>
    <t>Форма гвардии</t>
  </si>
  <si>
    <t>근위병 제복</t>
  </si>
  <si>
    <t>工頭喇叭</t>
  </si>
  <si>
    <t>Foreman horn</t>
  </si>
  <si>
    <t>Bocina de capataz</t>
  </si>
  <si>
    <t>フォアマンホーン</t>
  </si>
  <si>
    <t>Рог прораба</t>
  </si>
  <si>
    <t>포어맨 혼</t>
  </si>
  <si>
    <t>你的飞射物飞到屏幕上方时，创造1个冰雹攻击敌人</t>
  </si>
  <si>
    <t>[升级] 你的飞射物飞到屏幕上方时，创造2个冰雹攻击敌人</t>
  </si>
  <si>
    <t>[升级] 你的飞射物飞到屏幕上方时，创造4个冰雹攻击敌人</t>
  </si>
  <si>
    <t>relic_desc_310218</t>
    <phoneticPr fontId="8" type="noConversion"/>
  </si>
  <si>
    <t>[强化] 你的飞射物飞到屏幕左右边缘时，也会生成冰雹。</t>
  </si>
  <si>
    <t>你的飛射物飛到螢幕上方時，創造1個冰雹攻擊敵人</t>
  </si>
  <si>
    <t>When your projectile flies to the top of the screen, create 1 hail to attack the enemy</t>
  </si>
  <si>
    <t>Cuando tu proyectil vuele hacia la parte superior de la pantalla, crea 1 granizo para atacar al enemigo</t>
  </si>
  <si>
    <t>飛び道具が画面上部に飛んだら、敵を攻撃するために雹を1回作りましょう</t>
  </si>
  <si>
    <t>Когда ваш снаряд летит наверх экрана, создайте один вызов для атаки врага</t>
  </si>
  <si>
    <t>투사체가 화면 상단으로 날아가면, 적을 공격할 수 있도록 1개의 우박을 생성하세요</t>
  </si>
  <si>
    <t>[升級] 你的飛射物飛到螢幕上方時，創造2個冰雹攻擊敵人</t>
  </si>
  <si>
    <t>[Upgrade] When your projectile flies to the top of the screen, create 2 hailstones to attack enemies</t>
  </si>
  <si>
    <t>[Mejorar] Cuando tu proyectil vuele a la parte superior de la pantalla, crea 2 granizos para atacar a los enemigos</t>
  </si>
  <si>
    <t>[アップグレード] 飛び道具が画面上部に飛んだら、敵を攻撃するために2つの雹石を作り出します</t>
  </si>
  <si>
    <t>[Улучшение] Когда ваш снаряд полетит наверх экрана, создайте два града, чтобы атаковать врагов</t>
  </si>
  <si>
    <t>[업그레이드] 투사체가 화면 상단으로 날아올 때, 적을 공격할 우박 2개를 생성하세요</t>
  </si>
  <si>
    <t>[升級] 你的飛射物飛到螢幕上方時，創造4個冰雹攻擊敵人</t>
  </si>
  <si>
    <t>[Upgrade] When your projectile flies to the top of the screen, create 4 hailstones to attack enemies</t>
  </si>
  <si>
    <t>[Mejorar] Cuando tu proyectil vuele a la parte superior de la pantalla, crea 4 granizos para atacar a los enemigos</t>
  </si>
  <si>
    <t>[アップグレード] 飛び道具が画面上部に飛んだら、敵を攻撃するための雹石を4つ作り出します</t>
  </si>
  <si>
    <t>[Улучшение] Когда ваш снаряд летит наверх экрана, создайте 4 града, чтобы атаковать врагов</t>
  </si>
  <si>
    <t>[업그레이드] 투사체가 화면 상단으로 날아가면, 적을 공격할 4개의 우박을 생성하세요</t>
  </si>
  <si>
    <t>[強化] 你的飛射物飛到螢幕左右邊緣時，也會生成冰雹。</t>
  </si>
  <si>
    <t>[Enhanced] Hail will also spawn when your projectiles fly to the left and right edges of the screen.</t>
  </si>
  <si>
    <t>[Mejorado] El granizo también aparecerá cuando tus proyectiles vuelen hacia los bordes izquierdo y derecho de la pantalla.</t>
  </si>
  <si>
    <t>[強化] 雹も画面の左右に飛び散ったときに出現します。</t>
  </si>
  <si>
    <t>[Усиленно] Град также появляется, когда ваши снаряды летят по левому и правому краям экрана.</t>
  </si>
  <si>
    <t>[강화] 투사체가 화면 좌우 가장자리로 날아갈 때도 우박이 생성됩니다.</t>
  </si>
  <si>
    <t>relic_name_30002</t>
  </si>
  <si>
    <t>火星蝶</t>
  </si>
  <si>
    <t>Martian butterfly</t>
  </si>
  <si>
    <t>Mariposa marciana</t>
  </si>
  <si>
    <t>火星の蝶</t>
  </si>
  <si>
    <t>Марсианская бабочка</t>
  </si>
  <si>
    <t>화성 나비</t>
  </si>
  <si>
    <t>relic_desc_300021</t>
  </si>
  <si>
    <t>relic_desc_300022</t>
  </si>
  <si>
    <t>relic_desc_300023</t>
  </si>
  <si>
    <t>所有设备 伤害 + 15%</t>
  </si>
  <si>
    <t>所有设备 伤害 + 30%</t>
  </si>
  <si>
    <t>所有设备 伤害 + 60%</t>
  </si>
  <si>
    <t>所有设备 伤害 + 120%</t>
  </si>
  <si>
    <t>所有设备 额外伤害 + 6</t>
  </si>
  <si>
    <t>所有设备 额外伤害 + 12</t>
  </si>
  <si>
    <t>所有设备 额外伤害 + 24</t>
  </si>
  <si>
    <t>所有设备 暴击几率 + 4%</t>
  </si>
  <si>
    <t>所有设备 暴击几率 + 6%</t>
  </si>
  <si>
    <t>所有设备 暴击几率 + 9%</t>
  </si>
  <si>
    <t>所有设备 暴击几率 + 13%</t>
  </si>
  <si>
    <t>所有设备 暴击伤害 + 10%</t>
  </si>
  <si>
    <t>所有设备 暴击伤害 + 20%</t>
  </si>
  <si>
    <t>所有设备 暴击伤害 + 40%</t>
  </si>
  <si>
    <t>所有设备 暴击伤害 + 80%</t>
  </si>
  <si>
    <t>所有设备 护甲 + 10</t>
  </si>
  <si>
    <t>所有设备 护甲 + 20</t>
  </si>
  <si>
    <t>所有设备 护甲 + 40</t>
  </si>
  <si>
    <t>所有设备 护甲 + 80</t>
  </si>
  <si>
    <t>所有设备 耐久 + 15%</t>
  </si>
  <si>
    <t>所有设备 耐久 + 25%</t>
  </si>
  <si>
    <t>所有设备 耐久 + 40%</t>
  </si>
  <si>
    <t>所有设备 耐久 + 70%</t>
  </si>
  <si>
    <t>所有裝置 傷害 + 15%</t>
  </si>
  <si>
    <t>All Equipment Damage + 15%</t>
  </si>
  <si>
    <t>Todo el daño del equipo + 15%</t>
  </si>
  <si>
    <t>全装備ダメージ+15%</t>
  </si>
  <si>
    <t>Весь урон экипировки + 15%</t>
  </si>
  <si>
    <t>모든 장비 피해 + 15%</t>
  </si>
  <si>
    <t>所有裝置 傷害 + 30%</t>
  </si>
  <si>
    <t>All Equipment Damage + 30%</t>
  </si>
  <si>
    <t>Todo el daño del equipo + 30%</t>
  </si>
  <si>
    <t>全装備ダメージ+30%</t>
  </si>
  <si>
    <t>Весь урон от экипировки + 30%</t>
  </si>
  <si>
    <t>모든 장비 피해 + 30%</t>
  </si>
  <si>
    <t>所有裝置 傷害 + 60%</t>
  </si>
  <si>
    <t>All Equipment Damage + 60%</t>
  </si>
  <si>
    <t>Todo el daño del equipo + 60%</t>
  </si>
  <si>
    <t>全装備ダメージ+60%</t>
  </si>
  <si>
    <t>Весь урон от экипировки + 60%</t>
  </si>
  <si>
    <t>모든 장비 피해 + 60%</t>
  </si>
  <si>
    <t>所有裝置 傷害 + 120%</t>
  </si>
  <si>
    <t>All Equipment Damage + 120%</t>
  </si>
  <si>
    <t>Todo el daño al equipo + 120%</t>
  </si>
  <si>
    <t>全装備ダメージ+120%</t>
  </si>
  <si>
    <t>Весь урон экипировки + 120%</t>
  </si>
  <si>
    <t>모든 장비 피해 + 120%</t>
  </si>
  <si>
    <t>所有設備 額外傷害 + 6</t>
  </si>
  <si>
    <t>All equipment bonus damage + 6</t>
  </si>
  <si>
    <t>Todo el daño adicional de equipo + 6</t>
  </si>
  <si>
    <t>全装備ボーナスダメージ+6</t>
  </si>
  <si>
    <t>Всё дополнительный урон к экипировке + 6</t>
  </si>
  <si>
    <t>모든 장비 보너스 피해 + 6</t>
  </si>
  <si>
    <t>所有設備 額外傷害 + 12</t>
  </si>
  <si>
    <t>All equipment bonus damage + 12</t>
  </si>
  <si>
    <t>Todo el daño adicional de equipo + 12</t>
  </si>
  <si>
    <t>全装備ボーナスダメージ+12</t>
  </si>
  <si>
    <t>Всё дополнительный урон к экипировке + 12</t>
  </si>
  <si>
    <t>모든 장비 보너스 피해 + 12</t>
  </si>
  <si>
    <t>所有設備 額外傷害 + 24</t>
  </si>
  <si>
    <t>All equipment bonus damage + 24</t>
  </si>
  <si>
    <t>Todo el daño adicional de equipo + 24</t>
  </si>
  <si>
    <t>全装備ボーナスダメージ+24</t>
  </si>
  <si>
    <t>Всё дополнительный урон к экипировке + 24</t>
  </si>
  <si>
    <t>모든 장비 보너스 피해 + 24</t>
  </si>
  <si>
    <t>所有設備 暴擊幾率 + 4%</t>
  </si>
  <si>
    <t>All Equipment Critical Hit Chance + 4%</t>
  </si>
  <si>
    <t>Probabilidad de acerto crítico en todo el equipo + 4%</t>
  </si>
  <si>
    <t>全装備クリティカルヒット率+4%</t>
  </si>
  <si>
    <t>Шанс критического попадания по всему снаряжению + 4%</t>
  </si>
  <si>
    <t>모든 장비 치명타 확률 + 4%</t>
  </si>
  <si>
    <t>所有裝置 暴擊幾率 + 6%</t>
  </si>
  <si>
    <t>All Equipment Critical Strike Chance + 6%</t>
  </si>
  <si>
    <t>Probabilidad de golpe crítico de todo el equipo + 6%</t>
  </si>
  <si>
    <t>全装備クリティカル攻撃確率+6%</t>
  </si>
  <si>
    <t>Шанс критического удара всего оборудования + 6%</t>
  </si>
  <si>
    <t>모든 장비 치명타 확률 + 6%</t>
  </si>
  <si>
    <t>所有設備 暴擊幾率 + 9%</t>
  </si>
  <si>
    <t>All Equipment Critical Hit Chance + 9%</t>
  </si>
  <si>
    <t>Probabilidad de impacto crítico de todo el equipo + 9%</t>
  </si>
  <si>
    <t>全装備クリティカルヒット率+9%</t>
  </si>
  <si>
    <t>Шанс критического попадания по всему снаряжению + 9%</t>
  </si>
  <si>
    <t>모든 장비 치명타 확률 + 9%</t>
  </si>
  <si>
    <t>所有設備 暴擊幾率 + 13%</t>
  </si>
  <si>
    <t>All Equipment Critical Hit Chance + 13%</t>
  </si>
  <si>
    <t>Probabilidad de impacto crítico de todo el equipo + 13%</t>
  </si>
  <si>
    <t>全装備クリティカルヒット率+13%</t>
  </si>
  <si>
    <t>Шанс критического попадания по всему снаряжению + 13%</t>
  </si>
  <si>
    <t>모든 장비 치명타 확률 + 13%</t>
  </si>
  <si>
    <t>所有設備 暴擊傷害 + 10%</t>
  </si>
  <si>
    <t>All Equipment Critical Strike Damage + 10%</t>
  </si>
  <si>
    <t>Todo el equipo Daño Crítico por Golpe + 10%</t>
  </si>
  <si>
    <t>全装備クリティカルストライクダメージ+10%</t>
  </si>
  <si>
    <t>Критический урон от всего оборудования + 10%</t>
  </si>
  <si>
    <t>모든 장비 치명타 피해 + 10%</t>
  </si>
  <si>
    <t>所有設備 暴擊傷害 + 20%</t>
  </si>
  <si>
    <t>All Equipment Critical Strike Damage + 20%</t>
  </si>
  <si>
    <t>Todo el equipo Daño Crítico por Golpe + 20%</t>
  </si>
  <si>
    <t>全装備クリティカルストライクダメージ+20%</t>
  </si>
  <si>
    <t>Критический урон от всей экипировки + 20%</t>
  </si>
  <si>
    <t>모든 장비 치명타 피해 + 20%</t>
  </si>
  <si>
    <t>所有設備 暴擊傷害 + 40%</t>
  </si>
  <si>
    <t>All Equipment Critical Strike Damage + 40%</t>
  </si>
  <si>
    <t>Todo el equipo Daño de Golpe Crítico + 40%</t>
  </si>
  <si>
    <t>全装備クリティカルストライクダメージ+40%</t>
  </si>
  <si>
    <t>Весь критический урон от удара по всему оборудованию + 40%</t>
  </si>
  <si>
    <t>모든 장비 치명타 피해 + 40%</t>
  </si>
  <si>
    <t>所有設備 暴擊傷害 + 80%</t>
  </si>
  <si>
    <t>All Equipment Critical Strike Damage + 80%</t>
  </si>
  <si>
    <t>Todo el equipo daño crítico por golpe + 80%</t>
  </si>
  <si>
    <t>全装備クリティカルストライクダメージ+80%</t>
  </si>
  <si>
    <t>Критический урон от всего снаряжения + 80%</t>
  </si>
  <si>
    <t>모든 장비 치명타 피해 + 80%</t>
  </si>
  <si>
    <t>所有設備 護甲 + 10</t>
  </si>
  <si>
    <t>All equipment armor + 10</t>
  </si>
  <si>
    <t>Todo el equipo, armadura + 10</t>
  </si>
  <si>
    <t>全装備アーマー+10</t>
  </si>
  <si>
    <t>Всё снаряжение: броня + 10</t>
  </si>
  <si>
    <t>모든 장비 방어구 + 10</t>
  </si>
  <si>
    <t>所有設備 護甲 + 20</t>
  </si>
  <si>
    <t>All equipment armor + 20</t>
  </si>
  <si>
    <t>Todo el equipo, armadura + 20</t>
  </si>
  <si>
    <t>全装備装甲+20</t>
  </si>
  <si>
    <t>Всё броня с экипировкой + 20</t>
  </si>
  <si>
    <t>모든 장비 방어구 + 20</t>
  </si>
  <si>
    <t>所有設備 護甲 + 40</t>
  </si>
  <si>
    <t>All equipment armor + 40</t>
  </si>
  <si>
    <t>Todo el equipo, blindaje + 40</t>
  </si>
  <si>
    <t>全装備装甲+40</t>
  </si>
  <si>
    <t>Всё броня оснащения + 40</t>
  </si>
  <si>
    <t>모든 장비 방어구 + 40</t>
  </si>
  <si>
    <t>所有設備 護甲 + 80</t>
  </si>
  <si>
    <t>All equipment armor + 80</t>
  </si>
  <si>
    <t>Todo el equipo, blindaje + 80</t>
  </si>
  <si>
    <t>全装備装甲+80</t>
  </si>
  <si>
    <t>Всё снаряжение: броня + 80</t>
  </si>
  <si>
    <t>모든 장비 방어구 + 80</t>
  </si>
  <si>
    <t>所有裝置 耐久 + 15%</t>
  </si>
  <si>
    <t>All Equipment Durability + 15%</t>
  </si>
  <si>
    <t>Durabilidad de todo el equipo + 15%</t>
  </si>
  <si>
    <t>全装備耐久度+15%</t>
  </si>
  <si>
    <t>Долговечность всего оборудования + 15%</t>
  </si>
  <si>
    <t>모든 장비 내구도 + 15%</t>
  </si>
  <si>
    <t>所有裝置 耐久 + 25%</t>
  </si>
  <si>
    <t>All Equipment Durability + 25%</t>
  </si>
  <si>
    <t>Durabilidad de todo el equipo + 25%</t>
  </si>
  <si>
    <t>全装備耐久度 + 25%</t>
  </si>
  <si>
    <t>Прочность всего оборудования + 25%</t>
  </si>
  <si>
    <t>모든 장비 내구도 + 25%</t>
  </si>
  <si>
    <t>所有裝置 耐久 + 40%</t>
  </si>
  <si>
    <t>All Equipment Durability + 40%</t>
  </si>
  <si>
    <t>Durabilidad de todo el equipo + 40%</t>
  </si>
  <si>
    <t>全装備耐久度+40%</t>
  </si>
  <si>
    <t>Прочность всего оборудования + 40%</t>
  </si>
  <si>
    <t>모든 장비 내구도 + 40%</t>
  </si>
  <si>
    <t>所有裝置 耐久 + 70%</t>
  </si>
  <si>
    <t>All Equipment Durability + 70%</t>
  </si>
  <si>
    <t>Durabilidad de todo el equipo + 70%</t>
  </si>
  <si>
    <t>全装備耐久度+70%</t>
  </si>
  <si>
    <t>Долговечность всего оборудования + 70%</t>
  </si>
  <si>
    <t>모든 장비 내구도 + 70%</t>
  </si>
  <si>
    <t>device_name_12101019_wheel_wooden</t>
    <phoneticPr fontId="8" type="noConversion"/>
  </si>
  <si>
    <t>旧木轮</t>
    <phoneticPr fontId="8" type="noConversion"/>
  </si>
  <si>
    <t>舊木輪</t>
  </si>
  <si>
    <t>Old wooden wheels</t>
  </si>
  <si>
    <t>Ruedas antiguas de madera</t>
  </si>
  <si>
    <t>古い木製車輪</t>
  </si>
  <si>
    <t>Старые деревянные колёса</t>
  </si>
  <si>
    <t>오래된 나무 바퀴</t>
  </si>
  <si>
    <t>device_name_13201029_pistol</t>
  </si>
  <si>
    <t>老舅的手枪</t>
    <phoneticPr fontId="8" type="noConversion"/>
  </si>
  <si>
    <t>老舅的手槍</t>
  </si>
  <si>
    <t>Uncle's pistol</t>
  </si>
  <si>
    <t>La pistola del tío</t>
  </si>
  <si>
    <t>叔父のピストル</t>
  </si>
  <si>
    <t>Пистолет дяди</t>
  </si>
  <si>
    <t>삼촌의 권총</t>
  </si>
  <si>
    <t>trait_name_16301</t>
  </si>
  <si>
    <t>trait_name_16302</t>
  </si>
  <si>
    <t>trait_name_16303</t>
  </si>
  <si>
    <t>trait_name_16304</t>
  </si>
  <si>
    <t>trait_name_16305</t>
  </si>
  <si>
    <t>trait_name_16306</t>
  </si>
  <si>
    <t>trait_name_16307</t>
  </si>
  <si>
    <t>trait_name_16308</t>
  </si>
  <si>
    <t>trait_name_16309</t>
  </si>
  <si>
    <t>trait_name_16310</t>
  </si>
  <si>
    <t>trait_name_16311</t>
  </si>
  <si>
    <t>trait_name_16401</t>
  </si>
  <si>
    <t>trait_name_16402</t>
  </si>
  <si>
    <t>trait_name_16403</t>
  </si>
  <si>
    <t>trait_name_16404</t>
  </si>
  <si>
    <t>trait_name_16410</t>
  </si>
  <si>
    <t>trait_name_16411</t>
  </si>
  <si>
    <t>trait_name_16412</t>
  </si>
  <si>
    <t>trait_name_16413</t>
  </si>
  <si>
    <t>trait_name_16414</t>
  </si>
  <si>
    <t>卑微贱民</t>
  </si>
  <si>
    <t>宇航员</t>
  </si>
  <si>
    <t>幽闭恐惧</t>
  </si>
  <si>
    <t>无法工作</t>
  </si>
  <si>
    <t>骑士大人</t>
  </si>
  <si>
    <t>亚当夏娃</t>
  </si>
  <si>
    <t>工坊工匠</t>
  </si>
  <si>
    <t>专心搜刮</t>
  </si>
  <si>
    <t>面目可憎</t>
  </si>
  <si>
    <t>奇行种</t>
  </si>
  <si>
    <t>心神不宁</t>
  </si>
  <si>
    <t>小偷</t>
  </si>
  <si>
    <t>擅长收纳</t>
  </si>
  <si>
    <t>喜爱雕塑</t>
  </si>
  <si>
    <t>喜爱钓鱼</t>
  </si>
  <si>
    <t>天生战狂</t>
  </si>
  <si>
    <t>不死人</t>
  </si>
  <si>
    <t>庄园主</t>
  </si>
  <si>
    <t>鞭策队友</t>
  </si>
  <si>
    <t>老千</t>
  </si>
  <si>
    <t>宇航員</t>
  </si>
  <si>
    <t>astronauts</t>
  </si>
  <si>
    <t>Astronautas</t>
  </si>
  <si>
    <t>宇宙飛行士</t>
  </si>
  <si>
    <t>Астронавты</t>
  </si>
  <si>
    <t>우주비행사</t>
  </si>
  <si>
    <t>幽閉恐懼</t>
  </si>
  <si>
    <t>Claustrophobia and fear</t>
  </si>
  <si>
    <t>Claustrofobia y miedo</t>
  </si>
  <si>
    <t>閉所恐怖症と恐怖</t>
  </si>
  <si>
    <t>Клаустрофобия и страх</t>
  </si>
  <si>
    <t>폐소공포증과 두려움</t>
  </si>
  <si>
    <t>無法工作</t>
  </si>
  <si>
    <t>Unable to work</t>
  </si>
  <si>
    <t>Incapaz de trabajar</t>
  </si>
  <si>
    <t>働けない</t>
  </si>
  <si>
    <t>Не в состоянии работать</t>
  </si>
  <si>
    <t>일을 할 수 없게</t>
  </si>
  <si>
    <t>騎士大人</t>
  </si>
  <si>
    <t>Lord Knight</t>
  </si>
  <si>
    <t>Lord Caballero</t>
  </si>
  <si>
    <t>ロード・ナイト</t>
  </si>
  <si>
    <t>Лорд Рыцарь</t>
  </si>
  <si>
    <t>로드 나이트</t>
  </si>
  <si>
    <t>亞當夏娃</t>
  </si>
  <si>
    <t>Adam and Eve</t>
  </si>
  <si>
    <t>Adán y Eva</t>
  </si>
  <si>
    <t>アダムとイブ</t>
  </si>
  <si>
    <t>Адам и Ева</t>
  </si>
  <si>
    <t>아담과 이브</t>
  </si>
  <si>
    <t>Workshop craftsman</t>
  </si>
  <si>
    <t>Artesano del taller</t>
  </si>
  <si>
    <t>工房職人</t>
  </si>
  <si>
    <t>Мастер-мастер</t>
  </si>
  <si>
    <t>작업장 장인</t>
  </si>
  <si>
    <t>專心搜刮</t>
  </si>
  <si>
    <t>Concentrate on looting</t>
  </si>
  <si>
    <t>Concéntrate en el saqueo</t>
  </si>
  <si>
    <t>略奪に集中しろ</t>
  </si>
  <si>
    <t>Сосредоточьтесь на грабеже</t>
  </si>
  <si>
    <t>약탈에 집중하세요</t>
  </si>
  <si>
    <t>The face is abominable</t>
  </si>
  <si>
    <t>La cara es abominable</t>
  </si>
  <si>
    <t>顔はひどい</t>
  </si>
  <si>
    <t>Лицо отвратительно</t>
  </si>
  <si>
    <t>얼굴이 끔찍하다</t>
  </si>
  <si>
    <t>奇行種</t>
  </si>
  <si>
    <t>Odd breed</t>
  </si>
  <si>
    <t>Raza extraña</t>
  </si>
  <si>
    <t>変わり者</t>
  </si>
  <si>
    <t>Странная порода</t>
  </si>
  <si>
    <t>이상한 종족</t>
  </si>
  <si>
    <t>心神不寧</t>
  </si>
  <si>
    <t>He was restless</t>
  </si>
  <si>
    <t>Estaba inquieto</t>
  </si>
  <si>
    <t>彼は落ち着かなかった</t>
  </si>
  <si>
    <t>Он был беспокойным</t>
  </si>
  <si>
    <t>그는 안절부절못했다</t>
  </si>
  <si>
    <t>Thief</t>
  </si>
  <si>
    <t>Ladrón</t>
  </si>
  <si>
    <t>Вор</t>
  </si>
  <si>
    <t>擅長收納</t>
  </si>
  <si>
    <t>Good at storage</t>
  </si>
  <si>
    <t>Bueno almacenando</t>
  </si>
  <si>
    <t>収納が得意です</t>
  </si>
  <si>
    <t>Хорошо хранится</t>
  </si>
  <si>
    <t>보관에 능숙합니다</t>
  </si>
  <si>
    <t>喜愛雕塑</t>
  </si>
  <si>
    <t>Love sculpture</t>
  </si>
  <si>
    <t>Escultura de amor</t>
  </si>
  <si>
    <t>ラブ彫刻</t>
  </si>
  <si>
    <t>Любовь к скульптуре</t>
  </si>
  <si>
    <t>사랑 조각</t>
  </si>
  <si>
    <t>喜愛釣魚</t>
  </si>
  <si>
    <t>Loves fishing</t>
  </si>
  <si>
    <t>Le encanta la pesca</t>
  </si>
  <si>
    <t>釣りが大好き</t>
  </si>
  <si>
    <t>Любит рыбалку</t>
  </si>
  <si>
    <t>낚시를 좋아합니다</t>
  </si>
  <si>
    <t>天生戰狂</t>
  </si>
  <si>
    <t>Born a war maniac</t>
  </si>
  <si>
    <t>Nacido maniático de la guerra</t>
  </si>
  <si>
    <t>戦争狂として生まれた</t>
  </si>
  <si>
    <t>Рождённый маньяком войны</t>
  </si>
  <si>
    <t>전쟁광으로 태어났다</t>
  </si>
  <si>
    <t>Immortals</t>
  </si>
  <si>
    <t>Inmortales</t>
  </si>
  <si>
    <t>不死の者たち</t>
  </si>
  <si>
    <t>Бессмертные</t>
  </si>
  <si>
    <t>불멸자들</t>
  </si>
  <si>
    <t>莊園主</t>
  </si>
  <si>
    <t>Manor owner</t>
  </si>
  <si>
    <t>Propietario de la mansión</t>
  </si>
  <si>
    <t>荘園の所有者</t>
  </si>
  <si>
    <t>Владелец поместья</t>
  </si>
  <si>
    <t>영지 소유주</t>
  </si>
  <si>
    <t>鞭策隊友</t>
  </si>
  <si>
    <t>Spur on teammates</t>
  </si>
  <si>
    <t>Impulso a los compañeros</t>
  </si>
  <si>
    <t>チームメイトを励ます</t>
  </si>
  <si>
    <t>Стимулируйте товарищей по команде</t>
  </si>
  <si>
    <t>팀원들에게 자극</t>
  </si>
  <si>
    <t>Fraudster</t>
  </si>
  <si>
    <t>Estafador</t>
  </si>
  <si>
    <t>詐欺師</t>
  </si>
  <si>
    <t>Мошенник</t>
  </si>
  <si>
    <t>trait_desc_16301</t>
  </si>
  <si>
    <t>trait_desc_16302</t>
  </si>
  <si>
    <t>trait_desc_16303</t>
  </si>
  <si>
    <t>trait_desc_16304</t>
  </si>
  <si>
    <t>trait_desc_16305</t>
  </si>
  <si>
    <t>trait_desc_16306</t>
  </si>
  <si>
    <t>trait_desc_16307</t>
  </si>
  <si>
    <t>trait_desc_16308</t>
  </si>
  <si>
    <t>trait_desc_16309</t>
  </si>
  <si>
    <t>trait_desc_16310</t>
  </si>
  <si>
    <t>trait_desc_16311</t>
  </si>
  <si>
    <t>trait_desc_16401</t>
  </si>
  <si>
    <t>trait_desc_16402</t>
  </si>
  <si>
    <t>trait_desc_16403</t>
  </si>
  <si>
    <t>trait_desc_16404</t>
  </si>
  <si>
    <t>trait_desc_16410</t>
  </si>
  <si>
    <t>trait_desc_16411</t>
  </si>
  <si>
    <t>trait_desc_16412</t>
  </si>
  <si>
    <t>trait_desc_16413</t>
  </si>
  <si>
    <t>trait_desc_16414</t>
  </si>
  <si>
    <t>出身卑微，不需要金币就可以加入你的队伍。但是帮助他人时“佣金”也会因此降低。</t>
  </si>
  <si>
    <t>不会因车辆超速而眩晕昏迷</t>
  </si>
  <si>
    <t>无法进入后备车舱</t>
  </si>
  <si>
    <t>只能停留在后备车舱</t>
  </si>
  <si>
    <t>看起来身份高贵，需要更多金币才能加入你的队伍，但是帮助他人时“佣金”也会因此提升。</t>
  </si>
  <si>
    <t>在特殊事件中，需要献祭或出售一个队友时，可以无消耗地献祭或出售一位子嗣。</t>
  </si>
  <si>
    <t>间歇性地恢复其所在设备的耐久</t>
  </si>
  <si>
    <t>所操作的设备击杀敌人时，战利品掉落概率翻倍。</t>
  </si>
  <si>
    <t>所操作的设备命中敌人时，有几率使敌人致盲或昏迷</t>
  </si>
  <si>
    <t>身形诡异，敌人很难注意到你，所在的设备拥有最低受击优先级。</t>
  </si>
  <si>
    <t>每次从异常中恢复，有概率走火入魔。直到本场景结束前：1.随机进入并挤占其他工位 2.无法更换工位位置 3.团队 战斗等级+1</t>
  </si>
  <si>
    <t>[团队技能] 进入安全区时，在商店中有 [1] 次偷窃机会。</t>
  </si>
  <si>
    <t>[团队技能] 额外提供+5背包容量。</t>
  </si>
  <si>
    <t>[团队技能] 在场景中不断生成“雕塑”战利品</t>
  </si>
  <si>
    <t>[团队技能] 在场景中不断生成“渔获”战利品</t>
  </si>
  <si>
    <t>[团队技能] 战斗等级+1</t>
  </si>
  <si>
    <t>[团队技能] 生存等级+1</t>
  </si>
  <si>
    <t>[团队技能] 后勤等级+1</t>
  </si>
  <si>
    <t>[团队技能] 驾驶等级+1; 后勤等级+1</t>
  </si>
  <si>
    <t>[团队技能] 幸运等级+1</t>
  </si>
  <si>
    <t>出身卑微，不需要金幣就可以加入你的隊伍。 但是説明他人時「傭金」也會因此降低。</t>
  </si>
  <si>
    <t>Coming from humble beginnings, you don't need gold to join your team. But when helping others, the "commission" will also be lowered.</t>
  </si>
  <si>
    <t>Viniendo de orígenes humildes, no necesitas oro para unirte a tu equipo. Pero al ayudar a otros, la "comisión" también se reducirá.</t>
  </si>
  <si>
    <t>謙虚な出自から来たので、チームに加わるのにゴールドは必要ありません。 しかし、他者を助ける際には「コミッション」も下がります。</t>
  </si>
  <si>
    <t>Выросший из скромного происхождения, вам не нужно золото, чтобы присоединиться к команде. Но при помощи другим «комиссия» также снижается.</t>
  </si>
  <si>
    <t>겸손한 출신이라 팀에 합류하기 위해 골드가 필요하지 않습니다. 하지만 다른 사람을 도울 때는 '수수료'도 낮아집니다.</t>
  </si>
  <si>
    <t>不會因車輛超速而眩暈昏迷</t>
  </si>
  <si>
    <t>No stun or coma due to vehicle speeding</t>
  </si>
  <si>
    <t>No hubo aturdimiento ni coma debido a la exceso de velocidad del vehículo</t>
  </si>
  <si>
    <t>車両のスピード違反による気絶や昏睡状態はありません</t>
  </si>
  <si>
    <t>Без оглушения или комы из-за превышения скорости автомобиля</t>
  </si>
  <si>
    <t>차량 과속으로 인한 기절이나 혼수상태는 없습니다</t>
  </si>
  <si>
    <t>無法進入後備車艙</t>
  </si>
  <si>
    <t>There is no access to the garage compartment</t>
  </si>
  <si>
    <t>No hay acceso al compartimento del garaje</t>
  </si>
  <si>
    <t>ガレージコンパートメントへのアクセスはありません</t>
  </si>
  <si>
    <t>Входа в гаражное отделение нет</t>
  </si>
  <si>
    <t>차고 칸에 출입할 수 없습니다</t>
  </si>
  <si>
    <t>只能停留在後備車艙</t>
  </si>
  <si>
    <t>It can only stay in the reserve cabin</t>
  </si>
  <si>
    <t>Solo puede quedarse en la cabina de reserva</t>
  </si>
  <si>
    <t>リザーブキャビンにしか滞在できません</t>
  </si>
  <si>
    <t>Он может оставаться только в резервной каюте</t>
  </si>
  <si>
    <t>예비 객실에만 머물 수 있습니다</t>
  </si>
  <si>
    <t>看起來身份高貴，需要更多金幣才能加入你的隊伍，但是説明他人時“傭金”也會因此提升。</t>
  </si>
  <si>
    <t>It seems noble and requires more gold to join your team, but the "commission" will also increase when helping others.</t>
  </si>
  <si>
    <t>Parece noble y requiere más oro para unirte a tu equipo, pero la "comisión" también aumentará al ayudar a otros.</t>
  </si>
  <si>
    <t>高潔に見え、チームに加わるにはより多くのゴールドが必要ですが、他者を助けると「コミッション」も増加します。</t>
  </si>
  <si>
    <t>Это кажется благородным и требует больше золота, чтобы присоединиться к команде, но «комиссия» также увеличивается, когда помогаешь другим.</t>
  </si>
  <si>
    <t>고귀해 보이고 팀에 합류하려면 더 많은 골드가 필요하지만, 다른 사람을 도울 때 '커미션'도 증가합니다.</t>
  </si>
  <si>
    <t>在特殊事件中，需要獻祭或出售一個隊友時，可以無消耗地獻祭或出售一位子嗣。</t>
  </si>
  <si>
    <t>In special events, when you need to sacrifice or sell a teammate, you can sacrifice or sell an heir without consumption.</t>
  </si>
  <si>
    <t>En eventos especiales, cuando necesitas sacrificar o vender a un compañero, puedes sacrificar o vender a un heredero sin consumir.</t>
  </si>
  <si>
    <t>特別イベントでは、味方を生け贄にしたり売ったりする必要がある場合、後継者を生け贄にしたり売ったりしても、消費せずに済む。</t>
  </si>
  <si>
    <t>В особых событиях, когда нужно принести в жертву или продать товарища по команде, можно принести в жертву или продать наследника без поглощения.</t>
  </si>
  <si>
    <t>특별 이벤트에서는 팀원을 희생시키거나 팔아야 할 때, 상속자를 희생시키거나 팔아도 소모 없이 할 수 있습니다.</t>
  </si>
  <si>
    <t>間歇性地恢復其所在設備的耐久</t>
  </si>
  <si>
    <t>Intermittently restore the durability of the equipment in which it resides</t>
  </si>
  <si>
    <t>Restaurar de forma intermitente la durabilidad del equipo en el que se encuentra</t>
  </si>
  <si>
    <t>その機器の耐久性を断続的に回復させます</t>
  </si>
  <si>
    <t>Периодически восстанавливают долговечность оборудования, в котором оно находится.</t>
  </si>
  <si>
    <t>그 장비의 내구성을 간헐적으로 회복시킵니다</t>
  </si>
  <si>
    <t>所操作的設備擊殺敵人時，戰利品掉落概率翻倍。</t>
  </si>
  <si>
    <t>When the equipment you operate kills an enemy, the chance of loot dropping is doubled.</t>
  </si>
  <si>
    <t>Cuando el equipo que manejas mata a un enemigo, la probabilidad de que caigan botín se duplica.</t>
  </si>
  <si>
    <t>操作した装備で敵を倒すと、戦利品ドロップの確率が2倍になります。</t>
  </si>
  <si>
    <t>Когда используемое вами оборудование убивает врага, вероятность выпадения добычи удваивается.</t>
  </si>
  <si>
    <t>당신이 조작한 장비가 적을 처치하면 전리품 드랍 확률이 두 배로 증가합니다.</t>
  </si>
  <si>
    <t>所操作的設備命中敵人時，有幾率使敵人致盲或昏迷</t>
  </si>
  <si>
    <t>When the device you operate hits an enemy, there is a chance to blind or stun the enemy</t>
  </si>
  <si>
    <t>Cuando el dispositivo que manejas impacta a un enemigo, existe la posibilidad de cegarle o aturdir al enemigo</t>
  </si>
  <si>
    <t>操作する装置が敵に当たると、敵を目くらましや気絶させるチャンスがあります</t>
  </si>
  <si>
    <t>Когда устройство, которым вы управляете, попадает в врага, есть шанс ослепить или оглушить противника</t>
  </si>
  <si>
    <t>조작하는 장치가 적을 맞히면 적을 실명시키거나 기절시킬 기회가 있습니다</t>
  </si>
  <si>
    <t>身形詭異，敵人很難注意到你，所在的設備擁有最低受擊優先順序。</t>
  </si>
  <si>
    <t>It's weird, it's hard for enemies to notice you, and you're on a device with the lowest hit priority.</t>
  </si>
  <si>
    <t>Es raro, es difícil que los enemigos te vean, y estás en un dispositivo con la menor prioridad de impacto.</t>
  </si>
  <si>
    <t>変な感じで、敵に気づかれにくく、しかも攻撃優先度が最も低いデバイスに使われています。</t>
  </si>
  <si>
    <t>Это странно, врагам трудно тебя заметить, а ты на устройстве с самым низким приоритетом попадания.</t>
  </si>
  <si>
    <t>이상하게도 적들이 당신을 알아채기 어렵고, 가장 낮은 히트 우선순위의 기기를 사용하고 있습니다.</t>
  </si>
  <si>
    <t>每次從異常中恢復，有概率走火入魔。 直到本場景結束前：1.隨機進入並擠佔其他工位 2.無法更換工位位置 3.團隊 戰鬥等級+1</t>
  </si>
  <si>
    <t>Every time you recover from an anomaly, there is a chance that you will go crazy. Until the end of this scene: 1. Randomly enter and crowd other stations 2. Cannot change station locations 3. Team Combat Level +1</t>
  </si>
  <si>
    <t>Cada vez que te recuperas de una anomalía, existe la posibilidad de que te vuelvas loco. Hasta el final de esta escena: 1. Entrar aleatoriamente y agolparse en otras estaciones 2. No se puede cambiar de ubicación 3. Nivel de Combate en Equipo +1</t>
  </si>
  <si>
    <t>異常現象から回復するたびに、正気を失う可能性がある。 このシーンの終わりまで:1. ランダムに他のステーションに入り混み合う 2. ステーションの場所変更不可 3. チームコンバットレベル+1</t>
  </si>
  <si>
    <t>Каждый раз, когда вы восстанавливаетесь после аномалии, есть шанс, что вы сойдёте с ума. До конца этой сцены: 1. Случайным образом войти и толпить другие станции 2. Нельзя менять местоположение станций 3. Командный бой уровень +1</t>
  </si>
  <si>
    <t>이상 현상에서 회복할 때마다 미쳐버릴 가능성이 있습니다. 이 장면이 끝날 때까지: 1. 무작위로 다른 역에 진입해 몰려들기 2. 역 위치를 변경할 수 없음 3. 팀 전투 레벨 +1</t>
  </si>
  <si>
    <t>[團隊技能] 進入安全區時，在商店中有 [1] 次偷竊機會。</t>
  </si>
  <si>
    <t>[Team Skill] When entering the safe zone, there are [1] stealing opportunities in the shop.</t>
  </si>
  <si>
    <t>[Equipo Skill] Al entrar en la zona segura, hay [1] oportunidades de robo en la tienda.</t>
  </si>
  <si>
    <t>【チームスキル】セーフゾーンに入ると、店内に[1]盗みのチャンスがあります。</t>
  </si>
  <si>
    <t>[Командный Скилл] При входе в безопасную зону в магазине есть [1] возможности украсть.</t>
  </si>
  <si>
    <t>[팀 스킬] 안전지대에 들어갈 때 상점 내에서 [1] 도둑질 기회가 있습니다.</t>
  </si>
  <si>
    <t>[團隊技能] 額外提供+5背包容量。</t>
  </si>
  <si>
    <t>[Team Skill] Provides an additional +5 backpack capacity.</t>
  </si>
  <si>
    <t>[Habilidad de equipo] Proporciona una capacidad adicional de +5 para la mochila.</t>
  </si>
  <si>
    <t>[チームスキル] 追加で+5のバックパック容量を提供します。</t>
  </si>
  <si>
    <t>[Командный навык] Обеспечивает дополнительную вместимость рюкзака +5.</t>
  </si>
  <si>
    <t>[팀 스킬] 추가 +5 배낭 용량을 제공합니다.</t>
  </si>
  <si>
    <t>[團隊技能] 在場景中不斷生成“雕塑”戰利品</t>
  </si>
  <si>
    <t>[Team Skill] Continuously spawns "Sculpture" loot in the scene</t>
  </si>
  <si>
    <t>[Team Skill] Genera continuamente botín de "Escultura" en la escena</t>
  </si>
  <si>
    <t>[チームスキル] シーン内で「彫刻」戦利品を連続出現</t>
  </si>
  <si>
    <t>[Командный навык] Постоянно появляется добыча «Скульптуры» в сцене</t>
  </si>
  <si>
    <t>[팀 스킬] 장면에 계속해서 "조각" 전리품이 생성됩니다</t>
  </si>
  <si>
    <t>[團隊技能] 在場景中不斷生成“漁獲”戰利品</t>
  </si>
  <si>
    <t>[Team Skill] Continuously spawns "Catch" loot in the scene</t>
  </si>
  <si>
    <t>[Team Skill] Genera continuamente botín de "Atrapar" en la escena</t>
  </si>
  <si>
    <t>[チームスキル] シーン内に「キャッチ」戦利品を連続生成</t>
  </si>
  <si>
    <t>[Командный навык] Постоянно появляется добыча «Поймать» в сцене</t>
  </si>
  <si>
    <t>[팀 스킬] 장면에 계속해서 "캐치" 전리품을 생성</t>
  </si>
  <si>
    <t>[團隊技能] 戰鬥等級+1</t>
  </si>
  <si>
    <t>[Team Skill] Combat Level +1</t>
  </si>
  <si>
    <t>[Habilidad de equipo] Nivel de combate +1</t>
  </si>
  <si>
    <t>【チームスキル】戦闘レベル+1</t>
  </si>
  <si>
    <t>[Командный навык] Боевой уровень +1</t>
  </si>
  <si>
    <t>[팀 스킬] 전투 레벨 +1</t>
  </si>
  <si>
    <t>[團隊技能] 生存等級+1</t>
  </si>
  <si>
    <t>[Team Skill] Survival Level +1</t>
  </si>
  <si>
    <t>[Habilidad del equipo] Nivel de Supervivencia +1</t>
  </si>
  <si>
    <t>【チームスキル】生存レベル+1</t>
  </si>
  <si>
    <t>[Командный навык] Уровень выживания +1</t>
  </si>
  <si>
    <t>[팀 스킬] 생존 레벨 +1</t>
  </si>
  <si>
    <t>[團隊技能] 後勤等級+1</t>
  </si>
  <si>
    <t>[Team Skill] Logistics Level +1</t>
  </si>
  <si>
    <t>[Habilidad de equipo] Nivel logístico +1</t>
  </si>
  <si>
    <t>【チームスキル】物流レベル+1</t>
  </si>
  <si>
    <t>[Командный навык] Логистический уровень +1</t>
  </si>
  <si>
    <t>[팀 스킬] 물류 레벨 +1</t>
  </si>
  <si>
    <t>[團隊技能] 駕駛等級+1; 後勤等級+1</t>
  </si>
  <si>
    <t>[Team Skill] Driving Level +1; Logistics Level +1</t>
  </si>
  <si>
    <t>[Habilidad en equipo] Nivel de conducción +1; Nivel logístico +1</t>
  </si>
  <si>
    <t>[チームスキル] ドライビングレベル+1; 物流レベル+1</t>
  </si>
  <si>
    <t>[Командный навык] Уровень вождения +1; Уровень логистики +1</t>
  </si>
  <si>
    <t>[팀 스킬] 운전 레벨 +1; 물류 레벨 +1</t>
  </si>
  <si>
    <t>[團隊技能] 幸運等級+1</t>
  </si>
  <si>
    <t>[Team Skill] Luck Level +1</t>
  </si>
  <si>
    <t>[Habilidad de equipo] Nivel de suerte +1</t>
  </si>
  <si>
    <t>【チームスキル】運レベル+1</t>
  </si>
  <si>
    <t>[Командный навык] Удача +1</t>
  </si>
  <si>
    <t>[팀 스킬] 운의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</si>
</sst>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charset val="134"/>
      <scheme val="minor"/>
    </font>
    <font>
      <sz val="11"/>
      <color theme="0"/>
      <name val="等线"/>
      <family val="3"/>
      <charset val="134"/>
      <scheme val="minor"/>
    </font>
    <font>
      <sz val="11"/>
      <color theme="5"/>
      <name val="等线"/>
      <family val="3"/>
      <charset val="134"/>
      <scheme val="minor"/>
    </font>
    <font>
      <i/>
      <sz val="11"/>
      <color theme="1" tint="0.499984740745262"/>
      <name val="等线"/>
      <family val="3"/>
      <charset val="134"/>
      <scheme val="minor"/>
    </font>
    <font>
      <b/>
      <sz val="11"/>
      <color theme="1"/>
      <name val="等线"/>
      <family val="3"/>
      <charset val="134"/>
      <scheme val="minor"/>
    </font>
    <font>
      <sz val="11"/>
      <color theme="1"/>
      <name val="等线"/>
      <family val="3"/>
      <charset val="134"/>
      <scheme val="minor"/>
    </font>
    <font>
      <i/>
      <sz val="11"/>
      <color theme="1"/>
      <name val="等线"/>
      <family val="3"/>
      <charset val="134"/>
      <scheme val="minor"/>
    </font>
    <font>
      <sz val="11"/>
      <color theme="1"/>
      <name val="等线"/>
      <family val="3"/>
      <charset val="134"/>
      <scheme val="minor"/>
    </font>
    <font>
      <sz val="9"/>
      <name val="等线"/>
      <family val="3"/>
      <charset val="134"/>
      <scheme val="minor"/>
    </font>
    <font>
      <i/>
      <sz val="11"/>
      <color theme="5"/>
      <name val="等线"/>
      <family val="3"/>
      <charset val="134"/>
      <scheme val="minor"/>
    </font>
    <font>
      <b/>
      <sz val="11"/>
      <color theme="1"/>
      <name val="Malgun Gothic"/>
      <family val="3"/>
      <charset val="129"/>
    </font>
    <font>
      <b/>
      <sz val="11"/>
      <color theme="1"/>
      <name val="等线"/>
      <family val="3"/>
      <charset val="129"/>
      <scheme val="minor"/>
    </font>
    <font>
      <sz val="11"/>
      <color theme="1"/>
      <name val="Malgun Gothic"/>
      <family val="2"/>
      <charset val="129"/>
    </font>
    <font>
      <sz val="11"/>
      <color theme="1"/>
      <name val="Calibri"/>
      <family val="2"/>
    </font>
    <font>
      <sz val="11"/>
      <color theme="1"/>
      <name val="等线"/>
      <family val="2"/>
      <charset val="129"/>
    </font>
  </fonts>
  <fills count="6">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0" fontId="7" fillId="0" borderId="0"/>
    <xf numFmtId="0" fontId="7" fillId="0" borderId="0"/>
  </cellStyleXfs>
  <cellXfs count="28">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horizontal="center" vertical="center"/>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9" fillId="2" borderId="0" xfId="0" applyFont="1" applyFill="1" applyAlignment="1">
      <alignment horizontal="center" vertical="center"/>
    </xf>
    <xf numFmtId="0" fontId="9" fillId="3" borderId="0" xfId="0" applyFont="1" applyFill="1" applyAlignment="1">
      <alignment horizontal="center" vertical="center" wrapText="1"/>
    </xf>
    <xf numFmtId="0" fontId="7" fillId="0" borderId="0" xfId="2" applyAlignment="1">
      <alignment vertical="center"/>
    </xf>
    <xf numFmtId="0" fontId="11" fillId="3" borderId="0" xfId="0" applyFont="1" applyFill="1" applyAlignment="1">
      <alignment horizontal="center" vertical="center" wrapText="1"/>
    </xf>
    <xf numFmtId="0" fontId="4" fillId="0" borderId="0" xfId="0" applyFont="1" applyAlignment="1">
      <alignment vertical="center"/>
    </xf>
    <xf numFmtId="0" fontId="4" fillId="0" borderId="0" xfId="0" applyFont="1" applyAlignment="1">
      <alignment horizontal="center" vertical="center"/>
    </xf>
    <xf numFmtId="0" fontId="0" fillId="0" borderId="0" xfId="0" applyAlignment="1">
      <alignment vertical="center"/>
    </xf>
    <xf numFmtId="0" fontId="5" fillId="0" borderId="0" xfId="0" applyFont="1" applyAlignment="1">
      <alignment vertical="center"/>
    </xf>
    <xf numFmtId="0" fontId="0" fillId="0" borderId="0" xfId="0" applyAlignment="1">
      <alignment horizontal="center" vertical="center"/>
    </xf>
    <xf numFmtId="0" fontId="5" fillId="0" borderId="0" xfId="0" applyFont="1" applyAlignment="1">
      <alignment horizontal="center" vertical="center"/>
    </xf>
    <xf numFmtId="0" fontId="2" fillId="2" borderId="0" xfId="0" applyFont="1" applyFill="1" applyAlignment="1">
      <alignment horizontal="center" vertical="center"/>
    </xf>
    <xf numFmtId="0" fontId="9" fillId="0" borderId="0" xfId="0" applyFont="1" applyAlignment="1">
      <alignment vertical="center"/>
    </xf>
    <xf numFmtId="0" fontId="3" fillId="0" borderId="0" xfId="0" applyFont="1" applyAlignment="1">
      <alignment vertical="center"/>
    </xf>
    <xf numFmtId="0" fontId="0" fillId="4" borderId="0" xfId="0" applyFill="1" applyAlignment="1">
      <alignment horizontal="center" vertical="center"/>
    </xf>
    <xf numFmtId="0" fontId="14" fillId="0" borderId="0" xfId="0" applyFont="1" applyAlignment="1">
      <alignment horizontal="center" vertical="center"/>
    </xf>
    <xf numFmtId="0" fontId="0" fillId="5" borderId="0" xfId="0" applyFill="1" applyAlignment="1">
      <alignment vertical="center"/>
    </xf>
    <xf numFmtId="0" fontId="9" fillId="5" borderId="0" xfId="0" applyFont="1" applyFill="1" applyAlignment="1">
      <alignment vertical="center"/>
    </xf>
    <xf numFmtId="0" fontId="3" fillId="5" borderId="0" xfId="0" applyFont="1" applyFill="1" applyAlignment="1">
      <alignment vertical="center"/>
    </xf>
    <xf numFmtId="0" fontId="0" fillId="5" borderId="0" xfId="0" applyFill="1" applyAlignment="1">
      <alignment horizontal="center" vertical="center"/>
    </xf>
    <xf numFmtId="0" fontId="0" fillId="0" borderId="0" xfId="0" applyAlignment="1">
      <alignment horizontal="left" vertical="center"/>
    </xf>
    <xf numFmtId="0" fontId="0" fillId="0" borderId="0" xfId="0" applyFill="1" applyAlignment="1">
      <alignment horizontal="center" vertical="center"/>
    </xf>
  </cellXfs>
  <cellStyles count="3">
    <cellStyle name="常规" xfId="0" builtinId="0"/>
    <cellStyle name="常规 2" xfId="1" xr:uid="{00000000-0005-0000-0000-000031000000}"/>
    <cellStyle name="常规 2 2" xfId="2" xr:uid="{00000000-0005-0000-0000-000032000000}"/>
  </cellStyles>
  <dxfs count="6">
    <dxf>
      <fill>
        <patternFill>
          <bgColor rgb="FFFF0000"/>
        </patternFill>
      </fill>
    </dxf>
    <dxf>
      <alignment horizontal="center"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等线"/>
        <family val="3"/>
        <charset val="134"/>
        <scheme val="minor"/>
      </font>
      <alignment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1"/>
        <color theme="1"/>
        <name val="等线"/>
        <family val="3"/>
        <charset val="134"/>
        <scheme val="minor"/>
      </font>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E71F8-0985-4AAD-BA14-F89641A210CC}" name="table_prefix" displayName="table_prefix" ref="A1:C23" totalsRowShown="0" headerRowDxfId="5" dataDxfId="4">
  <autoFilter ref="A1:C23" xr:uid="{019E71F8-0985-4AAD-BA14-F89641A210CC}"/>
  <tableColumns count="3">
    <tableColumn id="1" xr3:uid="{942227D0-52B5-4DC2-8BC4-4B82A9F87995}" name="前缀" dataDxfId="3"/>
    <tableColumn id="2" xr3:uid="{B99E70FF-4493-429C-947D-9A289135F9F2}" name="说明" dataDxfId="2"/>
    <tableColumn id="3" xr3:uid="{642DFD60-EF62-4338-B5E4-3996CBE6B7A1}" name="id前缀" data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6"/>
  <sheetViews>
    <sheetView tabSelected="1" workbookViewId="0">
      <pane ySplit="3" topLeftCell="A156" activePane="bottomLeft" state="frozen"/>
      <selection pane="bottomLeft" activeCell="D167" sqref="D167"/>
    </sheetView>
  </sheetViews>
  <sheetFormatPr defaultColWidth="9.125" defaultRowHeight="14.25" x14ac:dyDescent="0.2"/>
  <cols>
    <col min="1" max="1" width="45.25" style="13" bestFit="1" customWidth="1"/>
    <col min="2" max="2" width="15.75" style="18" customWidth="1"/>
    <col min="3" max="3" width="24.625" style="19" customWidth="1"/>
    <col min="4" max="4" width="59.5" style="15" customWidth="1"/>
    <col min="5" max="7" width="25" style="15" customWidth="1"/>
    <col min="8" max="10" width="25" style="13" customWidth="1"/>
    <col min="11" max="16384" width="9.125" style="13"/>
  </cols>
  <sheetData>
    <row r="1" spans="1:12" s="1" customFormat="1" x14ac:dyDescent="0.2">
      <c r="A1" s="1" t="s">
        <v>0</v>
      </c>
      <c r="B1" s="7"/>
      <c r="C1" s="3"/>
      <c r="D1" s="1" t="s">
        <v>1</v>
      </c>
      <c r="E1" s="1" t="s">
        <v>312</v>
      </c>
      <c r="F1" s="1" t="s">
        <v>2</v>
      </c>
      <c r="G1" s="1" t="s">
        <v>310</v>
      </c>
      <c r="H1" s="1" t="s">
        <v>305</v>
      </c>
      <c r="I1" s="1" t="s">
        <v>306</v>
      </c>
      <c r="J1" s="1" t="s">
        <v>309</v>
      </c>
    </row>
    <row r="2" spans="1:12" s="17" customFormat="1" x14ac:dyDescent="0.2">
      <c r="A2" s="17" t="s">
        <v>3</v>
      </c>
      <c r="B2" s="7"/>
      <c r="C2" s="3"/>
      <c r="D2" s="17" t="s">
        <v>4</v>
      </c>
      <c r="E2" s="17" t="s">
        <v>4</v>
      </c>
      <c r="F2" s="17" t="s">
        <v>4</v>
      </c>
      <c r="G2" s="17" t="s">
        <v>4</v>
      </c>
      <c r="H2" s="17" t="s">
        <v>4</v>
      </c>
      <c r="I2" s="17" t="s">
        <v>4</v>
      </c>
      <c r="J2" s="17" t="s">
        <v>4</v>
      </c>
    </row>
    <row r="3" spans="1:12" s="2" customFormat="1" ht="30.75" x14ac:dyDescent="0.2">
      <c r="A3" s="4" t="s">
        <v>5</v>
      </c>
      <c r="B3" s="8" t="s">
        <v>116</v>
      </c>
      <c r="C3" s="5" t="s">
        <v>6</v>
      </c>
      <c r="D3" s="6" t="s">
        <v>7</v>
      </c>
      <c r="E3" s="6" t="s">
        <v>313</v>
      </c>
      <c r="F3" s="6" t="s">
        <v>8</v>
      </c>
      <c r="G3" s="6" t="s">
        <v>311</v>
      </c>
      <c r="H3" s="6" t="s">
        <v>304</v>
      </c>
      <c r="I3" s="6" t="s">
        <v>307</v>
      </c>
      <c r="J3" s="10" t="s">
        <v>308</v>
      </c>
    </row>
    <row r="4" spans="1:12" x14ac:dyDescent="0.2">
      <c r="A4" s="13" t="s">
        <v>29</v>
      </c>
      <c r="B4" s="18" t="str" cm="1">
        <f t="array" ref="B4">_xlfn.TEXTJOIN(,1,IF(IFERROR(FIND(table_prefix[前缀],table_l10n!A4),FALSE),TEXT(table_prefix[说明],""),""))</f>
        <v>车体 - 名称</v>
      </c>
      <c r="C4" s="19" t="s">
        <v>10</v>
      </c>
      <c r="D4" s="16" t="s">
        <v>10</v>
      </c>
      <c r="E4" s="20" t="str">
        <f>_xlfn.TRANSLATE($D4,"zh-chs","zh-cht")</f>
        <v>簡易篷車</v>
      </c>
      <c r="F4" s="20" t="str">
        <f>_xlfn.TRANSLATE($D4,"zh-chs","en")</f>
        <v>Improvised caravan</v>
      </c>
      <c r="G4" s="20" t="str">
        <f>_xlfn.TRANSLATE($D4,"zh-chs","es")</f>
        <v>Caravana improvisada</v>
      </c>
      <c r="H4" s="20" t="str">
        <f>_xlfn.TRANSLATE($D4,"zh-chs","ja")</f>
        <v>即席キャラバン</v>
      </c>
      <c r="I4" s="20" t="str">
        <f>_xlfn.TRANSLATE($D4,"zh-chs","ru")</f>
        <v>Импровизированный караван</v>
      </c>
      <c r="J4" s="20" t="str">
        <f>_xlfn.TRANSLATE($D4,"zh-chs","ko")</f>
        <v>즉석 캐러밴</v>
      </c>
    </row>
    <row r="5" spans="1:12" x14ac:dyDescent="0.2">
      <c r="B5" s="18" t="str" cm="1">
        <f t="array" ref="B5">_xlfn.TEXTJOIN(,1,IF(IFERROR(FIND(table_prefix[前缀],table_l10n!A5),FALSE),TEXT(table_prefix[说明],""),""))</f>
        <v/>
      </c>
      <c r="D5" s="16"/>
      <c r="E5" s="15" t="str">
        <f t="shared" ref="E5:E9" si="0">_xlfn.TRANSLATE($D5,"zh-chs","zh-cht")</f>
        <v/>
      </c>
      <c r="F5" s="15" t="str">
        <f>_xlfn.TRANSLATE($D5,"zh-chs","en")</f>
        <v/>
      </c>
      <c r="G5" s="15" t="str">
        <f t="shared" ref="G5:G9" si="1">_xlfn.TRANSLATE($D5,"zh-chs","es")</f>
        <v/>
      </c>
      <c r="H5" s="15" t="str">
        <f>_xlfn.TRANSLATE($D5,"zh-chs","ja")</f>
        <v/>
      </c>
      <c r="I5" s="15" t="str">
        <f>_xlfn.TRANSLATE($D5,"zh-chs","ru")</f>
        <v/>
      </c>
      <c r="J5" s="15" t="str">
        <f t="shared" ref="J5:J9" si="2">_xlfn.TRANSLATE($D5,"zh-chs","ko")</f>
        <v/>
      </c>
      <c r="L5" s="14"/>
    </row>
    <row r="6" spans="1:12" x14ac:dyDescent="0.2">
      <c r="A6" s="13" t="s">
        <v>30</v>
      </c>
      <c r="B6" s="18" t="str" cm="1">
        <f t="array" ref="B6">_xlfn.TEXTJOIN(,1,IF(IFERROR(FIND(table_prefix[前缀],table_l10n!A6),FALSE),TEXT(table_prefix[说明],""),""))</f>
        <v>车体 - 名称</v>
      </c>
      <c r="C6" s="19" t="s">
        <v>32</v>
      </c>
      <c r="D6" s="15" t="s">
        <v>32</v>
      </c>
      <c r="E6" s="15" t="s">
        <v>1250</v>
      </c>
      <c r="F6" s="15" t="s">
        <v>1251</v>
      </c>
      <c r="G6" s="15" t="s">
        <v>1252</v>
      </c>
      <c r="H6" s="15" t="s">
        <v>1253</v>
      </c>
      <c r="I6" s="15" t="s">
        <v>1254</v>
      </c>
      <c r="J6" s="15" t="s">
        <v>1255</v>
      </c>
    </row>
    <row r="7" spans="1:12" x14ac:dyDescent="0.2">
      <c r="A7" s="13" t="s">
        <v>31</v>
      </c>
      <c r="B7" s="18" t="str" cm="1">
        <f t="array" ref="B7">_xlfn.TEXTJOIN(,1,IF(IFERROR(FIND(table_prefix[前缀],table_l10n!A7),FALSE),TEXT(table_prefix[说明],""),""))</f>
        <v>车体 - 名称</v>
      </c>
      <c r="C7" s="19" t="s">
        <v>33</v>
      </c>
      <c r="D7" s="15" t="s">
        <v>33</v>
      </c>
      <c r="E7" s="15" t="s">
        <v>1256</v>
      </c>
      <c r="F7" s="15" t="s">
        <v>1257</v>
      </c>
      <c r="G7" s="15" t="s">
        <v>1258</v>
      </c>
      <c r="H7" s="15" t="s">
        <v>1259</v>
      </c>
      <c r="I7" s="15" t="s">
        <v>1260</v>
      </c>
      <c r="J7" s="15" t="s">
        <v>1261</v>
      </c>
    </row>
    <row r="8" spans="1:12" x14ac:dyDescent="0.2">
      <c r="B8" s="18" t="str" cm="1">
        <f t="array" ref="B8">_xlfn.TEXTJOIN(,1,IF(IFERROR(FIND(table_prefix[前缀],table_l10n!A8),FALSE),TEXT(table_prefix[说明],""),""))</f>
        <v/>
      </c>
      <c r="E8" s="15" t="str">
        <f t="shared" si="0"/>
        <v/>
      </c>
      <c r="F8" s="15" t="str">
        <f t="shared" ref="F8:F9" si="3">_xlfn.TRANSLATE($D8,"zh-chs","en")</f>
        <v/>
      </c>
      <c r="G8" s="15" t="str">
        <f t="shared" si="1"/>
        <v/>
      </c>
      <c r="H8" s="15" t="str">
        <f t="shared" ref="H8:H9" si="4">_xlfn.TRANSLATE($D8,"zh-chs","ja")</f>
        <v/>
      </c>
      <c r="I8" s="15" t="str">
        <f t="shared" ref="I8:I9" si="5">_xlfn.TRANSLATE($D8,"zh-chs","ru")</f>
        <v/>
      </c>
      <c r="J8" s="15" t="str">
        <f t="shared" si="2"/>
        <v/>
      </c>
    </row>
    <row r="9" spans="1:12" x14ac:dyDescent="0.2">
      <c r="B9" s="18" t="str" cm="1">
        <f t="array" ref="B9">_xlfn.TEXTJOIN(,1,IF(IFERROR(FIND(table_prefix[前缀],table_l10n!A9),FALSE),TEXT(table_prefix[说明],""),""))</f>
        <v/>
      </c>
      <c r="E9" s="15" t="str">
        <f t="shared" si="0"/>
        <v/>
      </c>
      <c r="F9" s="15" t="str">
        <f t="shared" si="3"/>
        <v/>
      </c>
      <c r="G9" s="15" t="str">
        <f t="shared" si="1"/>
        <v/>
      </c>
      <c r="H9" s="15" t="str">
        <f t="shared" si="4"/>
        <v/>
      </c>
      <c r="I9" s="15" t="str">
        <f t="shared" si="5"/>
        <v/>
      </c>
      <c r="J9" s="15" t="str">
        <f t="shared" si="2"/>
        <v/>
      </c>
    </row>
    <row r="10" spans="1:12" x14ac:dyDescent="0.2">
      <c r="A10" s="13" t="s">
        <v>28</v>
      </c>
      <c r="B10" s="18" t="str" cm="1">
        <f t="array" ref="B10">_xlfn.TEXTJOIN(,1,IF(IFERROR(FIND(table_prefix[前缀],table_l10n!A10),FALSE),TEXT(table_prefix[说明],""),""))</f>
        <v>设备 - 名称</v>
      </c>
      <c r="C10" s="19" t="s">
        <v>1308</v>
      </c>
      <c r="D10" s="16" t="s">
        <v>62</v>
      </c>
      <c r="E10" s="15" t="s">
        <v>317</v>
      </c>
      <c r="F10" s="15" t="s">
        <v>318</v>
      </c>
      <c r="G10" s="15" t="s">
        <v>319</v>
      </c>
      <c r="H10" s="15" t="s">
        <v>320</v>
      </c>
      <c r="I10" s="15" t="s">
        <v>321</v>
      </c>
      <c r="J10" s="15" t="s">
        <v>322</v>
      </c>
    </row>
    <row r="11" spans="1:12" x14ac:dyDescent="0.2">
      <c r="A11" s="14" t="s">
        <v>3934</v>
      </c>
      <c r="B11" s="18" t="str" cm="1">
        <f t="array" ref="B11">_xlfn.TEXTJOIN(,1,IF(IFERROR(FIND(table_prefix[前缀],table_l10n!A11),FALSE),TEXT(table_prefix[说明],""),""))</f>
        <v>设备 - 名称</v>
      </c>
      <c r="C11" s="19" t="s">
        <v>1308</v>
      </c>
      <c r="D11" s="16" t="s">
        <v>3935</v>
      </c>
      <c r="E11" s="15" t="s">
        <v>3936</v>
      </c>
      <c r="F11" s="15" t="s">
        <v>3937</v>
      </c>
      <c r="G11" s="15" t="s">
        <v>3938</v>
      </c>
      <c r="H11" s="15" t="s">
        <v>3939</v>
      </c>
      <c r="I11" s="15" t="s">
        <v>3940</v>
      </c>
      <c r="J11" s="15" t="s">
        <v>3941</v>
      </c>
    </row>
    <row r="12" spans="1:12" x14ac:dyDescent="0.2">
      <c r="A12" s="13" t="s">
        <v>61</v>
      </c>
      <c r="B12" s="18" t="str" cm="1">
        <f t="array" ref="B12">_xlfn.TEXTJOIN(,1,IF(IFERROR(FIND(table_prefix[前缀],table_l10n!A12),FALSE),TEXT(table_prefix[说明],""),""))</f>
        <v>设备 - 名称</v>
      </c>
      <c r="C12" s="19" t="s">
        <v>1308</v>
      </c>
      <c r="D12" s="16" t="s">
        <v>63</v>
      </c>
      <c r="E12" s="15" t="s">
        <v>323</v>
      </c>
      <c r="F12" s="15" t="s">
        <v>324</v>
      </c>
      <c r="G12" s="15" t="s">
        <v>325</v>
      </c>
      <c r="H12" s="15" t="s">
        <v>326</v>
      </c>
      <c r="I12" s="15" t="s">
        <v>327</v>
      </c>
      <c r="J12" s="15" t="s">
        <v>328</v>
      </c>
    </row>
    <row r="13" spans="1:12" x14ac:dyDescent="0.2">
      <c r="A13" s="13" t="s">
        <v>1681</v>
      </c>
      <c r="B13" s="18" t="str" cm="1">
        <f t="array" ref="B13">_xlfn.TEXTJOIN(,1,IF(IFERROR(FIND(table_prefix[前缀],table_l10n!A13),FALSE),TEXT(table_prefix[说明],""),""))</f>
        <v>设备 - 名称</v>
      </c>
      <c r="C13" s="19" t="s">
        <v>1308</v>
      </c>
      <c r="D13" s="15" t="s">
        <v>1682</v>
      </c>
      <c r="E13" s="15" t="s">
        <v>1682</v>
      </c>
      <c r="F13" s="15" t="s">
        <v>1683</v>
      </c>
      <c r="G13" s="15" t="s">
        <v>1684</v>
      </c>
      <c r="H13" s="15" t="s">
        <v>1685</v>
      </c>
      <c r="I13" s="15" t="s">
        <v>1686</v>
      </c>
      <c r="J13" s="15" t="s">
        <v>1687</v>
      </c>
    </row>
    <row r="14" spans="1:12" x14ac:dyDescent="0.2">
      <c r="H14" s="15"/>
      <c r="I14" s="15"/>
      <c r="J14" s="15"/>
    </row>
    <row r="15" spans="1:12" x14ac:dyDescent="0.2">
      <c r="A15" s="13" t="s">
        <v>53</v>
      </c>
      <c r="B15" s="18" t="str" cm="1">
        <f t="array" ref="B15">_xlfn.TEXTJOIN(,1,IF(IFERROR(FIND(table_prefix[前缀],table_l10n!A15),FALSE),TEXT(table_prefix[说明],""),""))</f>
        <v>设备 - 名称</v>
      </c>
      <c r="C15" s="19" t="s">
        <v>1309</v>
      </c>
      <c r="D15" s="15" t="s">
        <v>57</v>
      </c>
      <c r="E15" s="15" t="s">
        <v>57</v>
      </c>
      <c r="F15" s="15" t="s">
        <v>329</v>
      </c>
      <c r="G15" s="15" t="s">
        <v>330</v>
      </c>
      <c r="H15" s="15" t="s">
        <v>331</v>
      </c>
      <c r="I15" s="15" t="s">
        <v>332</v>
      </c>
      <c r="J15" s="15" t="s">
        <v>333</v>
      </c>
    </row>
    <row r="16" spans="1:12" x14ac:dyDescent="0.2">
      <c r="A16" s="13" t="s">
        <v>54</v>
      </c>
      <c r="B16" s="18" t="str" cm="1">
        <f t="array" ref="B16">_xlfn.TEXTJOIN(,1,IF(IFERROR(FIND(table_prefix[前缀],table_l10n!A16),FALSE),TEXT(table_prefix[说明],""),""))</f>
        <v>设备 - 名称</v>
      </c>
      <c r="C16" s="19" t="s">
        <v>1309</v>
      </c>
      <c r="D16" s="15" t="s">
        <v>58</v>
      </c>
      <c r="E16" s="15" t="s">
        <v>58</v>
      </c>
      <c r="F16" s="15" t="s">
        <v>334</v>
      </c>
      <c r="G16" s="15" t="s">
        <v>334</v>
      </c>
      <c r="H16" s="15" t="s">
        <v>335</v>
      </c>
      <c r="I16" s="15" t="s">
        <v>336</v>
      </c>
      <c r="J16" s="15" t="s">
        <v>337</v>
      </c>
    </row>
    <row r="17" spans="1:10" x14ac:dyDescent="0.2">
      <c r="A17" s="13" t="s">
        <v>55</v>
      </c>
      <c r="B17" s="18" t="str" cm="1">
        <f t="array" ref="B17">_xlfn.TEXTJOIN(,1,IF(IFERROR(FIND(table_prefix[前缀],table_l10n!A17),FALSE),TEXT(table_prefix[说明],""),""))</f>
        <v>设备 - 名称</v>
      </c>
      <c r="C17" s="19" t="s">
        <v>1309</v>
      </c>
      <c r="D17" s="15" t="s">
        <v>59</v>
      </c>
      <c r="E17" s="15" t="s">
        <v>338</v>
      </c>
      <c r="F17" s="15" t="s">
        <v>339</v>
      </c>
      <c r="G17" s="15" t="s">
        <v>340</v>
      </c>
      <c r="H17" s="15" t="s">
        <v>341</v>
      </c>
      <c r="I17" s="15" t="s">
        <v>342</v>
      </c>
      <c r="J17" s="15" t="s">
        <v>343</v>
      </c>
    </row>
    <row r="18" spans="1:10" x14ac:dyDescent="0.2">
      <c r="A18" s="13" t="s">
        <v>56</v>
      </c>
      <c r="B18" s="18" t="str" cm="1">
        <f t="array" ref="B18">_xlfn.TEXTJOIN(,1,IF(IFERROR(FIND(table_prefix[前缀],table_l10n!A18),FALSE),TEXT(table_prefix[说明],""),""))</f>
        <v>设备 - 名称</v>
      </c>
      <c r="C18" s="19" t="s">
        <v>1309</v>
      </c>
      <c r="D18" s="15" t="s">
        <v>60</v>
      </c>
      <c r="E18" s="15" t="s">
        <v>344</v>
      </c>
      <c r="F18" s="15" t="s">
        <v>345</v>
      </c>
      <c r="G18" s="15" t="s">
        <v>346</v>
      </c>
      <c r="H18" s="15" t="s">
        <v>347</v>
      </c>
      <c r="I18" s="15" t="s">
        <v>348</v>
      </c>
      <c r="J18" s="15" t="s">
        <v>349</v>
      </c>
    </row>
    <row r="19" spans="1:10" x14ac:dyDescent="0.2">
      <c r="A19" s="13" t="s">
        <v>2833</v>
      </c>
      <c r="B19" s="18" t="str" cm="1">
        <f t="array" ref="B19">_xlfn.TEXTJOIN(,1,IF(IFERROR(FIND(table_prefix[前缀],table_l10n!A19),FALSE),TEXT(table_prefix[说明],""),""))</f>
        <v>设备 - 名称</v>
      </c>
      <c r="C19" s="19" t="s">
        <v>1309</v>
      </c>
      <c r="D19" s="16" t="s">
        <v>2834</v>
      </c>
      <c r="E19" s="15" t="s">
        <v>2835</v>
      </c>
      <c r="F19" s="15" t="s">
        <v>2836</v>
      </c>
      <c r="G19" s="15" t="s">
        <v>2837</v>
      </c>
      <c r="H19" s="15" t="s">
        <v>2838</v>
      </c>
      <c r="I19" s="15" t="s">
        <v>2839</v>
      </c>
      <c r="J19" s="15" t="s">
        <v>2840</v>
      </c>
    </row>
    <row r="20" spans="1:10" x14ac:dyDescent="0.2">
      <c r="A20" s="14" t="s">
        <v>2856</v>
      </c>
      <c r="B20" s="18" t="str" cm="1">
        <f t="array" ref="B20">_xlfn.TEXTJOIN(,1,IF(IFERROR(FIND(table_prefix[前缀],table_l10n!A20),FALSE),TEXT(table_prefix[说明],""),""))</f>
        <v>设备 - 名称</v>
      </c>
      <c r="C20" s="19" t="s">
        <v>1309</v>
      </c>
      <c r="D20" s="16" t="s">
        <v>2857</v>
      </c>
      <c r="E20" s="15" t="s">
        <v>2858</v>
      </c>
      <c r="F20" s="15" t="s">
        <v>2859</v>
      </c>
      <c r="G20" s="15" t="s">
        <v>2860</v>
      </c>
      <c r="H20" s="15" t="s">
        <v>2861</v>
      </c>
      <c r="I20" s="15" t="s">
        <v>2862</v>
      </c>
      <c r="J20" s="15" t="s">
        <v>2863</v>
      </c>
    </row>
    <row r="21" spans="1:10" x14ac:dyDescent="0.2">
      <c r="A21" s="14" t="s">
        <v>2879</v>
      </c>
      <c r="B21" s="18" t="str" cm="1">
        <f t="array" ref="B21">_xlfn.TEXTJOIN(,1,IF(IFERROR(FIND(table_prefix[前缀],table_l10n!A21),FALSE),TEXT(table_prefix[说明],""),""))</f>
        <v>设备 - 名称</v>
      </c>
      <c r="C21" s="19" t="s">
        <v>1309</v>
      </c>
      <c r="D21" s="16" t="s">
        <v>2872</v>
      </c>
      <c r="E21" s="15" t="s">
        <v>2873</v>
      </c>
      <c r="F21" s="16" t="s">
        <v>2878</v>
      </c>
      <c r="G21" s="15" t="s">
        <v>2874</v>
      </c>
      <c r="H21" s="15" t="s">
        <v>2875</v>
      </c>
      <c r="I21" s="15" t="s">
        <v>2876</v>
      </c>
      <c r="J21" s="15" t="s">
        <v>2877</v>
      </c>
    </row>
    <row r="22" spans="1:10" x14ac:dyDescent="0.2">
      <c r="A22" s="13" t="s">
        <v>12</v>
      </c>
      <c r="B22" s="18" t="str" cm="1">
        <f t="array" ref="B22">_xlfn.TEXTJOIN(,1,IF(IFERROR(FIND(table_prefix[前缀],table_l10n!A22),FALSE),TEXT(table_prefix[说明],""),""))</f>
        <v>设备 - 名称</v>
      </c>
      <c r="C22" s="19" t="s">
        <v>1309</v>
      </c>
      <c r="D22" s="15" t="s">
        <v>14</v>
      </c>
      <c r="E22" s="15" t="s">
        <v>350</v>
      </c>
      <c r="F22" s="15" t="s">
        <v>351</v>
      </c>
      <c r="G22" s="15" t="s">
        <v>352</v>
      </c>
      <c r="H22" s="15" t="s">
        <v>353</v>
      </c>
      <c r="I22" s="15" t="s">
        <v>354</v>
      </c>
      <c r="J22" s="15" t="s">
        <v>355</v>
      </c>
    </row>
    <row r="23" spans="1:10" x14ac:dyDescent="0.2">
      <c r="A23" s="13" t="s">
        <v>13</v>
      </c>
      <c r="B23" s="18" t="str" cm="1">
        <f t="array" ref="B23">_xlfn.TEXTJOIN(,1,IF(IFERROR(FIND(table_prefix[前缀],table_l10n!A23),FALSE),TEXT(table_prefix[说明],""),""))</f>
        <v>设备 - 名称</v>
      </c>
      <c r="C23" s="19" t="s">
        <v>1309</v>
      </c>
      <c r="D23" s="15" t="s">
        <v>15</v>
      </c>
      <c r="E23" s="15" t="s">
        <v>356</v>
      </c>
      <c r="F23" s="15" t="s">
        <v>357</v>
      </c>
      <c r="G23" s="15" t="s">
        <v>358</v>
      </c>
      <c r="H23" s="15" t="s">
        <v>359</v>
      </c>
      <c r="I23" s="15" t="s">
        <v>360</v>
      </c>
      <c r="J23" s="15" t="s">
        <v>361</v>
      </c>
    </row>
    <row r="24" spans="1:10" x14ac:dyDescent="0.2">
      <c r="A24" s="13" t="s">
        <v>1689</v>
      </c>
      <c r="B24" s="18" t="str" cm="1">
        <f t="array" ref="B24">_xlfn.TEXTJOIN(,1,IF(IFERROR(FIND(table_prefix[前缀],table_l10n!A24),FALSE),TEXT(table_prefix[说明],""),""))</f>
        <v>设备 - 名称</v>
      </c>
      <c r="C24" s="19" t="s">
        <v>1309</v>
      </c>
      <c r="D24" s="15" t="s">
        <v>1688</v>
      </c>
      <c r="E24" s="15" t="s">
        <v>1708</v>
      </c>
      <c r="F24" s="15" t="s">
        <v>1698</v>
      </c>
      <c r="G24" s="15" t="s">
        <v>1699</v>
      </c>
      <c r="H24" s="15" t="s">
        <v>1700</v>
      </c>
      <c r="I24" s="15" t="s">
        <v>1701</v>
      </c>
      <c r="J24" s="15" t="s">
        <v>1702</v>
      </c>
    </row>
    <row r="25" spans="1:10" x14ac:dyDescent="0.2">
      <c r="A25" s="13" t="s">
        <v>2309</v>
      </c>
      <c r="B25" s="18" t="str" cm="1">
        <f t="array" ref="B25">_xlfn.TEXTJOIN(,1,IF(IFERROR(FIND(table_prefix[前缀],table_l10n!A25),FALSE),TEXT(table_prefix[说明],""),""))</f>
        <v>设备 - 名称</v>
      </c>
      <c r="C25" s="19" t="s">
        <v>1309</v>
      </c>
      <c r="D25" s="15" t="s">
        <v>2310</v>
      </c>
      <c r="E25" s="15" t="s">
        <v>2311</v>
      </c>
      <c r="F25" s="15" t="s">
        <v>2312</v>
      </c>
      <c r="G25" s="15" t="s">
        <v>2313</v>
      </c>
      <c r="H25" s="15" t="s">
        <v>2314</v>
      </c>
      <c r="I25" s="15" t="s">
        <v>2315</v>
      </c>
      <c r="J25" s="15" t="s">
        <v>2316</v>
      </c>
    </row>
    <row r="26" spans="1:10" x14ac:dyDescent="0.2">
      <c r="A26" s="13" t="s">
        <v>2864</v>
      </c>
      <c r="B26" s="18" t="str" cm="1">
        <f t="array" ref="B26">_xlfn.TEXTJOIN(,1,IF(IFERROR(FIND(table_prefix[前缀],table_l10n!A26),FALSE),TEXT(table_prefix[说明],""),""))</f>
        <v>设备 - 名称</v>
      </c>
      <c r="C26" s="19" t="s">
        <v>1309</v>
      </c>
      <c r="D26" s="16" t="s">
        <v>2865</v>
      </c>
      <c r="E26" s="15" t="s">
        <v>2866</v>
      </c>
      <c r="F26" s="15" t="s">
        <v>2867</v>
      </c>
      <c r="G26" s="15" t="s">
        <v>2868</v>
      </c>
      <c r="H26" s="15" t="s">
        <v>2869</v>
      </c>
      <c r="I26" s="15" t="s">
        <v>2870</v>
      </c>
      <c r="J26" s="15" t="s">
        <v>2871</v>
      </c>
    </row>
    <row r="27" spans="1:10" x14ac:dyDescent="0.2">
      <c r="H27" s="15"/>
      <c r="I27" s="15"/>
      <c r="J27" s="15"/>
    </row>
    <row r="28" spans="1:10" x14ac:dyDescent="0.2">
      <c r="A28" s="13" t="s">
        <v>16</v>
      </c>
      <c r="B28" s="18" t="str" cm="1">
        <f t="array" ref="B28">_xlfn.TEXTJOIN(,1,IF(IFERROR(FIND(table_prefix[前缀],table_l10n!A28),FALSE),TEXT(table_prefix[说明],""),""))</f>
        <v>设备 - 名称</v>
      </c>
      <c r="C28" s="19" t="s">
        <v>1310</v>
      </c>
      <c r="D28" s="15" t="s">
        <v>9</v>
      </c>
      <c r="E28" s="15" t="s">
        <v>9</v>
      </c>
      <c r="F28" s="15" t="s">
        <v>2778</v>
      </c>
      <c r="G28" s="15" t="s">
        <v>363</v>
      </c>
      <c r="H28" s="15" t="s">
        <v>2779</v>
      </c>
      <c r="I28" s="15" t="s">
        <v>2780</v>
      </c>
      <c r="J28" s="15" t="s">
        <v>366</v>
      </c>
    </row>
    <row r="29" spans="1:10" x14ac:dyDescent="0.2">
      <c r="A29" s="14" t="s">
        <v>293</v>
      </c>
      <c r="B29" s="18" t="str" cm="1">
        <f t="array" ref="B29">_xlfn.TEXTJOIN(,1,IF(IFERROR(FIND(table_prefix[前缀],table_l10n!A29),FALSE),TEXT(table_prefix[说明],""),""))</f>
        <v>设备 - 名称</v>
      </c>
      <c r="C29" s="19" t="s">
        <v>1310</v>
      </c>
      <c r="D29" s="16" t="s">
        <v>292</v>
      </c>
      <c r="E29" s="15" t="s">
        <v>367</v>
      </c>
      <c r="F29" s="15" t="s">
        <v>368</v>
      </c>
      <c r="G29" s="15" t="s">
        <v>2781</v>
      </c>
      <c r="H29" s="15" t="s">
        <v>369</v>
      </c>
      <c r="I29" s="15" t="s">
        <v>2782</v>
      </c>
      <c r="J29" s="15" t="s">
        <v>2783</v>
      </c>
    </row>
    <row r="30" spans="1:10" x14ac:dyDescent="0.2">
      <c r="A30" s="14" t="s">
        <v>3942</v>
      </c>
      <c r="B30" s="18" t="str" cm="1">
        <f t="array" ref="B30">_xlfn.TEXTJOIN(,1,IF(IFERROR(FIND(table_prefix[前缀],table_l10n!A30),FALSE),TEXT(table_prefix[说明],""),""))</f>
        <v>设备 - 名称</v>
      </c>
      <c r="C30" s="19" t="s">
        <v>1310</v>
      </c>
      <c r="D30" s="16" t="s">
        <v>3943</v>
      </c>
      <c r="E30" s="15" t="s">
        <v>3944</v>
      </c>
      <c r="F30" s="15" t="s">
        <v>3945</v>
      </c>
      <c r="G30" s="15" t="s">
        <v>3946</v>
      </c>
      <c r="H30" s="15" t="s">
        <v>3947</v>
      </c>
      <c r="I30" s="15" t="s">
        <v>3948</v>
      </c>
      <c r="J30" s="15" t="s">
        <v>3949</v>
      </c>
    </row>
    <row r="31" spans="1:10" x14ac:dyDescent="0.2">
      <c r="A31" s="14" t="s">
        <v>17</v>
      </c>
      <c r="B31" s="18" t="str" cm="1">
        <f t="array" ref="B31">_xlfn.TEXTJOIN(,1,IF(IFERROR(FIND(table_prefix[前缀],table_l10n!A31),FALSE),TEXT(table_prefix[说明],""),""))</f>
        <v>设备 - 名称</v>
      </c>
      <c r="C31" s="19" t="s">
        <v>1310</v>
      </c>
      <c r="D31" s="16" t="s">
        <v>39</v>
      </c>
      <c r="E31" s="15" t="s">
        <v>370</v>
      </c>
      <c r="F31" s="15" t="s">
        <v>2784</v>
      </c>
      <c r="G31" s="15" t="s">
        <v>2785</v>
      </c>
      <c r="H31" s="15" t="s">
        <v>2786</v>
      </c>
      <c r="I31" s="15" t="s">
        <v>2787</v>
      </c>
      <c r="J31" s="15" t="s">
        <v>2788</v>
      </c>
    </row>
    <row r="32" spans="1:10" x14ac:dyDescent="0.2">
      <c r="A32" s="13" t="s">
        <v>18</v>
      </c>
      <c r="B32" s="18" t="str" cm="1">
        <f t="array" ref="B32">_xlfn.TEXTJOIN(,1,IF(IFERROR(FIND(table_prefix[前缀],table_l10n!A32),FALSE),TEXT(table_prefix[说明],""),""))</f>
        <v>设备 - 名称</v>
      </c>
      <c r="C32" s="19" t="s">
        <v>1310</v>
      </c>
      <c r="D32" s="16" t="s">
        <v>2841</v>
      </c>
      <c r="E32" s="15" t="s">
        <v>2842</v>
      </c>
      <c r="F32" s="15" t="s">
        <v>2843</v>
      </c>
      <c r="G32" s="15" t="s">
        <v>2843</v>
      </c>
      <c r="H32" s="15" t="s">
        <v>2844</v>
      </c>
      <c r="I32" s="15" t="s">
        <v>2845</v>
      </c>
      <c r="J32" s="15" t="s">
        <v>2846</v>
      </c>
    </row>
    <row r="33" spans="1:10" x14ac:dyDescent="0.2">
      <c r="A33" s="13" t="s">
        <v>19</v>
      </c>
      <c r="B33" s="18" t="str" cm="1">
        <f t="array" ref="B33">_xlfn.TEXTJOIN(,1,IF(IFERROR(FIND(table_prefix[前缀],table_l10n!A33),FALSE),TEXT(table_prefix[说明],""),""))</f>
        <v>设备 - 名称</v>
      </c>
      <c r="C33" s="19" t="s">
        <v>1310</v>
      </c>
      <c r="D33" s="16" t="s">
        <v>22</v>
      </c>
      <c r="E33" s="15" t="s">
        <v>371</v>
      </c>
      <c r="F33" s="15" t="s">
        <v>2789</v>
      </c>
      <c r="G33" s="15" t="s">
        <v>2790</v>
      </c>
      <c r="H33" s="15" t="s">
        <v>2791</v>
      </c>
      <c r="I33" s="15" t="s">
        <v>2792</v>
      </c>
      <c r="J33" s="15" t="s">
        <v>2793</v>
      </c>
    </row>
    <row r="34" spans="1:10" x14ac:dyDescent="0.2">
      <c r="A34" s="14" t="s">
        <v>35</v>
      </c>
      <c r="B34" s="18" t="str" cm="1">
        <f t="array" ref="B34">_xlfn.TEXTJOIN(,1,IF(IFERROR(FIND(table_prefix[前缀],table_l10n!A34),FALSE),TEXT(table_prefix[说明],""),""))</f>
        <v>设备 - 名称</v>
      </c>
      <c r="C34" s="19" t="s">
        <v>1310</v>
      </c>
      <c r="D34" s="16" t="s">
        <v>34</v>
      </c>
      <c r="E34" s="15" t="s">
        <v>372</v>
      </c>
      <c r="F34" s="15" t="s">
        <v>2794</v>
      </c>
      <c r="G34" s="15" t="s">
        <v>2795</v>
      </c>
      <c r="H34" s="15" t="s">
        <v>2796</v>
      </c>
      <c r="I34" s="15" t="s">
        <v>2797</v>
      </c>
      <c r="J34" s="15" t="s">
        <v>2798</v>
      </c>
    </row>
    <row r="35" spans="1:10" x14ac:dyDescent="0.2">
      <c r="A35" s="14" t="s">
        <v>36</v>
      </c>
      <c r="B35" s="18" t="str" cm="1">
        <f t="array" ref="B35">_xlfn.TEXTJOIN(,1,IF(IFERROR(FIND(table_prefix[前缀],table_l10n!A35),FALSE),TEXT(table_prefix[说明],""),""))</f>
        <v>设备 - 名称</v>
      </c>
      <c r="C35" s="19" t="s">
        <v>1310</v>
      </c>
      <c r="D35" s="16" t="s">
        <v>40</v>
      </c>
      <c r="E35" s="15" t="s">
        <v>373</v>
      </c>
      <c r="F35" s="15" t="s">
        <v>2799</v>
      </c>
      <c r="G35" s="15" t="s">
        <v>2800</v>
      </c>
      <c r="H35" s="15" t="s">
        <v>2801</v>
      </c>
      <c r="I35" s="15" t="s">
        <v>2802</v>
      </c>
      <c r="J35" s="15" t="s">
        <v>2803</v>
      </c>
    </row>
    <row r="36" spans="1:10" x14ac:dyDescent="0.2">
      <c r="A36" s="14" t="s">
        <v>291</v>
      </c>
      <c r="B36" s="18" t="str" cm="1">
        <f t="array" ref="B36">_xlfn.TEXTJOIN(,1,IF(IFERROR(FIND(table_prefix[前缀],table_l10n!A36),FALSE),TEXT(table_prefix[说明],""),""))</f>
        <v>设备 - 名称</v>
      </c>
      <c r="C36" s="19" t="s">
        <v>1310</v>
      </c>
      <c r="D36" s="15" t="s">
        <v>20</v>
      </c>
      <c r="E36" s="15" t="s">
        <v>374</v>
      </c>
      <c r="F36" s="15" t="s">
        <v>375</v>
      </c>
      <c r="G36" s="15" t="s">
        <v>2804</v>
      </c>
      <c r="H36" s="15" t="s">
        <v>2805</v>
      </c>
      <c r="I36" s="15" t="s">
        <v>376</v>
      </c>
      <c r="J36" s="15" t="s">
        <v>377</v>
      </c>
    </row>
    <row r="37" spans="1:10" x14ac:dyDescent="0.2">
      <c r="A37" s="14" t="s">
        <v>294</v>
      </c>
      <c r="B37" s="18" t="str" cm="1">
        <f t="array" ref="B37">_xlfn.TEXTJOIN(,1,IF(IFERROR(FIND(table_prefix[前缀],table_l10n!A37),FALSE),TEXT(table_prefix[说明],""),""))</f>
        <v>设备 - 名称</v>
      </c>
      <c r="C37" s="19" t="s">
        <v>1310</v>
      </c>
      <c r="D37" s="16" t="s">
        <v>295</v>
      </c>
      <c r="E37" s="15" t="s">
        <v>378</v>
      </c>
      <c r="F37" s="15" t="s">
        <v>2806</v>
      </c>
      <c r="G37" s="15" t="s">
        <v>2807</v>
      </c>
      <c r="H37" s="15" t="s">
        <v>2808</v>
      </c>
      <c r="I37" s="15" t="s">
        <v>2809</v>
      </c>
      <c r="J37" s="15" t="s">
        <v>2810</v>
      </c>
    </row>
    <row r="38" spans="1:10" x14ac:dyDescent="0.2">
      <c r="A38" s="13" t="s">
        <v>1691</v>
      </c>
      <c r="B38" s="18" t="str" cm="1">
        <f t="array" ref="B38">_xlfn.TEXTJOIN(,1,IF(IFERROR(FIND(table_prefix[前缀],table_l10n!A38),FALSE),TEXT(table_prefix[说明],""),""))</f>
        <v>设备 - 名称</v>
      </c>
      <c r="C38" s="19" t="s">
        <v>1310</v>
      </c>
      <c r="D38" s="15" t="s">
        <v>1690</v>
      </c>
      <c r="E38" s="15" t="s">
        <v>2811</v>
      </c>
      <c r="F38" s="15" t="s">
        <v>1703</v>
      </c>
      <c r="G38" s="15" t="s">
        <v>1707</v>
      </c>
      <c r="H38" s="15" t="s">
        <v>2812</v>
      </c>
      <c r="I38" s="15" t="s">
        <v>2813</v>
      </c>
      <c r="J38" s="15" t="s">
        <v>1704</v>
      </c>
    </row>
    <row r="39" spans="1:10" x14ac:dyDescent="0.2">
      <c r="A39" s="13" t="s">
        <v>1692</v>
      </c>
      <c r="B39" s="18" t="str" cm="1">
        <f t="array" ref="B39">_xlfn.TEXTJOIN(,1,IF(IFERROR(FIND(table_prefix[前缀],table_l10n!A39),FALSE),TEXT(table_prefix[说明],""),""))</f>
        <v>设备 - 名称</v>
      </c>
      <c r="C39" s="19" t="s">
        <v>1310</v>
      </c>
      <c r="D39" s="16" t="s">
        <v>2777</v>
      </c>
      <c r="E39" s="15" t="s">
        <v>2814</v>
      </c>
      <c r="F39" s="15" t="s">
        <v>2815</v>
      </c>
      <c r="G39" s="15" t="s">
        <v>2816</v>
      </c>
      <c r="H39" s="15" t="s">
        <v>2817</v>
      </c>
      <c r="I39" s="15" t="s">
        <v>2818</v>
      </c>
      <c r="J39" s="15" t="s">
        <v>2819</v>
      </c>
    </row>
    <row r="40" spans="1:10" x14ac:dyDescent="0.2">
      <c r="A40" s="14" t="s">
        <v>1705</v>
      </c>
      <c r="B40" s="18" t="str" cm="1">
        <f t="array" ref="B40">_xlfn.TEXTJOIN(,1,IF(IFERROR(FIND(table_prefix[前缀],table_l10n!A40),FALSE),TEXT(table_prefix[说明],""),""))</f>
        <v>设备 - 名称</v>
      </c>
      <c r="C40" s="19" t="s">
        <v>2320</v>
      </c>
      <c r="D40" s="16" t="s">
        <v>1693</v>
      </c>
      <c r="E40" s="15" t="s">
        <v>1694</v>
      </c>
      <c r="F40" s="15" t="s">
        <v>1695</v>
      </c>
      <c r="G40" s="15" t="s">
        <v>2820</v>
      </c>
      <c r="H40" s="15" t="s">
        <v>2821</v>
      </c>
      <c r="I40" s="15" t="s">
        <v>1696</v>
      </c>
      <c r="J40" s="15" t="s">
        <v>1697</v>
      </c>
    </row>
    <row r="41" spans="1:10" x14ac:dyDescent="0.2">
      <c r="A41" s="13" t="s">
        <v>1706</v>
      </c>
      <c r="B41" s="18" t="str" cm="1">
        <f t="array" ref="B41">_xlfn.TEXTJOIN(,1,IF(IFERROR(FIND(table_prefix[前缀],table_l10n!A41),FALSE),TEXT(table_prefix[说明],""),""))</f>
        <v>设备 - 名称</v>
      </c>
      <c r="C41" s="19" t="s">
        <v>2319</v>
      </c>
      <c r="D41" s="16" t="s">
        <v>24</v>
      </c>
      <c r="E41" s="15" t="s">
        <v>387</v>
      </c>
      <c r="F41" s="15" t="s">
        <v>2822</v>
      </c>
      <c r="G41" s="15" t="s">
        <v>2823</v>
      </c>
      <c r="H41" s="15" t="s">
        <v>2824</v>
      </c>
      <c r="I41" s="15" t="s">
        <v>2825</v>
      </c>
      <c r="J41" s="15" t="s">
        <v>2826</v>
      </c>
    </row>
    <row r="42" spans="1:10" x14ac:dyDescent="0.2">
      <c r="A42" s="13" t="s">
        <v>2321</v>
      </c>
      <c r="B42" s="18" t="str" cm="1">
        <f t="array" ref="B42">_xlfn.TEXTJOIN(,1,IF(IFERROR(FIND(table_prefix[前缀],table_l10n!A42),FALSE),TEXT(table_prefix[说明],""),""))</f>
        <v>设备 - 名称</v>
      </c>
      <c r="C42" s="19" t="s">
        <v>2318</v>
      </c>
      <c r="D42" s="16" t="s">
        <v>2317</v>
      </c>
      <c r="E42" s="15" t="s">
        <v>2322</v>
      </c>
      <c r="F42" s="15" t="s">
        <v>2323</v>
      </c>
      <c r="G42" s="15" t="s">
        <v>2827</v>
      </c>
      <c r="H42" s="15" t="s">
        <v>2324</v>
      </c>
      <c r="I42" s="15" t="s">
        <v>2828</v>
      </c>
      <c r="J42" s="15" t="s">
        <v>2325</v>
      </c>
    </row>
    <row r="43" spans="1:10" x14ac:dyDescent="0.2">
      <c r="A43" s="13" t="s">
        <v>37</v>
      </c>
      <c r="B43" s="18" t="str" cm="1">
        <f t="array" ref="B43">_xlfn.TEXTJOIN(,1,IF(IFERROR(FIND(table_prefix[前缀],table_l10n!A43),FALSE),TEXT(table_prefix[说明],""),""))</f>
        <v>设备 - 名称</v>
      </c>
      <c r="C43" s="19" t="s">
        <v>1310</v>
      </c>
      <c r="D43" s="15" t="s">
        <v>41</v>
      </c>
      <c r="E43" s="15" t="s">
        <v>379</v>
      </c>
      <c r="F43" s="15" t="s">
        <v>2829</v>
      </c>
      <c r="G43" s="15" t="s">
        <v>380</v>
      </c>
      <c r="H43" s="15" t="s">
        <v>2830</v>
      </c>
      <c r="I43" s="15" t="s">
        <v>2831</v>
      </c>
      <c r="J43" s="15" t="s">
        <v>2832</v>
      </c>
    </row>
    <row r="44" spans="1:10" x14ac:dyDescent="0.2">
      <c r="A44" s="13" t="s">
        <v>38</v>
      </c>
      <c r="B44" s="18" t="str" cm="1">
        <f t="array" ref="B44">_xlfn.TEXTJOIN(,1,IF(IFERROR(FIND(table_prefix[前缀],table_l10n!A44),FALSE),TEXT(table_prefix[说明],""),""))</f>
        <v>设备 - 名称</v>
      </c>
      <c r="C44" s="19" t="s">
        <v>1310</v>
      </c>
      <c r="D44" s="15" t="s">
        <v>42</v>
      </c>
      <c r="E44" s="15" t="s">
        <v>381</v>
      </c>
      <c r="F44" s="15" t="s">
        <v>382</v>
      </c>
      <c r="G44" s="15" t="s">
        <v>383</v>
      </c>
      <c r="H44" s="15" t="s">
        <v>384</v>
      </c>
      <c r="I44" s="15" t="s">
        <v>385</v>
      </c>
      <c r="J44" s="15" t="s">
        <v>386</v>
      </c>
    </row>
    <row r="45" spans="1:10" x14ac:dyDescent="0.2">
      <c r="H45" s="15"/>
      <c r="I45" s="15"/>
      <c r="J45" s="15"/>
    </row>
    <row r="46" spans="1:10" x14ac:dyDescent="0.2">
      <c r="A46" s="13" t="s">
        <v>2934</v>
      </c>
      <c r="B46" s="18" t="str" cm="1">
        <f t="array" ref="B46">_xlfn.TEXTJOIN(,1,IF(IFERROR(FIND(table_prefix[前缀],table_l10n!A46),FALSE),TEXT(table_prefix[说明],""),""))</f>
        <v>设备 - 名称</v>
      </c>
      <c r="C46" s="19" t="s">
        <v>2935</v>
      </c>
      <c r="D46" s="16" t="s">
        <v>2936</v>
      </c>
      <c r="E46" s="15" t="s">
        <v>2937</v>
      </c>
      <c r="F46" s="15" t="s">
        <v>2938</v>
      </c>
      <c r="G46" s="15" t="s">
        <v>2939</v>
      </c>
      <c r="H46" s="15" t="s">
        <v>2940</v>
      </c>
      <c r="I46" s="15" t="s">
        <v>2941</v>
      </c>
      <c r="J46" s="15" t="s">
        <v>2942</v>
      </c>
    </row>
    <row r="47" spans="1:10" x14ac:dyDescent="0.2">
      <c r="A47" s="13" t="s">
        <v>23</v>
      </c>
      <c r="B47" s="18" t="str" cm="1">
        <f t="array" ref="B47">_xlfn.TEXTJOIN(,1,IF(IFERROR(FIND(table_prefix[前缀],table_l10n!A47),FALSE),TEXT(table_prefix[说明],""),""))</f>
        <v>设备 - 名称</v>
      </c>
      <c r="C47" s="19" t="s">
        <v>27</v>
      </c>
      <c r="D47" s="15" t="s">
        <v>25</v>
      </c>
      <c r="E47" s="15" t="s">
        <v>388</v>
      </c>
      <c r="F47" s="15" t="s">
        <v>389</v>
      </c>
      <c r="G47" s="15" t="s">
        <v>390</v>
      </c>
      <c r="H47" s="15" t="s">
        <v>391</v>
      </c>
      <c r="I47" s="15" t="s">
        <v>392</v>
      </c>
      <c r="J47" s="15" t="s">
        <v>393</v>
      </c>
    </row>
    <row r="48" spans="1:10" x14ac:dyDescent="0.2">
      <c r="A48" s="13" t="s">
        <v>66</v>
      </c>
      <c r="B48" s="18" t="str" cm="1">
        <f t="array" ref="B48">_xlfn.TEXTJOIN(,1,IF(IFERROR(FIND(table_prefix[前缀],table_l10n!A48),FALSE),TEXT(table_prefix[说明],""),""))</f>
        <v>设备 - 名称</v>
      </c>
      <c r="C48" s="19" t="s">
        <v>64</v>
      </c>
      <c r="D48" s="16" t="s">
        <v>65</v>
      </c>
      <c r="E48" s="15" t="s">
        <v>394</v>
      </c>
      <c r="F48" s="15" t="s">
        <v>395</v>
      </c>
      <c r="G48" s="15" t="s">
        <v>396</v>
      </c>
      <c r="H48" s="15" t="s">
        <v>397</v>
      </c>
      <c r="I48" s="15" t="s">
        <v>398</v>
      </c>
      <c r="J48" s="15" t="s">
        <v>399</v>
      </c>
    </row>
    <row r="49" spans="1:10" x14ac:dyDescent="0.2">
      <c r="A49" s="14" t="s">
        <v>297</v>
      </c>
      <c r="B49" s="18" t="str" cm="1">
        <f t="array" ref="B49">_xlfn.TEXTJOIN(,1,IF(IFERROR(FIND(table_prefix[前缀],table_l10n!A49),FALSE),TEXT(table_prefix[说明],""),""))</f>
        <v>设备 - 名称</v>
      </c>
      <c r="D49" s="16" t="s">
        <v>298</v>
      </c>
      <c r="E49" s="15" t="s">
        <v>400</v>
      </c>
      <c r="F49" s="15" t="s">
        <v>401</v>
      </c>
      <c r="G49" s="15" t="s">
        <v>402</v>
      </c>
      <c r="H49" s="15" t="s">
        <v>403</v>
      </c>
      <c r="I49" s="15" t="s">
        <v>404</v>
      </c>
      <c r="J49" s="15" t="s">
        <v>405</v>
      </c>
    </row>
    <row r="50" spans="1:10" x14ac:dyDescent="0.2">
      <c r="A50" s="14" t="s">
        <v>2943</v>
      </c>
      <c r="B50" s="18" t="str" cm="1">
        <f t="array" ref="B50">_xlfn.TEXTJOIN(,1,IF(IFERROR(FIND(table_prefix[前缀],table_l10n!A50),FALSE),TEXT(table_prefix[说明],""),""))</f>
        <v>设备 - 名称</v>
      </c>
      <c r="C50" s="19" t="s">
        <v>2944</v>
      </c>
      <c r="D50" s="16" t="s">
        <v>2945</v>
      </c>
      <c r="E50" s="15" t="s">
        <v>2946</v>
      </c>
      <c r="F50" s="15" t="s">
        <v>2947</v>
      </c>
      <c r="G50" s="15" t="s">
        <v>2948</v>
      </c>
      <c r="H50" s="15" t="s">
        <v>2949</v>
      </c>
      <c r="I50" s="15" t="s">
        <v>2950</v>
      </c>
      <c r="J50" s="15" t="s">
        <v>2951</v>
      </c>
    </row>
    <row r="51" spans="1:10" x14ac:dyDescent="0.2">
      <c r="A51" s="13" t="s">
        <v>1627</v>
      </c>
      <c r="B51" s="18" t="str" cm="1">
        <f t="array" ref="B51">_xlfn.TEXTJOIN(,1,IF(IFERROR(FIND(table_prefix[前缀],table_l10n!A51),FALSE),TEXT(table_prefix[说明],""),""))</f>
        <v>设备 - 名称</v>
      </c>
      <c r="C51" s="19" t="s">
        <v>1633</v>
      </c>
      <c r="D51" s="15" t="s">
        <v>1633</v>
      </c>
      <c r="E51" s="15" t="s">
        <v>1638</v>
      </c>
      <c r="F51" s="15" t="s">
        <v>1639</v>
      </c>
      <c r="G51" s="15" t="s">
        <v>1640</v>
      </c>
      <c r="H51" s="15" t="s">
        <v>1641</v>
      </c>
      <c r="I51" s="15" t="s">
        <v>1642</v>
      </c>
      <c r="J51" s="15" t="s">
        <v>1643</v>
      </c>
    </row>
    <row r="52" spans="1:10" x14ac:dyDescent="0.2">
      <c r="A52" s="14" t="s">
        <v>1667</v>
      </c>
      <c r="B52" s="18" t="str" cm="1">
        <f t="array" ref="B52">_xlfn.TEXTJOIN(,1,IF(IFERROR(FIND(table_prefix[前缀],table_l10n!A52),FALSE),TEXT(table_prefix[说明],""),""))</f>
        <v>设备 - 名称</v>
      </c>
      <c r="C52" s="19" t="s">
        <v>1637</v>
      </c>
      <c r="D52" s="15" t="s">
        <v>1637</v>
      </c>
      <c r="E52" s="15" t="s">
        <v>1660</v>
      </c>
      <c r="F52" s="15" t="s">
        <v>1661</v>
      </c>
      <c r="G52" s="15" t="s">
        <v>1662</v>
      </c>
      <c r="H52" s="15" t="s">
        <v>1663</v>
      </c>
      <c r="I52" s="15" t="s">
        <v>1664</v>
      </c>
      <c r="J52" s="15" t="s">
        <v>1665</v>
      </c>
    </row>
    <row r="53" spans="1:10" x14ac:dyDescent="0.2">
      <c r="A53" s="13" t="s">
        <v>1628</v>
      </c>
      <c r="B53" s="18" t="str" cm="1">
        <f t="array" ref="B53">_xlfn.TEXTJOIN(,1,IF(IFERROR(FIND(table_prefix[前缀],table_l10n!A53),FALSE),TEXT(table_prefix[说明],""),""))</f>
        <v>设备 - 名称</v>
      </c>
      <c r="C53" s="19" t="s">
        <v>1634</v>
      </c>
      <c r="D53" s="15" t="s">
        <v>1634</v>
      </c>
      <c r="E53" s="15" t="s">
        <v>1634</v>
      </c>
      <c r="F53" s="15" t="s">
        <v>1644</v>
      </c>
      <c r="G53" s="15" t="s">
        <v>1645</v>
      </c>
      <c r="H53" s="15" t="s">
        <v>1646</v>
      </c>
      <c r="I53" s="15" t="s">
        <v>1647</v>
      </c>
      <c r="J53" s="15" t="s">
        <v>1648</v>
      </c>
    </row>
    <row r="54" spans="1:10" ht="16.5" x14ac:dyDescent="0.2">
      <c r="A54" s="14" t="s">
        <v>1629</v>
      </c>
      <c r="B54" s="18" t="str" cm="1">
        <f t="array" ref="B54">_xlfn.TEXTJOIN(,1,IF(IFERROR(FIND(table_prefix[前缀],table_l10n!A54),FALSE),TEXT(table_prefix[说明],""),""))</f>
        <v>设备 - 名称</v>
      </c>
      <c r="C54" s="19" t="s">
        <v>1666</v>
      </c>
      <c r="D54" s="16" t="s">
        <v>1666</v>
      </c>
      <c r="E54" s="16" t="s">
        <v>1669</v>
      </c>
      <c r="F54" s="16" t="s">
        <v>1671</v>
      </c>
      <c r="G54" s="16" t="s">
        <v>1673</v>
      </c>
      <c r="H54" s="16" t="s">
        <v>1676</v>
      </c>
      <c r="I54" s="16" t="s">
        <v>1678</v>
      </c>
      <c r="J54" s="21" t="s">
        <v>1679</v>
      </c>
    </row>
    <row r="55" spans="1:10" ht="16.5" x14ac:dyDescent="0.2">
      <c r="A55" s="13" t="s">
        <v>1630</v>
      </c>
      <c r="B55" s="18" t="str" cm="1">
        <f t="array" ref="B55">_xlfn.TEXTJOIN(,1,IF(IFERROR(FIND(table_prefix[前缀],table_l10n!A55),FALSE),TEXT(table_prefix[说明],""),""))</f>
        <v>设备 - 名称</v>
      </c>
      <c r="C55" s="19" t="s">
        <v>1668</v>
      </c>
      <c r="D55" s="16" t="s">
        <v>1668</v>
      </c>
      <c r="E55" s="16" t="s">
        <v>1670</v>
      </c>
      <c r="F55" s="16" t="s">
        <v>1672</v>
      </c>
      <c r="G55" s="16" t="s">
        <v>1674</v>
      </c>
      <c r="H55" s="16" t="s">
        <v>1675</v>
      </c>
      <c r="I55" s="16" t="s">
        <v>1677</v>
      </c>
      <c r="J55" s="21" t="s">
        <v>1680</v>
      </c>
    </row>
    <row r="56" spans="1:10" x14ac:dyDescent="0.2">
      <c r="A56" s="14" t="s">
        <v>1631</v>
      </c>
      <c r="B56" s="18" t="str" cm="1">
        <f t="array" ref="B56">_xlfn.TEXTJOIN(,1,IF(IFERROR(FIND(table_prefix[前缀],table_l10n!A56),FALSE),TEXT(table_prefix[说明],""),""))</f>
        <v>设备 - 名称</v>
      </c>
      <c r="C56" s="19" t="s">
        <v>1635</v>
      </c>
      <c r="D56" s="15" t="s">
        <v>1635</v>
      </c>
      <c r="E56" s="15" t="s">
        <v>1649</v>
      </c>
      <c r="F56" s="15" t="s">
        <v>1650</v>
      </c>
      <c r="G56" s="15" t="s">
        <v>1651</v>
      </c>
      <c r="H56" s="15" t="s">
        <v>1652</v>
      </c>
      <c r="I56" s="15" t="s">
        <v>1653</v>
      </c>
      <c r="J56" s="15" t="s">
        <v>1654</v>
      </c>
    </row>
    <row r="57" spans="1:10" x14ac:dyDescent="0.2">
      <c r="A57" s="13" t="s">
        <v>1632</v>
      </c>
      <c r="B57" s="18" t="str" cm="1">
        <f t="array" ref="B57">_xlfn.TEXTJOIN(,1,IF(IFERROR(FIND(table_prefix[前缀],table_l10n!A57),FALSE),TEXT(table_prefix[说明],""),""))</f>
        <v>设备 - 名称</v>
      </c>
      <c r="C57" s="19" t="s">
        <v>1636</v>
      </c>
      <c r="D57" s="15" t="s">
        <v>1636</v>
      </c>
      <c r="E57" s="15" t="s">
        <v>1655</v>
      </c>
      <c r="F57" s="15" t="s">
        <v>1656</v>
      </c>
      <c r="G57" s="15" t="s">
        <v>1657</v>
      </c>
      <c r="H57" s="15" t="s">
        <v>1174</v>
      </c>
      <c r="I57" s="15" t="s">
        <v>1658</v>
      </c>
      <c r="J57" s="15" t="s">
        <v>1659</v>
      </c>
    </row>
    <row r="58" spans="1:10" x14ac:dyDescent="0.2">
      <c r="A58" s="13" t="s">
        <v>2847</v>
      </c>
      <c r="B58" s="18" t="str" cm="1">
        <f t="array" ref="B58">_xlfn.TEXTJOIN(,1,IF(IFERROR(FIND(table_prefix[前缀],table_l10n!A58),FALSE),TEXT(table_prefix[说明],""),""))</f>
        <v>设备 - 名称</v>
      </c>
      <c r="C58" s="19" t="s">
        <v>2849</v>
      </c>
      <c r="D58" s="15" t="s">
        <v>2848</v>
      </c>
      <c r="E58" s="15" t="s">
        <v>2850</v>
      </c>
      <c r="F58" s="15" t="s">
        <v>2851</v>
      </c>
      <c r="G58" s="15" t="s">
        <v>2852</v>
      </c>
      <c r="H58" s="15" t="s">
        <v>2853</v>
      </c>
      <c r="I58" s="15" t="s">
        <v>2854</v>
      </c>
      <c r="J58" s="15" t="s">
        <v>2855</v>
      </c>
    </row>
    <row r="60" spans="1:10" x14ac:dyDescent="0.2">
      <c r="A60" s="13" t="s">
        <v>26</v>
      </c>
      <c r="B60" s="18" t="str" cm="1">
        <f t="array" ref="B60">_xlfn.TEXTJOIN(,1,IF(IFERROR(FIND(table_prefix[前缀],table_l10n!A60),FALSE),TEXT(table_prefix[说明],""),""))</f>
        <v>设备 - 名称</v>
      </c>
      <c r="C60" s="19" t="s">
        <v>1312</v>
      </c>
      <c r="D60" s="16" t="s">
        <v>1573</v>
      </c>
      <c r="E60" s="15" t="s">
        <v>406</v>
      </c>
      <c r="F60" s="15" t="s">
        <v>407</v>
      </c>
      <c r="G60" s="15" t="s">
        <v>408</v>
      </c>
      <c r="H60" s="15" t="s">
        <v>409</v>
      </c>
      <c r="I60" s="15" t="s">
        <v>410</v>
      </c>
      <c r="J60" s="15" t="s">
        <v>411</v>
      </c>
    </row>
    <row r="61" spans="1:10" x14ac:dyDescent="0.2">
      <c r="A61" s="13" t="s">
        <v>1581</v>
      </c>
      <c r="B61" s="18" t="str" cm="1">
        <f t="array" ref="B61">_xlfn.TEXTJOIN(,1,IF(IFERROR(FIND(table_prefix[前缀],table_l10n!A61),FALSE),TEXT(table_prefix[说明],""),""))</f>
        <v>设备 - 名称</v>
      </c>
      <c r="C61" s="19" t="s">
        <v>1312</v>
      </c>
      <c r="D61" s="16" t="s">
        <v>1574</v>
      </c>
      <c r="E61" s="15" t="s">
        <v>1574</v>
      </c>
      <c r="F61" s="15" t="s">
        <v>1588</v>
      </c>
      <c r="G61" s="15" t="s">
        <v>1589</v>
      </c>
      <c r="H61" s="15" t="s">
        <v>1590</v>
      </c>
      <c r="I61" s="15" t="s">
        <v>1591</v>
      </c>
      <c r="J61" s="15" t="s">
        <v>1592</v>
      </c>
    </row>
    <row r="62" spans="1:10" x14ac:dyDescent="0.2">
      <c r="A62" s="13" t="s">
        <v>1582</v>
      </c>
      <c r="B62" s="18" t="str" cm="1">
        <f t="array" ref="B62">_xlfn.TEXTJOIN(,1,IF(IFERROR(FIND(table_prefix[前缀],table_l10n!A62),FALSE),TEXT(table_prefix[说明],""),""))</f>
        <v>设备 - 名称</v>
      </c>
      <c r="C62" s="19" t="s">
        <v>1312</v>
      </c>
      <c r="D62" s="16" t="s">
        <v>1575</v>
      </c>
      <c r="E62" s="15" t="s">
        <v>1593</v>
      </c>
      <c r="F62" s="15" t="s">
        <v>1594</v>
      </c>
      <c r="G62" s="15" t="s">
        <v>1595</v>
      </c>
      <c r="H62" s="15" t="s">
        <v>1596</v>
      </c>
      <c r="I62" s="15" t="s">
        <v>1597</v>
      </c>
      <c r="J62" s="15" t="s">
        <v>1598</v>
      </c>
    </row>
    <row r="63" spans="1:10" x14ac:dyDescent="0.2">
      <c r="A63" s="13" t="s">
        <v>1583</v>
      </c>
      <c r="B63" s="18" t="str" cm="1">
        <f t="array" ref="B63">_xlfn.TEXTJOIN(,1,IF(IFERROR(FIND(table_prefix[前缀],table_l10n!A63),FALSE),TEXT(table_prefix[说明],""),""))</f>
        <v>设备 - 名称</v>
      </c>
      <c r="C63" s="19" t="s">
        <v>1312</v>
      </c>
      <c r="D63" s="16" t="s">
        <v>1576</v>
      </c>
      <c r="E63" s="15" t="s">
        <v>1576</v>
      </c>
      <c r="F63" s="15" t="s">
        <v>1599</v>
      </c>
      <c r="G63" s="15" t="s">
        <v>1600</v>
      </c>
      <c r="H63" s="15" t="s">
        <v>1601</v>
      </c>
      <c r="I63" s="15" t="s">
        <v>1602</v>
      </c>
      <c r="J63" s="15" t="s">
        <v>1603</v>
      </c>
    </row>
    <row r="64" spans="1:10" x14ac:dyDescent="0.2">
      <c r="A64" s="13" t="s">
        <v>1584</v>
      </c>
      <c r="B64" s="18" t="str" cm="1">
        <f t="array" ref="B64">_xlfn.TEXTJOIN(,1,IF(IFERROR(FIND(table_prefix[前缀],table_l10n!A64),FALSE),TEXT(table_prefix[说明],""),""))</f>
        <v>设备 - 名称</v>
      </c>
      <c r="C64" s="19" t="s">
        <v>1312</v>
      </c>
      <c r="D64" s="16" t="s">
        <v>1577</v>
      </c>
      <c r="E64" s="15" t="s">
        <v>1604</v>
      </c>
      <c r="F64" s="15" t="s">
        <v>1605</v>
      </c>
      <c r="G64" s="15" t="s">
        <v>1606</v>
      </c>
      <c r="H64" s="15" t="s">
        <v>1607</v>
      </c>
      <c r="I64" s="15" t="s">
        <v>1608</v>
      </c>
      <c r="J64" s="15" t="s">
        <v>1609</v>
      </c>
    </row>
    <row r="65" spans="1:10" x14ac:dyDescent="0.2">
      <c r="A65" s="13" t="s">
        <v>1585</v>
      </c>
      <c r="B65" s="18" t="str" cm="1">
        <f t="array" ref="B65">_xlfn.TEXTJOIN(,1,IF(IFERROR(FIND(table_prefix[前缀],table_l10n!A65),FALSE),TEXT(table_prefix[说明],""),""))</f>
        <v>设备 - 名称</v>
      </c>
      <c r="C65" s="19" t="s">
        <v>1312</v>
      </c>
      <c r="D65" s="16" t="s">
        <v>1578</v>
      </c>
      <c r="E65" s="15" t="s">
        <v>1610</v>
      </c>
      <c r="F65" s="15" t="s">
        <v>1611</v>
      </c>
      <c r="G65" s="15" t="s">
        <v>1612</v>
      </c>
      <c r="H65" s="15" t="s">
        <v>1613</v>
      </c>
      <c r="I65" s="15" t="s">
        <v>1614</v>
      </c>
      <c r="J65" s="15" t="s">
        <v>1615</v>
      </c>
    </row>
    <row r="66" spans="1:10" x14ac:dyDescent="0.2">
      <c r="A66" s="13" t="s">
        <v>1586</v>
      </c>
      <c r="B66" s="18" t="str" cm="1">
        <f t="array" ref="B66">_xlfn.TEXTJOIN(,1,IF(IFERROR(FIND(table_prefix[前缀],table_l10n!A66),FALSE),TEXT(table_prefix[说明],""),""))</f>
        <v>设备 - 名称</v>
      </c>
      <c r="C66" s="19" t="s">
        <v>1312</v>
      </c>
      <c r="D66" s="16" t="s">
        <v>1579</v>
      </c>
      <c r="E66" s="15" t="s">
        <v>1579</v>
      </c>
      <c r="F66" s="15" t="s">
        <v>1616</v>
      </c>
      <c r="G66" s="15" t="s">
        <v>1617</v>
      </c>
      <c r="H66" s="15" t="s">
        <v>1618</v>
      </c>
      <c r="I66" s="15" t="s">
        <v>1619</v>
      </c>
      <c r="J66" s="15" t="s">
        <v>1620</v>
      </c>
    </row>
    <row r="67" spans="1:10" x14ac:dyDescent="0.2">
      <c r="A67" s="13" t="s">
        <v>1587</v>
      </c>
      <c r="B67" s="18" t="str" cm="1">
        <f t="array" ref="B67">_xlfn.TEXTJOIN(,1,IF(IFERROR(FIND(table_prefix[前缀],table_l10n!A67),FALSE),TEXT(table_prefix[说明],""),""))</f>
        <v>设备 - 名称</v>
      </c>
      <c r="C67" s="19" t="s">
        <v>1312</v>
      </c>
      <c r="D67" s="16" t="s">
        <v>1580</v>
      </c>
      <c r="E67" s="15" t="s">
        <v>1621</v>
      </c>
      <c r="F67" s="15" t="s">
        <v>1622</v>
      </c>
      <c r="G67" s="15" t="s">
        <v>1623</v>
      </c>
      <c r="H67" s="15" t="s">
        <v>1624</v>
      </c>
      <c r="I67" s="15" t="s">
        <v>1625</v>
      </c>
      <c r="J67" s="15" t="s">
        <v>1626</v>
      </c>
    </row>
    <row r="69" spans="1:10" x14ac:dyDescent="0.2">
      <c r="A69" s="13" t="s">
        <v>43</v>
      </c>
      <c r="B69" s="18" t="str" cm="1">
        <f t="array" ref="B69">_xlfn.TEXTJOIN(,1,IF(IFERROR(FIND(table_prefix[前缀],table_l10n!A69),FALSE),TEXT(table_prefix[说明],""),""))</f>
        <v>设备 - 名称</v>
      </c>
      <c r="C69" s="19" t="s">
        <v>1313</v>
      </c>
      <c r="D69" s="15" t="s">
        <v>48</v>
      </c>
      <c r="E69" s="15" t="s">
        <v>412</v>
      </c>
      <c r="F69" s="15" t="s">
        <v>413</v>
      </c>
      <c r="G69" s="15" t="s">
        <v>414</v>
      </c>
      <c r="H69" s="15" t="s">
        <v>415</v>
      </c>
      <c r="I69" s="15" t="s">
        <v>416</v>
      </c>
      <c r="J69" s="15" t="s">
        <v>417</v>
      </c>
    </row>
    <row r="70" spans="1:10" x14ac:dyDescent="0.2">
      <c r="A70" s="13" t="s">
        <v>44</v>
      </c>
      <c r="B70" s="18" t="str" cm="1">
        <f t="array" ref="B70">_xlfn.TEXTJOIN(,1,IF(IFERROR(FIND(table_prefix[前缀],table_l10n!A70),FALSE),TEXT(table_prefix[说明],""),""))</f>
        <v>设备 - 名称</v>
      </c>
      <c r="C70" s="19" t="s">
        <v>1313</v>
      </c>
      <c r="D70" s="15" t="s">
        <v>49</v>
      </c>
      <c r="E70" s="15" t="s">
        <v>418</v>
      </c>
      <c r="F70" s="15" t="s">
        <v>419</v>
      </c>
      <c r="G70" s="15" t="s">
        <v>420</v>
      </c>
      <c r="H70" s="15" t="s">
        <v>421</v>
      </c>
      <c r="I70" s="15" t="s">
        <v>422</v>
      </c>
      <c r="J70" s="15" t="s">
        <v>423</v>
      </c>
    </row>
    <row r="71" spans="1:10" x14ac:dyDescent="0.2">
      <c r="A71" s="13" t="s">
        <v>45</v>
      </c>
      <c r="B71" s="18" t="str" cm="1">
        <f t="array" ref="B71">_xlfn.TEXTJOIN(,1,IF(IFERROR(FIND(table_prefix[前缀],table_l10n!A71),FALSE),TEXT(table_prefix[说明],""),""))</f>
        <v>设备 - 名称</v>
      </c>
      <c r="C71" s="19" t="s">
        <v>1313</v>
      </c>
      <c r="D71" s="15" t="s">
        <v>50</v>
      </c>
      <c r="E71" s="15" t="s">
        <v>424</v>
      </c>
      <c r="F71" s="15" t="s">
        <v>425</v>
      </c>
      <c r="G71" s="15" t="s">
        <v>426</v>
      </c>
      <c r="H71" s="15" t="s">
        <v>427</v>
      </c>
      <c r="I71" s="15" t="s">
        <v>428</v>
      </c>
      <c r="J71" s="15" t="s">
        <v>429</v>
      </c>
    </row>
    <row r="72" spans="1:10" x14ac:dyDescent="0.2">
      <c r="A72" s="13" t="s">
        <v>46</v>
      </c>
      <c r="B72" s="18" t="str" cm="1">
        <f t="array" ref="B72">_xlfn.TEXTJOIN(,1,IF(IFERROR(FIND(table_prefix[前缀],table_l10n!A72),FALSE),TEXT(table_prefix[说明],""),""))</f>
        <v>设备 - 名称</v>
      </c>
      <c r="C72" s="19" t="s">
        <v>1313</v>
      </c>
      <c r="D72" s="15" t="s">
        <v>51</v>
      </c>
      <c r="E72" s="15" t="s">
        <v>430</v>
      </c>
      <c r="F72" s="15" t="s">
        <v>431</v>
      </c>
      <c r="G72" s="15" t="s">
        <v>432</v>
      </c>
      <c r="H72" s="15" t="s">
        <v>433</v>
      </c>
      <c r="I72" s="15" t="s">
        <v>434</v>
      </c>
      <c r="J72" s="15" t="s">
        <v>435</v>
      </c>
    </row>
    <row r="73" spans="1:10" x14ac:dyDescent="0.2">
      <c r="A73" s="13" t="s">
        <v>47</v>
      </c>
      <c r="B73" s="18" t="str" cm="1">
        <f t="array" ref="B73">_xlfn.TEXTJOIN(,1,IF(IFERROR(FIND(table_prefix[前缀],table_l10n!A73),FALSE),TEXT(table_prefix[说明],""),""))</f>
        <v>设备 - 名称</v>
      </c>
      <c r="C73" s="19" t="s">
        <v>1313</v>
      </c>
      <c r="D73" s="15" t="s">
        <v>52</v>
      </c>
      <c r="E73" s="15" t="s">
        <v>436</v>
      </c>
      <c r="F73" s="15" t="s">
        <v>437</v>
      </c>
      <c r="G73" s="15" t="s">
        <v>438</v>
      </c>
      <c r="H73" s="15" t="s">
        <v>439</v>
      </c>
      <c r="I73" s="15" t="s">
        <v>440</v>
      </c>
      <c r="J73" s="15" t="s">
        <v>441</v>
      </c>
    </row>
    <row r="74" spans="1:10" x14ac:dyDescent="0.2">
      <c r="B74" s="18" t="str" cm="1">
        <f t="array" ref="B74">_xlfn.TEXTJOIN(,1,IF(IFERROR(FIND(table_prefix[前缀],table_l10n!A74),FALSE),TEXT(table_prefix[说明],""),""))</f>
        <v/>
      </c>
      <c r="E74" s="15" t="s">
        <v>314</v>
      </c>
      <c r="F74" s="15" t="s">
        <v>314</v>
      </c>
      <c r="G74" s="15" t="s">
        <v>314</v>
      </c>
      <c r="H74" s="15" t="s">
        <v>314</v>
      </c>
      <c r="I74" s="15" t="s">
        <v>314</v>
      </c>
      <c r="J74" s="15" t="s">
        <v>314</v>
      </c>
    </row>
    <row r="75" spans="1:10" x14ac:dyDescent="0.2">
      <c r="A75" s="9" t="s">
        <v>303</v>
      </c>
      <c r="B75" s="18" t="str" cm="1">
        <f t="array" ref="B75">_xlfn.TEXTJOIN(,1,IF(IFERROR(FIND(table_prefix[前缀],table_l10n!A75),FALSE),TEXT(table_prefix[说明],""),""))</f>
        <v>设备 - 名称</v>
      </c>
      <c r="C75" s="19" t="s">
        <v>296</v>
      </c>
      <c r="D75" s="16" t="s">
        <v>299</v>
      </c>
      <c r="E75" s="15" t="s">
        <v>299</v>
      </c>
      <c r="F75" s="15" t="s">
        <v>442</v>
      </c>
      <c r="G75" s="15" t="s">
        <v>443</v>
      </c>
      <c r="H75" s="15" t="s">
        <v>444</v>
      </c>
      <c r="I75" s="15" t="s">
        <v>445</v>
      </c>
      <c r="J75" s="15" t="s">
        <v>446</v>
      </c>
    </row>
    <row r="76" spans="1:10" x14ac:dyDescent="0.2">
      <c r="A76" s="13" t="s">
        <v>301</v>
      </c>
      <c r="B76" s="18" t="str" cm="1">
        <f t="array" ref="B76">_xlfn.TEXTJOIN(,1,IF(IFERROR(FIND(table_prefix[前缀],table_l10n!A76),FALSE),TEXT(table_prefix[说明],""),""))</f>
        <v>设备 - 名称</v>
      </c>
      <c r="C76" s="19" t="s">
        <v>296</v>
      </c>
      <c r="D76" s="16" t="s">
        <v>300</v>
      </c>
      <c r="E76" s="15" t="s">
        <v>447</v>
      </c>
      <c r="F76" s="15" t="s">
        <v>448</v>
      </c>
      <c r="G76" s="15" t="s">
        <v>449</v>
      </c>
      <c r="H76" s="15" t="s">
        <v>450</v>
      </c>
      <c r="I76" s="15" t="s">
        <v>451</v>
      </c>
      <c r="J76" s="15" t="s">
        <v>452</v>
      </c>
    </row>
    <row r="77" spans="1:10" x14ac:dyDescent="0.2">
      <c r="A77" s="13" t="s">
        <v>302</v>
      </c>
      <c r="B77" s="18" t="str" cm="1">
        <f t="array" ref="B77">_xlfn.TEXTJOIN(,1,IF(IFERROR(FIND(table_prefix[前缀],table_l10n!A77),FALSE),TEXT(table_prefix[说明],""),""))</f>
        <v>设备 - 名称</v>
      </c>
      <c r="C77" s="19" t="s">
        <v>296</v>
      </c>
      <c r="D77" s="16" t="s">
        <v>2952</v>
      </c>
      <c r="E77" s="15" t="s">
        <v>453</v>
      </c>
      <c r="F77" s="15" t="s">
        <v>454</v>
      </c>
      <c r="G77" s="15" t="s">
        <v>455</v>
      </c>
      <c r="H77" s="15" t="s">
        <v>456</v>
      </c>
      <c r="I77" s="15" t="s">
        <v>457</v>
      </c>
      <c r="J77" s="15" t="s">
        <v>458</v>
      </c>
    </row>
    <row r="78" spans="1:10" x14ac:dyDescent="0.2">
      <c r="A78" s="13" t="s">
        <v>1968</v>
      </c>
      <c r="B78" s="18" t="str" cm="1">
        <f t="array" ref="B78">_xlfn.TEXTJOIN(,1,IF(IFERROR(FIND(table_prefix[前缀],table_l10n!A78),FALSE),TEXT(table_prefix[说明],""),""))</f>
        <v>设备 - 名称</v>
      </c>
      <c r="C78" s="19" t="s">
        <v>296</v>
      </c>
      <c r="D78" s="16" t="s">
        <v>1969</v>
      </c>
      <c r="E78" s="15" t="s">
        <v>1970</v>
      </c>
      <c r="F78" s="15" t="s">
        <v>1971</v>
      </c>
      <c r="G78" s="15" t="s">
        <v>1972</v>
      </c>
      <c r="H78" s="15" t="s">
        <v>1973</v>
      </c>
      <c r="I78" s="15" t="s">
        <v>1974</v>
      </c>
      <c r="J78" s="15" t="s">
        <v>1975</v>
      </c>
    </row>
    <row r="79" spans="1:10" x14ac:dyDescent="0.2">
      <c r="B79" s="18" t="str" cm="1">
        <f t="array" ref="B79">_xlfn.TEXTJOIN(,1,IF(IFERROR(FIND(table_prefix[前缀],table_l10n!A79),FALSE),TEXT(table_prefix[说明],""),""))</f>
        <v/>
      </c>
      <c r="E79" s="15" t="s">
        <v>314</v>
      </c>
      <c r="F79" s="15" t="s">
        <v>314</v>
      </c>
      <c r="G79" s="15" t="s">
        <v>314</v>
      </c>
      <c r="H79" s="15" t="s">
        <v>314</v>
      </c>
      <c r="I79" s="15" t="s">
        <v>314</v>
      </c>
      <c r="J79" s="15" t="s">
        <v>314</v>
      </c>
    </row>
    <row r="80" spans="1:10" x14ac:dyDescent="0.2">
      <c r="A80" s="13" t="s">
        <v>1301</v>
      </c>
      <c r="B80" s="18" t="str" cm="1">
        <f t="array" ref="B80">_xlfn.TEXTJOIN(,1,IF(IFERROR(FIND(table_prefix[前缀],table_l10n!A80),FALSE),TEXT(table_prefix[说明],""),""))</f>
        <v>设备 - alt信息</v>
      </c>
      <c r="C80" s="19" t="s">
        <v>1308</v>
      </c>
      <c r="D80" s="16" t="s">
        <v>1480</v>
      </c>
      <c r="E80" s="20" t="str">
        <f>_xlfn.TRANSLATE($D80,"zh-chs","zh-cht")</f>
        <v>車輪可以不斷收集氮氣。 &lt;br&gt;&lt;br&gt;點擊衝刺按鈕發動衝刺，衝刺效果受當前氮氣量影響，滿氮氣時衝刺效果達到最大。 &lt;br&gt;&lt;br&gt;氮氣集滿后可以累積衝刺點數，以連續發動多次衝刺。 此時每次衝刺效果都等同於滿氮氣衝刺效果。 &lt;br&gt;&lt;br&gt;提示： 當車子卡在上坡動彈不得時，可以嘗試連續使用衝刺技能進行脫困。</v>
      </c>
      <c r="F80" s="20" t="str">
        <f>_xlfn.TRANSLATE($D80,"zh-chs","en")</f>
        <v>The wheels can constantly collect nitrogen. &lt;br&gt;&lt;br&gt;Click the sprint button to start a sprint, the sprint effect is affected by the current nitrogen volume, and the sprint effect is maximized when the nitrogen is full. &lt;br&gt;&lt;br&gt;When the nitrogen is full, you can accumulate sprint points to launch multiple sprints in a row. At this point, each sprint effect is equivalent to a full nitrogen sprint effect. &lt;br&gt;&lt;br&gt;Tip: When the car is stuck uphill and can't move, you can try to use the sprint skill continuously to get out of trouble.</v>
      </c>
      <c r="G80" s="20" t="str">
        <f>_xlfn.TRANSLATE($D80,"zh-chs","es")</f>
        <v>Las ruedas pueden acumular nitrógeno constantemente. &lt;br&gt;&lt;br&gt;Haz clic en el botón de sprint para iniciar un sprint, el efecto sprint se ve afectado por el volumen actual de nitrógeno, y el efecto sprint se maximiza cuando el nitrógeno está lleno. &lt;br&gt;&lt;br&gt;Cuando el nitrógeno está lleno, puedes acumular puntos de sprint para lanzar varios sprints seguidos. En este punto, cada efecto de sprint equivale a un efecto de sprint completo de nitrógeno. &lt;br&gt;&lt;br&gt;Consejo: Cuando el coche esté atascado cuesta arriba y no pueda moverse, puedes intentar usar la habilidad de sprint continuamente para salir de problemas.</v>
      </c>
      <c r="H80" s="20" t="str">
        <f>_xlfn.TRANSLATE($D80,"zh-chs","ja")</f>
        <v>車輪は常に窒素を集めることができます。 ス&lt;br&gt;&lt;br&gt;プリントボタンをクリックしてスプリントを開始します。スプリント効果は現在の窒素量に影響され、窒素が満タンになるとスプリント効果が最大化されます。 &lt;br&gt;&lt;br&gt;窒素が満タンになると、スプリントポイントを溜めて連続で複数のスプリントをスタートできます。 この時点で、各スプリント効果は完全な窒素スプリント効果に相当します。 &lt;br&gt;&lt;br&gt;ヒント:車が坂で動けなくなったら、スプリントスキルを使い続けてトラブルから抜け出すことができます。</v>
      </c>
      <c r="I80" s="20" t="str">
        <f>_xlfn.TRANSLATE($D80,"zh-chs","ru")</f>
        <v>Колёса могут постоянно собирать азот. &lt;br&gt;&lt;br&gt;Нажмите кнопку спринта, чтобы начать спринт — эффект спринта зависит от текущего объёма азота, и эффект спринта максимизируется, когда азот заполнен. &lt;br&gt;&lt;br&gt;Когда азот заполнен, можно накопить очки спринта для запуска нескольких спринтов подряд. На этом этапе каждый эффект спринта эквивалентен эффекту полного азотного спринта. &lt;br&gt;&lt;br&gt;Совет: Когда машина застряла в гору и не может двигаться, можно попробовать использовать навык бега постоянно, чтобы избежать неприятностей.</v>
      </c>
      <c r="J80" s="20" t="str">
        <f>_xlfn.TRANSLATE($D80,"zh-chs","ko")</f>
        <v>바퀴는 지속적으로 질소를 모을 수 있습니다. 스&lt;br&gt;&lt;br&gt;프린트 버튼을 클릭하면 스프린트를 시작하고, 스프린트 효과는 현재 질소 부피에 영향을 받고, 질소가 가득 차면 스프린트 효과가 최대화됩니다. &lt;br&gt;&lt;br&gt;질소가 가득 차면 스프린트 포인트를 모아 연속으로 여러 스프린트를 시작할 수 있습니다. 이 시점에서 각 스프린트 효과는 완전한 질소 스프린트 효과와 같습니다. &lt;br&gt;&lt;br&gt;팁: 차가 언덕길에 멈춰 움직일 수 없을 때, 스프린트 스킬을 계속 사용해 위험에서 벗어날 수 있습니다.</v>
      </c>
    </row>
    <row r="81" spans="1:10" x14ac:dyDescent="0.2">
      <c r="A81" s="13" t="s">
        <v>1302</v>
      </c>
      <c r="B81" s="18" t="str" cm="1">
        <f t="array" ref="B81">_xlfn.TEXTJOIN(,1,IF(IFERROR(FIND(table_prefix[前缀],table_l10n!A81),FALSE),TEXT(table_prefix[说明],""),""))</f>
        <v>设备 - alt信息</v>
      </c>
      <c r="C81" s="19" t="s">
        <v>1309</v>
      </c>
      <c r="D81" s="16" t="s">
        <v>1314</v>
      </c>
      <c r="E81" s="15" t="s">
        <v>1317</v>
      </c>
      <c r="F81" s="15" t="s">
        <v>1318</v>
      </c>
      <c r="G81" s="15" t="s">
        <v>1319</v>
      </c>
      <c r="H81" s="15" t="s">
        <v>1320</v>
      </c>
      <c r="I81" s="15" t="s">
        <v>1321</v>
      </c>
      <c r="J81" s="15" t="s">
        <v>1322</v>
      </c>
    </row>
    <row r="82" spans="1:10" x14ac:dyDescent="0.2">
      <c r="A82" s="13" t="s">
        <v>1303</v>
      </c>
      <c r="B82" s="18" t="str" cm="1">
        <f t="array" ref="B82">_xlfn.TEXTJOIN(,1,IF(IFERROR(FIND(table_prefix[前缀],table_l10n!A82),FALSE),TEXT(table_prefix[说明],""),""))</f>
        <v>设备 - alt信息</v>
      </c>
      <c r="C82" s="19" t="s">
        <v>1310</v>
      </c>
      <c r="D82" s="16" t="s">
        <v>1481</v>
      </c>
      <c r="E82" s="15" t="s">
        <v>1323</v>
      </c>
      <c r="F82" s="15" t="s">
        <v>1324</v>
      </c>
      <c r="G82" s="15" t="s">
        <v>1325</v>
      </c>
      <c r="H82" s="15" t="s">
        <v>1326</v>
      </c>
      <c r="I82" s="15" t="s">
        <v>1327</v>
      </c>
      <c r="J82" s="15" t="s">
        <v>1328</v>
      </c>
    </row>
    <row r="83" spans="1:10" x14ac:dyDescent="0.2">
      <c r="A83" s="13" t="s">
        <v>1304</v>
      </c>
      <c r="B83" s="18" t="str" cm="1">
        <f t="array" ref="B83">_xlfn.TEXTJOIN(,1,IF(IFERROR(FIND(table_prefix[前缀],table_l10n!A83),FALSE),TEXT(table_prefix[说明],""),""))</f>
        <v>设备 - alt信息</v>
      </c>
      <c r="C83" s="19" t="s">
        <v>1311</v>
      </c>
      <c r="D83" s="16" t="s">
        <v>1315</v>
      </c>
      <c r="E83" s="15" t="s">
        <v>1329</v>
      </c>
      <c r="F83" s="15" t="s">
        <v>1330</v>
      </c>
      <c r="G83" s="15" t="s">
        <v>1331</v>
      </c>
      <c r="H83" s="15" t="s">
        <v>1332</v>
      </c>
      <c r="I83" s="15" t="s">
        <v>1333</v>
      </c>
      <c r="J83" s="15" t="s">
        <v>1334</v>
      </c>
    </row>
    <row r="84" spans="1:10" x14ac:dyDescent="0.2">
      <c r="A84" s="13" t="s">
        <v>1305</v>
      </c>
      <c r="B84" s="18" t="str" cm="1">
        <f t="array" ref="B84">_xlfn.TEXTJOIN(,1,IF(IFERROR(FIND(table_prefix[前缀],table_l10n!A84),FALSE),TEXT(table_prefix[说明],""),""))</f>
        <v>设备 - alt信息</v>
      </c>
      <c r="C84" s="19" t="s">
        <v>1312</v>
      </c>
      <c r="D84" s="16" t="s">
        <v>1489</v>
      </c>
      <c r="E84" s="15" t="s">
        <v>1490</v>
      </c>
      <c r="F84" s="15" t="s">
        <v>1491</v>
      </c>
      <c r="G84" s="15" t="s">
        <v>1492</v>
      </c>
      <c r="H84" s="15" t="s">
        <v>1493</v>
      </c>
      <c r="I84" s="15" t="s">
        <v>1494</v>
      </c>
      <c r="J84" s="15" t="s">
        <v>1495</v>
      </c>
    </row>
    <row r="85" spans="1:10" x14ac:dyDescent="0.2">
      <c r="A85" s="13" t="s">
        <v>1306</v>
      </c>
      <c r="B85" s="18" t="str" cm="1">
        <f t="array" ref="B85">_xlfn.TEXTJOIN(,1,IF(IFERROR(FIND(table_prefix[前缀],table_l10n!A85),FALSE),TEXT(table_prefix[说明],""),""))</f>
        <v>设备 - alt信息</v>
      </c>
      <c r="C85" s="19" t="s">
        <v>1313</v>
      </c>
      <c r="D85" s="16" t="s">
        <v>1482</v>
      </c>
      <c r="E85" s="15" t="s">
        <v>1483</v>
      </c>
      <c r="F85" s="15" t="s">
        <v>1484</v>
      </c>
      <c r="G85" s="15" t="s">
        <v>1485</v>
      </c>
      <c r="H85" s="15" t="s">
        <v>1486</v>
      </c>
      <c r="I85" s="15" t="s">
        <v>1487</v>
      </c>
      <c r="J85" s="15" t="s">
        <v>1488</v>
      </c>
    </row>
    <row r="86" spans="1:10" x14ac:dyDescent="0.2">
      <c r="A86" s="13" t="s">
        <v>1307</v>
      </c>
      <c r="B86" s="18" t="str" cm="1">
        <f t="array" ref="B86">_xlfn.TEXTJOIN(,1,IF(IFERROR(FIND(table_prefix[前缀],table_l10n!A86),FALSE),TEXT(table_prefix[说明],""),""))</f>
        <v>设备 - alt信息</v>
      </c>
      <c r="C86" s="19" t="s">
        <v>296</v>
      </c>
      <c r="D86" s="16" t="s">
        <v>1316</v>
      </c>
      <c r="E86" s="15" t="s">
        <v>1335</v>
      </c>
      <c r="F86" s="15" t="s">
        <v>1336</v>
      </c>
      <c r="G86" s="15" t="s">
        <v>1337</v>
      </c>
      <c r="H86" s="15" t="s">
        <v>1338</v>
      </c>
      <c r="I86" s="15" t="s">
        <v>1339</v>
      </c>
      <c r="J86" s="15" t="s">
        <v>1340</v>
      </c>
    </row>
    <row r="89" spans="1:10" x14ac:dyDescent="0.2">
      <c r="A89" s="13" t="s">
        <v>1090</v>
      </c>
      <c r="B89" s="18" t="str" cm="1">
        <f t="array" ref="B89">_xlfn.TEXTJOIN(,1,IF(IFERROR(FIND(table_prefix[前缀],table_l10n!A89),FALSE),TEXT(table_prefix[说明],""),""))</f>
        <v>设备标签 - 名称</v>
      </c>
      <c r="C89" s="19" t="s">
        <v>1109</v>
      </c>
      <c r="D89" s="15" t="s">
        <v>1109</v>
      </c>
      <c r="E89" s="15" t="s">
        <v>1126</v>
      </c>
      <c r="F89" s="15" t="s">
        <v>1127</v>
      </c>
      <c r="G89" s="15" t="s">
        <v>1128</v>
      </c>
      <c r="H89" s="15" t="s">
        <v>1126</v>
      </c>
      <c r="I89" s="15" t="s">
        <v>1129</v>
      </c>
      <c r="J89" s="15" t="s">
        <v>1130</v>
      </c>
    </row>
    <row r="90" spans="1:10" x14ac:dyDescent="0.2">
      <c r="B90" s="18" t="str" cm="1">
        <f t="array" ref="B90">_xlfn.TEXTJOIN(,1,IF(IFERROR(FIND(table_prefix[前缀],table_l10n!A90),FALSE),TEXT(table_prefix[说明],""),""))</f>
        <v/>
      </c>
      <c r="E90" s="15" t="s">
        <v>314</v>
      </c>
      <c r="F90" s="15" t="s">
        <v>314</v>
      </c>
      <c r="G90" s="15" t="s">
        <v>314</v>
      </c>
      <c r="H90" s="15" t="s">
        <v>314</v>
      </c>
      <c r="I90" s="15" t="s">
        <v>314</v>
      </c>
      <c r="J90" s="15" t="s">
        <v>314</v>
      </c>
    </row>
    <row r="91" spans="1:10" x14ac:dyDescent="0.2">
      <c r="A91" s="13" t="s">
        <v>1091</v>
      </c>
      <c r="B91" s="18" t="str" cm="1">
        <f t="array" ref="B91">_xlfn.TEXTJOIN(,1,IF(IFERROR(FIND(table_prefix[前缀],table_l10n!A91),FALSE),TEXT(table_prefix[说明],""),""))</f>
        <v>设备标签 - 名称</v>
      </c>
      <c r="C91" s="19" t="s">
        <v>1110</v>
      </c>
      <c r="D91" s="15" t="s">
        <v>1110</v>
      </c>
      <c r="E91" s="15" t="s">
        <v>1131</v>
      </c>
      <c r="F91" s="15" t="s">
        <v>1132</v>
      </c>
      <c r="G91" s="15" t="s">
        <v>1133</v>
      </c>
      <c r="H91" s="15" t="s">
        <v>1134</v>
      </c>
      <c r="I91" s="15" t="s">
        <v>1135</v>
      </c>
      <c r="J91" s="15" t="s">
        <v>1136</v>
      </c>
    </row>
    <row r="92" spans="1:10" x14ac:dyDescent="0.2">
      <c r="A92" s="13" t="s">
        <v>1092</v>
      </c>
      <c r="B92" s="18" t="str" cm="1">
        <f t="array" ref="B92">_xlfn.TEXTJOIN(,1,IF(IFERROR(FIND(table_prefix[前缀],table_l10n!A92),FALSE),TEXT(table_prefix[说明],""),""))</f>
        <v>设备标签 - 名称</v>
      </c>
      <c r="C92" s="19" t="s">
        <v>1111</v>
      </c>
      <c r="D92" s="15" t="s">
        <v>1111</v>
      </c>
      <c r="E92" s="15" t="s">
        <v>1137</v>
      </c>
      <c r="F92" s="15" t="s">
        <v>1138</v>
      </c>
      <c r="G92" s="15" t="s">
        <v>1139</v>
      </c>
      <c r="H92" s="15" t="s">
        <v>1140</v>
      </c>
      <c r="I92" s="15" t="s">
        <v>1141</v>
      </c>
      <c r="J92" s="15" t="s">
        <v>1142</v>
      </c>
    </row>
    <row r="93" spans="1:10" x14ac:dyDescent="0.2">
      <c r="A93" s="13" t="s">
        <v>1093</v>
      </c>
      <c r="B93" s="18" t="str" cm="1">
        <f t="array" ref="B93">_xlfn.TEXTJOIN(,1,IF(IFERROR(FIND(table_prefix[前缀],table_l10n!A93),FALSE),TEXT(table_prefix[说明],""),""))</f>
        <v>设备标签 - 名称</v>
      </c>
      <c r="C93" s="19" t="s">
        <v>60</v>
      </c>
      <c r="D93" s="15" t="s">
        <v>60</v>
      </c>
      <c r="E93" s="15" t="s">
        <v>344</v>
      </c>
      <c r="F93" s="15" t="s">
        <v>345</v>
      </c>
      <c r="G93" s="15" t="s">
        <v>346</v>
      </c>
      <c r="H93" s="15" t="s">
        <v>347</v>
      </c>
      <c r="I93" s="15" t="s">
        <v>348</v>
      </c>
      <c r="J93" s="15" t="s">
        <v>349</v>
      </c>
    </row>
    <row r="94" spans="1:10" x14ac:dyDescent="0.2">
      <c r="A94" s="13" t="s">
        <v>1094</v>
      </c>
      <c r="B94" s="18" t="str" cm="1">
        <f t="array" ref="B94">_xlfn.TEXTJOIN(,1,IF(IFERROR(FIND(table_prefix[前缀],table_l10n!A94),FALSE),TEXT(table_prefix[说明],""),""))</f>
        <v>设备标签 - 名称</v>
      </c>
      <c r="C94" s="19" t="s">
        <v>1112</v>
      </c>
      <c r="D94" s="15" t="s">
        <v>1112</v>
      </c>
      <c r="E94" s="15" t="s">
        <v>1112</v>
      </c>
      <c r="F94" s="15" t="s">
        <v>1143</v>
      </c>
      <c r="G94" s="15" t="s">
        <v>1144</v>
      </c>
      <c r="H94" s="15" t="s">
        <v>1112</v>
      </c>
      <c r="I94" s="15" t="s">
        <v>1145</v>
      </c>
      <c r="J94" s="15" t="s">
        <v>1146</v>
      </c>
    </row>
    <row r="95" spans="1:10" x14ac:dyDescent="0.2">
      <c r="A95" s="13" t="s">
        <v>1095</v>
      </c>
      <c r="B95" s="18" t="str" cm="1">
        <f t="array" ref="B95">_xlfn.TEXTJOIN(,1,IF(IFERROR(FIND(table_prefix[前缀],table_l10n!A95),FALSE),TEXT(table_prefix[说明],""),""))</f>
        <v>设备标签 - 名称</v>
      </c>
      <c r="C95" s="19" t="s">
        <v>1113</v>
      </c>
      <c r="D95" s="15" t="s">
        <v>1113</v>
      </c>
      <c r="E95" s="15" t="s">
        <v>1147</v>
      </c>
      <c r="F95" s="15" t="s">
        <v>1148</v>
      </c>
      <c r="G95" s="15" t="s">
        <v>1149</v>
      </c>
      <c r="H95" s="15" t="s">
        <v>1150</v>
      </c>
      <c r="I95" s="15" t="s">
        <v>1151</v>
      </c>
      <c r="J95" s="15" t="s">
        <v>1152</v>
      </c>
    </row>
    <row r="96" spans="1:10" x14ac:dyDescent="0.2">
      <c r="B96" s="18" t="str" cm="1">
        <f t="array" ref="B96">_xlfn.TEXTJOIN(,1,IF(IFERROR(FIND(table_prefix[前缀],table_l10n!A96),FALSE),TEXT(table_prefix[说明],""),""))</f>
        <v/>
      </c>
      <c r="E96" s="15" t="s">
        <v>314</v>
      </c>
      <c r="F96" s="15" t="s">
        <v>314</v>
      </c>
      <c r="G96" s="15" t="s">
        <v>314</v>
      </c>
      <c r="H96" s="15" t="s">
        <v>314</v>
      </c>
      <c r="I96" s="15" t="s">
        <v>314</v>
      </c>
      <c r="J96" s="15" t="s">
        <v>314</v>
      </c>
    </row>
    <row r="97" spans="1:10" x14ac:dyDescent="0.2">
      <c r="A97" s="13" t="s">
        <v>1096</v>
      </c>
      <c r="B97" s="18" t="str" cm="1">
        <f t="array" ref="B97">_xlfn.TEXTJOIN(,1,IF(IFERROR(FIND(table_prefix[前缀],table_l10n!A97),FALSE),TEXT(table_prefix[说明],""),""))</f>
        <v>设备标签 - 名称</v>
      </c>
      <c r="C97" s="19" t="s">
        <v>1114</v>
      </c>
      <c r="D97" s="15" t="s">
        <v>1114</v>
      </c>
      <c r="E97" s="15" t="s">
        <v>1153</v>
      </c>
      <c r="F97" s="15" t="s">
        <v>1154</v>
      </c>
      <c r="G97" s="15" t="s">
        <v>1155</v>
      </c>
      <c r="H97" s="15" t="s">
        <v>1156</v>
      </c>
      <c r="I97" s="15" t="s">
        <v>1157</v>
      </c>
      <c r="J97" s="15" t="s">
        <v>1158</v>
      </c>
    </row>
    <row r="98" spans="1:10" x14ac:dyDescent="0.2">
      <c r="A98" s="13" t="s">
        <v>1097</v>
      </c>
      <c r="B98" s="18" t="str" cm="1">
        <f t="array" ref="B98">_xlfn.TEXTJOIN(,1,IF(IFERROR(FIND(table_prefix[前缀],table_l10n!A98),FALSE),TEXT(table_prefix[说明],""),""))</f>
        <v>设备标签 - 名称</v>
      </c>
      <c r="C98" s="19" t="s">
        <v>1115</v>
      </c>
      <c r="D98" s="15" t="s">
        <v>1115</v>
      </c>
      <c r="E98" s="15" t="s">
        <v>1159</v>
      </c>
      <c r="F98" s="15" t="s">
        <v>1160</v>
      </c>
      <c r="G98" s="15" t="s">
        <v>1161</v>
      </c>
      <c r="H98" s="15" t="s">
        <v>1162</v>
      </c>
      <c r="I98" s="15" t="s">
        <v>1163</v>
      </c>
      <c r="J98" s="15" t="s">
        <v>1164</v>
      </c>
    </row>
    <row r="99" spans="1:10" x14ac:dyDescent="0.2">
      <c r="A99" s="13" t="s">
        <v>1098</v>
      </c>
      <c r="B99" s="18" t="str" cm="1">
        <f t="array" ref="B99">_xlfn.TEXTJOIN(,1,IF(IFERROR(FIND(table_prefix[前缀],table_l10n!A99),FALSE),TEXT(table_prefix[说明],""),""))</f>
        <v>设备标签 - 名称</v>
      </c>
      <c r="C99" s="19" t="s">
        <v>1116</v>
      </c>
      <c r="D99" s="15" t="s">
        <v>1116</v>
      </c>
      <c r="E99" s="15" t="s">
        <v>1165</v>
      </c>
      <c r="F99" s="15" t="s">
        <v>1166</v>
      </c>
      <c r="G99" s="15" t="s">
        <v>1167</v>
      </c>
      <c r="H99" s="15" t="s">
        <v>1168</v>
      </c>
      <c r="I99" s="15" t="s">
        <v>1169</v>
      </c>
      <c r="J99" s="15" t="s">
        <v>1170</v>
      </c>
    </row>
    <row r="100" spans="1:10" x14ac:dyDescent="0.2">
      <c r="A100" s="13" t="s">
        <v>1099</v>
      </c>
      <c r="B100" s="18" t="str" cm="1">
        <f t="array" ref="B100">_xlfn.TEXTJOIN(,1,IF(IFERROR(FIND(table_prefix[前缀],table_l10n!A100),FALSE),TEXT(table_prefix[说明],""),""))</f>
        <v>设备标签 - 名称</v>
      </c>
      <c r="C100" s="19" t="s">
        <v>1117</v>
      </c>
      <c r="D100" s="15" t="s">
        <v>1117</v>
      </c>
      <c r="E100" s="15" t="s">
        <v>1171</v>
      </c>
      <c r="F100" s="15" t="s">
        <v>1172</v>
      </c>
      <c r="G100" s="15" t="s">
        <v>1173</v>
      </c>
      <c r="H100" s="15" t="s">
        <v>1174</v>
      </c>
      <c r="I100" s="15" t="s">
        <v>1175</v>
      </c>
      <c r="J100" s="15" t="s">
        <v>1176</v>
      </c>
    </row>
    <row r="101" spans="1:10" x14ac:dyDescent="0.2">
      <c r="A101" s="13" t="s">
        <v>1100</v>
      </c>
      <c r="B101" s="18" t="str" cm="1">
        <f t="array" ref="B101">_xlfn.TEXTJOIN(,1,IF(IFERROR(FIND(table_prefix[前缀],table_l10n!A101),FALSE),TEXT(table_prefix[说明],""),""))</f>
        <v>设备标签 - 名称</v>
      </c>
      <c r="C101" s="19" t="s">
        <v>1118</v>
      </c>
      <c r="D101" s="15" t="s">
        <v>1118</v>
      </c>
      <c r="E101" s="15" t="s">
        <v>1177</v>
      </c>
      <c r="F101" s="15" t="s">
        <v>1178</v>
      </c>
      <c r="G101" s="15" t="s">
        <v>1179</v>
      </c>
      <c r="H101" s="15" t="s">
        <v>1180</v>
      </c>
      <c r="I101" s="15" t="s">
        <v>1181</v>
      </c>
      <c r="J101" s="15" t="s">
        <v>1182</v>
      </c>
    </row>
    <row r="102" spans="1:10" x14ac:dyDescent="0.2">
      <c r="A102" s="13" t="s">
        <v>1101</v>
      </c>
      <c r="B102" s="18" t="str" cm="1">
        <f t="array" ref="B102">_xlfn.TEXTJOIN(,1,IF(IFERROR(FIND(table_prefix[前缀],table_l10n!A102),FALSE),TEXT(table_prefix[说明],""),""))</f>
        <v>设备标签 - 名称</v>
      </c>
      <c r="C102" s="19" t="s">
        <v>9</v>
      </c>
      <c r="D102" s="15" t="s">
        <v>9</v>
      </c>
      <c r="E102" s="15" t="s">
        <v>9</v>
      </c>
      <c r="F102" s="15" t="s">
        <v>362</v>
      </c>
      <c r="G102" s="15" t="s">
        <v>363</v>
      </c>
      <c r="H102" s="15" t="s">
        <v>364</v>
      </c>
      <c r="I102" s="15" t="s">
        <v>365</v>
      </c>
      <c r="J102" s="15" t="s">
        <v>366</v>
      </c>
    </row>
    <row r="103" spans="1:10" x14ac:dyDescent="0.2">
      <c r="A103" s="13" t="s">
        <v>1102</v>
      </c>
      <c r="B103" s="18" t="str" cm="1">
        <f t="array" ref="B103">_xlfn.TEXTJOIN(,1,IF(IFERROR(FIND(table_prefix[前缀],table_l10n!A103),FALSE),TEXT(table_prefix[说明],""),""))</f>
        <v>设备标签 - 名称</v>
      </c>
      <c r="C103" s="19" t="s">
        <v>1119</v>
      </c>
      <c r="D103" s="15" t="s">
        <v>1119</v>
      </c>
      <c r="E103" s="15" t="s">
        <v>1119</v>
      </c>
      <c r="F103" s="15" t="s">
        <v>1183</v>
      </c>
      <c r="G103" s="15" t="s">
        <v>1184</v>
      </c>
      <c r="H103" s="15" t="s">
        <v>1185</v>
      </c>
      <c r="I103" s="15" t="s">
        <v>1186</v>
      </c>
      <c r="J103" s="15" t="s">
        <v>1187</v>
      </c>
    </row>
    <row r="104" spans="1:10" x14ac:dyDescent="0.2">
      <c r="B104" s="18" t="str" cm="1">
        <f t="array" ref="B104">_xlfn.TEXTJOIN(,1,IF(IFERROR(FIND(table_prefix[前缀],table_l10n!A104),FALSE),TEXT(table_prefix[说明],""),""))</f>
        <v/>
      </c>
      <c r="E104" s="15" t="s">
        <v>314</v>
      </c>
      <c r="F104" s="15" t="s">
        <v>314</v>
      </c>
      <c r="G104" s="15" t="s">
        <v>314</v>
      </c>
      <c r="H104" s="15" t="s">
        <v>314</v>
      </c>
      <c r="I104" s="15" t="s">
        <v>314</v>
      </c>
      <c r="J104" s="15" t="s">
        <v>314</v>
      </c>
    </row>
    <row r="105" spans="1:10" x14ac:dyDescent="0.2">
      <c r="A105" s="13" t="s">
        <v>1103</v>
      </c>
      <c r="B105" s="18" t="str" cm="1">
        <f t="array" ref="B105">_xlfn.TEXTJOIN(,1,IF(IFERROR(FIND(table_prefix[前缀],table_l10n!A105),FALSE),TEXT(table_prefix[说明],""),""))</f>
        <v>设备标签 - 名称</v>
      </c>
      <c r="C105" s="19" t="s">
        <v>1120</v>
      </c>
      <c r="D105" s="15" t="s">
        <v>1120</v>
      </c>
      <c r="E105" s="15" t="s">
        <v>1188</v>
      </c>
      <c r="F105" s="15" t="s">
        <v>1189</v>
      </c>
      <c r="G105" s="15" t="s">
        <v>1190</v>
      </c>
      <c r="H105" s="15" t="s">
        <v>1191</v>
      </c>
      <c r="I105" s="15" t="s">
        <v>1192</v>
      </c>
      <c r="J105" s="15" t="s">
        <v>1193</v>
      </c>
    </row>
    <row r="106" spans="1:10" x14ac:dyDescent="0.2">
      <c r="B106" s="18" t="str" cm="1">
        <f t="array" ref="B106">_xlfn.TEXTJOIN(,1,IF(IFERROR(FIND(table_prefix[前缀],table_l10n!A106),FALSE),TEXT(table_prefix[说明],""),""))</f>
        <v/>
      </c>
      <c r="E106" s="15" t="s">
        <v>314</v>
      </c>
      <c r="F106" s="15" t="s">
        <v>314</v>
      </c>
      <c r="G106" s="15" t="s">
        <v>314</v>
      </c>
      <c r="H106" s="15" t="s">
        <v>314</v>
      </c>
      <c r="I106" s="15" t="s">
        <v>314</v>
      </c>
      <c r="J106" s="15" t="s">
        <v>314</v>
      </c>
    </row>
    <row r="107" spans="1:10" x14ac:dyDescent="0.2">
      <c r="A107" s="13" t="s">
        <v>1104</v>
      </c>
      <c r="B107" s="18" t="str" cm="1">
        <f t="array" ref="B107">_xlfn.TEXTJOIN(,1,IF(IFERROR(FIND(table_prefix[前缀],table_l10n!A107),FALSE),TEXT(table_prefix[说明],""),""))</f>
        <v>设备标签 - 名称</v>
      </c>
      <c r="C107" s="19" t="s">
        <v>1121</v>
      </c>
      <c r="D107" s="15" t="s">
        <v>1121</v>
      </c>
      <c r="E107" s="15" t="s">
        <v>1121</v>
      </c>
      <c r="F107" s="15" t="s">
        <v>1194</v>
      </c>
      <c r="G107" s="15" t="s">
        <v>408</v>
      </c>
      <c r="H107" s="15" t="s">
        <v>409</v>
      </c>
      <c r="I107" s="15" t="s">
        <v>1195</v>
      </c>
      <c r="J107" s="15" t="s">
        <v>1196</v>
      </c>
    </row>
    <row r="108" spans="1:10" x14ac:dyDescent="0.2">
      <c r="B108" s="18" t="str" cm="1">
        <f t="array" ref="B108">_xlfn.TEXTJOIN(,1,IF(IFERROR(FIND(table_prefix[前缀],table_l10n!A108),FALSE),TEXT(table_prefix[说明],""),""))</f>
        <v/>
      </c>
      <c r="E108" s="15" t="s">
        <v>314</v>
      </c>
      <c r="F108" s="15" t="s">
        <v>314</v>
      </c>
      <c r="G108" s="15" t="s">
        <v>314</v>
      </c>
      <c r="H108" s="15" t="s">
        <v>314</v>
      </c>
      <c r="I108" s="15" t="s">
        <v>314</v>
      </c>
      <c r="J108" s="15" t="s">
        <v>314</v>
      </c>
    </row>
    <row r="109" spans="1:10" x14ac:dyDescent="0.2">
      <c r="A109" s="13" t="s">
        <v>1105</v>
      </c>
      <c r="B109" s="18" t="str" cm="1">
        <f t="array" ref="B109">_xlfn.TEXTJOIN(,1,IF(IFERROR(FIND(table_prefix[前缀],table_l10n!A109),FALSE),TEXT(table_prefix[说明],""),""))</f>
        <v>设备标签 - 名称</v>
      </c>
      <c r="C109" s="19" t="s">
        <v>1122</v>
      </c>
      <c r="D109" s="15" t="s">
        <v>1122</v>
      </c>
      <c r="E109" s="15" t="s">
        <v>1197</v>
      </c>
      <c r="F109" s="15" t="s">
        <v>1198</v>
      </c>
      <c r="G109" s="15" t="s">
        <v>1199</v>
      </c>
      <c r="H109" s="15" t="s">
        <v>1200</v>
      </c>
      <c r="I109" s="15" t="s">
        <v>1201</v>
      </c>
      <c r="J109" s="15" t="s">
        <v>1202</v>
      </c>
    </row>
    <row r="110" spans="1:10" x14ac:dyDescent="0.2">
      <c r="B110" s="18" t="str" cm="1">
        <f t="array" ref="B110">_xlfn.TEXTJOIN(,1,IF(IFERROR(FIND(table_prefix[前缀],table_l10n!A110),FALSE),TEXT(table_prefix[说明],""),""))</f>
        <v/>
      </c>
      <c r="E110" s="15" t="s">
        <v>314</v>
      </c>
      <c r="F110" s="15" t="s">
        <v>314</v>
      </c>
      <c r="G110" s="15" t="s">
        <v>314</v>
      </c>
      <c r="H110" s="15" t="s">
        <v>314</v>
      </c>
      <c r="I110" s="15" t="s">
        <v>314</v>
      </c>
      <c r="J110" s="15" t="s">
        <v>314</v>
      </c>
    </row>
    <row r="111" spans="1:10" x14ac:dyDescent="0.2">
      <c r="A111" s="13" t="s">
        <v>1106</v>
      </c>
      <c r="B111" s="18" t="str" cm="1">
        <f t="array" ref="B111">_xlfn.TEXTJOIN(,1,IF(IFERROR(FIND(table_prefix[前缀],table_l10n!A111),FALSE),TEXT(table_prefix[说明],""),""))</f>
        <v>设备标签 - 名称</v>
      </c>
      <c r="C111" s="19" t="s">
        <v>1123</v>
      </c>
      <c r="D111" s="15" t="s">
        <v>1123</v>
      </c>
      <c r="E111" s="15" t="s">
        <v>1123</v>
      </c>
      <c r="F111" s="15" t="s">
        <v>1203</v>
      </c>
      <c r="G111" s="15" t="s">
        <v>1204</v>
      </c>
      <c r="H111" s="15" t="s">
        <v>1205</v>
      </c>
      <c r="I111" s="15" t="s">
        <v>1206</v>
      </c>
      <c r="J111" s="15" t="s">
        <v>1207</v>
      </c>
    </row>
    <row r="112" spans="1:10" x14ac:dyDescent="0.2">
      <c r="B112" s="18" t="str" cm="1">
        <f t="array" ref="B112">_xlfn.TEXTJOIN(,1,IF(IFERROR(FIND(table_prefix[前缀],table_l10n!A112),FALSE),TEXT(table_prefix[说明],""),""))</f>
        <v/>
      </c>
      <c r="E112" s="15" t="s">
        <v>314</v>
      </c>
      <c r="F112" s="15" t="s">
        <v>314</v>
      </c>
      <c r="G112" s="15" t="s">
        <v>314</v>
      </c>
      <c r="H112" s="15" t="s">
        <v>314</v>
      </c>
      <c r="I112" s="15" t="s">
        <v>314</v>
      </c>
      <c r="J112" s="15" t="s">
        <v>314</v>
      </c>
    </row>
    <row r="113" spans="1:10" x14ac:dyDescent="0.2">
      <c r="A113" s="13" t="s">
        <v>1107</v>
      </c>
      <c r="B113" s="18" t="str" cm="1">
        <f t="array" ref="B113">_xlfn.TEXTJOIN(,1,IF(IFERROR(FIND(table_prefix[前缀],table_l10n!A113),FALSE),TEXT(table_prefix[说明],""),""))</f>
        <v>设备标签 - 名称</v>
      </c>
      <c r="C113" s="19" t="s">
        <v>1124</v>
      </c>
      <c r="D113" s="15" t="s">
        <v>1124</v>
      </c>
      <c r="E113" s="15" t="s">
        <v>1124</v>
      </c>
      <c r="F113" s="15" t="s">
        <v>1208</v>
      </c>
      <c r="G113" s="15" t="s">
        <v>1209</v>
      </c>
      <c r="H113" s="15" t="s">
        <v>1210</v>
      </c>
      <c r="I113" s="15" t="s">
        <v>1211</v>
      </c>
      <c r="J113" s="15" t="s">
        <v>1212</v>
      </c>
    </row>
    <row r="114" spans="1:10" x14ac:dyDescent="0.2">
      <c r="A114" s="13" t="s">
        <v>1108</v>
      </c>
      <c r="B114" s="18" t="str" cm="1">
        <f t="array" ref="B114">_xlfn.TEXTJOIN(,1,IF(IFERROR(FIND(table_prefix[前缀],table_l10n!A114),FALSE),TEXT(table_prefix[说明],""),""))</f>
        <v>设备标签 - 名称</v>
      </c>
      <c r="C114" s="19" t="s">
        <v>1125</v>
      </c>
      <c r="D114" s="15" t="s">
        <v>1125</v>
      </c>
      <c r="E114" s="15" t="s">
        <v>1213</v>
      </c>
      <c r="F114" s="15" t="s">
        <v>1214</v>
      </c>
      <c r="G114" s="15" t="s">
        <v>1215</v>
      </c>
      <c r="H114" s="15" t="s">
        <v>1213</v>
      </c>
      <c r="I114" s="15" t="s">
        <v>1216</v>
      </c>
      <c r="J114" s="15" t="s">
        <v>1217</v>
      </c>
    </row>
    <row r="118" spans="1:10" x14ac:dyDescent="0.2">
      <c r="A118" s="13" t="s">
        <v>1731</v>
      </c>
      <c r="B118" s="18" t="str" cm="1">
        <f t="array" ref="B118">_xlfn.TEXTJOIN(,1,IF(IFERROR(FIND(table_prefix[前缀],table_l10n!A118),FALSE),TEXT(table_prefix[说明],""),""))</f>
        <v>角色 - 名称</v>
      </c>
      <c r="C118" s="19" t="s">
        <v>1763</v>
      </c>
      <c r="D118" s="15" t="s">
        <v>1763</v>
      </c>
      <c r="E118" s="15" t="s">
        <v>1795</v>
      </c>
      <c r="F118" s="15" t="s">
        <v>1796</v>
      </c>
      <c r="G118" s="15" t="s">
        <v>1796</v>
      </c>
      <c r="H118" s="15" t="s">
        <v>1797</v>
      </c>
      <c r="I118" s="15" t="s">
        <v>1798</v>
      </c>
      <c r="J118" s="15" t="s">
        <v>1799</v>
      </c>
    </row>
    <row r="119" spans="1:10" x14ac:dyDescent="0.2">
      <c r="A119" s="13" t="s">
        <v>1732</v>
      </c>
      <c r="B119" s="18" t="str" cm="1">
        <f t="array" ref="B119">_xlfn.TEXTJOIN(,1,IF(IFERROR(FIND(table_prefix[前缀],table_l10n!A119),FALSE),TEXT(table_prefix[说明],""),""))</f>
        <v>角色 - 名称</v>
      </c>
      <c r="C119" s="19" t="s">
        <v>1764</v>
      </c>
      <c r="D119" s="15" t="s">
        <v>1764</v>
      </c>
      <c r="E119" s="15" t="s">
        <v>1800</v>
      </c>
      <c r="F119" s="15" t="s">
        <v>1801</v>
      </c>
      <c r="G119" s="15" t="s">
        <v>1802</v>
      </c>
      <c r="H119" s="15" t="s">
        <v>1803</v>
      </c>
      <c r="I119" s="15" t="s">
        <v>1804</v>
      </c>
      <c r="J119" s="15" t="s">
        <v>1805</v>
      </c>
    </row>
    <row r="120" spans="1:10" x14ac:dyDescent="0.2">
      <c r="A120" s="13" t="s">
        <v>1733</v>
      </c>
      <c r="B120" s="18" t="str" cm="1">
        <f t="array" ref="B120">_xlfn.TEXTJOIN(,1,IF(IFERROR(FIND(table_prefix[前缀],table_l10n!A120),FALSE),TEXT(table_prefix[说明],""),""))</f>
        <v>角色 - 名称</v>
      </c>
      <c r="C120" s="19" t="s">
        <v>1765</v>
      </c>
      <c r="D120" s="15" t="s">
        <v>1765</v>
      </c>
      <c r="E120" s="15" t="s">
        <v>1806</v>
      </c>
      <c r="F120" s="15" t="s">
        <v>1807</v>
      </c>
      <c r="G120" s="15" t="s">
        <v>1808</v>
      </c>
      <c r="H120" s="15" t="s">
        <v>1809</v>
      </c>
      <c r="I120" s="15" t="s">
        <v>1810</v>
      </c>
      <c r="J120" s="15" t="s">
        <v>1811</v>
      </c>
    </row>
    <row r="121" spans="1:10" x14ac:dyDescent="0.2">
      <c r="A121" s="13" t="s">
        <v>1734</v>
      </c>
      <c r="B121" s="18" t="str" cm="1">
        <f t="array" ref="B121">_xlfn.TEXTJOIN(,1,IF(IFERROR(FIND(table_prefix[前缀],table_l10n!A121),FALSE),TEXT(table_prefix[说明],""),""))</f>
        <v>角色 - 名称</v>
      </c>
      <c r="C121" s="19" t="s">
        <v>1766</v>
      </c>
      <c r="D121" s="15" t="s">
        <v>1766</v>
      </c>
      <c r="E121" s="15" t="s">
        <v>1812</v>
      </c>
      <c r="F121" s="15" t="s">
        <v>1813</v>
      </c>
      <c r="G121" s="15" t="s">
        <v>1814</v>
      </c>
      <c r="H121" s="15" t="s">
        <v>1815</v>
      </c>
      <c r="I121" s="15" t="s">
        <v>1816</v>
      </c>
      <c r="J121" s="15" t="s">
        <v>1817</v>
      </c>
    </row>
    <row r="122" spans="1:10" x14ac:dyDescent="0.2">
      <c r="A122" s="13" t="s">
        <v>1735</v>
      </c>
      <c r="B122" s="18" t="str" cm="1">
        <f t="array" ref="B122">_xlfn.TEXTJOIN(,1,IF(IFERROR(FIND(table_prefix[前缀],table_l10n!A122),FALSE),TEXT(table_prefix[说明],""),""))</f>
        <v>角色 - 名称</v>
      </c>
      <c r="C122" s="19" t="s">
        <v>1767</v>
      </c>
      <c r="D122" s="15" t="s">
        <v>1767</v>
      </c>
      <c r="E122" s="15" t="s">
        <v>1818</v>
      </c>
      <c r="F122" s="15" t="s">
        <v>1819</v>
      </c>
      <c r="G122" s="15" t="s">
        <v>1820</v>
      </c>
      <c r="H122" s="15" t="s">
        <v>1821</v>
      </c>
      <c r="I122" s="15" t="s">
        <v>1822</v>
      </c>
      <c r="J122" s="15" t="s">
        <v>1823</v>
      </c>
    </row>
    <row r="123" spans="1:10" x14ac:dyDescent="0.2">
      <c r="A123" s="13" t="s">
        <v>1736</v>
      </c>
      <c r="B123" s="18" t="str" cm="1">
        <f t="array" ref="B123">_xlfn.TEXTJOIN(,1,IF(IFERROR(FIND(table_prefix[前缀],table_l10n!A123),FALSE),TEXT(table_prefix[说明],""),""))</f>
        <v>角色 - 名称</v>
      </c>
      <c r="C123" s="19" t="s">
        <v>1768</v>
      </c>
      <c r="D123" s="15" t="s">
        <v>1768</v>
      </c>
      <c r="E123" s="15" t="s">
        <v>1768</v>
      </c>
      <c r="F123" s="15" t="s">
        <v>1824</v>
      </c>
      <c r="G123" s="15" t="s">
        <v>1825</v>
      </c>
      <c r="H123" s="15" t="s">
        <v>1826</v>
      </c>
      <c r="I123" s="15" t="s">
        <v>1827</v>
      </c>
      <c r="J123" s="15" t="s">
        <v>1828</v>
      </c>
    </row>
    <row r="124" spans="1:10" x14ac:dyDescent="0.2">
      <c r="A124" s="13" t="s">
        <v>1737</v>
      </c>
      <c r="B124" s="18" t="str" cm="1">
        <f t="array" ref="B124">_xlfn.TEXTJOIN(,1,IF(IFERROR(FIND(table_prefix[前缀],table_l10n!A124),FALSE),TEXT(table_prefix[说明],""),""))</f>
        <v>角色 - 名称</v>
      </c>
      <c r="C124" s="19" t="s">
        <v>1769</v>
      </c>
      <c r="D124" s="15" t="s">
        <v>1769</v>
      </c>
      <c r="E124" s="15" t="s">
        <v>1829</v>
      </c>
      <c r="F124" s="15" t="s">
        <v>1830</v>
      </c>
      <c r="G124" s="15" t="s">
        <v>1831</v>
      </c>
      <c r="H124" s="15" t="s">
        <v>1832</v>
      </c>
      <c r="I124" s="15" t="s">
        <v>1833</v>
      </c>
      <c r="J124" s="15" t="s">
        <v>1834</v>
      </c>
    </row>
    <row r="125" spans="1:10" x14ac:dyDescent="0.2">
      <c r="A125" s="13" t="s">
        <v>1738</v>
      </c>
      <c r="B125" s="18" t="str" cm="1">
        <f t="array" ref="B125">_xlfn.TEXTJOIN(,1,IF(IFERROR(FIND(table_prefix[前缀],table_l10n!A125),FALSE),TEXT(table_prefix[说明],""),""))</f>
        <v>角色 - 名称</v>
      </c>
      <c r="C125" s="19" t="s">
        <v>1770</v>
      </c>
      <c r="D125" s="15" t="s">
        <v>1770</v>
      </c>
      <c r="E125" s="15" t="s">
        <v>1835</v>
      </c>
      <c r="F125" s="15" t="s">
        <v>1836</v>
      </c>
      <c r="G125" s="15" t="s">
        <v>1837</v>
      </c>
      <c r="H125" s="15" t="s">
        <v>1838</v>
      </c>
      <c r="I125" s="15" t="s">
        <v>1839</v>
      </c>
      <c r="J125" s="15" t="s">
        <v>1840</v>
      </c>
    </row>
    <row r="126" spans="1:10" x14ac:dyDescent="0.2">
      <c r="A126" s="13" t="s">
        <v>1739</v>
      </c>
      <c r="B126" s="18" t="str" cm="1">
        <f t="array" ref="B126">_xlfn.TEXTJOIN(,1,IF(IFERROR(FIND(table_prefix[前缀],table_l10n!A126),FALSE),TEXT(table_prefix[说明],""),""))</f>
        <v>角色 - 名称</v>
      </c>
      <c r="C126" s="19" t="s">
        <v>1771</v>
      </c>
      <c r="D126" s="15" t="s">
        <v>1771</v>
      </c>
      <c r="E126" s="15" t="s">
        <v>1771</v>
      </c>
      <c r="F126" s="15" t="s">
        <v>1841</v>
      </c>
      <c r="G126" s="15" t="s">
        <v>1842</v>
      </c>
      <c r="H126" s="15" t="s">
        <v>1843</v>
      </c>
      <c r="I126" s="15" t="s">
        <v>1844</v>
      </c>
      <c r="J126" s="15" t="s">
        <v>1845</v>
      </c>
    </row>
    <row r="127" spans="1:10" x14ac:dyDescent="0.2">
      <c r="A127" s="13" t="s">
        <v>1740</v>
      </c>
      <c r="B127" s="18" t="str" cm="1">
        <f t="array" ref="B127">_xlfn.TEXTJOIN(,1,IF(IFERROR(FIND(table_prefix[前缀],table_l10n!A127),FALSE),TEXT(table_prefix[说明],""),""))</f>
        <v>角色 - 名称</v>
      </c>
      <c r="C127" s="19" t="s">
        <v>1772</v>
      </c>
      <c r="D127" s="15" t="s">
        <v>1772</v>
      </c>
      <c r="E127" s="15" t="s">
        <v>1772</v>
      </c>
      <c r="F127" s="15" t="s">
        <v>1846</v>
      </c>
      <c r="G127" s="15" t="s">
        <v>1846</v>
      </c>
      <c r="H127" s="15" t="s">
        <v>1847</v>
      </c>
      <c r="I127" s="15" t="s">
        <v>1848</v>
      </c>
      <c r="J127" s="15" t="s">
        <v>1849</v>
      </c>
    </row>
    <row r="128" spans="1:10" x14ac:dyDescent="0.2">
      <c r="A128" s="13" t="s">
        <v>1741</v>
      </c>
      <c r="B128" s="18" t="str" cm="1">
        <f t="array" ref="B128">_xlfn.TEXTJOIN(,1,IF(IFERROR(FIND(table_prefix[前缀],table_l10n!A128),FALSE),TEXT(table_prefix[说明],""),""))</f>
        <v>角色 - 名称</v>
      </c>
      <c r="C128" s="19" t="s">
        <v>1773</v>
      </c>
      <c r="D128" s="15" t="s">
        <v>1773</v>
      </c>
      <c r="E128" s="15" t="s">
        <v>1773</v>
      </c>
      <c r="F128" s="15" t="s">
        <v>1850</v>
      </c>
      <c r="G128" s="15" t="s">
        <v>1851</v>
      </c>
      <c r="H128" s="15" t="s">
        <v>1852</v>
      </c>
      <c r="I128" s="15" t="s">
        <v>1853</v>
      </c>
      <c r="J128" s="15" t="s">
        <v>1854</v>
      </c>
    </row>
    <row r="129" spans="1:10" x14ac:dyDescent="0.2">
      <c r="A129" s="13" t="s">
        <v>1742</v>
      </c>
      <c r="B129" s="18" t="str" cm="1">
        <f t="array" ref="B129">_xlfn.TEXTJOIN(,1,IF(IFERROR(FIND(table_prefix[前缀],table_l10n!A129),FALSE),TEXT(table_prefix[说明],""),""))</f>
        <v>角色 - 名称</v>
      </c>
      <c r="C129" s="19" t="s">
        <v>1774</v>
      </c>
      <c r="D129" s="15" t="s">
        <v>1774</v>
      </c>
      <c r="E129" s="15" t="s">
        <v>1855</v>
      </c>
      <c r="F129" s="15" t="s">
        <v>1856</v>
      </c>
      <c r="G129" s="15" t="s">
        <v>1856</v>
      </c>
      <c r="H129" s="15" t="s">
        <v>1857</v>
      </c>
      <c r="I129" s="15" t="s">
        <v>1858</v>
      </c>
      <c r="J129" s="15" t="s">
        <v>1859</v>
      </c>
    </row>
    <row r="130" spans="1:10" x14ac:dyDescent="0.2">
      <c r="A130" s="13" t="s">
        <v>1743</v>
      </c>
      <c r="B130" s="18" t="str" cm="1">
        <f t="array" ref="B130">_xlfn.TEXTJOIN(,1,IF(IFERROR(FIND(table_prefix[前缀],table_l10n!A130),FALSE),TEXT(table_prefix[说明],""),""))</f>
        <v>角色 - 名称</v>
      </c>
      <c r="C130" s="19" t="s">
        <v>1775</v>
      </c>
      <c r="D130" s="15" t="s">
        <v>1775</v>
      </c>
      <c r="E130" s="15" t="s">
        <v>1775</v>
      </c>
      <c r="F130" s="15" t="s">
        <v>1860</v>
      </c>
      <c r="G130" s="15" t="s">
        <v>1861</v>
      </c>
      <c r="H130" s="15" t="s">
        <v>1862</v>
      </c>
      <c r="I130" s="15" t="s">
        <v>1863</v>
      </c>
      <c r="J130" s="15" t="s">
        <v>1864</v>
      </c>
    </row>
    <row r="131" spans="1:10" x14ac:dyDescent="0.2">
      <c r="A131" s="13" t="s">
        <v>1744</v>
      </c>
      <c r="B131" s="18" t="str" cm="1">
        <f t="array" ref="B131">_xlfn.TEXTJOIN(,1,IF(IFERROR(FIND(table_prefix[前缀],table_l10n!A131),FALSE),TEXT(table_prefix[说明],""),""))</f>
        <v>角色 - 名称</v>
      </c>
      <c r="C131" s="19" t="s">
        <v>1776</v>
      </c>
      <c r="D131" s="15" t="s">
        <v>1776</v>
      </c>
      <c r="E131" s="15" t="s">
        <v>1776</v>
      </c>
      <c r="F131" s="15" t="s">
        <v>1865</v>
      </c>
      <c r="G131" s="15" t="s">
        <v>1866</v>
      </c>
      <c r="H131" s="15" t="s">
        <v>1867</v>
      </c>
      <c r="I131" s="15" t="s">
        <v>1868</v>
      </c>
      <c r="J131" s="15" t="s">
        <v>1869</v>
      </c>
    </row>
    <row r="132" spans="1:10" x14ac:dyDescent="0.2">
      <c r="A132" s="13" t="s">
        <v>1745</v>
      </c>
      <c r="B132" s="18" t="str" cm="1">
        <f t="array" ref="B132">_xlfn.TEXTJOIN(,1,IF(IFERROR(FIND(table_prefix[前缀],table_l10n!A132),FALSE),TEXT(table_prefix[说明],""),""))</f>
        <v>角色 - 名称</v>
      </c>
      <c r="C132" s="19" t="s">
        <v>1777</v>
      </c>
      <c r="D132" s="15" t="s">
        <v>1777</v>
      </c>
      <c r="E132" s="15" t="s">
        <v>1777</v>
      </c>
      <c r="F132" s="15" t="s">
        <v>1870</v>
      </c>
      <c r="G132" s="15" t="s">
        <v>1871</v>
      </c>
      <c r="H132" s="15" t="s">
        <v>1872</v>
      </c>
      <c r="I132" s="15" t="s">
        <v>1873</v>
      </c>
      <c r="J132" s="15" t="s">
        <v>1874</v>
      </c>
    </row>
    <row r="133" spans="1:10" x14ac:dyDescent="0.2">
      <c r="A133" s="13" t="s">
        <v>1746</v>
      </c>
      <c r="B133" s="18" t="str" cm="1">
        <f t="array" ref="B133">_xlfn.TEXTJOIN(,1,IF(IFERROR(FIND(table_prefix[前缀],table_l10n!A133),FALSE),TEXT(table_prefix[说明],""),""))</f>
        <v>角色 - 名称</v>
      </c>
      <c r="C133" s="19" t="s">
        <v>1778</v>
      </c>
      <c r="D133" s="15" t="s">
        <v>1778</v>
      </c>
      <c r="E133" s="15" t="s">
        <v>1875</v>
      </c>
      <c r="F133" s="15" t="s">
        <v>1876</v>
      </c>
      <c r="G133" s="15" t="s">
        <v>1876</v>
      </c>
      <c r="H133" s="15" t="s">
        <v>1877</v>
      </c>
      <c r="I133" s="15" t="s">
        <v>1878</v>
      </c>
      <c r="J133" s="15" t="s">
        <v>1879</v>
      </c>
    </row>
    <row r="134" spans="1:10" x14ac:dyDescent="0.2">
      <c r="A134" s="13" t="s">
        <v>1747</v>
      </c>
      <c r="B134" s="18" t="str" cm="1">
        <f t="array" ref="B134">_xlfn.TEXTJOIN(,1,IF(IFERROR(FIND(table_prefix[前缀],table_l10n!A134),FALSE),TEXT(table_prefix[说明],""),""))</f>
        <v>角色 - 名称</v>
      </c>
      <c r="C134" s="19" t="s">
        <v>1779</v>
      </c>
      <c r="D134" s="15" t="s">
        <v>1779</v>
      </c>
      <c r="E134" s="15" t="s">
        <v>1779</v>
      </c>
      <c r="F134" s="15" t="s">
        <v>1880</v>
      </c>
      <c r="G134" s="15" t="s">
        <v>1881</v>
      </c>
      <c r="H134" s="15" t="s">
        <v>1882</v>
      </c>
      <c r="I134" s="15" t="s">
        <v>1883</v>
      </c>
      <c r="J134" s="15" t="s">
        <v>1884</v>
      </c>
    </row>
    <row r="135" spans="1:10" x14ac:dyDescent="0.2">
      <c r="A135" s="13" t="s">
        <v>1748</v>
      </c>
      <c r="B135" s="18" t="str" cm="1">
        <f t="array" ref="B135">_xlfn.TEXTJOIN(,1,IF(IFERROR(FIND(table_prefix[前缀],table_l10n!A135),FALSE),TEXT(table_prefix[说明],""),""))</f>
        <v>角色 - 名称</v>
      </c>
      <c r="C135" s="19" t="s">
        <v>1780</v>
      </c>
      <c r="D135" s="15" t="s">
        <v>1780</v>
      </c>
      <c r="E135" s="15" t="s">
        <v>1885</v>
      </c>
      <c r="F135" s="15" t="s">
        <v>1886</v>
      </c>
      <c r="G135" s="15" t="s">
        <v>1887</v>
      </c>
      <c r="H135" s="15" t="s">
        <v>1888</v>
      </c>
      <c r="I135" s="15" t="s">
        <v>1889</v>
      </c>
      <c r="J135" s="15" t="s">
        <v>1890</v>
      </c>
    </row>
    <row r="136" spans="1:10" x14ac:dyDescent="0.2">
      <c r="A136" s="13" t="s">
        <v>1749</v>
      </c>
      <c r="B136" s="18" t="str" cm="1">
        <f t="array" ref="B136">_xlfn.TEXTJOIN(,1,IF(IFERROR(FIND(table_prefix[前缀],table_l10n!A136),FALSE),TEXT(table_prefix[说明],""),""))</f>
        <v>角色 - 名称</v>
      </c>
      <c r="C136" s="19" t="s">
        <v>1781</v>
      </c>
      <c r="D136" s="15" t="s">
        <v>1781</v>
      </c>
      <c r="E136" s="15" t="s">
        <v>1891</v>
      </c>
      <c r="F136" s="15" t="s">
        <v>1892</v>
      </c>
      <c r="G136" s="15" t="s">
        <v>1893</v>
      </c>
      <c r="H136" s="15" t="s">
        <v>1894</v>
      </c>
      <c r="I136" s="15" t="s">
        <v>1895</v>
      </c>
      <c r="J136" s="15" t="s">
        <v>1896</v>
      </c>
    </row>
    <row r="137" spans="1:10" x14ac:dyDescent="0.2">
      <c r="A137" s="13" t="s">
        <v>1750</v>
      </c>
      <c r="B137" s="18" t="str" cm="1">
        <f t="array" ref="B137">_xlfn.TEXTJOIN(,1,IF(IFERROR(FIND(table_prefix[前缀],table_l10n!A137),FALSE),TEXT(table_prefix[说明],""),""))</f>
        <v>角色 - 名称</v>
      </c>
      <c r="C137" s="19" t="s">
        <v>1782</v>
      </c>
      <c r="D137" s="15" t="s">
        <v>1782</v>
      </c>
      <c r="E137" s="15" t="s">
        <v>1897</v>
      </c>
      <c r="F137" s="15" t="s">
        <v>1898</v>
      </c>
      <c r="G137" s="15" t="s">
        <v>1898</v>
      </c>
      <c r="H137" s="15" t="s">
        <v>1899</v>
      </c>
      <c r="I137" s="15" t="s">
        <v>1900</v>
      </c>
      <c r="J137" s="15" t="s">
        <v>1901</v>
      </c>
    </row>
    <row r="138" spans="1:10" x14ac:dyDescent="0.2">
      <c r="A138" s="13" t="s">
        <v>1751</v>
      </c>
      <c r="B138" s="18" t="str" cm="1">
        <f t="array" ref="B138">_xlfn.TEXTJOIN(,1,IF(IFERROR(FIND(table_prefix[前缀],table_l10n!A138),FALSE),TEXT(table_prefix[说明],""),""))</f>
        <v>角色 - 名称</v>
      </c>
      <c r="C138" s="19" t="s">
        <v>1783</v>
      </c>
      <c r="D138" s="15" t="s">
        <v>1783</v>
      </c>
      <c r="E138" s="15" t="s">
        <v>1902</v>
      </c>
      <c r="F138" s="15" t="s">
        <v>1903</v>
      </c>
      <c r="G138" s="15" t="s">
        <v>1904</v>
      </c>
      <c r="H138" s="15" t="s">
        <v>1905</v>
      </c>
      <c r="I138" s="15" t="s">
        <v>1906</v>
      </c>
      <c r="J138" s="15" t="s">
        <v>1907</v>
      </c>
    </row>
    <row r="139" spans="1:10" x14ac:dyDescent="0.2">
      <c r="A139" s="13" t="s">
        <v>1752</v>
      </c>
      <c r="B139" s="18" t="str" cm="1">
        <f t="array" ref="B139">_xlfn.TEXTJOIN(,1,IF(IFERROR(FIND(table_prefix[前缀],table_l10n!A139),FALSE),TEXT(table_prefix[说明],""),""))</f>
        <v>角色 - 名称</v>
      </c>
      <c r="C139" s="19" t="s">
        <v>1784</v>
      </c>
      <c r="D139" s="15" t="s">
        <v>1784</v>
      </c>
      <c r="E139" s="15" t="s">
        <v>1908</v>
      </c>
      <c r="F139" s="15" t="s">
        <v>1909</v>
      </c>
      <c r="G139" s="15" t="s">
        <v>1910</v>
      </c>
      <c r="H139" s="15" t="s">
        <v>1911</v>
      </c>
      <c r="I139" s="15" t="s">
        <v>1912</v>
      </c>
      <c r="J139" s="15" t="s">
        <v>1913</v>
      </c>
    </row>
    <row r="140" spans="1:10" x14ac:dyDescent="0.2">
      <c r="A140" s="13" t="s">
        <v>1753</v>
      </c>
      <c r="B140" s="18" t="str" cm="1">
        <f t="array" ref="B140">_xlfn.TEXTJOIN(,1,IF(IFERROR(FIND(table_prefix[前缀],table_l10n!A140),FALSE),TEXT(table_prefix[说明],""),""))</f>
        <v>角色 - 名称</v>
      </c>
      <c r="C140" s="19" t="s">
        <v>1785</v>
      </c>
      <c r="D140" s="15" t="s">
        <v>1785</v>
      </c>
      <c r="E140" s="15" t="s">
        <v>1914</v>
      </c>
      <c r="F140" s="15" t="s">
        <v>1915</v>
      </c>
      <c r="G140" s="15" t="s">
        <v>1916</v>
      </c>
      <c r="H140" s="15" t="s">
        <v>1917</v>
      </c>
      <c r="I140" s="15" t="s">
        <v>1918</v>
      </c>
      <c r="J140" s="15" t="s">
        <v>1919</v>
      </c>
    </row>
    <row r="141" spans="1:10" x14ac:dyDescent="0.2">
      <c r="A141" s="13" t="s">
        <v>1754</v>
      </c>
      <c r="B141" s="18" t="str" cm="1">
        <f t="array" ref="B141">_xlfn.TEXTJOIN(,1,IF(IFERROR(FIND(table_prefix[前缀],table_l10n!A141),FALSE),TEXT(table_prefix[说明],""),""))</f>
        <v>角色 - 名称</v>
      </c>
      <c r="C141" s="19" t="s">
        <v>1786</v>
      </c>
      <c r="D141" s="15" t="s">
        <v>1786</v>
      </c>
      <c r="E141" s="15" t="s">
        <v>1920</v>
      </c>
      <c r="F141" s="15" t="s">
        <v>1921</v>
      </c>
      <c r="G141" s="15" t="s">
        <v>1922</v>
      </c>
      <c r="H141" s="15" t="s">
        <v>1923</v>
      </c>
      <c r="I141" s="15" t="s">
        <v>1924</v>
      </c>
      <c r="J141" s="15" t="s">
        <v>1925</v>
      </c>
    </row>
    <row r="142" spans="1:10" x14ac:dyDescent="0.2">
      <c r="A142" s="13" t="s">
        <v>1755</v>
      </c>
      <c r="B142" s="18" t="str" cm="1">
        <f t="array" ref="B142">_xlfn.TEXTJOIN(,1,IF(IFERROR(FIND(table_prefix[前缀],table_l10n!A142),FALSE),TEXT(table_prefix[说明],""),""))</f>
        <v>角色 - 名称</v>
      </c>
      <c r="C142" s="19" t="s">
        <v>1787</v>
      </c>
      <c r="D142" s="15" t="s">
        <v>1787</v>
      </c>
      <c r="E142" s="15" t="s">
        <v>1926</v>
      </c>
      <c r="F142" s="15" t="s">
        <v>1927</v>
      </c>
      <c r="G142" s="15" t="s">
        <v>1928</v>
      </c>
      <c r="H142" s="15" t="s">
        <v>1929</v>
      </c>
      <c r="I142" s="15" t="s">
        <v>1930</v>
      </c>
      <c r="J142" s="15" t="s">
        <v>1931</v>
      </c>
    </row>
    <row r="143" spans="1:10" x14ac:dyDescent="0.2">
      <c r="A143" s="13" t="s">
        <v>1756</v>
      </c>
      <c r="B143" s="18" t="str" cm="1">
        <f t="array" ref="B143">_xlfn.TEXTJOIN(,1,IF(IFERROR(FIND(table_prefix[前缀],table_l10n!A143),FALSE),TEXT(table_prefix[说明],""),""))</f>
        <v>角色 - 名称</v>
      </c>
      <c r="C143" s="19" t="s">
        <v>1788</v>
      </c>
      <c r="D143" s="15" t="s">
        <v>1788</v>
      </c>
      <c r="E143" s="15" t="s">
        <v>1788</v>
      </c>
      <c r="F143" s="15" t="s">
        <v>1932</v>
      </c>
      <c r="G143" s="15" t="s">
        <v>1933</v>
      </c>
      <c r="H143" s="15" t="s">
        <v>1934</v>
      </c>
      <c r="I143" s="15" t="s">
        <v>1935</v>
      </c>
      <c r="J143" s="15" t="s">
        <v>1936</v>
      </c>
    </row>
    <row r="144" spans="1:10" x14ac:dyDescent="0.2">
      <c r="A144" s="13" t="s">
        <v>1757</v>
      </c>
      <c r="B144" s="18" t="str" cm="1">
        <f t="array" ref="B144">_xlfn.TEXTJOIN(,1,IF(IFERROR(FIND(table_prefix[前缀],table_l10n!A144),FALSE),TEXT(table_prefix[说明],""),""))</f>
        <v>角色 - 名称</v>
      </c>
      <c r="C144" s="19" t="s">
        <v>1789</v>
      </c>
      <c r="D144" s="15" t="s">
        <v>1789</v>
      </c>
      <c r="E144" s="15" t="s">
        <v>1789</v>
      </c>
      <c r="F144" s="15" t="s">
        <v>1937</v>
      </c>
      <c r="G144" s="15" t="s">
        <v>1938</v>
      </c>
      <c r="H144" s="15" t="s">
        <v>1939</v>
      </c>
      <c r="I144" s="15" t="s">
        <v>1940</v>
      </c>
      <c r="J144" s="15" t="s">
        <v>1941</v>
      </c>
    </row>
    <row r="145" spans="1:10" x14ac:dyDescent="0.2">
      <c r="A145" s="13" t="s">
        <v>1758</v>
      </c>
      <c r="B145" s="18" t="str" cm="1">
        <f t="array" ref="B145">_xlfn.TEXTJOIN(,1,IF(IFERROR(FIND(table_prefix[前缀],table_l10n!A145),FALSE),TEXT(table_prefix[说明],""),""))</f>
        <v>角色 - 名称</v>
      </c>
      <c r="C145" s="19" t="s">
        <v>1790</v>
      </c>
      <c r="D145" s="15" t="s">
        <v>1790</v>
      </c>
      <c r="E145" s="15" t="s">
        <v>1942</v>
      </c>
      <c r="F145" s="15" t="s">
        <v>1943</v>
      </c>
      <c r="G145" s="15" t="s">
        <v>1944</v>
      </c>
      <c r="H145" s="15" t="s">
        <v>1945</v>
      </c>
      <c r="I145" s="15" t="s">
        <v>1946</v>
      </c>
      <c r="J145" s="15" t="s">
        <v>1947</v>
      </c>
    </row>
    <row r="146" spans="1:10" x14ac:dyDescent="0.2">
      <c r="A146" s="13" t="s">
        <v>1759</v>
      </c>
      <c r="B146" s="18" t="str" cm="1">
        <f t="array" ref="B146">_xlfn.TEXTJOIN(,1,IF(IFERROR(FIND(table_prefix[前缀],table_l10n!A146),FALSE),TEXT(table_prefix[说明],""),""))</f>
        <v>角色 - 名称</v>
      </c>
      <c r="C146" s="19" t="s">
        <v>1791</v>
      </c>
      <c r="D146" s="15" t="s">
        <v>1791</v>
      </c>
      <c r="E146" s="15" t="s">
        <v>1791</v>
      </c>
      <c r="F146" s="15" t="s">
        <v>1948</v>
      </c>
      <c r="G146" s="15" t="s">
        <v>1949</v>
      </c>
      <c r="H146" s="15" t="s">
        <v>1950</v>
      </c>
      <c r="I146" s="15" t="s">
        <v>1951</v>
      </c>
      <c r="J146" s="15" t="s">
        <v>1952</v>
      </c>
    </row>
    <row r="147" spans="1:10" x14ac:dyDescent="0.2">
      <c r="A147" s="13" t="s">
        <v>1760</v>
      </c>
      <c r="B147" s="18" t="str" cm="1">
        <f t="array" ref="B147">_xlfn.TEXTJOIN(,1,IF(IFERROR(FIND(table_prefix[前缀],table_l10n!A147),FALSE),TEXT(table_prefix[说明],""),""))</f>
        <v>角色 - 名称</v>
      </c>
      <c r="C147" s="19" t="s">
        <v>1792</v>
      </c>
      <c r="D147" s="15" t="s">
        <v>1792</v>
      </c>
      <c r="E147" s="15" t="s">
        <v>1792</v>
      </c>
      <c r="F147" s="15" t="s">
        <v>1953</v>
      </c>
      <c r="G147" s="15" t="s">
        <v>1954</v>
      </c>
      <c r="H147" s="15" t="s">
        <v>1955</v>
      </c>
      <c r="I147" s="15" t="s">
        <v>1956</v>
      </c>
      <c r="J147" s="15" t="s">
        <v>1957</v>
      </c>
    </row>
    <row r="148" spans="1:10" x14ac:dyDescent="0.2">
      <c r="A148" s="13" t="s">
        <v>1761</v>
      </c>
      <c r="B148" s="18" t="str" cm="1">
        <f t="array" ref="B148">_xlfn.TEXTJOIN(,1,IF(IFERROR(FIND(table_prefix[前缀],table_l10n!A148),FALSE),TEXT(table_prefix[说明],""),""))</f>
        <v>角色 - 名称</v>
      </c>
      <c r="C148" s="19" t="s">
        <v>1793</v>
      </c>
      <c r="D148" s="15" t="s">
        <v>1793</v>
      </c>
      <c r="E148" s="15" t="s">
        <v>1793</v>
      </c>
      <c r="F148" s="15" t="s">
        <v>1958</v>
      </c>
      <c r="G148" s="15" t="s">
        <v>1959</v>
      </c>
      <c r="H148" s="15" t="s">
        <v>1960</v>
      </c>
      <c r="I148" s="15" t="s">
        <v>1961</v>
      </c>
      <c r="J148" s="15" t="s">
        <v>1962</v>
      </c>
    </row>
    <row r="149" spans="1:10" x14ac:dyDescent="0.2">
      <c r="A149" s="13" t="s">
        <v>1762</v>
      </c>
      <c r="B149" s="18" t="str" cm="1">
        <f t="array" ref="B149">_xlfn.TEXTJOIN(,1,IF(IFERROR(FIND(table_prefix[前缀],table_l10n!A149),FALSE),TEXT(table_prefix[说明],""),""))</f>
        <v>角色 - 名称</v>
      </c>
      <c r="C149" s="19" t="s">
        <v>1794</v>
      </c>
      <c r="D149" s="15" t="s">
        <v>1794</v>
      </c>
      <c r="E149" s="15" t="s">
        <v>1794</v>
      </c>
      <c r="F149" s="15" t="s">
        <v>1963</v>
      </c>
      <c r="G149" s="15" t="s">
        <v>1964</v>
      </c>
      <c r="H149" s="15" t="s">
        <v>1965</v>
      </c>
      <c r="I149" s="15" t="s">
        <v>1966</v>
      </c>
      <c r="J149" s="15" t="s">
        <v>1967</v>
      </c>
    </row>
    <row r="151" spans="1:10" x14ac:dyDescent="0.2">
      <c r="B151" s="18" t="str" cm="1">
        <f t="array" ref="B151">_xlfn.TEXTJOIN(,1,IF(IFERROR(FIND(table_prefix[前缀],table_l10n!A151),FALSE),TEXT(table_prefix[说明],""),""))</f>
        <v/>
      </c>
      <c r="E151" s="15" t="s">
        <v>314</v>
      </c>
      <c r="F151" s="15" t="s">
        <v>314</v>
      </c>
      <c r="G151" s="15" t="s">
        <v>314</v>
      </c>
      <c r="H151" s="15" t="s">
        <v>314</v>
      </c>
      <c r="I151" s="15" t="s">
        <v>314</v>
      </c>
      <c r="J151" s="15" t="s">
        <v>314</v>
      </c>
    </row>
    <row r="152" spans="1:10" x14ac:dyDescent="0.2">
      <c r="A152" s="13" t="s">
        <v>3950</v>
      </c>
      <c r="B152" s="18" t="str" cm="1">
        <f t="array" ref="B152">_xlfn.TEXTJOIN(,1,IF(IFERROR(FIND(table_prefix[前缀],table_l10n!A152),FALSE),TEXT(table_prefix[说明],""),""))</f>
        <v>角色特性 - 名称</v>
      </c>
      <c r="C152" s="19" t="s">
        <v>3970</v>
      </c>
      <c r="D152" s="15" t="s">
        <v>3970</v>
      </c>
      <c r="E152" s="20" t="str">
        <f>_xlfn.TRANSLATE($D152,"zh-chs","zh-cht")</f>
        <v>卑微賤民</v>
      </c>
      <c r="F152" s="20" t="str">
        <f>_xlfn.TRANSLATE($D152,"zh-chs","en")</f>
        <v>Humble and untouchable</v>
      </c>
      <c r="G152" s="20" t="str">
        <f>_xlfn.TRANSLATE($D152,"zh-chs","es")</f>
        <v>Humilde e intocable</v>
      </c>
      <c r="H152" s="20" t="str">
        <f>_xlfn.TRANSLATE($D152,"zh-chs","ja")</f>
        <v>謙虚で触れられない存在</v>
      </c>
      <c r="I152" s="20" t="str">
        <f>_xlfn.TRANSLATE($D152,"zh-chs","ru")</f>
        <v>Скромный и недосягаемый</v>
      </c>
      <c r="J152" s="20" t="str">
        <f>_xlfn.TRANSLATE($D152,"zh-chs","ko")</f>
        <v>겸손하고 불가피한 존재</v>
      </c>
    </row>
    <row r="153" spans="1:10" x14ac:dyDescent="0.2">
      <c r="A153" s="13" t="s">
        <v>3951</v>
      </c>
      <c r="B153" s="18" t="str" cm="1">
        <f t="array" ref="B153">_xlfn.TEXTJOIN(,1,IF(IFERROR(FIND(table_prefix[前缀],table_l10n!A153),FALSE),TEXT(table_prefix[说明],""),""))</f>
        <v>角色特性 - 名称</v>
      </c>
      <c r="C153" s="19" t="s">
        <v>3971</v>
      </c>
      <c r="D153" s="15" t="s">
        <v>3971</v>
      </c>
      <c r="E153" s="27" t="s">
        <v>3990</v>
      </c>
      <c r="F153" s="27" t="s">
        <v>3991</v>
      </c>
      <c r="G153" s="27" t="s">
        <v>3992</v>
      </c>
      <c r="H153" s="27" t="s">
        <v>3993</v>
      </c>
      <c r="I153" s="27" t="s">
        <v>3994</v>
      </c>
      <c r="J153" s="27" t="s">
        <v>3995</v>
      </c>
    </row>
    <row r="154" spans="1:10" x14ac:dyDescent="0.2">
      <c r="A154" s="13" t="s">
        <v>3952</v>
      </c>
      <c r="B154" s="18" t="str" cm="1">
        <f t="array" ref="B154">_xlfn.TEXTJOIN(,1,IF(IFERROR(FIND(table_prefix[前缀],table_l10n!A154),FALSE),TEXT(table_prefix[说明],""),""))</f>
        <v>角色特性 - 名称</v>
      </c>
      <c r="C154" s="19" t="s">
        <v>3972</v>
      </c>
      <c r="D154" s="15" t="s">
        <v>3972</v>
      </c>
      <c r="E154" s="27" t="s">
        <v>3996</v>
      </c>
      <c r="F154" s="27" t="s">
        <v>3997</v>
      </c>
      <c r="G154" s="27" t="s">
        <v>3998</v>
      </c>
      <c r="H154" s="27" t="s">
        <v>3999</v>
      </c>
      <c r="I154" s="27" t="s">
        <v>4000</v>
      </c>
      <c r="J154" s="27" t="s">
        <v>4001</v>
      </c>
    </row>
    <row r="155" spans="1:10" x14ac:dyDescent="0.2">
      <c r="A155" s="13" t="s">
        <v>3953</v>
      </c>
      <c r="B155" s="18" t="str" cm="1">
        <f t="array" ref="B155">_xlfn.TEXTJOIN(,1,IF(IFERROR(FIND(table_prefix[前缀],table_l10n!A155),FALSE),TEXT(table_prefix[说明],""),""))</f>
        <v>角色特性 - 名称</v>
      </c>
      <c r="C155" s="19" t="s">
        <v>3973</v>
      </c>
      <c r="D155" s="15" t="s">
        <v>3973</v>
      </c>
      <c r="E155" s="27" t="s">
        <v>4002</v>
      </c>
      <c r="F155" s="27" t="s">
        <v>4003</v>
      </c>
      <c r="G155" s="27" t="s">
        <v>4004</v>
      </c>
      <c r="H155" s="27" t="s">
        <v>4005</v>
      </c>
      <c r="I155" s="27" t="s">
        <v>4006</v>
      </c>
      <c r="J155" s="27" t="s">
        <v>4007</v>
      </c>
    </row>
    <row r="156" spans="1:10" x14ac:dyDescent="0.2">
      <c r="A156" s="13" t="s">
        <v>3954</v>
      </c>
      <c r="B156" s="18" t="str" cm="1">
        <f t="array" ref="B156">_xlfn.TEXTJOIN(,1,IF(IFERROR(FIND(table_prefix[前缀],table_l10n!A156),FALSE),TEXT(table_prefix[说明],""),""))</f>
        <v>角色特性 - 名称</v>
      </c>
      <c r="C156" s="19" t="s">
        <v>3974</v>
      </c>
      <c r="D156" s="15" t="s">
        <v>3974</v>
      </c>
      <c r="E156" s="27" t="s">
        <v>4008</v>
      </c>
      <c r="F156" s="27" t="s">
        <v>4009</v>
      </c>
      <c r="G156" s="27" t="s">
        <v>4010</v>
      </c>
      <c r="H156" s="27" t="s">
        <v>4011</v>
      </c>
      <c r="I156" s="27" t="s">
        <v>4012</v>
      </c>
      <c r="J156" s="27" t="s">
        <v>4013</v>
      </c>
    </row>
    <row r="157" spans="1:10" x14ac:dyDescent="0.2">
      <c r="A157" s="13" t="s">
        <v>3955</v>
      </c>
      <c r="B157" s="18" t="str" cm="1">
        <f t="array" ref="B157">_xlfn.TEXTJOIN(,1,IF(IFERROR(FIND(table_prefix[前缀],table_l10n!A157),FALSE),TEXT(table_prefix[说明],""),""))</f>
        <v>角色特性 - 名称</v>
      </c>
      <c r="C157" s="19" t="s">
        <v>3975</v>
      </c>
      <c r="D157" s="15" t="s">
        <v>3975</v>
      </c>
      <c r="E157" s="27" t="s">
        <v>4014</v>
      </c>
      <c r="F157" s="27" t="s">
        <v>4015</v>
      </c>
      <c r="G157" s="27" t="s">
        <v>4016</v>
      </c>
      <c r="H157" s="27" t="s">
        <v>4017</v>
      </c>
      <c r="I157" s="27" t="s">
        <v>4018</v>
      </c>
      <c r="J157" s="27" t="s">
        <v>4019</v>
      </c>
    </row>
    <row r="158" spans="1:10" x14ac:dyDescent="0.2">
      <c r="A158" s="13" t="s">
        <v>3956</v>
      </c>
      <c r="B158" s="18" t="str" cm="1">
        <f t="array" ref="B158">_xlfn.TEXTJOIN(,1,IF(IFERROR(FIND(table_prefix[前缀],table_l10n!A158),FALSE),TEXT(table_prefix[说明],""),""))</f>
        <v>角色特性 - 名称</v>
      </c>
      <c r="C158" s="19" t="s">
        <v>3976</v>
      </c>
      <c r="D158" s="15" t="s">
        <v>3976</v>
      </c>
      <c r="E158" s="27" t="s">
        <v>3976</v>
      </c>
      <c r="F158" s="27" t="s">
        <v>4020</v>
      </c>
      <c r="G158" s="27" t="s">
        <v>4021</v>
      </c>
      <c r="H158" s="27" t="s">
        <v>4022</v>
      </c>
      <c r="I158" s="27" t="s">
        <v>4023</v>
      </c>
      <c r="J158" s="27" t="s">
        <v>4024</v>
      </c>
    </row>
    <row r="159" spans="1:10" x14ac:dyDescent="0.2">
      <c r="A159" s="13" t="s">
        <v>3957</v>
      </c>
      <c r="B159" s="18" t="str" cm="1">
        <f t="array" ref="B159">_xlfn.TEXTJOIN(,1,IF(IFERROR(FIND(table_prefix[前缀],table_l10n!A159),FALSE),TEXT(table_prefix[说明],""),""))</f>
        <v>角色特性 - 名称</v>
      </c>
      <c r="C159" s="19" t="s">
        <v>3977</v>
      </c>
      <c r="D159" s="15" t="s">
        <v>3977</v>
      </c>
      <c r="E159" s="27" t="s">
        <v>4025</v>
      </c>
      <c r="F159" s="27" t="s">
        <v>4026</v>
      </c>
      <c r="G159" s="27" t="s">
        <v>4027</v>
      </c>
      <c r="H159" s="27" t="s">
        <v>4028</v>
      </c>
      <c r="I159" s="27" t="s">
        <v>4029</v>
      </c>
      <c r="J159" s="27" t="s">
        <v>4030</v>
      </c>
    </row>
    <row r="160" spans="1:10" x14ac:dyDescent="0.2">
      <c r="A160" s="13" t="s">
        <v>3958</v>
      </c>
      <c r="B160" s="18" t="str" cm="1">
        <f t="array" ref="B160">_xlfn.TEXTJOIN(,1,IF(IFERROR(FIND(table_prefix[前缀],table_l10n!A160),FALSE),TEXT(table_prefix[说明],""),""))</f>
        <v>角色特性 - 名称</v>
      </c>
      <c r="C160" s="19" t="s">
        <v>3978</v>
      </c>
      <c r="D160" s="15" t="s">
        <v>3978</v>
      </c>
      <c r="E160" s="27" t="s">
        <v>3978</v>
      </c>
      <c r="F160" s="27" t="s">
        <v>4031</v>
      </c>
      <c r="G160" s="27" t="s">
        <v>4032</v>
      </c>
      <c r="H160" s="27" t="s">
        <v>4033</v>
      </c>
      <c r="I160" s="27" t="s">
        <v>4034</v>
      </c>
      <c r="J160" s="27" t="s">
        <v>4035</v>
      </c>
    </row>
    <row r="161" spans="1:10" x14ac:dyDescent="0.2">
      <c r="A161" s="13" t="s">
        <v>3959</v>
      </c>
      <c r="B161" s="18" t="str" cm="1">
        <f t="array" ref="B161">_xlfn.TEXTJOIN(,1,IF(IFERROR(FIND(table_prefix[前缀],table_l10n!A161),FALSE),TEXT(table_prefix[说明],""),""))</f>
        <v>角色特性 - 名称</v>
      </c>
      <c r="C161" s="19" t="s">
        <v>3979</v>
      </c>
      <c r="D161" s="15" t="s">
        <v>3979</v>
      </c>
      <c r="E161" s="27" t="s">
        <v>4036</v>
      </c>
      <c r="F161" s="27" t="s">
        <v>4037</v>
      </c>
      <c r="G161" s="27" t="s">
        <v>4038</v>
      </c>
      <c r="H161" s="27" t="s">
        <v>4039</v>
      </c>
      <c r="I161" s="27" t="s">
        <v>4040</v>
      </c>
      <c r="J161" s="27" t="s">
        <v>4041</v>
      </c>
    </row>
    <row r="162" spans="1:10" x14ac:dyDescent="0.2">
      <c r="A162" s="13" t="s">
        <v>3960</v>
      </c>
      <c r="B162" s="18" t="str" cm="1">
        <f t="array" ref="B162">_xlfn.TEXTJOIN(,1,IF(IFERROR(FIND(table_prefix[前缀],table_l10n!A162),FALSE),TEXT(table_prefix[说明],""),""))</f>
        <v>角色特性 - 名称</v>
      </c>
      <c r="C162" s="19" t="s">
        <v>3980</v>
      </c>
      <c r="D162" s="15" t="s">
        <v>3980</v>
      </c>
      <c r="E162" s="27" t="s">
        <v>4042</v>
      </c>
      <c r="F162" s="27" t="s">
        <v>4043</v>
      </c>
      <c r="G162" s="27" t="s">
        <v>4044</v>
      </c>
      <c r="H162" s="27" t="s">
        <v>4045</v>
      </c>
      <c r="I162" s="27" t="s">
        <v>4046</v>
      </c>
      <c r="J162" s="27" t="s">
        <v>4047</v>
      </c>
    </row>
    <row r="163" spans="1:10" x14ac:dyDescent="0.2">
      <c r="A163" s="13" t="s">
        <v>3961</v>
      </c>
      <c r="B163" s="18" t="str" cm="1">
        <f t="array" ref="B163">_xlfn.TEXTJOIN(,1,IF(IFERROR(FIND(table_prefix[前缀],table_l10n!A163),FALSE),TEXT(table_prefix[说明],""),""))</f>
        <v>角色特性 - 名称</v>
      </c>
      <c r="C163" s="19" t="s">
        <v>3981</v>
      </c>
      <c r="D163" s="15" t="s">
        <v>3981</v>
      </c>
      <c r="E163" s="27" t="s">
        <v>3981</v>
      </c>
      <c r="F163" s="27" t="s">
        <v>4048</v>
      </c>
      <c r="G163" s="27" t="s">
        <v>4049</v>
      </c>
      <c r="H163" s="27" t="s">
        <v>2307</v>
      </c>
      <c r="I163" s="27" t="s">
        <v>4050</v>
      </c>
      <c r="J163" s="27" t="s">
        <v>2308</v>
      </c>
    </row>
    <row r="164" spans="1:10" x14ac:dyDescent="0.2">
      <c r="A164" s="13" t="s">
        <v>3962</v>
      </c>
      <c r="B164" s="18" t="str" cm="1">
        <f t="array" ref="B164">_xlfn.TEXTJOIN(,1,IF(IFERROR(FIND(table_prefix[前缀],table_l10n!A164),FALSE),TEXT(table_prefix[说明],""),""))</f>
        <v>角色特性 - 名称</v>
      </c>
      <c r="C164" s="19" t="s">
        <v>3982</v>
      </c>
      <c r="D164" s="15" t="s">
        <v>3982</v>
      </c>
      <c r="E164" s="27" t="s">
        <v>4051</v>
      </c>
      <c r="F164" s="27" t="s">
        <v>4052</v>
      </c>
      <c r="G164" s="27" t="s">
        <v>4053</v>
      </c>
      <c r="H164" s="27" t="s">
        <v>4054</v>
      </c>
      <c r="I164" s="27" t="s">
        <v>4055</v>
      </c>
      <c r="J164" s="27" t="s">
        <v>4056</v>
      </c>
    </row>
    <row r="165" spans="1:10" x14ac:dyDescent="0.2">
      <c r="A165" s="13" t="s">
        <v>3963</v>
      </c>
      <c r="B165" s="18" t="str" cm="1">
        <f t="array" ref="B165">_xlfn.TEXTJOIN(,1,IF(IFERROR(FIND(table_prefix[前缀],table_l10n!A165),FALSE),TEXT(table_prefix[说明],""),""))</f>
        <v>角色特性 - 名称</v>
      </c>
      <c r="C165" s="19" t="s">
        <v>3983</v>
      </c>
      <c r="D165" s="15" t="s">
        <v>3983</v>
      </c>
      <c r="E165" s="27" t="s">
        <v>4057</v>
      </c>
      <c r="F165" s="27" t="s">
        <v>4058</v>
      </c>
      <c r="G165" s="27" t="s">
        <v>4059</v>
      </c>
      <c r="H165" s="27" t="s">
        <v>4060</v>
      </c>
      <c r="I165" s="27" t="s">
        <v>4061</v>
      </c>
      <c r="J165" s="27" t="s">
        <v>4062</v>
      </c>
    </row>
    <row r="166" spans="1:10" x14ac:dyDescent="0.2">
      <c r="A166" s="13" t="s">
        <v>3964</v>
      </c>
      <c r="B166" s="18" t="str" cm="1">
        <f t="array" ref="B166">_xlfn.TEXTJOIN(,1,IF(IFERROR(FIND(table_prefix[前缀],table_l10n!A166),FALSE),TEXT(table_prefix[说明],""),""))</f>
        <v>角色特性 - 名称</v>
      </c>
      <c r="C166" s="19" t="s">
        <v>3984</v>
      </c>
      <c r="D166" s="15" t="s">
        <v>3984</v>
      </c>
      <c r="E166" s="27" t="s">
        <v>4063</v>
      </c>
      <c r="F166" s="27" t="s">
        <v>4064</v>
      </c>
      <c r="G166" s="27" t="s">
        <v>4065</v>
      </c>
      <c r="H166" s="27" t="s">
        <v>4066</v>
      </c>
      <c r="I166" s="27" t="s">
        <v>4067</v>
      </c>
      <c r="J166" s="27" t="s">
        <v>4068</v>
      </c>
    </row>
    <row r="167" spans="1:10" x14ac:dyDescent="0.2">
      <c r="A167" s="13" t="s">
        <v>3965</v>
      </c>
      <c r="B167" s="18" t="str" cm="1">
        <f t="array" ref="B167">_xlfn.TEXTJOIN(,1,IF(IFERROR(FIND(table_prefix[前缀],table_l10n!A167),FALSE),TEXT(table_prefix[说明],""),""))</f>
        <v>角色特性 - 名称</v>
      </c>
      <c r="C167" s="19" t="s">
        <v>3985</v>
      </c>
      <c r="D167" s="15" t="s">
        <v>3985</v>
      </c>
      <c r="E167" s="27" t="s">
        <v>4069</v>
      </c>
      <c r="F167" s="27" t="s">
        <v>4070</v>
      </c>
      <c r="G167" s="27" t="s">
        <v>4071</v>
      </c>
      <c r="H167" s="27" t="s">
        <v>4072</v>
      </c>
      <c r="I167" s="27" t="s">
        <v>4073</v>
      </c>
      <c r="J167" s="27" t="s">
        <v>4074</v>
      </c>
    </row>
    <row r="168" spans="1:10" x14ac:dyDescent="0.2">
      <c r="A168" s="13" t="s">
        <v>3966</v>
      </c>
      <c r="B168" s="18" t="str" cm="1">
        <f t="array" ref="B168">_xlfn.TEXTJOIN(,1,IF(IFERROR(FIND(table_prefix[前缀],table_l10n!A168),FALSE),TEXT(table_prefix[说明],""),""))</f>
        <v>角色特性 - 名称</v>
      </c>
      <c r="C168" s="19" t="s">
        <v>3986</v>
      </c>
      <c r="D168" s="15" t="s">
        <v>3986</v>
      </c>
      <c r="E168" s="27" t="s">
        <v>3986</v>
      </c>
      <c r="F168" s="27" t="s">
        <v>4075</v>
      </c>
      <c r="G168" s="27" t="s">
        <v>4076</v>
      </c>
      <c r="H168" s="27" t="s">
        <v>4077</v>
      </c>
      <c r="I168" s="27" t="s">
        <v>4078</v>
      </c>
      <c r="J168" s="27" t="s">
        <v>4079</v>
      </c>
    </row>
    <row r="169" spans="1:10" x14ac:dyDescent="0.2">
      <c r="A169" s="13" t="s">
        <v>3967</v>
      </c>
      <c r="B169" s="18" t="str" cm="1">
        <f t="array" ref="B169">_xlfn.TEXTJOIN(,1,IF(IFERROR(FIND(table_prefix[前缀],table_l10n!A169),FALSE),TEXT(table_prefix[说明],""),""))</f>
        <v>角色特性 - 名称</v>
      </c>
      <c r="C169" s="19" t="s">
        <v>3987</v>
      </c>
      <c r="D169" s="15" t="s">
        <v>3987</v>
      </c>
      <c r="E169" s="27" t="s">
        <v>4080</v>
      </c>
      <c r="F169" s="27" t="s">
        <v>4081</v>
      </c>
      <c r="G169" s="27" t="s">
        <v>4082</v>
      </c>
      <c r="H169" s="27" t="s">
        <v>4083</v>
      </c>
      <c r="I169" s="27" t="s">
        <v>4084</v>
      </c>
      <c r="J169" s="27" t="s">
        <v>4085</v>
      </c>
    </row>
    <row r="170" spans="1:10" x14ac:dyDescent="0.2">
      <c r="A170" s="13" t="s">
        <v>3968</v>
      </c>
      <c r="B170" s="18" t="str" cm="1">
        <f t="array" ref="B170">_xlfn.TEXTJOIN(,1,IF(IFERROR(FIND(table_prefix[前缀],table_l10n!A170),FALSE),TEXT(table_prefix[说明],""),""))</f>
        <v>角色特性 - 名称</v>
      </c>
      <c r="C170" s="19" t="s">
        <v>3988</v>
      </c>
      <c r="D170" s="15" t="s">
        <v>3988</v>
      </c>
      <c r="E170" s="27" t="s">
        <v>4086</v>
      </c>
      <c r="F170" s="27" t="s">
        <v>4087</v>
      </c>
      <c r="G170" s="27" t="s">
        <v>4088</v>
      </c>
      <c r="H170" s="27" t="s">
        <v>4089</v>
      </c>
      <c r="I170" s="27" t="s">
        <v>4090</v>
      </c>
      <c r="J170" s="27" t="s">
        <v>4091</v>
      </c>
    </row>
    <row r="171" spans="1:10" x14ac:dyDescent="0.2">
      <c r="A171" s="13" t="s">
        <v>3969</v>
      </c>
      <c r="B171" s="18" t="str" cm="1">
        <f t="array" ref="B171">_xlfn.TEXTJOIN(,1,IF(IFERROR(FIND(table_prefix[前缀],table_l10n!A171),FALSE),TEXT(table_prefix[说明],""),""))</f>
        <v>角色特性 - 名称</v>
      </c>
      <c r="C171" s="19" t="s">
        <v>3989</v>
      </c>
      <c r="D171" s="15" t="s">
        <v>3989</v>
      </c>
      <c r="E171" s="27" t="s">
        <v>3989</v>
      </c>
      <c r="F171" s="27" t="s">
        <v>4092</v>
      </c>
      <c r="G171" s="27" t="s">
        <v>4093</v>
      </c>
      <c r="H171" s="27" t="s">
        <v>4094</v>
      </c>
      <c r="I171" s="27" t="s">
        <v>4095</v>
      </c>
      <c r="J171" s="27" t="e" vm="1">
        <v>#VALUE!</v>
      </c>
    </row>
    <row r="172" spans="1:10" x14ac:dyDescent="0.2">
      <c r="B172" s="18" t="str" cm="1">
        <f t="array" ref="B172">_xlfn.TEXTJOIN(,1,IF(IFERROR(FIND(table_prefix[前缀],table_l10n!A172),FALSE),TEXT(table_prefix[说明],""),""))</f>
        <v/>
      </c>
    </row>
    <row r="173" spans="1:10" x14ac:dyDescent="0.2">
      <c r="A173" s="13" t="s">
        <v>4096</v>
      </c>
      <c r="B173" s="18" t="str" cm="1">
        <f t="array" ref="B173">_xlfn.TEXTJOIN(,1,IF(IFERROR(FIND(table_prefix[前缀],table_l10n!A173),FALSE),TEXT(table_prefix[说明],""),""))</f>
        <v>角色特性 - 描述</v>
      </c>
      <c r="C173" s="19" t="s">
        <v>4116</v>
      </c>
      <c r="D173" s="16" t="s">
        <v>4116</v>
      </c>
      <c r="E173" s="27" t="s">
        <v>4136</v>
      </c>
      <c r="F173" s="27" t="s">
        <v>4137</v>
      </c>
      <c r="G173" s="27" t="s">
        <v>4138</v>
      </c>
      <c r="H173" s="27" t="s">
        <v>4139</v>
      </c>
      <c r="I173" s="27" t="s">
        <v>4140</v>
      </c>
      <c r="J173" s="27" t="s">
        <v>4141</v>
      </c>
    </row>
    <row r="174" spans="1:10" x14ac:dyDescent="0.2">
      <c r="A174" s="13" t="s">
        <v>4097</v>
      </c>
      <c r="B174" s="18" t="str" cm="1">
        <f t="array" ref="B174">_xlfn.TEXTJOIN(,1,IF(IFERROR(FIND(table_prefix[前缀],table_l10n!A174),FALSE),TEXT(table_prefix[说明],""),""))</f>
        <v>角色特性 - 描述</v>
      </c>
      <c r="C174" s="19" t="s">
        <v>4117</v>
      </c>
      <c r="D174" s="15" t="s">
        <v>4117</v>
      </c>
      <c r="E174" s="27" t="s">
        <v>4142</v>
      </c>
      <c r="F174" s="27" t="s">
        <v>4143</v>
      </c>
      <c r="G174" s="27" t="s">
        <v>4144</v>
      </c>
      <c r="H174" s="27" t="s">
        <v>4145</v>
      </c>
      <c r="I174" s="27" t="s">
        <v>4146</v>
      </c>
      <c r="J174" s="27" t="s">
        <v>4147</v>
      </c>
    </row>
    <row r="175" spans="1:10" x14ac:dyDescent="0.2">
      <c r="A175" s="13" t="s">
        <v>4098</v>
      </c>
      <c r="B175" s="18" t="str" cm="1">
        <f t="array" ref="B175">_xlfn.TEXTJOIN(,1,IF(IFERROR(FIND(table_prefix[前缀],table_l10n!A175),FALSE),TEXT(table_prefix[说明],""),""))</f>
        <v>角色特性 - 描述</v>
      </c>
      <c r="C175" s="19" t="s">
        <v>4118</v>
      </c>
      <c r="D175" s="15" t="s">
        <v>4118</v>
      </c>
      <c r="E175" s="27" t="s">
        <v>4148</v>
      </c>
      <c r="F175" s="27" t="s">
        <v>4149</v>
      </c>
      <c r="G175" s="27" t="s">
        <v>4150</v>
      </c>
      <c r="H175" s="27" t="s">
        <v>4151</v>
      </c>
      <c r="I175" s="27" t="s">
        <v>4152</v>
      </c>
      <c r="J175" s="27" t="s">
        <v>4153</v>
      </c>
    </row>
    <row r="176" spans="1:10" x14ac:dyDescent="0.2">
      <c r="A176" s="13" t="s">
        <v>4099</v>
      </c>
      <c r="B176" s="18" t="str" cm="1">
        <f t="array" ref="B176">_xlfn.TEXTJOIN(,1,IF(IFERROR(FIND(table_prefix[前缀],table_l10n!A176),FALSE),TEXT(table_prefix[说明],""),""))</f>
        <v>角色特性 - 描述</v>
      </c>
      <c r="C176" s="19" t="s">
        <v>4119</v>
      </c>
      <c r="D176" s="15" t="s">
        <v>4119</v>
      </c>
      <c r="E176" s="27" t="s">
        <v>4154</v>
      </c>
      <c r="F176" s="27" t="s">
        <v>4155</v>
      </c>
      <c r="G176" s="27" t="s">
        <v>4156</v>
      </c>
      <c r="H176" s="27" t="s">
        <v>4157</v>
      </c>
      <c r="I176" s="27" t="s">
        <v>4158</v>
      </c>
      <c r="J176" s="27" t="s">
        <v>4159</v>
      </c>
    </row>
    <row r="177" spans="1:10" x14ac:dyDescent="0.2">
      <c r="A177" s="13" t="s">
        <v>4100</v>
      </c>
      <c r="B177" s="18" t="str" cm="1">
        <f t="array" ref="B177">_xlfn.TEXTJOIN(,1,IF(IFERROR(FIND(table_prefix[前缀],table_l10n!A177),FALSE),TEXT(table_prefix[说明],""),""))</f>
        <v>角色特性 - 描述</v>
      </c>
      <c r="C177" s="19" t="s">
        <v>4120</v>
      </c>
      <c r="D177" s="15" t="s">
        <v>4120</v>
      </c>
      <c r="E177" s="27" t="s">
        <v>4160</v>
      </c>
      <c r="F177" s="27" t="s">
        <v>4161</v>
      </c>
      <c r="G177" s="27" t="s">
        <v>4162</v>
      </c>
      <c r="H177" s="27" t="s">
        <v>4163</v>
      </c>
      <c r="I177" s="27" t="s">
        <v>4164</v>
      </c>
      <c r="J177" s="27" t="s">
        <v>4165</v>
      </c>
    </row>
    <row r="178" spans="1:10" x14ac:dyDescent="0.2">
      <c r="A178" s="13" t="s">
        <v>4101</v>
      </c>
      <c r="B178" s="18" t="str" cm="1">
        <f t="array" ref="B178">_xlfn.TEXTJOIN(,1,IF(IFERROR(FIND(table_prefix[前缀],table_l10n!A178),FALSE),TEXT(table_prefix[说明],""),""))</f>
        <v>角色特性 - 描述</v>
      </c>
      <c r="C178" s="19" t="s">
        <v>4121</v>
      </c>
      <c r="D178" s="15" t="s">
        <v>4121</v>
      </c>
      <c r="E178" s="27" t="s">
        <v>4166</v>
      </c>
      <c r="F178" s="27" t="s">
        <v>4167</v>
      </c>
      <c r="G178" s="27" t="s">
        <v>4168</v>
      </c>
      <c r="H178" s="27" t="s">
        <v>4169</v>
      </c>
      <c r="I178" s="27" t="s">
        <v>4170</v>
      </c>
      <c r="J178" s="27" t="s">
        <v>4171</v>
      </c>
    </row>
    <row r="179" spans="1:10" x14ac:dyDescent="0.2">
      <c r="A179" s="13" t="s">
        <v>4102</v>
      </c>
      <c r="B179" s="18" t="str" cm="1">
        <f t="array" ref="B179">_xlfn.TEXTJOIN(,1,IF(IFERROR(FIND(table_prefix[前缀],table_l10n!A179),FALSE),TEXT(table_prefix[说明],""),""))</f>
        <v>角色特性 - 描述</v>
      </c>
      <c r="C179" s="19" t="s">
        <v>4122</v>
      </c>
      <c r="D179" s="15" t="s">
        <v>4122</v>
      </c>
      <c r="E179" s="27" t="s">
        <v>4172</v>
      </c>
      <c r="F179" s="27" t="s">
        <v>4173</v>
      </c>
      <c r="G179" s="27" t="s">
        <v>4174</v>
      </c>
      <c r="H179" s="27" t="s">
        <v>4175</v>
      </c>
      <c r="I179" s="27" t="s">
        <v>4176</v>
      </c>
      <c r="J179" s="27" t="s">
        <v>4177</v>
      </c>
    </row>
    <row r="180" spans="1:10" x14ac:dyDescent="0.2">
      <c r="A180" s="13" t="s">
        <v>4103</v>
      </c>
      <c r="B180" s="18" t="str" cm="1">
        <f t="array" ref="B180">_xlfn.TEXTJOIN(,1,IF(IFERROR(FIND(table_prefix[前缀],table_l10n!A180),FALSE),TEXT(table_prefix[说明],""),""))</f>
        <v>角色特性 - 描述</v>
      </c>
      <c r="C180" s="19" t="s">
        <v>4123</v>
      </c>
      <c r="D180" s="15" t="s">
        <v>4123</v>
      </c>
      <c r="E180" s="27" t="s">
        <v>4178</v>
      </c>
      <c r="F180" s="27" t="s">
        <v>4179</v>
      </c>
      <c r="G180" s="27" t="s">
        <v>4180</v>
      </c>
      <c r="H180" s="27" t="s">
        <v>4181</v>
      </c>
      <c r="I180" s="27" t="s">
        <v>4182</v>
      </c>
      <c r="J180" s="27" t="s">
        <v>4183</v>
      </c>
    </row>
    <row r="181" spans="1:10" x14ac:dyDescent="0.2">
      <c r="A181" s="13" t="s">
        <v>4104</v>
      </c>
      <c r="B181" s="18" t="str" cm="1">
        <f t="array" ref="B181">_xlfn.TEXTJOIN(,1,IF(IFERROR(FIND(table_prefix[前缀],table_l10n!A181),FALSE),TEXT(table_prefix[说明],""),""))</f>
        <v>角色特性 - 描述</v>
      </c>
      <c r="C181" s="19" t="s">
        <v>4124</v>
      </c>
      <c r="D181" s="15" t="s">
        <v>4124</v>
      </c>
      <c r="E181" s="27" t="s">
        <v>4184</v>
      </c>
      <c r="F181" s="27" t="s">
        <v>4185</v>
      </c>
      <c r="G181" s="27" t="s">
        <v>4186</v>
      </c>
      <c r="H181" s="27" t="s">
        <v>4187</v>
      </c>
      <c r="I181" s="27" t="s">
        <v>4188</v>
      </c>
      <c r="J181" s="27" t="s">
        <v>4189</v>
      </c>
    </row>
    <row r="182" spans="1:10" x14ac:dyDescent="0.2">
      <c r="A182" s="13" t="s">
        <v>4105</v>
      </c>
      <c r="B182" s="18" t="str" cm="1">
        <f t="array" ref="B182">_xlfn.TEXTJOIN(,1,IF(IFERROR(FIND(table_prefix[前缀],table_l10n!A182),FALSE),TEXT(table_prefix[说明],""),""))</f>
        <v>角色特性 - 描述</v>
      </c>
      <c r="C182" s="19" t="s">
        <v>4125</v>
      </c>
      <c r="D182" s="16" t="s">
        <v>4125</v>
      </c>
      <c r="E182" s="27" t="s">
        <v>4190</v>
      </c>
      <c r="F182" s="27" t="s">
        <v>4191</v>
      </c>
      <c r="G182" s="27" t="s">
        <v>4192</v>
      </c>
      <c r="H182" s="27" t="s">
        <v>4193</v>
      </c>
      <c r="I182" s="27" t="s">
        <v>4194</v>
      </c>
      <c r="J182" s="27" t="s">
        <v>4195</v>
      </c>
    </row>
    <row r="183" spans="1:10" x14ac:dyDescent="0.2">
      <c r="A183" s="13" t="s">
        <v>4106</v>
      </c>
      <c r="B183" s="18" t="str" cm="1">
        <f t="array" ref="B183">_xlfn.TEXTJOIN(,1,IF(IFERROR(FIND(table_prefix[前缀],table_l10n!A183),FALSE),TEXT(table_prefix[说明],""),""))</f>
        <v>角色特性 - 描述</v>
      </c>
      <c r="C183" s="19" t="s">
        <v>4126</v>
      </c>
      <c r="D183" s="15" t="s">
        <v>4126</v>
      </c>
      <c r="E183" s="27" t="s">
        <v>4196</v>
      </c>
      <c r="F183" s="27" t="s">
        <v>4197</v>
      </c>
      <c r="G183" s="27" t="s">
        <v>4198</v>
      </c>
      <c r="H183" s="27" t="s">
        <v>4199</v>
      </c>
      <c r="I183" s="27" t="s">
        <v>4200</v>
      </c>
      <c r="J183" s="27" t="s">
        <v>4201</v>
      </c>
    </row>
    <row r="184" spans="1:10" x14ac:dyDescent="0.2">
      <c r="A184" s="13" t="s">
        <v>4107</v>
      </c>
      <c r="B184" s="18" t="str" cm="1">
        <f t="array" ref="B184">_xlfn.TEXTJOIN(,1,IF(IFERROR(FIND(table_prefix[前缀],table_l10n!A184),FALSE),TEXT(table_prefix[说明],""),""))</f>
        <v>角色特性 - 描述</v>
      </c>
      <c r="C184" s="19" t="s">
        <v>4127</v>
      </c>
      <c r="D184" s="15" t="s">
        <v>4127</v>
      </c>
      <c r="E184" s="27" t="s">
        <v>4202</v>
      </c>
      <c r="F184" s="27" t="s">
        <v>4203</v>
      </c>
      <c r="G184" s="27" t="s">
        <v>4204</v>
      </c>
      <c r="H184" s="27" t="s">
        <v>4205</v>
      </c>
      <c r="I184" s="27" t="s">
        <v>4206</v>
      </c>
      <c r="J184" s="27" t="s">
        <v>4207</v>
      </c>
    </row>
    <row r="185" spans="1:10" x14ac:dyDescent="0.2">
      <c r="A185" s="13" t="s">
        <v>4108</v>
      </c>
      <c r="B185" s="18" t="str" cm="1">
        <f t="array" ref="B185">_xlfn.TEXTJOIN(,1,IF(IFERROR(FIND(table_prefix[前缀],table_l10n!A185),FALSE),TEXT(table_prefix[说明],""),""))</f>
        <v>角色特性 - 描述</v>
      </c>
      <c r="C185" s="19" t="s">
        <v>4128</v>
      </c>
      <c r="D185" s="15" t="s">
        <v>4128</v>
      </c>
      <c r="E185" s="27" t="s">
        <v>4208</v>
      </c>
      <c r="F185" s="27" t="s">
        <v>4209</v>
      </c>
      <c r="G185" s="27" t="s">
        <v>4210</v>
      </c>
      <c r="H185" s="27" t="s">
        <v>4211</v>
      </c>
      <c r="I185" s="27" t="s">
        <v>4212</v>
      </c>
      <c r="J185" s="27" t="s">
        <v>4213</v>
      </c>
    </row>
    <row r="186" spans="1:10" x14ac:dyDescent="0.2">
      <c r="A186" s="13" t="s">
        <v>4109</v>
      </c>
      <c r="B186" s="18" t="str" cm="1">
        <f t="array" ref="B186">_xlfn.TEXTJOIN(,1,IF(IFERROR(FIND(table_prefix[前缀],table_l10n!A186),FALSE),TEXT(table_prefix[说明],""),""))</f>
        <v>角色特性 - 描述</v>
      </c>
      <c r="C186" s="19" t="s">
        <v>4129</v>
      </c>
      <c r="D186" s="15" t="s">
        <v>4129</v>
      </c>
      <c r="E186" s="27" t="s">
        <v>4214</v>
      </c>
      <c r="F186" s="27" t="s">
        <v>4215</v>
      </c>
      <c r="G186" s="27" t="s">
        <v>4216</v>
      </c>
      <c r="H186" s="27" t="s">
        <v>4217</v>
      </c>
      <c r="I186" s="27" t="s">
        <v>4218</v>
      </c>
      <c r="J186" s="27" t="s">
        <v>4219</v>
      </c>
    </row>
    <row r="187" spans="1:10" x14ac:dyDescent="0.2">
      <c r="A187" s="13" t="s">
        <v>4110</v>
      </c>
      <c r="B187" s="18" t="str" cm="1">
        <f t="array" ref="B187">_xlfn.TEXTJOIN(,1,IF(IFERROR(FIND(table_prefix[前缀],table_l10n!A187),FALSE),TEXT(table_prefix[说明],""),""))</f>
        <v>角色特性 - 描述</v>
      </c>
      <c r="C187" s="19" t="s">
        <v>4130</v>
      </c>
      <c r="D187" s="15" t="s">
        <v>4130</v>
      </c>
      <c r="E187" s="27" t="s">
        <v>4220</v>
      </c>
      <c r="F187" s="27" t="s">
        <v>4221</v>
      </c>
      <c r="G187" s="27" t="s">
        <v>4222</v>
      </c>
      <c r="H187" s="27" t="s">
        <v>4223</v>
      </c>
      <c r="I187" s="27" t="s">
        <v>4224</v>
      </c>
      <c r="J187" s="27" t="s">
        <v>4225</v>
      </c>
    </row>
    <row r="188" spans="1:10" x14ac:dyDescent="0.2">
      <c r="A188" s="13" t="s">
        <v>4111</v>
      </c>
      <c r="B188" s="18" t="str" cm="1">
        <f t="array" ref="B188">_xlfn.TEXTJOIN(,1,IF(IFERROR(FIND(table_prefix[前缀],table_l10n!A188),FALSE),TEXT(table_prefix[说明],""),""))</f>
        <v>角色特性 - 描述</v>
      </c>
      <c r="C188" s="19" t="s">
        <v>4131</v>
      </c>
      <c r="D188" s="15" t="s">
        <v>4131</v>
      </c>
      <c r="E188" s="27" t="s">
        <v>4226</v>
      </c>
      <c r="F188" s="27" t="s">
        <v>4227</v>
      </c>
      <c r="G188" s="27" t="s">
        <v>4228</v>
      </c>
      <c r="H188" s="27" t="s">
        <v>4229</v>
      </c>
      <c r="I188" s="27" t="s">
        <v>4230</v>
      </c>
      <c r="J188" s="27" t="s">
        <v>4231</v>
      </c>
    </row>
    <row r="189" spans="1:10" x14ac:dyDescent="0.2">
      <c r="A189" s="13" t="s">
        <v>4112</v>
      </c>
      <c r="B189" s="18" t="str" cm="1">
        <f t="array" ref="B189">_xlfn.TEXTJOIN(,1,IF(IFERROR(FIND(table_prefix[前缀],table_l10n!A189),FALSE),TEXT(table_prefix[说明],""),""))</f>
        <v>角色特性 - 描述</v>
      </c>
      <c r="C189" s="19" t="s">
        <v>4132</v>
      </c>
      <c r="D189" s="15" t="s">
        <v>4132</v>
      </c>
      <c r="E189" s="27" t="s">
        <v>4232</v>
      </c>
      <c r="F189" s="27" t="s">
        <v>4233</v>
      </c>
      <c r="G189" s="27" t="s">
        <v>4234</v>
      </c>
      <c r="H189" s="27" t="s">
        <v>4235</v>
      </c>
      <c r="I189" s="27" t="s">
        <v>4236</v>
      </c>
      <c r="J189" s="27" t="s">
        <v>4237</v>
      </c>
    </row>
    <row r="190" spans="1:10" x14ac:dyDescent="0.2">
      <c r="A190" s="13" t="s">
        <v>4113</v>
      </c>
      <c r="B190" s="18" t="str" cm="1">
        <f t="array" ref="B190">_xlfn.TEXTJOIN(,1,IF(IFERROR(FIND(table_prefix[前缀],table_l10n!A190),FALSE),TEXT(table_prefix[说明],""),""))</f>
        <v>角色特性 - 描述</v>
      </c>
      <c r="C190" s="19" t="s">
        <v>4133</v>
      </c>
      <c r="D190" s="15" t="s">
        <v>4133</v>
      </c>
      <c r="E190" s="27" t="s">
        <v>4238</v>
      </c>
      <c r="F190" s="27" t="s">
        <v>4239</v>
      </c>
      <c r="G190" s="27" t="s">
        <v>4240</v>
      </c>
      <c r="H190" s="27" t="s">
        <v>4241</v>
      </c>
      <c r="I190" s="27" t="s">
        <v>4242</v>
      </c>
      <c r="J190" s="27" t="s">
        <v>4243</v>
      </c>
    </row>
    <row r="191" spans="1:10" x14ac:dyDescent="0.2">
      <c r="A191" s="13" t="s">
        <v>4114</v>
      </c>
      <c r="B191" s="18" t="str" cm="1">
        <f t="array" ref="B191">_xlfn.TEXTJOIN(,1,IF(IFERROR(FIND(table_prefix[前缀],table_l10n!A191),FALSE),TEXT(table_prefix[说明],""),""))</f>
        <v>角色特性 - 描述</v>
      </c>
      <c r="C191" s="19" t="s">
        <v>4134</v>
      </c>
      <c r="D191" s="15" t="s">
        <v>4134</v>
      </c>
      <c r="E191" s="27" t="s">
        <v>4244</v>
      </c>
      <c r="F191" s="27" t="s">
        <v>4245</v>
      </c>
      <c r="G191" s="27" t="s">
        <v>4246</v>
      </c>
      <c r="H191" s="27" t="s">
        <v>4247</v>
      </c>
      <c r="I191" s="27" t="s">
        <v>4248</v>
      </c>
      <c r="J191" s="27" t="s">
        <v>4249</v>
      </c>
    </row>
    <row r="192" spans="1:10" x14ac:dyDescent="0.2">
      <c r="A192" s="13" t="s">
        <v>4115</v>
      </c>
      <c r="B192" s="18" t="str" cm="1">
        <f t="array" ref="B192">_xlfn.TEXTJOIN(,1,IF(IFERROR(FIND(table_prefix[前缀],table_l10n!A192),FALSE),TEXT(table_prefix[说明],""),""))</f>
        <v>角色特性 - 描述</v>
      </c>
      <c r="C192" s="19" t="s">
        <v>4135</v>
      </c>
      <c r="D192" s="15" t="s">
        <v>4135</v>
      </c>
      <c r="E192" s="27" t="s">
        <v>4250</v>
      </c>
      <c r="F192" s="27" t="s">
        <v>4251</v>
      </c>
      <c r="G192" s="27" t="s">
        <v>4252</v>
      </c>
      <c r="H192" s="27" t="s">
        <v>4253</v>
      </c>
      <c r="I192" s="27" t="s">
        <v>4254</v>
      </c>
      <c r="J192" s="27" t="s">
        <v>4255</v>
      </c>
    </row>
    <row r="197" spans="1:10" x14ac:dyDescent="0.2">
      <c r="A197" s="13" t="s">
        <v>3052</v>
      </c>
      <c r="B197" s="18" t="str" cm="1">
        <f t="array" ref="B197">_xlfn.TEXTJOIN(,1,IF(IFERROR(FIND(table_prefix[前缀],table_l10n!A197),FALSE),TEXT(table_prefix[说明],""),""))</f>
        <v>遗物 - 名称</v>
      </c>
      <c r="C197" s="19" t="s">
        <v>1218</v>
      </c>
      <c r="D197" s="15" t="s">
        <v>1218</v>
      </c>
      <c r="E197" s="20" t="str">
        <f>_xlfn.TRANSLATE($D197,"zh-chs","zh-cht")</f>
        <v>阿菊</v>
      </c>
      <c r="F197" s="20" t="str">
        <f>_xlfn.TRANSLATE($D197,"zh-chs","en")</f>
        <v>Aju</v>
      </c>
      <c r="G197" s="20" t="str">
        <f>_xlfn.TRANSLATE($D197,"zh-chs","es")</f>
        <v>Aju</v>
      </c>
      <c r="H197" s="20" t="str">
        <f>_xlfn.TRANSLATE($D197,"zh-chs","ja")</f>
        <v>アジュ</v>
      </c>
      <c r="I197" s="20" t="str">
        <f>_xlfn.TRANSLATE($D197,"zh-chs","ru")</f>
        <v>Аджу</v>
      </c>
      <c r="J197" s="20" t="str">
        <f>_xlfn.TRANSLATE($D197,"zh-chs","ko")</f>
        <v>아주</v>
      </c>
    </row>
    <row r="198" spans="1:10" x14ac:dyDescent="0.2">
      <c r="A198" s="13" t="s">
        <v>3763</v>
      </c>
      <c r="B198" s="18" t="str" cm="1">
        <f t="array" ref="B198">_xlfn.TEXTJOIN(,1,IF(IFERROR(FIND(table_prefix[前缀],table_l10n!A198),FALSE),TEXT(table_prefix[说明],""),""))</f>
        <v>遗物 - 名称</v>
      </c>
      <c r="C198" s="19" t="s">
        <v>3764</v>
      </c>
      <c r="D198" s="16" t="s">
        <v>3764</v>
      </c>
      <c r="E198" s="15" t="s">
        <v>3764</v>
      </c>
      <c r="F198" s="15" t="s">
        <v>3765</v>
      </c>
      <c r="G198" s="15" t="s">
        <v>3766</v>
      </c>
      <c r="H198" s="15" t="s">
        <v>3767</v>
      </c>
      <c r="I198" s="15" t="s">
        <v>3768</v>
      </c>
      <c r="J198" s="15" t="s">
        <v>3769</v>
      </c>
    </row>
    <row r="199" spans="1:10" x14ac:dyDescent="0.2">
      <c r="A199" s="13" t="s">
        <v>3053</v>
      </c>
      <c r="B199" s="18" t="str" cm="1">
        <f t="array" ref="B199">_xlfn.TEXTJOIN(,1,IF(IFERROR(FIND(table_prefix[前缀],table_l10n!A199),FALSE),TEXT(table_prefix[说明],""),""))</f>
        <v>遗物 - 名称</v>
      </c>
      <c r="C199" s="19" t="s">
        <v>1219</v>
      </c>
      <c r="D199" s="16" t="s">
        <v>1219</v>
      </c>
      <c r="E199" s="15" t="s">
        <v>1230</v>
      </c>
      <c r="F199" s="15" t="s">
        <v>3075</v>
      </c>
      <c r="G199" s="15" t="s">
        <v>3076</v>
      </c>
      <c r="H199" s="15" t="s">
        <v>3077</v>
      </c>
      <c r="I199" s="15" t="s">
        <v>3078</v>
      </c>
      <c r="J199" s="15" t="s">
        <v>3079</v>
      </c>
    </row>
    <row r="200" spans="1:10" x14ac:dyDescent="0.2">
      <c r="A200" s="13" t="s">
        <v>3054</v>
      </c>
      <c r="B200" s="18" t="str" cm="1">
        <f t="array" ref="B200">_xlfn.TEXTJOIN(,1,IF(IFERROR(FIND(table_prefix[前缀],table_l10n!A200),FALSE),TEXT(table_prefix[说明],""),""))</f>
        <v>遗物 - 名称</v>
      </c>
      <c r="C200" s="19" t="s">
        <v>1220</v>
      </c>
      <c r="D200" s="15" t="s">
        <v>1220</v>
      </c>
      <c r="E200" s="15" t="s">
        <v>1231</v>
      </c>
      <c r="F200" s="15" t="s">
        <v>3080</v>
      </c>
      <c r="G200" s="15" t="s">
        <v>3080</v>
      </c>
      <c r="H200" s="15" t="s">
        <v>3081</v>
      </c>
      <c r="I200" s="15" t="s">
        <v>3082</v>
      </c>
      <c r="J200" s="15" t="s">
        <v>3083</v>
      </c>
    </row>
    <row r="201" spans="1:10" x14ac:dyDescent="0.2">
      <c r="A201" s="13" t="s">
        <v>3055</v>
      </c>
      <c r="B201" s="18" t="str" cm="1">
        <f t="array" ref="B201">_xlfn.TEXTJOIN(,1,IF(IFERROR(FIND(table_prefix[前缀],table_l10n!A201),FALSE),TEXT(table_prefix[说明],""),""))</f>
        <v>遗物 - 名称</v>
      </c>
      <c r="C201" s="19" t="s">
        <v>1221</v>
      </c>
      <c r="D201" s="15" t="s">
        <v>1221</v>
      </c>
      <c r="E201" s="15" t="s">
        <v>1232</v>
      </c>
      <c r="F201" s="15" t="s">
        <v>3084</v>
      </c>
      <c r="G201" s="15" t="s">
        <v>3085</v>
      </c>
      <c r="H201" s="15" t="s">
        <v>3086</v>
      </c>
      <c r="I201" s="15" t="s">
        <v>3087</v>
      </c>
      <c r="J201" s="15" t="s">
        <v>3088</v>
      </c>
    </row>
    <row r="202" spans="1:10" x14ac:dyDescent="0.2">
      <c r="A202" s="13" t="s">
        <v>3056</v>
      </c>
      <c r="B202" s="18" t="str" cm="1">
        <f t="array" ref="B202">_xlfn.TEXTJOIN(,1,IF(IFERROR(FIND(table_prefix[前缀],table_l10n!A202),FALSE),TEXT(table_prefix[说明],""),""))</f>
        <v>遗物 - 名称</v>
      </c>
      <c r="C202" s="19" t="s">
        <v>1222</v>
      </c>
      <c r="D202" s="15" t="s">
        <v>1222</v>
      </c>
      <c r="E202" s="15" t="s">
        <v>1233</v>
      </c>
      <c r="F202" s="15" t="s">
        <v>3089</v>
      </c>
      <c r="G202" s="15" t="s">
        <v>3090</v>
      </c>
      <c r="H202" s="15" t="s">
        <v>3091</v>
      </c>
      <c r="I202" s="15" t="s">
        <v>3092</v>
      </c>
      <c r="J202" s="15" t="s">
        <v>3093</v>
      </c>
    </row>
    <row r="203" spans="1:10" x14ac:dyDescent="0.2">
      <c r="A203" s="13" t="s">
        <v>3057</v>
      </c>
      <c r="B203" s="18" t="str" cm="1">
        <f t="array" ref="B203">_xlfn.TEXTJOIN(,1,IF(IFERROR(FIND(table_prefix[前缀],table_l10n!A203),FALSE),TEXT(table_prefix[说明],""),""))</f>
        <v>遗物 - 名称</v>
      </c>
      <c r="C203" s="19" t="s">
        <v>2953</v>
      </c>
      <c r="D203" s="15" t="s">
        <v>2953</v>
      </c>
      <c r="E203" s="15" t="s">
        <v>2961</v>
      </c>
      <c r="F203" s="15" t="s">
        <v>2962</v>
      </c>
      <c r="G203" s="15" t="s">
        <v>2963</v>
      </c>
      <c r="H203" s="15" t="s">
        <v>2964</v>
      </c>
      <c r="I203" s="15" t="s">
        <v>2965</v>
      </c>
      <c r="J203" s="15" t="s">
        <v>2966</v>
      </c>
    </row>
    <row r="204" spans="1:10" x14ac:dyDescent="0.2">
      <c r="A204" s="13" t="s">
        <v>3058</v>
      </c>
      <c r="B204" s="18" t="str" cm="1">
        <f t="array" ref="B204">_xlfn.TEXTJOIN(,1,IF(IFERROR(FIND(table_prefix[前缀],table_l10n!A204),FALSE),TEXT(table_prefix[说明],""),""))</f>
        <v>遗物 - 名称</v>
      </c>
      <c r="C204" s="19" t="s">
        <v>1223</v>
      </c>
      <c r="D204" s="15" t="s">
        <v>1223</v>
      </c>
      <c r="E204" s="15" t="s">
        <v>1234</v>
      </c>
      <c r="F204" s="15" t="s">
        <v>3094</v>
      </c>
      <c r="G204" s="15" t="s">
        <v>1149</v>
      </c>
      <c r="H204" s="15" t="s">
        <v>1150</v>
      </c>
      <c r="I204" s="15" t="s">
        <v>1151</v>
      </c>
      <c r="J204" s="15" t="s">
        <v>1152</v>
      </c>
    </row>
    <row r="205" spans="1:10" x14ac:dyDescent="0.2">
      <c r="A205" s="13" t="s">
        <v>3059</v>
      </c>
      <c r="B205" s="18" t="str" cm="1">
        <f t="array" ref="B205">_xlfn.TEXTJOIN(,1,IF(IFERROR(FIND(table_prefix[前缀],table_l10n!A205),FALSE),TEXT(table_prefix[说明],""),""))</f>
        <v>遗物 - 名称</v>
      </c>
      <c r="C205" s="19" t="s">
        <v>1224</v>
      </c>
      <c r="D205" s="15" t="s">
        <v>1224</v>
      </c>
      <c r="E205" s="15" t="s">
        <v>1224</v>
      </c>
      <c r="F205" s="15" t="s">
        <v>3095</v>
      </c>
      <c r="G205" s="15" t="s">
        <v>3096</v>
      </c>
      <c r="H205" s="15" t="s">
        <v>1235</v>
      </c>
      <c r="I205" s="15" t="s">
        <v>3097</v>
      </c>
      <c r="J205" s="15" t="s">
        <v>1236</v>
      </c>
    </row>
    <row r="206" spans="1:10" x14ac:dyDescent="0.2">
      <c r="A206" s="13" t="s">
        <v>3060</v>
      </c>
      <c r="B206" s="18" t="str" cm="1">
        <f t="array" ref="B206">_xlfn.TEXTJOIN(,1,IF(IFERROR(FIND(table_prefix[前缀],table_l10n!A206),FALSE),TEXT(table_prefix[说明],""),""))</f>
        <v>遗物 - 名称</v>
      </c>
      <c r="C206" s="19" t="s">
        <v>1225</v>
      </c>
      <c r="D206" s="15" t="s">
        <v>1225</v>
      </c>
      <c r="E206" s="15" t="s">
        <v>1225</v>
      </c>
      <c r="F206" s="15" t="s">
        <v>3098</v>
      </c>
      <c r="G206" s="15" t="s">
        <v>3098</v>
      </c>
      <c r="H206" s="15" t="s">
        <v>3099</v>
      </c>
      <c r="I206" s="15" t="s">
        <v>3100</v>
      </c>
      <c r="J206" s="15" t="s">
        <v>3101</v>
      </c>
    </row>
    <row r="207" spans="1:10" x14ac:dyDescent="0.2">
      <c r="A207" s="13" t="s">
        <v>3061</v>
      </c>
      <c r="B207" s="18" t="str" cm="1">
        <f t="array" ref="B207">_xlfn.TEXTJOIN(,1,IF(IFERROR(FIND(table_prefix[前缀],table_l10n!A207),FALSE),TEXT(table_prefix[说明],""),""))</f>
        <v>遗物 - 名称</v>
      </c>
      <c r="C207" s="19" t="s">
        <v>2954</v>
      </c>
      <c r="D207" s="15" t="s">
        <v>2954</v>
      </c>
      <c r="E207" s="15" t="s">
        <v>2955</v>
      </c>
      <c r="F207" s="15" t="s">
        <v>2956</v>
      </c>
      <c r="G207" s="15" t="s">
        <v>2957</v>
      </c>
      <c r="H207" s="15" t="s">
        <v>2958</v>
      </c>
      <c r="I207" s="15" t="s">
        <v>2959</v>
      </c>
      <c r="J207" s="15" t="s">
        <v>2960</v>
      </c>
    </row>
    <row r="208" spans="1:10" x14ac:dyDescent="0.2">
      <c r="A208" s="13" t="s">
        <v>3062</v>
      </c>
      <c r="B208" s="18" t="str" cm="1">
        <f t="array" ref="B208">_xlfn.TEXTJOIN(,1,IF(IFERROR(FIND(table_prefix[前缀],table_l10n!A208),FALSE),TEXT(table_prefix[说明],""),""))</f>
        <v>遗物 - 名称</v>
      </c>
      <c r="C208" s="19" t="s">
        <v>1226</v>
      </c>
      <c r="D208" s="15" t="s">
        <v>1226</v>
      </c>
      <c r="E208" s="15" t="s">
        <v>1226</v>
      </c>
      <c r="F208" s="15" t="s">
        <v>1237</v>
      </c>
      <c r="G208" s="15" t="s">
        <v>1238</v>
      </c>
      <c r="H208" s="15" t="s">
        <v>3102</v>
      </c>
      <c r="I208" s="15" t="s">
        <v>1239</v>
      </c>
      <c r="J208" s="15" t="s">
        <v>3103</v>
      </c>
    </row>
    <row r="209" spans="1:10" x14ac:dyDescent="0.2">
      <c r="A209" s="13" t="s">
        <v>3063</v>
      </c>
      <c r="B209" s="18" t="str" cm="1">
        <f t="array" ref="B209">_xlfn.TEXTJOIN(,1,IF(IFERROR(FIND(table_prefix[前缀],table_l10n!A209),FALSE),TEXT(table_prefix[说明],""),""))</f>
        <v>遗物 - 名称</v>
      </c>
      <c r="C209" s="19" t="s">
        <v>1227</v>
      </c>
      <c r="D209" s="15" t="s">
        <v>1227</v>
      </c>
      <c r="E209" s="15" t="s">
        <v>1240</v>
      </c>
      <c r="F209" s="15" t="s">
        <v>3104</v>
      </c>
      <c r="G209" s="15" t="s">
        <v>3105</v>
      </c>
      <c r="H209" s="15" t="s">
        <v>3106</v>
      </c>
      <c r="I209" s="15" t="s">
        <v>3107</v>
      </c>
      <c r="J209" s="15" t="s">
        <v>3108</v>
      </c>
    </row>
    <row r="210" spans="1:10" x14ac:dyDescent="0.2">
      <c r="A210" s="13" t="s">
        <v>3064</v>
      </c>
      <c r="B210" s="18" t="str" cm="1">
        <f t="array" ref="B210">_xlfn.TEXTJOIN(,1,IF(IFERROR(FIND(table_prefix[前缀],table_l10n!A210),FALSE),TEXT(table_prefix[说明],""),""))</f>
        <v>遗物 - 名称</v>
      </c>
      <c r="C210" s="19" t="s">
        <v>1228</v>
      </c>
      <c r="D210" s="15" t="s">
        <v>1228</v>
      </c>
      <c r="E210" s="15" t="s">
        <v>1241</v>
      </c>
      <c r="F210" s="15" t="s">
        <v>1242</v>
      </c>
      <c r="G210" s="15" t="s">
        <v>1243</v>
      </c>
      <c r="H210" s="15" t="s">
        <v>1244</v>
      </c>
      <c r="I210" s="15" t="s">
        <v>1245</v>
      </c>
      <c r="J210" s="15" t="s">
        <v>1246</v>
      </c>
    </row>
    <row r="211" spans="1:10" x14ac:dyDescent="0.2">
      <c r="A211" s="13" t="s">
        <v>3065</v>
      </c>
      <c r="B211" s="18" t="str" cm="1">
        <f t="array" ref="B211">_xlfn.TEXTJOIN(,1,IF(IFERROR(FIND(table_prefix[前缀],table_l10n!A211),FALSE),TEXT(table_prefix[说明],""),""))</f>
        <v>遗物 - 名称</v>
      </c>
      <c r="C211" s="19" t="s">
        <v>1229</v>
      </c>
      <c r="D211" s="15" t="s">
        <v>1229</v>
      </c>
      <c r="E211" s="15" t="s">
        <v>1247</v>
      </c>
      <c r="F211" s="15" t="s">
        <v>1248</v>
      </c>
      <c r="G211" s="15" t="s">
        <v>3109</v>
      </c>
      <c r="H211" s="15" t="s">
        <v>3110</v>
      </c>
      <c r="I211" s="15" t="s">
        <v>3111</v>
      </c>
      <c r="J211" s="15" t="s">
        <v>3112</v>
      </c>
    </row>
    <row r="212" spans="1:10" x14ac:dyDescent="0.2">
      <c r="A212" s="13" t="s">
        <v>1709</v>
      </c>
      <c r="B212" s="18" t="str" cm="1">
        <f t="array" ref="B212">_xlfn.TEXTJOIN(,1,IF(IFERROR(FIND(table_prefix[前缀],table_l10n!A212),FALSE),TEXT(table_prefix[说明],""),""))</f>
        <v>遗物 - 名称</v>
      </c>
      <c r="C212" s="19" t="s">
        <v>3069</v>
      </c>
      <c r="D212" s="16" t="s">
        <v>3069</v>
      </c>
      <c r="E212" s="15" t="s">
        <v>3113</v>
      </c>
      <c r="F212" s="15" t="s">
        <v>3114</v>
      </c>
      <c r="G212" s="15" t="s">
        <v>3115</v>
      </c>
      <c r="H212" s="15" t="s">
        <v>3116</v>
      </c>
      <c r="I212" s="15" t="s">
        <v>3114</v>
      </c>
      <c r="J212" s="15" t="s">
        <v>3117</v>
      </c>
    </row>
    <row r="213" spans="1:10" x14ac:dyDescent="0.2">
      <c r="A213" s="13" t="s">
        <v>1710</v>
      </c>
      <c r="B213" s="18" t="str" cm="1">
        <f t="array" ref="B213">_xlfn.TEXTJOIN(,1,IF(IFERROR(FIND(table_prefix[前缀],table_l10n!A213),FALSE),TEXT(table_prefix[说明],""),""))</f>
        <v>遗物 - 名称</v>
      </c>
      <c r="C213" s="19" t="s">
        <v>3070</v>
      </c>
      <c r="D213" s="15" t="s">
        <v>3070</v>
      </c>
      <c r="E213" s="15" t="s">
        <v>3118</v>
      </c>
      <c r="F213" s="15" t="s">
        <v>3119</v>
      </c>
      <c r="G213" s="15" t="s">
        <v>3120</v>
      </c>
      <c r="H213" s="15" t="s">
        <v>3121</v>
      </c>
      <c r="I213" s="15" t="s">
        <v>3122</v>
      </c>
      <c r="J213" s="15" t="s">
        <v>3123</v>
      </c>
    </row>
    <row r="214" spans="1:10" x14ac:dyDescent="0.2">
      <c r="A214" s="13" t="s">
        <v>1711</v>
      </c>
      <c r="B214" s="18" t="str" cm="1">
        <f t="array" ref="B214">_xlfn.TEXTJOIN(,1,IF(IFERROR(FIND(table_prefix[前缀],table_l10n!A214),FALSE),TEXT(table_prefix[说明],""),""))</f>
        <v>遗物 - 名称</v>
      </c>
      <c r="C214" s="19" t="s">
        <v>3071</v>
      </c>
      <c r="D214" s="15" t="s">
        <v>3071</v>
      </c>
      <c r="E214" s="15" t="s">
        <v>3124</v>
      </c>
      <c r="F214" s="15" t="s">
        <v>3125</v>
      </c>
      <c r="G214" s="15" t="s">
        <v>3126</v>
      </c>
      <c r="H214" s="15" t="s">
        <v>3127</v>
      </c>
      <c r="I214" s="15" t="s">
        <v>3128</v>
      </c>
      <c r="J214" s="15" t="s">
        <v>3129</v>
      </c>
    </row>
    <row r="215" spans="1:10" x14ac:dyDescent="0.2">
      <c r="A215" s="13" t="s">
        <v>1712</v>
      </c>
      <c r="B215" s="18" t="str" cm="1">
        <f t="array" ref="B215">_xlfn.TEXTJOIN(,1,IF(IFERROR(FIND(table_prefix[前缀],table_l10n!A215),FALSE),TEXT(table_prefix[说明],""),""))</f>
        <v>遗物 - 名称</v>
      </c>
      <c r="C215" s="19" t="s">
        <v>3709</v>
      </c>
      <c r="D215" s="15" t="s">
        <v>3709</v>
      </c>
      <c r="E215" s="15" t="str">
        <f>_xlfn.TRANSLATE($D215,"zh-chs","zh-cht")</f>
        <v>蟹鉗 蒜蓉</v>
      </c>
      <c r="F215" s="15" t="str">
        <f>_xlfn.TRANSLATE($D215,"zh-chs","en")</f>
        <v>Crab claws minced garlic</v>
      </c>
      <c r="G215" s="15" t="str">
        <f>_xlfn.TRANSLATE($D215,"zh-chs","es")</f>
        <v>Pinzas de cangrejo ajo picado</v>
      </c>
      <c r="H215" s="15" t="str">
        <f>_xlfn.TRANSLATE($D215,"zh-chs","ja")</f>
        <v>カニの爪、ニンニクをひじった</v>
      </c>
      <c r="I215" s="15" t="str">
        <f>_xlfn.TRANSLATE($D215,"zh-chs","ru")</f>
        <v>Крабовые когти измельчённые чеснок</v>
      </c>
      <c r="J215" s="15" t="str">
        <f>_xlfn.TRANSLATE($D215,"zh-chs","ko")</f>
        <v>게집게로 다진 마늘</v>
      </c>
    </row>
    <row r="216" spans="1:10" x14ac:dyDescent="0.2">
      <c r="A216" s="13" t="s">
        <v>1713</v>
      </c>
      <c r="B216" s="18" t="str" cm="1">
        <f t="array" ref="B216">_xlfn.TEXTJOIN(,1,IF(IFERROR(FIND(table_prefix[前缀],table_l10n!A216),FALSE),TEXT(table_prefix[说明],""),""))</f>
        <v>遗物 - 名称</v>
      </c>
      <c r="C216" s="19" t="s">
        <v>3710</v>
      </c>
      <c r="D216" s="15" t="s">
        <v>3710</v>
      </c>
      <c r="E216" s="15" t="str">
        <f t="shared" ref="E216:E217" si="6">_xlfn.TRANSLATE($D216,"zh-chs","zh-cht")</f>
        <v>蟹鉗 麻辣</v>
      </c>
      <c r="F216" s="15" t="str">
        <f t="shared" ref="F216:F217" si="7">_xlfn.TRANSLATE($D216,"zh-chs","en")</f>
        <v>Crab claws are spicy</v>
      </c>
      <c r="G216" s="15" t="str">
        <f t="shared" ref="G216:G217" si="8">_xlfn.TRANSLATE($D216,"zh-chs","es")</f>
        <v>Las pinzas de cangrejo son picantes</v>
      </c>
      <c r="H216" s="15" t="str">
        <f t="shared" ref="H216:H217" si="9">_xlfn.TRANSLATE($D216,"zh-chs","ja")</f>
        <v>カニの爪は辛い</v>
      </c>
      <c r="I216" s="15" t="str">
        <f t="shared" ref="I216:I217" si="10">_xlfn.TRANSLATE($D216,"zh-chs","ru")</f>
        <v>Крабовые когти острые</v>
      </c>
      <c r="J216" s="15" t="str">
        <f t="shared" ref="J216:J217" si="11">_xlfn.TRANSLATE($D216,"zh-chs","ko")</f>
        <v>게 집게는 매워요</v>
      </c>
    </row>
    <row r="217" spans="1:10" x14ac:dyDescent="0.2">
      <c r="A217" s="13" t="s">
        <v>1714</v>
      </c>
      <c r="B217" s="18" t="str" cm="1">
        <f t="array" ref="B217">_xlfn.TEXTJOIN(,1,IF(IFERROR(FIND(table_prefix[前缀],table_l10n!A217),FALSE),TEXT(table_prefix[说明],""),""))</f>
        <v>遗物 - 名称</v>
      </c>
      <c r="C217" s="19" t="s">
        <v>3711</v>
      </c>
      <c r="D217" s="15" t="s">
        <v>3711</v>
      </c>
      <c r="E217" s="15" t="str">
        <f t="shared" si="6"/>
        <v>蟹鉗 十三香</v>
      </c>
      <c r="F217" s="15" t="str">
        <f t="shared" si="7"/>
        <v>Crab claws thirteen spices</v>
      </c>
      <c r="G217" s="15" t="str">
        <f t="shared" si="8"/>
        <v>Pinzas de cangrejo trece especias</v>
      </c>
      <c r="H217" s="15" t="str">
        <f t="shared" si="9"/>
        <v>カニの爪 13 スパイス</v>
      </c>
      <c r="I217" s="15" t="str">
        <f t="shared" si="10"/>
        <v>Крабовые когти, тринадцать специй</v>
      </c>
      <c r="J217" s="15" t="str">
        <f t="shared" si="11"/>
        <v>게발톱 13가지 향신료</v>
      </c>
    </row>
    <row r="218" spans="1:10" x14ac:dyDescent="0.2">
      <c r="A218" s="13" t="s">
        <v>1715</v>
      </c>
      <c r="B218" s="18" t="str" cm="1">
        <f t="array" ref="B218">_xlfn.TEXTJOIN(,1,IF(IFERROR(FIND(table_prefix[前缀],table_l10n!A218),FALSE),TEXT(table_prefix[说明],""),""))</f>
        <v>遗物 - 名称</v>
      </c>
      <c r="C218" s="19" t="s">
        <v>3713</v>
      </c>
      <c r="D218" s="15" t="s">
        <v>3713</v>
      </c>
      <c r="E218" s="15" t="s">
        <v>3716</v>
      </c>
      <c r="F218" s="15" t="s">
        <v>3717</v>
      </c>
      <c r="G218" s="15" t="s">
        <v>3718</v>
      </c>
      <c r="H218" s="15" t="s">
        <v>3719</v>
      </c>
      <c r="I218" s="15" t="s">
        <v>3720</v>
      </c>
      <c r="J218" s="15" t="s">
        <v>3721</v>
      </c>
    </row>
    <row r="219" spans="1:10" x14ac:dyDescent="0.2">
      <c r="A219" s="14" t="s">
        <v>3712</v>
      </c>
      <c r="B219" s="18" t="str" cm="1">
        <f t="array" ref="B219">_xlfn.TEXTJOIN(,1,IF(IFERROR(FIND(table_prefix[前缀],table_l10n!A219),FALSE),TEXT(table_prefix[说明],""),""))</f>
        <v>遗物 - 名称</v>
      </c>
      <c r="C219" s="19" t="s">
        <v>3714</v>
      </c>
      <c r="D219" s="15" t="s">
        <v>3714</v>
      </c>
      <c r="E219" s="15" t="s">
        <v>3722</v>
      </c>
      <c r="F219" s="15" t="s">
        <v>3723</v>
      </c>
      <c r="G219" s="15" t="s">
        <v>3724</v>
      </c>
      <c r="H219" s="15" t="s">
        <v>3725</v>
      </c>
      <c r="I219" s="15" t="s">
        <v>3726</v>
      </c>
      <c r="J219" s="15" t="s">
        <v>3727</v>
      </c>
    </row>
    <row r="220" spans="1:10" x14ac:dyDescent="0.2">
      <c r="A220" s="13" t="s">
        <v>1716</v>
      </c>
      <c r="B220" s="18" t="str" cm="1">
        <f t="array" ref="B220">_xlfn.TEXTJOIN(,1,IF(IFERROR(FIND(table_prefix[前缀],table_l10n!A220),FALSE),TEXT(table_prefix[说明],""),""))</f>
        <v>遗物 - 名称</v>
      </c>
      <c r="C220" s="19" t="s">
        <v>3715</v>
      </c>
      <c r="D220" s="15" t="s">
        <v>3715</v>
      </c>
      <c r="E220" s="15" t="s">
        <v>3728</v>
      </c>
      <c r="F220" s="15" t="s">
        <v>3729</v>
      </c>
      <c r="G220" s="15" t="s">
        <v>3730</v>
      </c>
      <c r="H220" s="15" t="s">
        <v>3731</v>
      </c>
      <c r="I220" s="15" t="s">
        <v>3732</v>
      </c>
      <c r="J220" s="15" t="s">
        <v>3733</v>
      </c>
    </row>
    <row r="221" spans="1:10" x14ac:dyDescent="0.2">
      <c r="A221" s="13" t="s">
        <v>3066</v>
      </c>
      <c r="B221" s="18" t="str" cm="1">
        <f t="array" ref="B221">_xlfn.TEXTJOIN(,1,IF(IFERROR(FIND(table_prefix[前缀],table_l10n!A221),FALSE),TEXT(table_prefix[说明],""),""))</f>
        <v>遗物 - 名称</v>
      </c>
      <c r="C221" s="19" t="s">
        <v>3072</v>
      </c>
      <c r="D221" s="15" t="s">
        <v>3072</v>
      </c>
      <c r="E221" s="15" t="s">
        <v>3072</v>
      </c>
      <c r="F221" s="15" t="s">
        <v>3130</v>
      </c>
      <c r="G221" s="15" t="s">
        <v>3131</v>
      </c>
      <c r="H221" s="15" t="s">
        <v>3132</v>
      </c>
      <c r="I221" s="15" t="s">
        <v>3133</v>
      </c>
      <c r="J221" s="15" t="s">
        <v>3134</v>
      </c>
    </row>
    <row r="222" spans="1:10" x14ac:dyDescent="0.2">
      <c r="A222" s="13" t="s">
        <v>3067</v>
      </c>
      <c r="B222" s="18" t="str" cm="1">
        <f t="array" ref="B222">_xlfn.TEXTJOIN(,1,IF(IFERROR(FIND(table_prefix[前缀],table_l10n!A222),FALSE),TEXT(table_prefix[说明],""),""))</f>
        <v>遗物 - 名称</v>
      </c>
      <c r="C222" s="19" t="s">
        <v>3073</v>
      </c>
      <c r="D222" s="15" t="s">
        <v>3073</v>
      </c>
      <c r="E222" s="15" t="s">
        <v>3073</v>
      </c>
      <c r="F222" s="15" t="s">
        <v>3135</v>
      </c>
      <c r="G222" s="15" t="s">
        <v>3136</v>
      </c>
      <c r="H222" s="15" t="s">
        <v>3137</v>
      </c>
      <c r="I222" s="15" t="s">
        <v>3138</v>
      </c>
      <c r="J222" s="15" t="s">
        <v>3139</v>
      </c>
    </row>
    <row r="223" spans="1:10" x14ac:dyDescent="0.2">
      <c r="A223" s="13" t="s">
        <v>3068</v>
      </c>
      <c r="B223" s="18" t="str" cm="1">
        <f t="array" ref="B223">_xlfn.TEXTJOIN(,1,IF(IFERROR(FIND(table_prefix[前缀],table_l10n!A223),FALSE),TEXT(table_prefix[说明],""),""))</f>
        <v>遗物 - 名称</v>
      </c>
      <c r="C223" s="19" t="s">
        <v>3074</v>
      </c>
      <c r="D223" s="15" t="s">
        <v>3074</v>
      </c>
      <c r="E223" s="15" t="s">
        <v>3074</v>
      </c>
      <c r="F223" s="15" t="s">
        <v>3140</v>
      </c>
      <c r="G223" s="15" t="s">
        <v>3141</v>
      </c>
      <c r="H223" s="15" t="s">
        <v>3142</v>
      </c>
      <c r="I223" s="15" t="s">
        <v>3143</v>
      </c>
      <c r="J223" s="15" t="s">
        <v>3144</v>
      </c>
    </row>
    <row r="224" spans="1:10" x14ac:dyDescent="0.2">
      <c r="A224" s="13" t="s">
        <v>1717</v>
      </c>
      <c r="B224" s="18" t="str" cm="1">
        <f t="array" ref="B224">_xlfn.TEXTJOIN(,1,IF(IFERROR(FIND(table_prefix[前缀],table_l10n!A224),FALSE),TEXT(table_prefix[说明],""),""))</f>
        <v>遗物 - 名称</v>
      </c>
      <c r="C224" s="19" t="s">
        <v>3705</v>
      </c>
      <c r="D224" s="16" t="s">
        <v>3706</v>
      </c>
      <c r="E224" s="15" t="str">
        <f>_xlfn.TRANSLATE($D224,"zh-chs","zh-cht")</f>
        <v>作弊骰 Lv.1</v>
      </c>
      <c r="F224" s="15" t="str">
        <f>_xlfn.TRANSLATE($D224,"zh-chs","en")</f>
        <v>Cheat Dice Lv.1</v>
      </c>
      <c r="G224" s="15" t="str">
        <f>_xlfn.TRANSLATE($D224,"zh-chs","es")</f>
        <v>Trucos de Dados Nv.1</v>
      </c>
      <c r="H224" s="15" t="str">
        <f>_xlfn.TRANSLATE($D224,"zh-chs","ja")</f>
        <v>チートダイス レベル1</v>
      </c>
      <c r="I224" s="15" t="str">
        <f>_xlfn.TRANSLATE($D224,"zh-chs","ru")</f>
        <v>Чит-кубики, уровень 1</v>
      </c>
      <c r="J224" s="15" t="str">
        <f>_xlfn.TRANSLATE($D224,"zh-chs","ko")</f>
        <v>치트 주사위 Lv.1</v>
      </c>
    </row>
    <row r="225" spans="1:10" x14ac:dyDescent="0.2">
      <c r="A225" s="13" t="s">
        <v>1718</v>
      </c>
      <c r="B225" s="18" t="str" cm="1">
        <f t="array" ref="B225">_xlfn.TEXTJOIN(,1,IF(IFERROR(FIND(table_prefix[前缀],table_l10n!A225),FALSE),TEXT(table_prefix[说明],""),""))</f>
        <v>遗物 - 名称</v>
      </c>
      <c r="C225" s="19" t="s">
        <v>3707</v>
      </c>
      <c r="D225" s="16" t="s">
        <v>3707</v>
      </c>
      <c r="E225" s="15" t="str">
        <f t="shared" ref="E225:E226" si="12">_xlfn.TRANSLATE($D225,"zh-chs","zh-cht")</f>
        <v>作弊骰 Lv.2</v>
      </c>
      <c r="F225" s="15" t="str">
        <f t="shared" ref="F225:F226" si="13">_xlfn.TRANSLATE($D225,"zh-chs","en")</f>
        <v>Cheat Roll Lv.2</v>
      </c>
      <c r="G225" s="15" t="str">
        <f t="shared" ref="G225:G226" si="14">_xlfn.TRANSLATE($D225,"zh-chs","es")</f>
        <v>Tirada de trampas nivel 2</v>
      </c>
      <c r="H225" s="15" t="str">
        <f t="shared" ref="H225:H226" si="15">_xlfn.TRANSLATE($D225,"zh-chs","ja")</f>
        <v>チートロール レベル2</v>
      </c>
      <c r="I225" s="15" t="str">
        <f t="shared" ref="I225:I226" si="16">_xlfn.TRANSLATE($D225,"zh-chs","ru")</f>
        <v>Чит-бросок 2 уровня</v>
      </c>
      <c r="J225" s="15" t="str">
        <f t="shared" ref="J225:J226" si="17">_xlfn.TRANSLATE($D225,"zh-chs","ko")</f>
        <v>치트 굴림 Lv.2</v>
      </c>
    </row>
    <row r="226" spans="1:10" x14ac:dyDescent="0.2">
      <c r="A226" s="13" t="s">
        <v>1719</v>
      </c>
      <c r="B226" s="18" t="str" cm="1">
        <f t="array" ref="B226">_xlfn.TEXTJOIN(,1,IF(IFERROR(FIND(table_prefix[前缀],table_l10n!A226),FALSE),TEXT(table_prefix[说明],""),""))</f>
        <v>遗物 - 名称</v>
      </c>
      <c r="C226" s="19" t="s">
        <v>3708</v>
      </c>
      <c r="D226" s="16" t="s">
        <v>3708</v>
      </c>
      <c r="E226" s="15" t="str">
        <f t="shared" si="12"/>
        <v>作弊骰 Lv.3</v>
      </c>
      <c r="F226" s="15" t="str">
        <f t="shared" si="13"/>
        <v>Cheat Dice Lv.3</v>
      </c>
      <c r="G226" s="15" t="str">
        <f t="shared" si="14"/>
        <v>Trucos de Dados Nv.3</v>
      </c>
      <c r="H226" s="15" t="str">
        <f t="shared" si="15"/>
        <v>チートダイス Lv.3</v>
      </c>
      <c r="I226" s="15" t="str">
        <f t="shared" si="16"/>
        <v>Чит-кубики, уровень 3</v>
      </c>
      <c r="J226" s="15" t="str">
        <f t="shared" si="17"/>
        <v>치트 주사위 Lv.3</v>
      </c>
    </row>
    <row r="227" spans="1:10" x14ac:dyDescent="0.2">
      <c r="A227" s="13" t="s">
        <v>3580</v>
      </c>
      <c r="B227" s="18" t="str" cm="1">
        <f t="array" ref="B227">_xlfn.TEXTJOIN(,1,IF(IFERROR(FIND(table_prefix[前缀],table_l10n!A227),FALSE),TEXT(table_prefix[说明],""),""))</f>
        <v>遗物 - 名称</v>
      </c>
      <c r="C227" s="19" t="s">
        <v>3587</v>
      </c>
      <c r="D227" s="15" t="s">
        <v>3587</v>
      </c>
      <c r="E227" s="15" t="s">
        <v>3587</v>
      </c>
      <c r="F227" s="15" t="s">
        <v>3594</v>
      </c>
      <c r="G227" s="15" t="s">
        <v>3595</v>
      </c>
      <c r="H227" s="15" t="s">
        <v>3596</v>
      </c>
      <c r="I227" s="15" t="s">
        <v>3597</v>
      </c>
      <c r="J227" s="15" t="s">
        <v>3598</v>
      </c>
    </row>
    <row r="228" spans="1:10" x14ac:dyDescent="0.2">
      <c r="A228" s="13" t="s">
        <v>3581</v>
      </c>
      <c r="B228" s="18" t="str" cm="1">
        <f t="array" ref="B228">_xlfn.TEXTJOIN(,1,IF(IFERROR(FIND(table_prefix[前缀],table_l10n!A228),FALSE),TEXT(table_prefix[说明],""),""))</f>
        <v>遗物 - 名称</v>
      </c>
      <c r="C228" s="19" t="s">
        <v>3588</v>
      </c>
      <c r="D228" s="15" t="s">
        <v>3588</v>
      </c>
      <c r="E228" s="15" t="s">
        <v>3588</v>
      </c>
      <c r="F228" s="15" t="s">
        <v>3599</v>
      </c>
      <c r="G228" s="15" t="s">
        <v>3600</v>
      </c>
      <c r="H228" s="15" t="s">
        <v>3601</v>
      </c>
      <c r="I228" s="15" t="s">
        <v>3602</v>
      </c>
      <c r="J228" s="15" t="s">
        <v>3603</v>
      </c>
    </row>
    <row r="229" spans="1:10" x14ac:dyDescent="0.2">
      <c r="A229" s="13" t="s">
        <v>3582</v>
      </c>
      <c r="B229" s="18" t="str" cm="1">
        <f t="array" ref="B229">_xlfn.TEXTJOIN(,1,IF(IFERROR(FIND(table_prefix[前缀],table_l10n!A229),FALSE),TEXT(table_prefix[说明],""),""))</f>
        <v>遗物 - 名称</v>
      </c>
      <c r="C229" s="19" t="s">
        <v>3589</v>
      </c>
      <c r="D229" s="15" t="s">
        <v>3589</v>
      </c>
      <c r="E229" s="15" t="s">
        <v>3589</v>
      </c>
      <c r="F229" s="15" t="s">
        <v>3604</v>
      </c>
      <c r="G229" s="15" t="s">
        <v>3605</v>
      </c>
      <c r="H229" s="15" t="s">
        <v>3606</v>
      </c>
      <c r="I229" s="15" t="s">
        <v>3607</v>
      </c>
      <c r="J229" s="15" t="s">
        <v>3608</v>
      </c>
    </row>
    <row r="230" spans="1:10" x14ac:dyDescent="0.2">
      <c r="A230" s="13" t="s">
        <v>3583</v>
      </c>
      <c r="B230" s="18" t="str" cm="1">
        <f t="array" ref="B230">_xlfn.TEXTJOIN(,1,IF(IFERROR(FIND(table_prefix[前缀],table_l10n!A230),FALSE),TEXT(table_prefix[说明],""),""))</f>
        <v>遗物 - 名称</v>
      </c>
      <c r="C230" s="19" t="s">
        <v>3590</v>
      </c>
      <c r="D230" s="15" t="s">
        <v>3590</v>
      </c>
      <c r="E230" s="15" t="s">
        <v>3609</v>
      </c>
      <c r="F230" s="15" t="s">
        <v>3610</v>
      </c>
      <c r="G230" s="15" t="s">
        <v>3611</v>
      </c>
      <c r="H230" s="15" t="s">
        <v>3612</v>
      </c>
      <c r="I230" s="15" t="s">
        <v>3613</v>
      </c>
      <c r="J230" s="15" t="s">
        <v>3614</v>
      </c>
    </row>
    <row r="231" spans="1:10" x14ac:dyDescent="0.2">
      <c r="A231" s="13" t="s">
        <v>3584</v>
      </c>
      <c r="B231" s="18" t="str" cm="1">
        <f t="array" ref="B231">_xlfn.TEXTJOIN(,1,IF(IFERROR(FIND(table_prefix[前缀],table_l10n!A231),FALSE),TEXT(table_prefix[说明],""),""))</f>
        <v>遗物 - 名称</v>
      </c>
      <c r="C231" s="19" t="s">
        <v>3591</v>
      </c>
      <c r="D231" s="15" t="s">
        <v>3591</v>
      </c>
      <c r="E231" s="15" t="s">
        <v>3615</v>
      </c>
      <c r="F231" s="15" t="s">
        <v>3616</v>
      </c>
      <c r="G231" s="15" t="s">
        <v>3617</v>
      </c>
      <c r="H231" s="15" t="s">
        <v>3618</v>
      </c>
      <c r="I231" s="15" t="s">
        <v>3619</v>
      </c>
      <c r="J231" s="15" t="s">
        <v>3620</v>
      </c>
    </row>
    <row r="232" spans="1:10" x14ac:dyDescent="0.2">
      <c r="A232" s="13" t="s">
        <v>3585</v>
      </c>
      <c r="B232" s="18" t="str" cm="1">
        <f t="array" ref="B232">_xlfn.TEXTJOIN(,1,IF(IFERROR(FIND(table_prefix[前缀],table_l10n!A232),FALSE),TEXT(table_prefix[说明],""),""))</f>
        <v>遗物 - 名称</v>
      </c>
      <c r="C232" s="19" t="s">
        <v>3592</v>
      </c>
      <c r="D232" s="15" t="s">
        <v>3592</v>
      </c>
      <c r="E232" s="15" t="s">
        <v>3621</v>
      </c>
      <c r="F232" s="15" t="s">
        <v>3622</v>
      </c>
      <c r="G232" s="15" t="s">
        <v>3623</v>
      </c>
      <c r="H232" s="15" t="s">
        <v>3624</v>
      </c>
      <c r="I232" s="15" t="s">
        <v>3625</v>
      </c>
      <c r="J232" s="15" t="s">
        <v>3626</v>
      </c>
    </row>
    <row r="233" spans="1:10" x14ac:dyDescent="0.2">
      <c r="A233" s="13" t="s">
        <v>3586</v>
      </c>
      <c r="B233" s="18" t="str" cm="1">
        <f t="array" ref="B233">_xlfn.TEXTJOIN(,1,IF(IFERROR(FIND(table_prefix[前缀],table_l10n!A233),FALSE),TEXT(table_prefix[说明],""),""))</f>
        <v>遗物 - 名称</v>
      </c>
      <c r="C233" s="19" t="s">
        <v>3593</v>
      </c>
      <c r="D233" s="15" t="s">
        <v>3593</v>
      </c>
      <c r="E233" s="15" t="s">
        <v>3627</v>
      </c>
      <c r="F233" s="15" t="s">
        <v>3628</v>
      </c>
      <c r="G233" s="15" t="s">
        <v>3629</v>
      </c>
      <c r="H233" s="15" t="s">
        <v>3630</v>
      </c>
      <c r="I233" s="15" t="s">
        <v>3631</v>
      </c>
      <c r="J233" s="15" t="s">
        <v>3632</v>
      </c>
    </row>
    <row r="236" spans="1:10" x14ac:dyDescent="0.2">
      <c r="A236" s="13" t="s">
        <v>1037</v>
      </c>
      <c r="B236" s="18" t="str" cm="1">
        <f t="array" ref="B236">_xlfn.TEXTJOIN(,1,IF(IFERROR(FIND(table_prefix[前缀],table_l10n!A236),FALSE),TEXT(table_prefix[说明],""),""))</f>
        <v>遗物 - 描述</v>
      </c>
      <c r="C236" s="19" t="s">
        <v>3773</v>
      </c>
      <c r="D236" s="15" t="s">
        <v>3773</v>
      </c>
      <c r="E236" s="15" t="s">
        <v>3796</v>
      </c>
      <c r="F236" s="15" t="s">
        <v>3797</v>
      </c>
      <c r="G236" s="15" t="s">
        <v>3798</v>
      </c>
      <c r="H236" s="15" t="s">
        <v>3799</v>
      </c>
      <c r="I236" s="15" t="s">
        <v>3800</v>
      </c>
      <c r="J236" s="15" t="s">
        <v>3801</v>
      </c>
    </row>
    <row r="237" spans="1:10" x14ac:dyDescent="0.2">
      <c r="A237" s="13" t="s">
        <v>1038</v>
      </c>
      <c r="B237" s="18" t="str" cm="1">
        <f t="array" ref="B237">_xlfn.TEXTJOIN(,1,IF(IFERROR(FIND(table_prefix[前缀],table_l10n!A237),FALSE),TEXT(table_prefix[说明],""),""))</f>
        <v>遗物 - 描述</v>
      </c>
      <c r="C237" s="19" t="s">
        <v>3774</v>
      </c>
      <c r="D237" s="15" t="s">
        <v>3774</v>
      </c>
      <c r="E237" s="15" t="s">
        <v>3802</v>
      </c>
      <c r="F237" s="15" t="s">
        <v>3803</v>
      </c>
      <c r="G237" s="15" t="s">
        <v>3804</v>
      </c>
      <c r="H237" s="15" t="s">
        <v>3805</v>
      </c>
      <c r="I237" s="15" t="s">
        <v>3806</v>
      </c>
      <c r="J237" s="15" t="s">
        <v>3807</v>
      </c>
    </row>
    <row r="238" spans="1:10" x14ac:dyDescent="0.2">
      <c r="A238" s="13" t="s">
        <v>1039</v>
      </c>
      <c r="B238" s="18" t="str" cm="1">
        <f t="array" ref="B238">_xlfn.TEXTJOIN(,1,IF(IFERROR(FIND(table_prefix[前缀],table_l10n!A238),FALSE),TEXT(table_prefix[说明],""),""))</f>
        <v>遗物 - 描述</v>
      </c>
      <c r="C238" s="19" t="s">
        <v>3775</v>
      </c>
      <c r="D238" s="15" t="s">
        <v>3775</v>
      </c>
      <c r="E238" s="15" t="s">
        <v>3808</v>
      </c>
      <c r="F238" s="15" t="s">
        <v>3809</v>
      </c>
      <c r="G238" s="15" t="s">
        <v>3810</v>
      </c>
      <c r="H238" s="15" t="s">
        <v>3811</v>
      </c>
      <c r="I238" s="15" t="s">
        <v>3812</v>
      </c>
      <c r="J238" s="15" t="s">
        <v>3813</v>
      </c>
    </row>
    <row r="239" spans="1:10" x14ac:dyDescent="0.2">
      <c r="A239" s="13" t="s">
        <v>3145</v>
      </c>
      <c r="B239" s="18" t="str" cm="1">
        <f t="array" ref="B239">_xlfn.TEXTJOIN(,1,IF(IFERROR(FIND(table_prefix[前缀],table_l10n!A239),FALSE),TEXT(table_prefix[说明],""),""))</f>
        <v>遗物 - 描述</v>
      </c>
      <c r="C239" s="19" t="s">
        <v>3776</v>
      </c>
      <c r="D239" s="15" t="s">
        <v>3776</v>
      </c>
      <c r="E239" s="15" t="s">
        <v>3814</v>
      </c>
      <c r="F239" s="15" t="s">
        <v>3815</v>
      </c>
      <c r="G239" s="15" t="s">
        <v>3816</v>
      </c>
      <c r="H239" s="15" t="s">
        <v>3817</v>
      </c>
      <c r="I239" s="15" t="s">
        <v>3818</v>
      </c>
      <c r="J239" s="15" t="s">
        <v>3819</v>
      </c>
    </row>
    <row r="240" spans="1:10" x14ac:dyDescent="0.2">
      <c r="A240" s="13" t="s">
        <v>3770</v>
      </c>
      <c r="B240" s="18" t="str" cm="1">
        <f t="array" ref="B240">_xlfn.TEXTJOIN(,1,IF(IFERROR(FIND(table_prefix[前缀],table_l10n!A240),FALSE),TEXT(table_prefix[说明],""),""))</f>
        <v>遗物 - 描述</v>
      </c>
      <c r="C240" s="19" t="s">
        <v>3777</v>
      </c>
      <c r="D240" s="15" t="s">
        <v>3777</v>
      </c>
      <c r="E240" s="15" t="s">
        <v>3820</v>
      </c>
      <c r="F240" s="15" t="s">
        <v>3821</v>
      </c>
      <c r="G240" s="15" t="s">
        <v>3822</v>
      </c>
      <c r="H240" s="15" t="s">
        <v>3823</v>
      </c>
      <c r="I240" s="15" t="s">
        <v>3824</v>
      </c>
      <c r="J240" s="15" t="s">
        <v>3825</v>
      </c>
    </row>
    <row r="241" spans="1:10" x14ac:dyDescent="0.2">
      <c r="A241" s="13" t="s">
        <v>3771</v>
      </c>
      <c r="B241" s="18" t="str" cm="1">
        <f t="array" ref="B241">_xlfn.TEXTJOIN(,1,IF(IFERROR(FIND(table_prefix[前缀],table_l10n!A241),FALSE),TEXT(table_prefix[说明],""),""))</f>
        <v>遗物 - 描述</v>
      </c>
      <c r="C241" s="19" t="s">
        <v>3778</v>
      </c>
      <c r="D241" s="15" t="s">
        <v>3778</v>
      </c>
      <c r="E241" s="15" t="s">
        <v>3826</v>
      </c>
      <c r="F241" s="15" t="s">
        <v>3827</v>
      </c>
      <c r="G241" s="15" t="s">
        <v>3828</v>
      </c>
      <c r="H241" s="15" t="s">
        <v>3829</v>
      </c>
      <c r="I241" s="15" t="s">
        <v>3830</v>
      </c>
      <c r="J241" s="15" t="s">
        <v>3831</v>
      </c>
    </row>
    <row r="242" spans="1:10" x14ac:dyDescent="0.2">
      <c r="A242" s="13" t="s">
        <v>3772</v>
      </c>
      <c r="B242" s="18" t="str" cm="1">
        <f t="array" ref="B242">_xlfn.TEXTJOIN(,1,IF(IFERROR(FIND(table_prefix[前缀],table_l10n!A242),FALSE),TEXT(table_prefix[说明],""),""))</f>
        <v>遗物 - 描述</v>
      </c>
      <c r="C242" s="19" t="s">
        <v>3779</v>
      </c>
      <c r="D242" s="15" t="s">
        <v>3779</v>
      </c>
      <c r="E242" s="15" t="s">
        <v>3832</v>
      </c>
      <c r="F242" s="15" t="s">
        <v>3833</v>
      </c>
      <c r="G242" s="15" t="s">
        <v>3834</v>
      </c>
      <c r="H242" s="15" t="s">
        <v>3835</v>
      </c>
      <c r="I242" s="15" t="s">
        <v>3836</v>
      </c>
      <c r="J242" s="15" t="s">
        <v>3837</v>
      </c>
    </row>
    <row r="243" spans="1:10" x14ac:dyDescent="0.2">
      <c r="A243" s="13" t="s">
        <v>1040</v>
      </c>
      <c r="B243" s="18" t="str" cm="1">
        <f t="array" ref="B243">_xlfn.TEXTJOIN(,1,IF(IFERROR(FIND(table_prefix[前缀],table_l10n!A243),FALSE),TEXT(table_prefix[说明],""),""))</f>
        <v>遗物 - 描述</v>
      </c>
      <c r="C243" s="19" t="s">
        <v>3780</v>
      </c>
      <c r="D243" s="15" t="s">
        <v>3780</v>
      </c>
      <c r="E243" s="15" t="s">
        <v>3838</v>
      </c>
      <c r="F243" s="15" t="s">
        <v>3839</v>
      </c>
      <c r="G243" s="15" t="s">
        <v>3840</v>
      </c>
      <c r="H243" s="15" t="s">
        <v>3841</v>
      </c>
      <c r="I243" s="15" t="s">
        <v>3842</v>
      </c>
      <c r="J243" s="15" t="s">
        <v>3843</v>
      </c>
    </row>
    <row r="244" spans="1:10" x14ac:dyDescent="0.2">
      <c r="A244" s="13" t="s">
        <v>1041</v>
      </c>
      <c r="B244" s="18" t="str" cm="1">
        <f t="array" ref="B244">_xlfn.TEXTJOIN(,1,IF(IFERROR(FIND(table_prefix[前缀],table_l10n!A244),FALSE),TEXT(table_prefix[说明],""),""))</f>
        <v>遗物 - 描述</v>
      </c>
      <c r="C244" s="19" t="s">
        <v>3781</v>
      </c>
      <c r="D244" s="15" t="s">
        <v>3781</v>
      </c>
      <c r="E244" s="15" t="s">
        <v>3844</v>
      </c>
      <c r="F244" s="15" t="s">
        <v>3845</v>
      </c>
      <c r="G244" s="15" t="s">
        <v>3846</v>
      </c>
      <c r="H244" s="15" t="s">
        <v>3847</v>
      </c>
      <c r="I244" s="15" t="s">
        <v>3848</v>
      </c>
      <c r="J244" s="15" t="s">
        <v>3849</v>
      </c>
    </row>
    <row r="245" spans="1:10" x14ac:dyDescent="0.2">
      <c r="A245" s="13" t="s">
        <v>1042</v>
      </c>
      <c r="B245" s="18" t="str" cm="1">
        <f t="array" ref="B245">_xlfn.TEXTJOIN(,1,IF(IFERROR(FIND(table_prefix[前缀],table_l10n!A245),FALSE),TEXT(table_prefix[说明],""),""))</f>
        <v>遗物 - 描述</v>
      </c>
      <c r="C245" s="19" t="s">
        <v>3782</v>
      </c>
      <c r="D245" s="15" t="s">
        <v>3782</v>
      </c>
      <c r="E245" s="15" t="s">
        <v>3850</v>
      </c>
      <c r="F245" s="15" t="s">
        <v>3851</v>
      </c>
      <c r="G245" s="15" t="s">
        <v>3852</v>
      </c>
      <c r="H245" s="15" t="s">
        <v>3853</v>
      </c>
      <c r="I245" s="15" t="s">
        <v>3854</v>
      </c>
      <c r="J245" s="15" t="s">
        <v>3855</v>
      </c>
    </row>
    <row r="246" spans="1:10" x14ac:dyDescent="0.2">
      <c r="A246" s="13" t="s">
        <v>3146</v>
      </c>
      <c r="B246" s="18" t="str" cm="1">
        <f t="array" ref="B246">_xlfn.TEXTJOIN(,1,IF(IFERROR(FIND(table_prefix[前缀],table_l10n!A246),FALSE),TEXT(table_prefix[说明],""),""))</f>
        <v>遗物 - 描述</v>
      </c>
      <c r="C246" s="19" t="s">
        <v>3783</v>
      </c>
      <c r="D246" s="15" t="s">
        <v>3783</v>
      </c>
      <c r="E246" s="15" t="s">
        <v>3856</v>
      </c>
      <c r="F246" s="15" t="s">
        <v>3857</v>
      </c>
      <c r="G246" s="15" t="s">
        <v>3858</v>
      </c>
      <c r="H246" s="15" t="s">
        <v>3859</v>
      </c>
      <c r="I246" s="15" t="s">
        <v>3860</v>
      </c>
      <c r="J246" s="15" t="s">
        <v>3861</v>
      </c>
    </row>
    <row r="247" spans="1:10" x14ac:dyDescent="0.2">
      <c r="A247" s="13" t="s">
        <v>1043</v>
      </c>
      <c r="B247" s="18" t="str" cm="1">
        <f t="array" ref="B247">_xlfn.TEXTJOIN(,1,IF(IFERROR(FIND(table_prefix[前缀],table_l10n!A247),FALSE),TEXT(table_prefix[说明],""),""))</f>
        <v>遗物 - 描述</v>
      </c>
      <c r="C247" s="19" t="s">
        <v>3784</v>
      </c>
      <c r="D247" s="15" t="s">
        <v>3784</v>
      </c>
      <c r="E247" s="15" t="s">
        <v>3862</v>
      </c>
      <c r="F247" s="15" t="s">
        <v>3863</v>
      </c>
      <c r="G247" s="15" t="s">
        <v>3864</v>
      </c>
      <c r="H247" s="15" t="s">
        <v>3865</v>
      </c>
      <c r="I247" s="15" t="s">
        <v>3866</v>
      </c>
      <c r="J247" s="15" t="s">
        <v>3867</v>
      </c>
    </row>
    <row r="248" spans="1:10" x14ac:dyDescent="0.2">
      <c r="A248" s="13" t="s">
        <v>1044</v>
      </c>
      <c r="B248" s="18" t="str" cm="1">
        <f t="array" ref="B248">_xlfn.TEXTJOIN(,1,IF(IFERROR(FIND(table_prefix[前缀],table_l10n!A248),FALSE),TEXT(table_prefix[说明],""),""))</f>
        <v>遗物 - 描述</v>
      </c>
      <c r="C248" s="19" t="s">
        <v>3785</v>
      </c>
      <c r="D248" s="15" t="s">
        <v>3785</v>
      </c>
      <c r="E248" s="15" t="s">
        <v>3868</v>
      </c>
      <c r="F248" s="15" t="s">
        <v>3869</v>
      </c>
      <c r="G248" s="15" t="s">
        <v>3870</v>
      </c>
      <c r="H248" s="15" t="s">
        <v>3871</v>
      </c>
      <c r="I248" s="15" t="s">
        <v>3872</v>
      </c>
      <c r="J248" s="15" t="s">
        <v>3873</v>
      </c>
    </row>
    <row r="249" spans="1:10" x14ac:dyDescent="0.2">
      <c r="A249" s="13" t="s">
        <v>1045</v>
      </c>
      <c r="B249" s="18" t="str" cm="1">
        <f t="array" ref="B249">_xlfn.TEXTJOIN(,1,IF(IFERROR(FIND(table_prefix[前缀],table_l10n!A249),FALSE),TEXT(table_prefix[说明],""),""))</f>
        <v>遗物 - 描述</v>
      </c>
      <c r="C249" s="19" t="s">
        <v>3786</v>
      </c>
      <c r="D249" s="15" t="s">
        <v>3786</v>
      </c>
      <c r="E249" s="15" t="s">
        <v>3874</v>
      </c>
      <c r="F249" s="15" t="s">
        <v>3875</v>
      </c>
      <c r="G249" s="15" t="s">
        <v>3876</v>
      </c>
      <c r="H249" s="15" t="s">
        <v>3877</v>
      </c>
      <c r="I249" s="15" t="s">
        <v>3878</v>
      </c>
      <c r="J249" s="15" t="s">
        <v>3879</v>
      </c>
    </row>
    <row r="250" spans="1:10" x14ac:dyDescent="0.2">
      <c r="A250" s="13" t="s">
        <v>3147</v>
      </c>
      <c r="B250" s="18" t="str" cm="1">
        <f t="array" ref="B250">_xlfn.TEXTJOIN(,1,IF(IFERROR(FIND(table_prefix[前缀],table_l10n!A250),FALSE),TEXT(table_prefix[说明],""),""))</f>
        <v>遗物 - 描述</v>
      </c>
      <c r="C250" s="19" t="s">
        <v>3787</v>
      </c>
      <c r="D250" s="15" t="s">
        <v>3787</v>
      </c>
      <c r="E250" s="15" t="s">
        <v>3880</v>
      </c>
      <c r="F250" s="15" t="s">
        <v>3881</v>
      </c>
      <c r="G250" s="15" t="s">
        <v>3882</v>
      </c>
      <c r="H250" s="15" t="s">
        <v>3883</v>
      </c>
      <c r="I250" s="15" t="s">
        <v>3884</v>
      </c>
      <c r="J250" s="15" t="s">
        <v>3885</v>
      </c>
    </row>
    <row r="251" spans="1:10" x14ac:dyDescent="0.2">
      <c r="A251" s="13" t="s">
        <v>1046</v>
      </c>
      <c r="B251" s="18" t="str" cm="1">
        <f t="array" ref="B251">_xlfn.TEXTJOIN(,1,IF(IFERROR(FIND(table_prefix[前缀],table_l10n!A251),FALSE),TEXT(table_prefix[说明],""),""))</f>
        <v>遗物 - 描述</v>
      </c>
      <c r="C251" s="19" t="s">
        <v>3788</v>
      </c>
      <c r="D251" s="15" t="s">
        <v>3788</v>
      </c>
      <c r="E251" s="15" t="s">
        <v>3886</v>
      </c>
      <c r="F251" s="15" t="s">
        <v>3887</v>
      </c>
      <c r="G251" s="15" t="s">
        <v>3888</v>
      </c>
      <c r="H251" s="15" t="s">
        <v>3889</v>
      </c>
      <c r="I251" s="15" t="s">
        <v>3890</v>
      </c>
      <c r="J251" s="15" t="s">
        <v>3891</v>
      </c>
    </row>
    <row r="252" spans="1:10" x14ac:dyDescent="0.2">
      <c r="A252" s="13" t="s">
        <v>1047</v>
      </c>
      <c r="B252" s="18" t="str" cm="1">
        <f t="array" ref="B252">_xlfn.TEXTJOIN(,1,IF(IFERROR(FIND(table_prefix[前缀],table_l10n!A252),FALSE),TEXT(table_prefix[说明],""),""))</f>
        <v>遗物 - 描述</v>
      </c>
      <c r="C252" s="19" t="s">
        <v>3789</v>
      </c>
      <c r="D252" s="15" t="s">
        <v>3789</v>
      </c>
      <c r="E252" s="15" t="s">
        <v>3892</v>
      </c>
      <c r="F252" s="15" t="s">
        <v>3893</v>
      </c>
      <c r="G252" s="15" t="s">
        <v>3894</v>
      </c>
      <c r="H252" s="15" t="s">
        <v>3895</v>
      </c>
      <c r="I252" s="15" t="s">
        <v>3896</v>
      </c>
      <c r="J252" s="15" t="s">
        <v>3897</v>
      </c>
    </row>
    <row r="253" spans="1:10" x14ac:dyDescent="0.2">
      <c r="A253" s="13" t="s">
        <v>1048</v>
      </c>
      <c r="B253" s="18" t="str" cm="1">
        <f t="array" ref="B253">_xlfn.TEXTJOIN(,1,IF(IFERROR(FIND(table_prefix[前缀],table_l10n!A253),FALSE),TEXT(table_prefix[说明],""),""))</f>
        <v>遗物 - 描述</v>
      </c>
      <c r="C253" s="19" t="s">
        <v>3790</v>
      </c>
      <c r="D253" s="15" t="s">
        <v>3790</v>
      </c>
      <c r="E253" s="15" t="s">
        <v>3898</v>
      </c>
      <c r="F253" s="15" t="s">
        <v>3899</v>
      </c>
      <c r="G253" s="15" t="s">
        <v>3900</v>
      </c>
      <c r="H253" s="15" t="s">
        <v>3901</v>
      </c>
      <c r="I253" s="15" t="s">
        <v>3902</v>
      </c>
      <c r="J253" s="15" t="s">
        <v>3903</v>
      </c>
    </row>
    <row r="254" spans="1:10" x14ac:dyDescent="0.2">
      <c r="A254" s="13" t="s">
        <v>3148</v>
      </c>
      <c r="B254" s="18" t="str" cm="1">
        <f t="array" ref="B254">_xlfn.TEXTJOIN(,1,IF(IFERROR(FIND(table_prefix[前缀],table_l10n!A254),FALSE),TEXT(table_prefix[说明],""),""))</f>
        <v>遗物 - 描述</v>
      </c>
      <c r="C254" s="19" t="s">
        <v>3791</v>
      </c>
      <c r="D254" s="15" t="s">
        <v>3791</v>
      </c>
      <c r="E254" s="15" t="s">
        <v>3904</v>
      </c>
      <c r="F254" s="15" t="s">
        <v>3905</v>
      </c>
      <c r="G254" s="15" t="s">
        <v>3906</v>
      </c>
      <c r="H254" s="15" t="s">
        <v>3907</v>
      </c>
      <c r="I254" s="15" t="s">
        <v>3908</v>
      </c>
      <c r="J254" s="15" t="s">
        <v>3909</v>
      </c>
    </row>
    <row r="255" spans="1:10" x14ac:dyDescent="0.2">
      <c r="A255" s="13" t="s">
        <v>1049</v>
      </c>
      <c r="B255" s="18" t="str" cm="1">
        <f t="array" ref="B255">_xlfn.TEXTJOIN(,1,IF(IFERROR(FIND(table_prefix[前缀],table_l10n!A255),FALSE),TEXT(table_prefix[说明],""),""))</f>
        <v>遗物 - 描述</v>
      </c>
      <c r="C255" s="19" t="s">
        <v>3792</v>
      </c>
      <c r="D255" s="15" t="s">
        <v>3792</v>
      </c>
      <c r="E255" s="15" t="s">
        <v>3910</v>
      </c>
      <c r="F255" s="15" t="s">
        <v>3911</v>
      </c>
      <c r="G255" s="15" t="s">
        <v>3912</v>
      </c>
      <c r="H255" s="15" t="s">
        <v>3913</v>
      </c>
      <c r="I255" s="15" t="s">
        <v>3914</v>
      </c>
      <c r="J255" s="15" t="s">
        <v>3915</v>
      </c>
    </row>
    <row r="256" spans="1:10" x14ac:dyDescent="0.2">
      <c r="A256" s="13" t="s">
        <v>1050</v>
      </c>
      <c r="B256" s="18" t="str" cm="1">
        <f t="array" ref="B256">_xlfn.TEXTJOIN(,1,IF(IFERROR(FIND(table_prefix[前缀],table_l10n!A256),FALSE),TEXT(table_prefix[说明],""),""))</f>
        <v>遗物 - 描述</v>
      </c>
      <c r="C256" s="19" t="s">
        <v>3793</v>
      </c>
      <c r="D256" s="15" t="s">
        <v>3793</v>
      </c>
      <c r="E256" s="15" t="s">
        <v>3916</v>
      </c>
      <c r="F256" s="15" t="s">
        <v>3917</v>
      </c>
      <c r="G256" s="15" t="s">
        <v>3918</v>
      </c>
      <c r="H256" s="15" t="s">
        <v>3919</v>
      </c>
      <c r="I256" s="15" t="s">
        <v>3920</v>
      </c>
      <c r="J256" s="15" t="s">
        <v>3921</v>
      </c>
    </row>
    <row r="257" spans="1:10" x14ac:dyDescent="0.2">
      <c r="A257" s="13" t="s">
        <v>1051</v>
      </c>
      <c r="B257" s="18" t="str" cm="1">
        <f t="array" ref="B257">_xlfn.TEXTJOIN(,1,IF(IFERROR(FIND(table_prefix[前缀],table_l10n!A257),FALSE),TEXT(table_prefix[说明],""),""))</f>
        <v>遗物 - 描述</v>
      </c>
      <c r="C257" s="19" t="s">
        <v>3794</v>
      </c>
      <c r="D257" s="15" t="s">
        <v>3794</v>
      </c>
      <c r="E257" s="15" t="s">
        <v>3922</v>
      </c>
      <c r="F257" s="15" t="s">
        <v>3923</v>
      </c>
      <c r="G257" s="15" t="s">
        <v>3924</v>
      </c>
      <c r="H257" s="15" t="s">
        <v>3925</v>
      </c>
      <c r="I257" s="15" t="s">
        <v>3926</v>
      </c>
      <c r="J257" s="15" t="s">
        <v>3927</v>
      </c>
    </row>
    <row r="258" spans="1:10" x14ac:dyDescent="0.2">
      <c r="A258" s="13" t="s">
        <v>3149</v>
      </c>
      <c r="B258" s="18" t="str" cm="1">
        <f t="array" ref="B258">_xlfn.TEXTJOIN(,1,IF(IFERROR(FIND(table_prefix[前缀],table_l10n!A258),FALSE),TEXT(table_prefix[说明],""),""))</f>
        <v>遗物 - 描述</v>
      </c>
      <c r="C258" s="19" t="s">
        <v>3795</v>
      </c>
      <c r="D258" s="15" t="s">
        <v>3795</v>
      </c>
      <c r="E258" s="15" t="s">
        <v>3928</v>
      </c>
      <c r="F258" s="15" t="s">
        <v>3929</v>
      </c>
      <c r="G258" s="15" t="s">
        <v>3930</v>
      </c>
      <c r="H258" s="15" t="s">
        <v>3931</v>
      </c>
      <c r="I258" s="15" t="s">
        <v>3932</v>
      </c>
      <c r="J258" s="15" t="s">
        <v>3933</v>
      </c>
    </row>
    <row r="259" spans="1:10" x14ac:dyDescent="0.2">
      <c r="A259" s="13" t="s">
        <v>1052</v>
      </c>
      <c r="B259" s="18" t="str" cm="1">
        <f t="array" ref="B259">_xlfn.TEXTJOIN(,1,IF(IFERROR(FIND(table_prefix[前缀],table_l10n!A259),FALSE),TEXT(table_prefix[说明],""),""))</f>
        <v>遗物 - 描述</v>
      </c>
      <c r="C259" s="19" t="s">
        <v>3160</v>
      </c>
      <c r="D259" s="15" t="s">
        <v>3160</v>
      </c>
      <c r="E259" s="15" t="s">
        <v>3200</v>
      </c>
      <c r="F259" s="15" t="s">
        <v>3201</v>
      </c>
      <c r="G259" s="15" t="s">
        <v>3202</v>
      </c>
      <c r="H259" s="15" t="s">
        <v>3203</v>
      </c>
      <c r="I259" s="15" t="s">
        <v>3204</v>
      </c>
      <c r="J259" s="15" t="s">
        <v>3205</v>
      </c>
    </row>
    <row r="260" spans="1:10" x14ac:dyDescent="0.2">
      <c r="A260" s="13" t="s">
        <v>1053</v>
      </c>
      <c r="B260" s="18" t="str" cm="1">
        <f t="array" ref="B260">_xlfn.TEXTJOIN(,1,IF(IFERROR(FIND(table_prefix[前缀],table_l10n!A260),FALSE),TEXT(table_prefix[说明],""),""))</f>
        <v>遗物 - 描述</v>
      </c>
      <c r="C260" s="19" t="s">
        <v>3161</v>
      </c>
      <c r="D260" s="15" t="s">
        <v>3161</v>
      </c>
      <c r="E260" s="15" t="s">
        <v>3206</v>
      </c>
      <c r="F260" s="15" t="s">
        <v>3207</v>
      </c>
      <c r="G260" s="15" t="s">
        <v>3208</v>
      </c>
      <c r="H260" s="15" t="s">
        <v>3209</v>
      </c>
      <c r="I260" s="15" t="s">
        <v>3210</v>
      </c>
      <c r="J260" s="15" t="s">
        <v>3211</v>
      </c>
    </row>
    <row r="261" spans="1:10" x14ac:dyDescent="0.2">
      <c r="A261" s="13" t="s">
        <v>1054</v>
      </c>
      <c r="B261" s="18" t="str" cm="1">
        <f t="array" ref="B261">_xlfn.TEXTJOIN(,1,IF(IFERROR(FIND(table_prefix[前缀],table_l10n!A261),FALSE),TEXT(table_prefix[说明],""),""))</f>
        <v>遗物 - 描述</v>
      </c>
      <c r="C261" s="19" t="s">
        <v>3162</v>
      </c>
      <c r="D261" s="15" t="s">
        <v>3162</v>
      </c>
      <c r="E261" s="15" t="s">
        <v>3212</v>
      </c>
      <c r="F261" s="15" t="s">
        <v>3213</v>
      </c>
      <c r="G261" s="15" t="s">
        <v>3214</v>
      </c>
      <c r="H261" s="15" t="s">
        <v>3215</v>
      </c>
      <c r="I261" s="15" t="s">
        <v>3216</v>
      </c>
      <c r="J261" s="15" t="s">
        <v>3217</v>
      </c>
    </row>
    <row r="262" spans="1:10" x14ac:dyDescent="0.2">
      <c r="A262" s="13" t="s">
        <v>3150</v>
      </c>
      <c r="B262" s="18" t="str" cm="1">
        <f t="array" ref="B262">_xlfn.TEXTJOIN(,1,IF(IFERROR(FIND(table_prefix[前缀],table_l10n!A262),FALSE),TEXT(table_prefix[说明],""),""))</f>
        <v>遗物 - 描述</v>
      </c>
      <c r="C262" s="19" t="s">
        <v>3163</v>
      </c>
      <c r="D262" s="15" t="s">
        <v>3163</v>
      </c>
      <c r="E262" s="15" t="s">
        <v>3218</v>
      </c>
      <c r="F262" s="15" t="s">
        <v>3219</v>
      </c>
      <c r="G262" s="15" t="s">
        <v>3220</v>
      </c>
      <c r="H262" s="15" t="s">
        <v>3221</v>
      </c>
      <c r="I262" s="15" t="s">
        <v>3222</v>
      </c>
      <c r="J262" s="15" t="s">
        <v>3223</v>
      </c>
    </row>
    <row r="263" spans="1:10" x14ac:dyDescent="0.2">
      <c r="A263" s="13" t="s">
        <v>1055</v>
      </c>
      <c r="B263" s="18" t="str" cm="1">
        <f t="array" ref="B263">_xlfn.TEXTJOIN(,1,IF(IFERROR(FIND(table_prefix[前缀],table_l10n!A263),FALSE),TEXT(table_prefix[说明],""),""))</f>
        <v>遗物 - 描述</v>
      </c>
      <c r="C263" s="19" t="s">
        <v>3164</v>
      </c>
      <c r="D263" s="15" t="s">
        <v>3164</v>
      </c>
      <c r="E263" s="15" t="s">
        <v>3224</v>
      </c>
      <c r="F263" s="15" t="s">
        <v>3225</v>
      </c>
      <c r="G263" s="15" t="s">
        <v>3226</v>
      </c>
      <c r="H263" s="15" t="s">
        <v>3227</v>
      </c>
      <c r="I263" s="15" t="s">
        <v>3228</v>
      </c>
      <c r="J263" s="15" t="s">
        <v>3229</v>
      </c>
    </row>
    <row r="264" spans="1:10" x14ac:dyDescent="0.2">
      <c r="A264" s="13" t="s">
        <v>1056</v>
      </c>
      <c r="B264" s="18" t="str" cm="1">
        <f t="array" ref="B264">_xlfn.TEXTJOIN(,1,IF(IFERROR(FIND(table_prefix[前缀],table_l10n!A264),FALSE),TEXT(table_prefix[说明],""),""))</f>
        <v>遗物 - 描述</v>
      </c>
      <c r="C264" s="19" t="s">
        <v>3165</v>
      </c>
      <c r="D264" s="15" t="s">
        <v>3165</v>
      </c>
      <c r="E264" s="15" t="s">
        <v>3230</v>
      </c>
      <c r="F264" s="15" t="s">
        <v>3231</v>
      </c>
      <c r="G264" s="15" t="s">
        <v>3232</v>
      </c>
      <c r="H264" s="15" t="s">
        <v>3233</v>
      </c>
      <c r="I264" s="15" t="s">
        <v>3234</v>
      </c>
      <c r="J264" s="15" t="s">
        <v>3235</v>
      </c>
    </row>
    <row r="265" spans="1:10" x14ac:dyDescent="0.2">
      <c r="A265" s="13" t="s">
        <v>1057</v>
      </c>
      <c r="B265" s="18" t="str" cm="1">
        <f t="array" ref="B265">_xlfn.TEXTJOIN(,1,IF(IFERROR(FIND(table_prefix[前缀],table_l10n!A265),FALSE),TEXT(table_prefix[说明],""),""))</f>
        <v>遗物 - 描述</v>
      </c>
      <c r="C265" s="19" t="s">
        <v>3166</v>
      </c>
      <c r="D265" s="15" t="s">
        <v>3166</v>
      </c>
      <c r="E265" s="15" t="s">
        <v>3236</v>
      </c>
      <c r="F265" s="15" t="s">
        <v>3237</v>
      </c>
      <c r="G265" s="15" t="s">
        <v>3238</v>
      </c>
      <c r="H265" s="15" t="s">
        <v>3239</v>
      </c>
      <c r="I265" s="15" t="s">
        <v>3240</v>
      </c>
      <c r="J265" s="15" t="s">
        <v>3241</v>
      </c>
    </row>
    <row r="266" spans="1:10" x14ac:dyDescent="0.2">
      <c r="A266" s="13" t="s">
        <v>3151</v>
      </c>
      <c r="B266" s="18" t="str" cm="1">
        <f t="array" ref="B266">_xlfn.TEXTJOIN(,1,IF(IFERROR(FIND(table_prefix[前缀],table_l10n!A266),FALSE),TEXT(table_prefix[说明],""),""))</f>
        <v>遗物 - 描述</v>
      </c>
      <c r="C266" s="19" t="s">
        <v>3167</v>
      </c>
      <c r="D266" s="15" t="s">
        <v>3167</v>
      </c>
      <c r="E266" s="15" t="s">
        <v>3242</v>
      </c>
      <c r="F266" s="15" t="s">
        <v>3243</v>
      </c>
      <c r="G266" s="15" t="s">
        <v>3244</v>
      </c>
      <c r="H266" s="15" t="s">
        <v>3245</v>
      </c>
      <c r="I266" s="15" t="s">
        <v>3246</v>
      </c>
      <c r="J266" s="15" t="s">
        <v>3247</v>
      </c>
    </row>
    <row r="267" spans="1:10" x14ac:dyDescent="0.2">
      <c r="A267" s="13" t="s">
        <v>1058</v>
      </c>
      <c r="B267" s="18" t="str" cm="1">
        <f t="array" ref="B267">_xlfn.TEXTJOIN(,1,IF(IFERROR(FIND(table_prefix[前缀],table_l10n!A267),FALSE),TEXT(table_prefix[说明],""),""))</f>
        <v>遗物 - 描述</v>
      </c>
      <c r="C267" s="19" t="s">
        <v>3168</v>
      </c>
      <c r="D267" s="15" t="s">
        <v>3168</v>
      </c>
      <c r="E267" s="15" t="s">
        <v>3248</v>
      </c>
      <c r="F267" s="15" t="s">
        <v>3249</v>
      </c>
      <c r="G267" s="15" t="s">
        <v>3250</v>
      </c>
      <c r="H267" s="15" t="s">
        <v>3251</v>
      </c>
      <c r="I267" s="15" t="s">
        <v>3252</v>
      </c>
      <c r="J267" s="15" t="s">
        <v>3253</v>
      </c>
    </row>
    <row r="268" spans="1:10" x14ac:dyDescent="0.2">
      <c r="A268" s="13" t="s">
        <v>1059</v>
      </c>
      <c r="B268" s="18" t="str" cm="1">
        <f t="array" ref="B268">_xlfn.TEXTJOIN(,1,IF(IFERROR(FIND(table_prefix[前缀],table_l10n!A268),FALSE),TEXT(table_prefix[说明],""),""))</f>
        <v>遗物 - 描述</v>
      </c>
      <c r="C268" s="19" t="s">
        <v>3169</v>
      </c>
      <c r="D268" s="15" t="s">
        <v>3169</v>
      </c>
      <c r="E268" s="15" t="s">
        <v>3254</v>
      </c>
      <c r="F268" s="15" t="s">
        <v>3255</v>
      </c>
      <c r="G268" s="15" t="s">
        <v>3256</v>
      </c>
      <c r="H268" s="15" t="s">
        <v>3257</v>
      </c>
      <c r="I268" s="15" t="s">
        <v>3258</v>
      </c>
      <c r="J268" s="15" t="s">
        <v>3259</v>
      </c>
    </row>
    <row r="269" spans="1:10" x14ac:dyDescent="0.2">
      <c r="A269" s="13" t="s">
        <v>1060</v>
      </c>
      <c r="B269" s="18" t="str" cm="1">
        <f t="array" ref="B269">_xlfn.TEXTJOIN(,1,IF(IFERROR(FIND(table_prefix[前缀],table_l10n!A269),FALSE),TEXT(table_prefix[说明],""),""))</f>
        <v>遗物 - 描述</v>
      </c>
      <c r="C269" s="19" t="s">
        <v>3170</v>
      </c>
      <c r="D269" s="15" t="s">
        <v>3170</v>
      </c>
      <c r="E269" s="15" t="s">
        <v>3260</v>
      </c>
      <c r="F269" s="15" t="s">
        <v>3261</v>
      </c>
      <c r="G269" s="15" t="s">
        <v>3262</v>
      </c>
      <c r="H269" s="15" t="s">
        <v>3263</v>
      </c>
      <c r="I269" s="15" t="s">
        <v>3264</v>
      </c>
      <c r="J269" s="15" t="s">
        <v>3265</v>
      </c>
    </row>
    <row r="270" spans="1:10" x14ac:dyDescent="0.2">
      <c r="A270" s="13" t="s">
        <v>3152</v>
      </c>
      <c r="B270" s="18" t="str" cm="1">
        <f t="array" ref="B270">_xlfn.TEXTJOIN(,1,IF(IFERROR(FIND(table_prefix[前缀],table_l10n!A270),FALSE),TEXT(table_prefix[说明],""),""))</f>
        <v>遗物 - 描述</v>
      </c>
      <c r="C270" s="19" t="s">
        <v>3171</v>
      </c>
      <c r="D270" s="15" t="s">
        <v>3171</v>
      </c>
      <c r="E270" s="15" t="s">
        <v>3266</v>
      </c>
      <c r="F270" s="15" t="s">
        <v>3267</v>
      </c>
      <c r="G270" s="15" t="s">
        <v>3268</v>
      </c>
      <c r="H270" s="15" t="s">
        <v>3269</v>
      </c>
      <c r="I270" s="15" t="s">
        <v>3270</v>
      </c>
      <c r="J270" s="15" t="s">
        <v>3271</v>
      </c>
    </row>
    <row r="271" spans="1:10" x14ac:dyDescent="0.2">
      <c r="A271" s="13" t="s">
        <v>1061</v>
      </c>
      <c r="B271" s="18" t="str" cm="1">
        <f t="array" ref="B271">_xlfn.TEXTJOIN(,1,IF(IFERROR(FIND(table_prefix[前缀],table_l10n!A271),FALSE),TEXT(table_prefix[说明],""),""))</f>
        <v>遗物 - 描述</v>
      </c>
      <c r="C271" s="19" t="s">
        <v>3172</v>
      </c>
      <c r="D271" s="15" t="s">
        <v>3172</v>
      </c>
      <c r="E271" s="15" t="s">
        <v>3272</v>
      </c>
      <c r="F271" s="15" t="s">
        <v>3273</v>
      </c>
      <c r="G271" s="15" t="s">
        <v>3274</v>
      </c>
      <c r="H271" s="15" t="s">
        <v>3275</v>
      </c>
      <c r="I271" s="15" t="s">
        <v>3276</v>
      </c>
      <c r="J271" s="15" t="s">
        <v>3277</v>
      </c>
    </row>
    <row r="272" spans="1:10" x14ac:dyDescent="0.2">
      <c r="A272" s="13" t="s">
        <v>1062</v>
      </c>
      <c r="B272" s="18" t="str" cm="1">
        <f t="array" ref="B272">_xlfn.TEXTJOIN(,1,IF(IFERROR(FIND(table_prefix[前缀],table_l10n!A272),FALSE),TEXT(table_prefix[说明],""),""))</f>
        <v>遗物 - 描述</v>
      </c>
      <c r="C272" s="19" t="s">
        <v>3173</v>
      </c>
      <c r="D272" s="15" t="s">
        <v>3173</v>
      </c>
      <c r="E272" s="15" t="s">
        <v>3278</v>
      </c>
      <c r="F272" s="15" t="s">
        <v>3279</v>
      </c>
      <c r="G272" s="15" t="s">
        <v>3280</v>
      </c>
      <c r="H272" s="15" t="s">
        <v>3281</v>
      </c>
      <c r="I272" s="15" t="s">
        <v>3282</v>
      </c>
      <c r="J272" s="15" t="s">
        <v>3283</v>
      </c>
    </row>
    <row r="273" spans="1:10" x14ac:dyDescent="0.2">
      <c r="A273" s="13" t="s">
        <v>1063</v>
      </c>
      <c r="B273" s="18" t="str" cm="1">
        <f t="array" ref="B273">_xlfn.TEXTJOIN(,1,IF(IFERROR(FIND(table_prefix[前缀],table_l10n!A273),FALSE),TEXT(table_prefix[说明],""),""))</f>
        <v>遗物 - 描述</v>
      </c>
      <c r="C273" s="19" t="s">
        <v>3174</v>
      </c>
      <c r="D273" s="15" t="s">
        <v>3174</v>
      </c>
      <c r="E273" s="15" t="s">
        <v>3284</v>
      </c>
      <c r="F273" s="15" t="s">
        <v>3285</v>
      </c>
      <c r="G273" s="15" t="s">
        <v>3286</v>
      </c>
      <c r="H273" s="15" t="s">
        <v>3287</v>
      </c>
      <c r="I273" s="15" t="s">
        <v>3288</v>
      </c>
      <c r="J273" s="15" t="s">
        <v>3289</v>
      </c>
    </row>
    <row r="274" spans="1:10" x14ac:dyDescent="0.2">
      <c r="A274" s="13" t="s">
        <v>3153</v>
      </c>
      <c r="B274" s="18" t="str" cm="1">
        <f t="array" ref="B274">_xlfn.TEXTJOIN(,1,IF(IFERROR(FIND(table_prefix[前缀],table_l10n!A274),FALSE),TEXT(table_prefix[说明],""),""))</f>
        <v>遗物 - 描述</v>
      </c>
      <c r="C274" s="19" t="s">
        <v>3175</v>
      </c>
      <c r="D274" s="15" t="s">
        <v>3175</v>
      </c>
      <c r="E274" s="15" t="s">
        <v>3290</v>
      </c>
      <c r="F274" s="15" t="s">
        <v>3291</v>
      </c>
      <c r="G274" s="15" t="s">
        <v>3292</v>
      </c>
      <c r="H274" s="15" t="s">
        <v>3293</v>
      </c>
      <c r="I274" s="15" t="s">
        <v>3294</v>
      </c>
      <c r="J274" s="15" t="s">
        <v>3295</v>
      </c>
    </row>
    <row r="275" spans="1:10" x14ac:dyDescent="0.2">
      <c r="A275" s="13" t="s">
        <v>1064</v>
      </c>
      <c r="B275" s="18" t="str" cm="1">
        <f t="array" ref="B275">_xlfn.TEXTJOIN(,1,IF(IFERROR(FIND(table_prefix[前缀],table_l10n!A275),FALSE),TEXT(table_prefix[说明],""),""))</f>
        <v>遗物 - 描述</v>
      </c>
      <c r="C275" s="19" t="s">
        <v>3176</v>
      </c>
      <c r="D275" s="15" t="s">
        <v>3176</v>
      </c>
      <c r="E275" s="15" t="s">
        <v>3296</v>
      </c>
      <c r="F275" s="15" t="s">
        <v>3297</v>
      </c>
      <c r="G275" s="15" t="s">
        <v>3298</v>
      </c>
      <c r="H275" s="15" t="s">
        <v>3299</v>
      </c>
      <c r="I275" s="15" t="s">
        <v>3300</v>
      </c>
      <c r="J275" s="15" t="s">
        <v>3301</v>
      </c>
    </row>
    <row r="276" spans="1:10" x14ac:dyDescent="0.2">
      <c r="A276" s="13" t="s">
        <v>1065</v>
      </c>
      <c r="B276" s="18" t="str" cm="1">
        <f t="array" ref="B276">_xlfn.TEXTJOIN(,1,IF(IFERROR(FIND(table_prefix[前缀],table_l10n!A276),FALSE),TEXT(table_prefix[说明],""),""))</f>
        <v>遗物 - 描述</v>
      </c>
      <c r="C276" s="19" t="s">
        <v>3177</v>
      </c>
      <c r="D276" s="15" t="s">
        <v>3177</v>
      </c>
      <c r="E276" s="15" t="s">
        <v>3302</v>
      </c>
      <c r="F276" s="15" t="s">
        <v>3303</v>
      </c>
      <c r="G276" s="15" t="s">
        <v>3304</v>
      </c>
      <c r="H276" s="15" t="s">
        <v>3305</v>
      </c>
      <c r="I276" s="15" t="s">
        <v>3306</v>
      </c>
      <c r="J276" s="15" t="s">
        <v>3307</v>
      </c>
    </row>
    <row r="277" spans="1:10" x14ac:dyDescent="0.2">
      <c r="A277" s="13" t="s">
        <v>1066</v>
      </c>
      <c r="B277" s="18" t="str" cm="1">
        <f t="array" ref="B277">_xlfn.TEXTJOIN(,1,IF(IFERROR(FIND(table_prefix[前缀],table_l10n!A277),FALSE),TEXT(table_prefix[说明],""),""))</f>
        <v>遗物 - 描述</v>
      </c>
      <c r="C277" s="19" t="s">
        <v>3178</v>
      </c>
      <c r="D277" s="15" t="s">
        <v>3178</v>
      </c>
      <c r="E277" s="15" t="s">
        <v>3308</v>
      </c>
      <c r="F277" s="15" t="s">
        <v>3309</v>
      </c>
      <c r="G277" s="15" t="s">
        <v>3310</v>
      </c>
      <c r="H277" s="15" t="s">
        <v>3311</v>
      </c>
      <c r="I277" s="15" t="s">
        <v>3312</v>
      </c>
      <c r="J277" s="15" t="s">
        <v>3313</v>
      </c>
    </row>
    <row r="278" spans="1:10" x14ac:dyDescent="0.2">
      <c r="A278" s="13" t="s">
        <v>3154</v>
      </c>
      <c r="B278" s="18" t="str" cm="1">
        <f t="array" ref="B278">_xlfn.TEXTJOIN(,1,IF(IFERROR(FIND(table_prefix[前缀],table_l10n!A278),FALSE),TEXT(table_prefix[说明],""),""))</f>
        <v>遗物 - 描述</v>
      </c>
      <c r="C278" s="19" t="s">
        <v>3179</v>
      </c>
      <c r="D278" s="15" t="s">
        <v>3179</v>
      </c>
      <c r="E278" s="15" t="s">
        <v>3314</v>
      </c>
      <c r="F278" s="15" t="s">
        <v>3315</v>
      </c>
      <c r="G278" s="15" t="s">
        <v>3316</v>
      </c>
      <c r="H278" s="15" t="s">
        <v>3317</v>
      </c>
      <c r="I278" s="15" t="s">
        <v>3318</v>
      </c>
      <c r="J278" s="15" t="s">
        <v>3319</v>
      </c>
    </row>
    <row r="279" spans="1:10" x14ac:dyDescent="0.2">
      <c r="A279" s="13" t="s">
        <v>1067</v>
      </c>
      <c r="B279" s="18" t="str" cm="1">
        <f t="array" ref="B279">_xlfn.TEXTJOIN(,1,IF(IFERROR(FIND(table_prefix[前缀],table_l10n!A279),FALSE),TEXT(table_prefix[说明],""),""))</f>
        <v>遗物 - 描述</v>
      </c>
      <c r="C279" s="19" t="s">
        <v>3180</v>
      </c>
      <c r="D279" s="15" t="s">
        <v>3180</v>
      </c>
      <c r="E279" s="15" t="s">
        <v>3320</v>
      </c>
      <c r="F279" s="15" t="s">
        <v>3321</v>
      </c>
      <c r="G279" s="15" t="s">
        <v>3322</v>
      </c>
      <c r="H279" s="15" t="s">
        <v>3323</v>
      </c>
      <c r="I279" s="15" t="s">
        <v>3324</v>
      </c>
      <c r="J279" s="15" t="s">
        <v>3325</v>
      </c>
    </row>
    <row r="280" spans="1:10" x14ac:dyDescent="0.2">
      <c r="A280" s="13" t="s">
        <v>1068</v>
      </c>
      <c r="B280" s="18" t="str" cm="1">
        <f t="array" ref="B280">_xlfn.TEXTJOIN(,1,IF(IFERROR(FIND(table_prefix[前缀],table_l10n!A280),FALSE),TEXT(table_prefix[说明],""),""))</f>
        <v>遗物 - 描述</v>
      </c>
      <c r="C280" s="19" t="s">
        <v>3181</v>
      </c>
      <c r="D280" s="15" t="s">
        <v>3181</v>
      </c>
      <c r="E280" s="15" t="s">
        <v>3326</v>
      </c>
      <c r="F280" s="15" t="s">
        <v>3327</v>
      </c>
      <c r="G280" s="15" t="s">
        <v>3328</v>
      </c>
      <c r="H280" s="15" t="s">
        <v>3329</v>
      </c>
      <c r="I280" s="15" t="s">
        <v>3330</v>
      </c>
      <c r="J280" s="15" t="s">
        <v>3331</v>
      </c>
    </row>
    <row r="281" spans="1:10" x14ac:dyDescent="0.2">
      <c r="A281" s="13" t="s">
        <v>1069</v>
      </c>
      <c r="B281" s="18" t="str" cm="1">
        <f t="array" ref="B281">_xlfn.TEXTJOIN(,1,IF(IFERROR(FIND(table_prefix[前缀],table_l10n!A281),FALSE),TEXT(table_prefix[说明],""),""))</f>
        <v>遗物 - 描述</v>
      </c>
      <c r="C281" s="19" t="s">
        <v>3182</v>
      </c>
      <c r="D281" s="15" t="s">
        <v>3182</v>
      </c>
      <c r="E281" s="15" t="s">
        <v>3332</v>
      </c>
      <c r="F281" s="15" t="s">
        <v>3333</v>
      </c>
      <c r="G281" s="15" t="s">
        <v>3334</v>
      </c>
      <c r="H281" s="15" t="s">
        <v>3335</v>
      </c>
      <c r="I281" s="15" t="s">
        <v>3336</v>
      </c>
      <c r="J281" s="15" t="s">
        <v>3337</v>
      </c>
    </row>
    <row r="282" spans="1:10" x14ac:dyDescent="0.2">
      <c r="A282" s="13" t="s">
        <v>3155</v>
      </c>
      <c r="B282" s="18" t="str" cm="1">
        <f t="array" ref="B282">_xlfn.TEXTJOIN(,1,IF(IFERROR(FIND(table_prefix[前缀],table_l10n!A282),FALSE),TEXT(table_prefix[说明],""),""))</f>
        <v>遗物 - 描述</v>
      </c>
      <c r="C282" s="19" t="s">
        <v>3183</v>
      </c>
      <c r="D282" s="15" t="s">
        <v>3183</v>
      </c>
      <c r="E282" s="15" t="s">
        <v>3338</v>
      </c>
      <c r="F282" s="15" t="s">
        <v>3339</v>
      </c>
      <c r="G282" s="15" t="s">
        <v>3340</v>
      </c>
      <c r="H282" s="15" t="s">
        <v>3341</v>
      </c>
      <c r="I282" s="15" t="s">
        <v>3342</v>
      </c>
      <c r="J282" s="15" t="s">
        <v>3343</v>
      </c>
    </row>
    <row r="283" spans="1:10" x14ac:dyDescent="0.2">
      <c r="A283" s="13" t="s">
        <v>1070</v>
      </c>
      <c r="B283" s="18" t="str" cm="1">
        <f t="array" ref="B283">_xlfn.TEXTJOIN(,1,IF(IFERROR(FIND(table_prefix[前缀],table_l10n!A283),FALSE),TEXT(table_prefix[说明],""),""))</f>
        <v>遗物 - 描述</v>
      </c>
      <c r="C283" s="19" t="s">
        <v>3184</v>
      </c>
      <c r="D283" s="15" t="s">
        <v>3184</v>
      </c>
      <c r="E283" s="15" t="s">
        <v>3344</v>
      </c>
      <c r="F283" s="15" t="s">
        <v>3345</v>
      </c>
      <c r="G283" s="15" t="s">
        <v>3346</v>
      </c>
      <c r="H283" s="15" t="s">
        <v>3347</v>
      </c>
      <c r="I283" s="15" t="s">
        <v>3348</v>
      </c>
      <c r="J283" s="15" t="s">
        <v>3349</v>
      </c>
    </row>
    <row r="284" spans="1:10" x14ac:dyDescent="0.2">
      <c r="A284" s="13" t="s">
        <v>1071</v>
      </c>
      <c r="B284" s="18" t="str" cm="1">
        <f t="array" ref="B284">_xlfn.TEXTJOIN(,1,IF(IFERROR(FIND(table_prefix[前缀],table_l10n!A284),FALSE),TEXT(table_prefix[说明],""),""))</f>
        <v>遗物 - 描述</v>
      </c>
      <c r="C284" s="19" t="s">
        <v>3185</v>
      </c>
      <c r="D284" s="15" t="s">
        <v>3185</v>
      </c>
      <c r="E284" s="15" t="s">
        <v>3350</v>
      </c>
      <c r="F284" s="15" t="s">
        <v>3351</v>
      </c>
      <c r="G284" s="15" t="s">
        <v>3352</v>
      </c>
      <c r="H284" s="15" t="s">
        <v>3353</v>
      </c>
      <c r="I284" s="15" t="s">
        <v>3354</v>
      </c>
      <c r="J284" s="15" t="s">
        <v>3355</v>
      </c>
    </row>
    <row r="285" spans="1:10" x14ac:dyDescent="0.2">
      <c r="A285" s="13" t="s">
        <v>1072</v>
      </c>
      <c r="B285" s="18" t="str" cm="1">
        <f t="array" ref="B285">_xlfn.TEXTJOIN(,1,IF(IFERROR(FIND(table_prefix[前缀],table_l10n!A285),FALSE),TEXT(table_prefix[说明],""),""))</f>
        <v>遗物 - 描述</v>
      </c>
      <c r="C285" s="19" t="s">
        <v>3186</v>
      </c>
      <c r="D285" s="15" t="s">
        <v>3186</v>
      </c>
      <c r="E285" s="15" t="s">
        <v>3356</v>
      </c>
      <c r="F285" s="15" t="s">
        <v>3357</v>
      </c>
      <c r="G285" s="15" t="s">
        <v>3358</v>
      </c>
      <c r="H285" s="15" t="s">
        <v>3359</v>
      </c>
      <c r="I285" s="15" t="s">
        <v>3360</v>
      </c>
      <c r="J285" s="15" t="s">
        <v>3361</v>
      </c>
    </row>
    <row r="286" spans="1:10" x14ac:dyDescent="0.2">
      <c r="A286" s="13" t="s">
        <v>3156</v>
      </c>
      <c r="B286" s="18" t="str" cm="1">
        <f t="array" ref="B286">_xlfn.TEXTJOIN(,1,IF(IFERROR(FIND(table_prefix[前缀],table_l10n!A286),FALSE),TEXT(table_prefix[说明],""),""))</f>
        <v>遗物 - 描述</v>
      </c>
      <c r="C286" s="19" t="s">
        <v>3187</v>
      </c>
      <c r="D286" s="15" t="s">
        <v>3187</v>
      </c>
      <c r="E286" s="15" t="s">
        <v>3362</v>
      </c>
      <c r="F286" s="15" t="s">
        <v>3363</v>
      </c>
      <c r="G286" s="15" t="s">
        <v>3364</v>
      </c>
      <c r="H286" s="15" t="s">
        <v>3365</v>
      </c>
      <c r="I286" s="15" t="s">
        <v>3366</v>
      </c>
      <c r="J286" s="15" t="s">
        <v>3367</v>
      </c>
    </row>
    <row r="287" spans="1:10" x14ac:dyDescent="0.2">
      <c r="A287" s="13" t="s">
        <v>1073</v>
      </c>
      <c r="B287" s="18" t="str" cm="1">
        <f t="array" ref="B287">_xlfn.TEXTJOIN(,1,IF(IFERROR(FIND(table_prefix[前缀],table_l10n!A287),FALSE),TEXT(table_prefix[说明],""),""))</f>
        <v>遗物 - 描述</v>
      </c>
      <c r="C287" s="19" t="s">
        <v>2681</v>
      </c>
      <c r="D287" s="15" t="s">
        <v>2681</v>
      </c>
      <c r="E287" s="15" t="s">
        <v>459</v>
      </c>
      <c r="F287" s="15" t="s">
        <v>2683</v>
      </c>
      <c r="G287" s="15" t="s">
        <v>2684</v>
      </c>
      <c r="H287" s="15" t="s">
        <v>2685</v>
      </c>
      <c r="I287" s="15" t="s">
        <v>2686</v>
      </c>
      <c r="J287" s="15" t="s">
        <v>2687</v>
      </c>
    </row>
    <row r="288" spans="1:10" x14ac:dyDescent="0.2">
      <c r="A288" s="13" t="s">
        <v>1074</v>
      </c>
      <c r="B288" s="18" t="str" cm="1">
        <f t="array" ref="B288">_xlfn.TEXTJOIN(,1,IF(IFERROR(FIND(table_prefix[前缀],table_l10n!A288),FALSE),TEXT(table_prefix[说明],""),""))</f>
        <v>遗物 - 描述</v>
      </c>
      <c r="C288" s="19" t="s">
        <v>2682</v>
      </c>
      <c r="D288" s="15" t="s">
        <v>2682</v>
      </c>
      <c r="E288" s="15" t="s">
        <v>460</v>
      </c>
      <c r="F288" s="15" t="s">
        <v>2688</v>
      </c>
      <c r="G288" s="15" t="s">
        <v>2689</v>
      </c>
      <c r="H288" s="15" t="s">
        <v>2690</v>
      </c>
      <c r="I288" s="15" t="s">
        <v>2691</v>
      </c>
      <c r="J288" s="15" t="s">
        <v>2692</v>
      </c>
    </row>
    <row r="289" spans="1:10" x14ac:dyDescent="0.2">
      <c r="A289" s="13" t="s">
        <v>1075</v>
      </c>
      <c r="B289" s="18" t="str" cm="1">
        <f t="array" ref="B289">_xlfn.TEXTJOIN(,1,IF(IFERROR(FIND(table_prefix[前缀],table_l10n!A289),FALSE),TEXT(table_prefix[说明],""),""))</f>
        <v>遗物 - 描述</v>
      </c>
      <c r="C289" s="19" t="s">
        <v>3188</v>
      </c>
      <c r="D289" s="15" t="s">
        <v>3188</v>
      </c>
      <c r="E289" s="15" t="s">
        <v>3368</v>
      </c>
      <c r="F289" s="15" t="s">
        <v>3369</v>
      </c>
      <c r="G289" s="15" t="s">
        <v>3370</v>
      </c>
      <c r="H289" s="15" t="s">
        <v>3371</v>
      </c>
      <c r="I289" s="15" t="s">
        <v>3372</v>
      </c>
      <c r="J289" s="15" t="s">
        <v>3373</v>
      </c>
    </row>
    <row r="290" spans="1:10" x14ac:dyDescent="0.2">
      <c r="A290" s="13" t="s">
        <v>1076</v>
      </c>
      <c r="B290" s="18" t="str" cm="1">
        <f t="array" ref="B290">_xlfn.TEXTJOIN(,1,IF(IFERROR(FIND(table_prefix[前缀],table_l10n!A290),FALSE),TEXT(table_prefix[说明],""),""))</f>
        <v>遗物 - 描述</v>
      </c>
      <c r="C290" s="19" t="s">
        <v>3189</v>
      </c>
      <c r="D290" s="15" t="s">
        <v>3189</v>
      </c>
      <c r="E290" s="15" t="s">
        <v>3374</v>
      </c>
      <c r="F290" s="15" t="s">
        <v>3375</v>
      </c>
      <c r="G290" s="15" t="s">
        <v>3376</v>
      </c>
      <c r="H290" s="15" t="s">
        <v>3377</v>
      </c>
      <c r="I290" s="15" t="s">
        <v>3378</v>
      </c>
      <c r="J290" s="15" t="s">
        <v>3379</v>
      </c>
    </row>
    <row r="291" spans="1:10" x14ac:dyDescent="0.2">
      <c r="A291" s="13" t="s">
        <v>1077</v>
      </c>
      <c r="B291" s="18" t="str" cm="1">
        <f t="array" ref="B291">_xlfn.TEXTJOIN(,1,IF(IFERROR(FIND(table_prefix[前缀],table_l10n!A291),FALSE),TEXT(table_prefix[说明],""),""))</f>
        <v>遗物 - 描述</v>
      </c>
      <c r="C291" s="19" t="s">
        <v>3190</v>
      </c>
      <c r="D291" s="15" t="s">
        <v>3190</v>
      </c>
      <c r="E291" s="15" t="s">
        <v>3380</v>
      </c>
      <c r="F291" s="15" t="s">
        <v>3381</v>
      </c>
      <c r="G291" s="15" t="s">
        <v>3382</v>
      </c>
      <c r="H291" s="15" t="s">
        <v>3383</v>
      </c>
      <c r="I291" s="15" t="s">
        <v>3384</v>
      </c>
      <c r="J291" s="15" t="s">
        <v>3385</v>
      </c>
    </row>
    <row r="292" spans="1:10" x14ac:dyDescent="0.2">
      <c r="A292" s="13" t="s">
        <v>1078</v>
      </c>
      <c r="B292" s="18" t="str" cm="1">
        <f t="array" ref="B292">_xlfn.TEXTJOIN(,1,IF(IFERROR(FIND(table_prefix[前缀],table_l10n!A292),FALSE),TEXT(table_prefix[说明],""),""))</f>
        <v>遗物 - 描述</v>
      </c>
      <c r="C292" s="19" t="s">
        <v>3191</v>
      </c>
      <c r="D292" s="15" t="s">
        <v>3191</v>
      </c>
      <c r="E292" s="15" t="s">
        <v>3386</v>
      </c>
      <c r="F292" s="15" t="s">
        <v>3387</v>
      </c>
      <c r="G292" s="15" t="s">
        <v>3388</v>
      </c>
      <c r="H292" s="15" t="s">
        <v>3389</v>
      </c>
      <c r="I292" s="15" t="s">
        <v>3390</v>
      </c>
      <c r="J292" s="15" t="s">
        <v>3391</v>
      </c>
    </row>
    <row r="293" spans="1:10" x14ac:dyDescent="0.2">
      <c r="A293" s="13" t="s">
        <v>1720</v>
      </c>
      <c r="B293" s="18" t="str" cm="1">
        <f t="array" ref="B293">_xlfn.TEXTJOIN(,1,IF(IFERROR(FIND(table_prefix[前缀],table_l10n!A293),FALSE),TEXT(table_prefix[说明],""),""))</f>
        <v>遗物 - 描述</v>
      </c>
      <c r="C293" s="19" t="s">
        <v>3734</v>
      </c>
      <c r="D293" s="15" t="s">
        <v>3734</v>
      </c>
      <c r="E293" s="15" t="s">
        <v>3739</v>
      </c>
      <c r="F293" s="15" t="s">
        <v>3740</v>
      </c>
      <c r="G293" s="15" t="s">
        <v>3741</v>
      </c>
      <c r="H293" s="15" t="s">
        <v>3742</v>
      </c>
      <c r="I293" s="15" t="s">
        <v>3743</v>
      </c>
      <c r="J293" s="15" t="s">
        <v>3744</v>
      </c>
    </row>
    <row r="294" spans="1:10" x14ac:dyDescent="0.2">
      <c r="A294" s="13" t="s">
        <v>1721</v>
      </c>
      <c r="B294" s="18" t="str" cm="1">
        <f t="array" ref="B294">_xlfn.TEXTJOIN(,1,IF(IFERROR(FIND(table_prefix[前缀],table_l10n!A294),FALSE),TEXT(table_prefix[说明],""),""))</f>
        <v>遗物 - 描述</v>
      </c>
      <c r="C294" s="19" t="s">
        <v>3735</v>
      </c>
      <c r="D294" s="15" t="s">
        <v>3735</v>
      </c>
      <c r="E294" s="15" t="s">
        <v>3745</v>
      </c>
      <c r="F294" s="15" t="s">
        <v>3746</v>
      </c>
      <c r="G294" s="15" t="s">
        <v>3747</v>
      </c>
      <c r="H294" s="15" t="s">
        <v>3748</v>
      </c>
      <c r="I294" s="15" t="s">
        <v>3749</v>
      </c>
      <c r="J294" s="15" t="s">
        <v>3750</v>
      </c>
    </row>
    <row r="295" spans="1:10" x14ac:dyDescent="0.2">
      <c r="A295" s="13" t="s">
        <v>1722</v>
      </c>
      <c r="B295" s="18" t="str" cm="1">
        <f t="array" ref="B295">_xlfn.TEXTJOIN(,1,IF(IFERROR(FIND(table_prefix[前缀],table_l10n!A295),FALSE),TEXT(table_prefix[说明],""),""))</f>
        <v>遗物 - 描述</v>
      </c>
      <c r="C295" s="19" t="s">
        <v>3736</v>
      </c>
      <c r="D295" s="15" t="s">
        <v>3736</v>
      </c>
      <c r="E295" s="15" t="s">
        <v>3751</v>
      </c>
      <c r="F295" s="15" t="s">
        <v>3752</v>
      </c>
      <c r="G295" s="15" t="s">
        <v>3753</v>
      </c>
      <c r="H295" s="15" t="s">
        <v>3754</v>
      </c>
      <c r="I295" s="15" t="s">
        <v>3755</v>
      </c>
      <c r="J295" s="15" t="s">
        <v>3756</v>
      </c>
    </row>
    <row r="296" spans="1:10" x14ac:dyDescent="0.2">
      <c r="A296" s="13" t="s">
        <v>1723</v>
      </c>
      <c r="B296" s="18" t="str" cm="1">
        <f t="array" ref="B296">_xlfn.TEXTJOIN(,1,IF(IFERROR(FIND(table_prefix[前缀],table_l10n!A296),FALSE),TEXT(table_prefix[说明],""),""))</f>
        <v>遗物 - 描述</v>
      </c>
      <c r="C296" s="19" t="s">
        <v>3192</v>
      </c>
      <c r="D296" s="15" t="s">
        <v>3192</v>
      </c>
      <c r="E296" s="15" t="s">
        <v>3392</v>
      </c>
      <c r="F296" s="15" t="s">
        <v>3393</v>
      </c>
      <c r="G296" s="15" t="s">
        <v>3394</v>
      </c>
      <c r="H296" s="15" t="s">
        <v>3395</v>
      </c>
      <c r="I296" s="15" t="s">
        <v>3396</v>
      </c>
      <c r="J296" s="15" t="s">
        <v>3397</v>
      </c>
    </row>
    <row r="297" spans="1:10" x14ac:dyDescent="0.2">
      <c r="A297" s="13" t="s">
        <v>1724</v>
      </c>
      <c r="B297" s="18" t="str" cm="1">
        <f t="array" ref="B297">_xlfn.TEXTJOIN(,1,IF(IFERROR(FIND(table_prefix[前缀],table_l10n!A297),FALSE),TEXT(table_prefix[说明],""),""))</f>
        <v>遗物 - 描述</v>
      </c>
      <c r="C297" s="19" t="s">
        <v>3193</v>
      </c>
      <c r="D297" s="15" t="s">
        <v>3193</v>
      </c>
      <c r="E297" s="15" t="s">
        <v>3398</v>
      </c>
      <c r="F297" s="15" t="s">
        <v>3399</v>
      </c>
      <c r="G297" s="15" t="s">
        <v>3400</v>
      </c>
      <c r="H297" s="15" t="s">
        <v>3401</v>
      </c>
      <c r="I297" s="15" t="s">
        <v>3402</v>
      </c>
      <c r="J297" s="15" t="s">
        <v>3403</v>
      </c>
    </row>
    <row r="298" spans="1:10" x14ac:dyDescent="0.2">
      <c r="A298" s="13" t="s">
        <v>1725</v>
      </c>
      <c r="B298" s="18" t="str" cm="1">
        <f t="array" ref="B298">_xlfn.TEXTJOIN(,1,IF(IFERROR(FIND(table_prefix[前缀],table_l10n!A298),FALSE),TEXT(table_prefix[说明],""),""))</f>
        <v>遗物 - 描述</v>
      </c>
      <c r="C298" s="19" t="s">
        <v>3194</v>
      </c>
      <c r="D298" s="15" t="s">
        <v>3194</v>
      </c>
      <c r="E298" s="15" t="s">
        <v>3404</v>
      </c>
      <c r="F298" s="15" t="s">
        <v>3405</v>
      </c>
      <c r="G298" s="15" t="s">
        <v>3406</v>
      </c>
      <c r="H298" s="15" t="s">
        <v>3407</v>
      </c>
      <c r="I298" s="15" t="s">
        <v>3408</v>
      </c>
      <c r="J298" s="15" t="s">
        <v>3409</v>
      </c>
    </row>
    <row r="299" spans="1:10" x14ac:dyDescent="0.2">
      <c r="A299" s="13" t="s">
        <v>1726</v>
      </c>
      <c r="B299" s="18" t="str" cm="1">
        <f t="array" ref="B299">_xlfn.TEXTJOIN(,1,IF(IFERROR(FIND(table_prefix[前缀],table_l10n!A299),FALSE),TEXT(table_prefix[说明],""),""))</f>
        <v>遗物 - 描述</v>
      </c>
      <c r="C299" s="19" t="s">
        <v>3195</v>
      </c>
      <c r="D299" s="15" t="s">
        <v>3195</v>
      </c>
      <c r="E299" s="15" t="s">
        <v>3410</v>
      </c>
      <c r="F299" s="15" t="s">
        <v>3411</v>
      </c>
      <c r="G299" s="15" t="s">
        <v>3412</v>
      </c>
      <c r="H299" s="15" t="s">
        <v>3413</v>
      </c>
      <c r="I299" s="15" t="s">
        <v>3414</v>
      </c>
      <c r="J299" s="15" t="s">
        <v>3415</v>
      </c>
    </row>
    <row r="300" spans="1:10" x14ac:dyDescent="0.2">
      <c r="A300" s="14" t="s">
        <v>3737</v>
      </c>
      <c r="B300" s="18" t="str" cm="1">
        <f t="array" ref="B300">_xlfn.TEXTJOIN(,1,IF(IFERROR(FIND(table_prefix[前缀],table_l10n!A300),FALSE),TEXT(table_prefix[说明],""),""))</f>
        <v>遗物 - 描述</v>
      </c>
      <c r="C300" s="19" t="s">
        <v>3738</v>
      </c>
      <c r="D300" s="15" t="s">
        <v>3738</v>
      </c>
      <c r="E300" s="15" t="s">
        <v>3757</v>
      </c>
      <c r="F300" s="15" t="s">
        <v>3758</v>
      </c>
      <c r="G300" s="15" t="s">
        <v>3759</v>
      </c>
      <c r="H300" s="15" t="s">
        <v>3760</v>
      </c>
      <c r="I300" s="15" t="s">
        <v>3761</v>
      </c>
      <c r="J300" s="15" t="s">
        <v>3762</v>
      </c>
    </row>
    <row r="301" spans="1:10" x14ac:dyDescent="0.2">
      <c r="A301" s="13" t="s">
        <v>1727</v>
      </c>
      <c r="B301" s="18" t="str" cm="1">
        <f t="array" ref="B301">_xlfn.TEXTJOIN(,1,IF(IFERROR(FIND(table_prefix[前缀],table_l10n!A301),FALSE),TEXT(table_prefix[说明],""),""))</f>
        <v>遗物 - 描述</v>
      </c>
      <c r="C301" s="19" t="s">
        <v>3196</v>
      </c>
      <c r="D301" s="15" t="s">
        <v>3196</v>
      </c>
      <c r="E301" s="15" t="s">
        <v>3416</v>
      </c>
      <c r="F301" s="15" t="s">
        <v>3417</v>
      </c>
      <c r="G301" s="15" t="s">
        <v>3418</v>
      </c>
      <c r="H301" s="15" t="s">
        <v>3419</v>
      </c>
      <c r="I301" s="15" t="s">
        <v>3420</v>
      </c>
      <c r="J301" s="15" t="s">
        <v>3421</v>
      </c>
    </row>
    <row r="302" spans="1:10" x14ac:dyDescent="0.2">
      <c r="A302" s="13" t="s">
        <v>3157</v>
      </c>
      <c r="B302" s="18" t="str" cm="1">
        <f t="array" ref="B302">_xlfn.TEXTJOIN(,1,IF(IFERROR(FIND(table_prefix[前缀],table_l10n!A302),FALSE),TEXT(table_prefix[说明],""),""))</f>
        <v>遗物 - 描述</v>
      </c>
      <c r="C302" s="19" t="s">
        <v>3197</v>
      </c>
      <c r="D302" s="15" t="s">
        <v>3197</v>
      </c>
      <c r="E302" s="15" t="s">
        <v>3422</v>
      </c>
      <c r="F302" s="15" t="s">
        <v>3423</v>
      </c>
      <c r="G302" s="15" t="s">
        <v>3424</v>
      </c>
      <c r="H302" s="15" t="s">
        <v>3425</v>
      </c>
      <c r="I302" s="15" t="s">
        <v>3426</v>
      </c>
      <c r="J302" s="15" t="s">
        <v>3427</v>
      </c>
    </row>
    <row r="303" spans="1:10" x14ac:dyDescent="0.2">
      <c r="A303" s="13" t="s">
        <v>3158</v>
      </c>
      <c r="B303" s="18" t="str" cm="1">
        <f t="array" ref="B303">_xlfn.TEXTJOIN(,1,IF(IFERROR(FIND(table_prefix[前缀],table_l10n!A303),FALSE),TEXT(table_prefix[说明],""),""))</f>
        <v>遗物 - 描述</v>
      </c>
      <c r="C303" s="19" t="s">
        <v>3198</v>
      </c>
      <c r="D303" s="15" t="s">
        <v>3198</v>
      </c>
      <c r="E303" s="15" t="s">
        <v>3428</v>
      </c>
      <c r="F303" s="15" t="s">
        <v>3429</v>
      </c>
      <c r="G303" s="15" t="s">
        <v>3430</v>
      </c>
      <c r="H303" s="15" t="s">
        <v>3431</v>
      </c>
      <c r="I303" s="15" t="s">
        <v>3432</v>
      </c>
      <c r="J303" s="15" t="s">
        <v>3433</v>
      </c>
    </row>
    <row r="304" spans="1:10" x14ac:dyDescent="0.2">
      <c r="A304" s="13" t="s">
        <v>3159</v>
      </c>
      <c r="B304" s="18" t="str" cm="1">
        <f t="array" ref="B304">_xlfn.TEXTJOIN(,1,IF(IFERROR(FIND(table_prefix[前缀],table_l10n!A304),FALSE),TEXT(table_prefix[说明],""),""))</f>
        <v>遗物 - 描述</v>
      </c>
      <c r="C304" s="19" t="s">
        <v>3199</v>
      </c>
      <c r="D304" s="15" t="s">
        <v>3199</v>
      </c>
      <c r="E304" s="15" t="s">
        <v>3434</v>
      </c>
      <c r="F304" s="15" t="s">
        <v>3435</v>
      </c>
      <c r="G304" s="15" t="s">
        <v>3436</v>
      </c>
      <c r="H304" s="15" t="s">
        <v>3437</v>
      </c>
      <c r="I304" s="15" t="s">
        <v>3438</v>
      </c>
      <c r="J304" s="15" t="s">
        <v>3439</v>
      </c>
    </row>
    <row r="305" spans="1:10" x14ac:dyDescent="0.2">
      <c r="A305" s="13" t="s">
        <v>1728</v>
      </c>
      <c r="B305" s="18" t="str" cm="1">
        <f t="array" ref="B305">_xlfn.TEXTJOIN(,1,IF(IFERROR(FIND(table_prefix[前缀],table_l10n!A305),FALSE),TEXT(table_prefix[说明],""),""))</f>
        <v>遗物 - 描述</v>
      </c>
      <c r="C305" s="19" t="s">
        <v>3647</v>
      </c>
      <c r="D305" s="15" t="s">
        <v>3647</v>
      </c>
      <c r="E305" s="15" t="s">
        <v>3650</v>
      </c>
      <c r="F305" s="15" t="s">
        <v>3440</v>
      </c>
      <c r="G305" s="15" t="s">
        <v>3441</v>
      </c>
      <c r="H305" s="15" t="s">
        <v>3442</v>
      </c>
      <c r="I305" s="15" t="s">
        <v>3443</v>
      </c>
      <c r="J305" s="15" t="s">
        <v>3444</v>
      </c>
    </row>
    <row r="306" spans="1:10" x14ac:dyDescent="0.2">
      <c r="A306" s="13" t="s">
        <v>1729</v>
      </c>
      <c r="B306" s="18" t="str" cm="1">
        <f t="array" ref="B306">_xlfn.TEXTJOIN(,1,IF(IFERROR(FIND(table_prefix[前缀],table_l10n!A306),FALSE),TEXT(table_prefix[说明],""),""))</f>
        <v>遗物 - 描述</v>
      </c>
      <c r="C306" s="19" t="s">
        <v>3648</v>
      </c>
      <c r="D306" s="15" t="s">
        <v>3648</v>
      </c>
      <c r="E306" s="15" t="s">
        <v>3651</v>
      </c>
      <c r="F306" s="15" t="s">
        <v>3652</v>
      </c>
      <c r="G306" s="15" t="s">
        <v>3653</v>
      </c>
      <c r="H306" s="15" t="s">
        <v>3654</v>
      </c>
      <c r="I306" s="15" t="s">
        <v>3655</v>
      </c>
      <c r="J306" s="15" t="s">
        <v>3656</v>
      </c>
    </row>
    <row r="307" spans="1:10" x14ac:dyDescent="0.2">
      <c r="A307" s="13" t="s">
        <v>1730</v>
      </c>
      <c r="B307" s="18" t="str" cm="1">
        <f t="array" ref="B307">_xlfn.TEXTJOIN(,1,IF(IFERROR(FIND(table_prefix[前缀],table_l10n!A307),FALSE),TEXT(table_prefix[说明],""),""))</f>
        <v>遗物 - 描述</v>
      </c>
      <c r="C307" s="19" t="s">
        <v>3649</v>
      </c>
      <c r="D307" s="15" t="s">
        <v>3649</v>
      </c>
      <c r="E307" s="15" t="s">
        <v>3657</v>
      </c>
      <c r="F307" s="15" t="s">
        <v>3658</v>
      </c>
      <c r="G307" s="15" t="s">
        <v>3659</v>
      </c>
      <c r="H307" s="15" t="s">
        <v>3660</v>
      </c>
      <c r="I307" s="15" t="s">
        <v>3661</v>
      </c>
      <c r="J307" s="15" t="s">
        <v>3662</v>
      </c>
    </row>
    <row r="308" spans="1:10" x14ac:dyDescent="0.2">
      <c r="A308" s="13" t="s">
        <v>3633</v>
      </c>
      <c r="B308" s="18" t="str" cm="1">
        <f t="array" ref="B308">_xlfn.TEXTJOIN(,1,IF(IFERROR(FIND(table_prefix[前缀],table_l10n!A308),FALSE),TEXT(table_prefix[说明],""),""))</f>
        <v>遗物 - 描述</v>
      </c>
      <c r="C308" s="19" t="s">
        <v>3634</v>
      </c>
      <c r="D308" s="15" t="s">
        <v>3634</v>
      </c>
      <c r="E308" s="15" t="s">
        <v>3663</v>
      </c>
      <c r="F308" s="15" t="s">
        <v>3664</v>
      </c>
      <c r="G308" s="15" t="s">
        <v>3665</v>
      </c>
      <c r="H308" s="15" t="s">
        <v>3666</v>
      </c>
      <c r="I308" s="15" t="s">
        <v>3667</v>
      </c>
      <c r="J308" s="15" t="s">
        <v>3668</v>
      </c>
    </row>
    <row r="309" spans="1:10" x14ac:dyDescent="0.2">
      <c r="A309" s="13" t="s">
        <v>3635</v>
      </c>
      <c r="B309" s="18" t="str" cm="1">
        <f t="array" ref="B309">_xlfn.TEXTJOIN(,1,IF(IFERROR(FIND(table_prefix[前缀],table_l10n!A309),FALSE),TEXT(table_prefix[说明],""),""))</f>
        <v>遗物 - 描述</v>
      </c>
      <c r="C309" s="19" t="s">
        <v>3636</v>
      </c>
      <c r="D309" s="15" t="s">
        <v>3636</v>
      </c>
      <c r="E309" s="15" t="s">
        <v>3669</v>
      </c>
      <c r="F309" s="15" t="s">
        <v>3670</v>
      </c>
      <c r="G309" s="15" t="s">
        <v>3671</v>
      </c>
      <c r="H309" s="15" t="s">
        <v>3672</v>
      </c>
      <c r="I309" s="15" t="s">
        <v>3673</v>
      </c>
      <c r="J309" s="15" t="s">
        <v>3674</v>
      </c>
    </row>
    <row r="310" spans="1:10" x14ac:dyDescent="0.2">
      <c r="A310" s="13" t="s">
        <v>3637</v>
      </c>
      <c r="B310" s="18" t="str" cm="1">
        <f t="array" ref="B310">_xlfn.TEXTJOIN(,1,IF(IFERROR(FIND(table_prefix[前缀],table_l10n!A310),FALSE),TEXT(table_prefix[说明],""),""))</f>
        <v>遗物 - 描述</v>
      </c>
      <c r="C310" s="19" t="s">
        <v>3638</v>
      </c>
      <c r="D310" s="15" t="s">
        <v>3638</v>
      </c>
      <c r="E310" s="15" t="s">
        <v>3675</v>
      </c>
      <c r="F310" s="15" t="s">
        <v>3676</v>
      </c>
      <c r="G310" s="15" t="s">
        <v>3677</v>
      </c>
      <c r="H310" s="15" t="s">
        <v>3678</v>
      </c>
      <c r="I310" s="15" t="s">
        <v>3679</v>
      </c>
      <c r="J310" s="15" t="s">
        <v>3680</v>
      </c>
    </row>
    <row r="311" spans="1:10" x14ac:dyDescent="0.2">
      <c r="A311" s="13" t="s">
        <v>3639</v>
      </c>
      <c r="B311" s="18" t="str" cm="1">
        <f t="array" ref="B311">_xlfn.TEXTJOIN(,1,IF(IFERROR(FIND(table_prefix[前缀],table_l10n!A311),FALSE),TEXT(table_prefix[说明],""),""))</f>
        <v>遗物 - 描述</v>
      </c>
      <c r="C311" s="19" t="s">
        <v>3640</v>
      </c>
      <c r="D311" s="15" t="s">
        <v>3640</v>
      </c>
      <c r="E311" s="15" t="s">
        <v>3681</v>
      </c>
      <c r="F311" s="15" t="s">
        <v>3682</v>
      </c>
      <c r="G311" s="15" t="s">
        <v>3683</v>
      </c>
      <c r="H311" s="15" t="s">
        <v>3684</v>
      </c>
      <c r="I311" s="15" t="s">
        <v>3685</v>
      </c>
      <c r="J311" s="15" t="s">
        <v>3686</v>
      </c>
    </row>
    <row r="312" spans="1:10" x14ac:dyDescent="0.2">
      <c r="A312" s="13" t="s">
        <v>3641</v>
      </c>
      <c r="B312" s="18" t="str" cm="1">
        <f t="array" ref="B312">_xlfn.TEXTJOIN(,1,IF(IFERROR(FIND(table_prefix[前缀],table_l10n!A312),FALSE),TEXT(table_prefix[说明],""),""))</f>
        <v>遗物 - 描述</v>
      </c>
      <c r="C312" s="19" t="s">
        <v>3642</v>
      </c>
      <c r="D312" s="15" t="s">
        <v>3642</v>
      </c>
      <c r="E312" s="15" t="s">
        <v>3687</v>
      </c>
      <c r="F312" s="15" t="s">
        <v>3688</v>
      </c>
      <c r="G312" s="15" t="s">
        <v>3689</v>
      </c>
      <c r="H312" s="15" t="s">
        <v>3690</v>
      </c>
      <c r="I312" s="15" t="s">
        <v>3691</v>
      </c>
      <c r="J312" s="15" t="s">
        <v>3692</v>
      </c>
    </row>
    <row r="313" spans="1:10" x14ac:dyDescent="0.2">
      <c r="A313" s="13" t="s">
        <v>3643</v>
      </c>
      <c r="B313" s="18" t="str" cm="1">
        <f t="array" ref="B313">_xlfn.TEXTJOIN(,1,IF(IFERROR(FIND(table_prefix[前缀],table_l10n!A313),FALSE),TEXT(table_prefix[说明],""),""))</f>
        <v>遗物 - 描述</v>
      </c>
      <c r="C313" s="19" t="s">
        <v>3644</v>
      </c>
      <c r="D313" s="15" t="s">
        <v>3644</v>
      </c>
      <c r="E313" s="15" t="s">
        <v>3693</v>
      </c>
      <c r="F313" s="15" t="s">
        <v>3694</v>
      </c>
      <c r="G313" s="15" t="s">
        <v>3695</v>
      </c>
      <c r="H313" s="15" t="s">
        <v>3696</v>
      </c>
      <c r="I313" s="15" t="s">
        <v>3697</v>
      </c>
      <c r="J313" s="15" t="s">
        <v>3698</v>
      </c>
    </row>
    <row r="314" spans="1:10" x14ac:dyDescent="0.2">
      <c r="A314" s="13" t="s">
        <v>3645</v>
      </c>
      <c r="B314" s="18" t="str" cm="1">
        <f t="array" ref="B314">_xlfn.TEXTJOIN(,1,IF(IFERROR(FIND(table_prefix[前缀],table_l10n!A314),FALSE),TEXT(table_prefix[说明],""),""))</f>
        <v>遗物 - 描述</v>
      </c>
      <c r="C314" s="19" t="s">
        <v>3646</v>
      </c>
      <c r="D314" s="15" t="s">
        <v>3646</v>
      </c>
      <c r="E314" s="15" t="s">
        <v>3699</v>
      </c>
      <c r="F314" s="15" t="s">
        <v>3700</v>
      </c>
      <c r="G314" s="15" t="s">
        <v>3701</v>
      </c>
      <c r="H314" s="15" t="s">
        <v>3702</v>
      </c>
      <c r="I314" s="15" t="s">
        <v>3703</v>
      </c>
      <c r="J314" s="15" t="s">
        <v>3704</v>
      </c>
    </row>
    <row r="318" spans="1:10" x14ac:dyDescent="0.2">
      <c r="A318" s="13" t="s">
        <v>67</v>
      </c>
      <c r="B318" s="18" t="str" cm="1">
        <f t="array" ref="B318">_xlfn.TEXTJOIN(,1,IF(IFERROR(FIND(table_prefix[前缀],table_l10n!A318),FALSE),TEXT(table_prefix[说明],""),""))</f>
        <v>世界 - 名称</v>
      </c>
      <c r="C318" s="19" t="s">
        <v>75</v>
      </c>
      <c r="D318" s="15" t="s">
        <v>75</v>
      </c>
      <c r="E318" s="15" t="s">
        <v>461</v>
      </c>
      <c r="F318" s="15" t="s">
        <v>462</v>
      </c>
      <c r="G318" s="15" t="s">
        <v>463</v>
      </c>
      <c r="H318" s="15" t="s">
        <v>464</v>
      </c>
      <c r="I318" s="15" t="s">
        <v>465</v>
      </c>
      <c r="J318" s="15" t="s">
        <v>466</v>
      </c>
    </row>
    <row r="319" spans="1:10" x14ac:dyDescent="0.2">
      <c r="A319" s="13" t="s">
        <v>68</v>
      </c>
      <c r="B319" s="18" t="str" cm="1">
        <f t="array" ref="B319">_xlfn.TEXTJOIN(,1,IF(IFERROR(FIND(table_prefix[前缀],table_l10n!A319),FALSE),TEXT(table_prefix[说明],""),""))</f>
        <v>世界 - 名称</v>
      </c>
      <c r="C319" s="19" t="s">
        <v>76</v>
      </c>
      <c r="D319" s="15" t="s">
        <v>76</v>
      </c>
      <c r="E319" s="15" t="s">
        <v>467</v>
      </c>
      <c r="F319" s="15" t="s">
        <v>468</v>
      </c>
      <c r="G319" s="15" t="s">
        <v>469</v>
      </c>
      <c r="H319" s="15" t="s">
        <v>470</v>
      </c>
      <c r="I319" s="15" t="s">
        <v>471</v>
      </c>
      <c r="J319" s="15" t="s">
        <v>472</v>
      </c>
    </row>
    <row r="320" spans="1:10" x14ac:dyDescent="0.2">
      <c r="A320" s="13" t="s">
        <v>69</v>
      </c>
      <c r="B320" s="18" t="str" cm="1">
        <f t="array" ref="B320">_xlfn.TEXTJOIN(,1,IF(IFERROR(FIND(table_prefix[前缀],table_l10n!A320),FALSE),TEXT(table_prefix[说明],""),""))</f>
        <v>世界 - 名称</v>
      </c>
      <c r="C320" s="19" t="s">
        <v>77</v>
      </c>
      <c r="D320" s="15" t="s">
        <v>77</v>
      </c>
      <c r="E320" s="15" t="s">
        <v>77</v>
      </c>
      <c r="F320" s="15" t="s">
        <v>473</v>
      </c>
      <c r="G320" s="15" t="s">
        <v>474</v>
      </c>
      <c r="H320" s="15" t="s">
        <v>475</v>
      </c>
      <c r="I320" s="15" t="s">
        <v>476</v>
      </c>
      <c r="J320" s="15" t="s">
        <v>477</v>
      </c>
    </row>
    <row r="321" spans="1:10" x14ac:dyDescent="0.2">
      <c r="A321" s="13" t="s">
        <v>70</v>
      </c>
      <c r="B321" s="18" t="str" cm="1">
        <f t="array" ref="B321">_xlfn.TEXTJOIN(,1,IF(IFERROR(FIND(table_prefix[前缀],table_l10n!A321),FALSE),TEXT(table_prefix[说明],""),""))</f>
        <v>世界 - 名称</v>
      </c>
      <c r="C321" s="19" t="s">
        <v>78</v>
      </c>
      <c r="D321" s="15" t="s">
        <v>78</v>
      </c>
      <c r="E321" s="15" t="s">
        <v>478</v>
      </c>
      <c r="F321" s="15" t="s">
        <v>479</v>
      </c>
      <c r="G321" s="15" t="s">
        <v>480</v>
      </c>
      <c r="H321" s="15" t="s">
        <v>481</v>
      </c>
      <c r="I321" s="15" t="s">
        <v>482</v>
      </c>
      <c r="J321" s="15" t="s">
        <v>483</v>
      </c>
    </row>
    <row r="322" spans="1:10" x14ac:dyDescent="0.2">
      <c r="A322" s="13" t="s">
        <v>71</v>
      </c>
      <c r="B322" s="18" t="str" cm="1">
        <f t="array" ref="B322">_xlfn.TEXTJOIN(,1,IF(IFERROR(FIND(table_prefix[前缀],table_l10n!A322),FALSE),TEXT(table_prefix[说明],""),""))</f>
        <v>世界 - 名称</v>
      </c>
      <c r="C322" s="19" t="s">
        <v>79</v>
      </c>
      <c r="D322" s="15" t="s">
        <v>79</v>
      </c>
      <c r="E322" s="15" t="s">
        <v>484</v>
      </c>
      <c r="F322" s="15" t="s">
        <v>485</v>
      </c>
      <c r="G322" s="15" t="s">
        <v>486</v>
      </c>
      <c r="H322" s="15" t="s">
        <v>487</v>
      </c>
      <c r="I322" s="15" t="s">
        <v>488</v>
      </c>
      <c r="J322" s="15" t="s">
        <v>489</v>
      </c>
    </row>
    <row r="323" spans="1:10" x14ac:dyDescent="0.2">
      <c r="A323" s="13" t="s">
        <v>72</v>
      </c>
      <c r="B323" s="18" t="str" cm="1">
        <f t="array" ref="B323">_xlfn.TEXTJOIN(,1,IF(IFERROR(FIND(table_prefix[前缀],table_l10n!A323),FALSE),TEXT(table_prefix[说明],""),""))</f>
        <v>世界 - 名称</v>
      </c>
      <c r="C323" s="19" t="s">
        <v>80</v>
      </c>
      <c r="D323" s="15" t="s">
        <v>80</v>
      </c>
      <c r="E323" s="15" t="s">
        <v>80</v>
      </c>
      <c r="F323" s="15" t="s">
        <v>490</v>
      </c>
      <c r="G323" s="15" t="s">
        <v>491</v>
      </c>
      <c r="H323" s="15" t="s">
        <v>492</v>
      </c>
      <c r="I323" s="15" t="s">
        <v>493</v>
      </c>
      <c r="J323" s="15" t="s">
        <v>494</v>
      </c>
    </row>
    <row r="324" spans="1:10" x14ac:dyDescent="0.2">
      <c r="A324" s="13" t="s">
        <v>73</v>
      </c>
      <c r="B324" s="18" t="str" cm="1">
        <f t="array" ref="B324">_xlfn.TEXTJOIN(,1,IF(IFERROR(FIND(table_prefix[前缀],table_l10n!A324),FALSE),TEXT(table_prefix[说明],""),""))</f>
        <v>世界 - 名称</v>
      </c>
      <c r="C324" s="19" t="s">
        <v>81</v>
      </c>
      <c r="D324" s="15" t="s">
        <v>81</v>
      </c>
      <c r="E324" s="15" t="s">
        <v>81</v>
      </c>
      <c r="F324" s="15" t="s">
        <v>495</v>
      </c>
      <c r="G324" s="15" t="s">
        <v>496</v>
      </c>
      <c r="H324" s="15" t="s">
        <v>497</v>
      </c>
      <c r="I324" s="15" t="s">
        <v>498</v>
      </c>
      <c r="J324" s="15" t="s">
        <v>499</v>
      </c>
    </row>
    <row r="325" spans="1:10" x14ac:dyDescent="0.2">
      <c r="A325" s="13" t="s">
        <v>74</v>
      </c>
      <c r="B325" s="18" t="str" cm="1">
        <f t="array" ref="B325">_xlfn.TEXTJOIN(,1,IF(IFERROR(FIND(table_prefix[前缀],table_l10n!A325),FALSE),TEXT(table_prefix[说明],""),""))</f>
        <v>世界 - 名称</v>
      </c>
      <c r="C325" s="19" t="s">
        <v>82</v>
      </c>
      <c r="D325" s="15" t="s">
        <v>82</v>
      </c>
      <c r="E325" s="15" t="s">
        <v>82</v>
      </c>
      <c r="F325" s="15" t="s">
        <v>500</v>
      </c>
      <c r="G325" s="15" t="s">
        <v>501</v>
      </c>
      <c r="H325" s="15" t="s">
        <v>502</v>
      </c>
      <c r="I325" s="15" t="s">
        <v>503</v>
      </c>
      <c r="J325" s="15" t="s">
        <v>504</v>
      </c>
    </row>
    <row r="326" spans="1:10" x14ac:dyDescent="0.2">
      <c r="B326" s="18" t="str" cm="1">
        <f t="array" ref="B326">_xlfn.TEXTJOIN(,1,IF(IFERROR(FIND(table_prefix[前缀],table_l10n!A326),FALSE),TEXT(table_prefix[说明],""),""))</f>
        <v/>
      </c>
      <c r="E326" s="15" t="s">
        <v>314</v>
      </c>
      <c r="F326" s="15" t="s">
        <v>314</v>
      </c>
      <c r="G326" s="15" t="s">
        <v>314</v>
      </c>
      <c r="H326" s="15" t="s">
        <v>314</v>
      </c>
      <c r="I326" s="15" t="s">
        <v>314</v>
      </c>
      <c r="J326" s="15" t="s">
        <v>314</v>
      </c>
    </row>
    <row r="329" spans="1:10" x14ac:dyDescent="0.2">
      <c r="A329" s="13" t="s">
        <v>2603</v>
      </c>
      <c r="B329" s="18" t="str" cm="1">
        <f t="array" ref="B329">_xlfn.TEXTJOIN(,1,IF(IFERROR(FIND(table_prefix[前缀],table_l10n!A329),FALSE),TEXT(table_prefix[说明],""),""))</f>
        <v>场景 - 名称</v>
      </c>
      <c r="C329" s="19" t="s">
        <v>2591</v>
      </c>
      <c r="D329" s="15" t="s">
        <v>2591</v>
      </c>
      <c r="E329" s="15" t="s">
        <v>2615</v>
      </c>
      <c r="F329" s="15" t="s">
        <v>2616</v>
      </c>
      <c r="G329" s="15" t="s">
        <v>2617</v>
      </c>
      <c r="H329" s="15" t="s">
        <v>2618</v>
      </c>
      <c r="I329" s="15" t="s">
        <v>2619</v>
      </c>
      <c r="J329" s="15" t="s">
        <v>2620</v>
      </c>
    </row>
    <row r="330" spans="1:10" x14ac:dyDescent="0.2">
      <c r="A330" s="13" t="s">
        <v>2604</v>
      </c>
      <c r="B330" s="18" t="str" cm="1">
        <f t="array" ref="B330">_xlfn.TEXTJOIN(,1,IF(IFERROR(FIND(table_prefix[前缀],table_l10n!A330),FALSE),TEXT(table_prefix[说明],""),""))</f>
        <v>场景 - 名称</v>
      </c>
      <c r="C330" s="19" t="s">
        <v>2592</v>
      </c>
      <c r="D330" s="15" t="s">
        <v>2592</v>
      </c>
      <c r="E330" s="15" t="s">
        <v>2621</v>
      </c>
      <c r="F330" s="15" t="s">
        <v>2622</v>
      </c>
      <c r="G330" s="15" t="s">
        <v>2623</v>
      </c>
      <c r="H330" s="15" t="s">
        <v>2624</v>
      </c>
      <c r="I330" s="15" t="s">
        <v>2625</v>
      </c>
      <c r="J330" s="15" t="s">
        <v>2626</v>
      </c>
    </row>
    <row r="331" spans="1:10" x14ac:dyDescent="0.2">
      <c r="A331" s="13" t="s">
        <v>2605</v>
      </c>
      <c r="B331" s="18" t="str" cm="1">
        <f t="array" ref="B331">_xlfn.TEXTJOIN(,1,IF(IFERROR(FIND(table_prefix[前缀],table_l10n!A331),FALSE),TEXT(table_prefix[说明],""),""))</f>
        <v>场景 - 名称</v>
      </c>
      <c r="C331" s="19" t="s">
        <v>2593</v>
      </c>
      <c r="D331" s="15" t="s">
        <v>2593</v>
      </c>
      <c r="E331" s="15" t="s">
        <v>2627</v>
      </c>
      <c r="F331" s="15" t="s">
        <v>2628</v>
      </c>
      <c r="G331" s="15" t="s">
        <v>2629</v>
      </c>
      <c r="H331" s="15" t="s">
        <v>2630</v>
      </c>
      <c r="I331" s="15" t="s">
        <v>2631</v>
      </c>
      <c r="J331" s="15" t="s">
        <v>2632</v>
      </c>
    </row>
    <row r="332" spans="1:10" x14ac:dyDescent="0.2">
      <c r="A332" s="13" t="s">
        <v>2606</v>
      </c>
      <c r="B332" s="18" t="str" cm="1">
        <f t="array" ref="B332">_xlfn.TEXTJOIN(,1,IF(IFERROR(FIND(table_prefix[前缀],table_l10n!A332),FALSE),TEXT(table_prefix[说明],""),""))</f>
        <v>场景 - 名称</v>
      </c>
      <c r="C332" s="19" t="s">
        <v>2594</v>
      </c>
      <c r="D332" s="15" t="s">
        <v>2594</v>
      </c>
      <c r="E332" s="15" t="s">
        <v>2594</v>
      </c>
      <c r="F332" s="15" t="s">
        <v>2633</v>
      </c>
      <c r="G332" s="15" t="s">
        <v>2634</v>
      </c>
      <c r="H332" s="15" t="s">
        <v>2594</v>
      </c>
      <c r="I332" s="15" t="s">
        <v>2635</v>
      </c>
      <c r="J332" s="15" t="s">
        <v>2636</v>
      </c>
    </row>
    <row r="333" spans="1:10" x14ac:dyDescent="0.2">
      <c r="A333" s="13" t="s">
        <v>2607</v>
      </c>
      <c r="B333" s="18" t="str" cm="1">
        <f t="array" ref="B333">_xlfn.TEXTJOIN(,1,IF(IFERROR(FIND(table_prefix[前缀],table_l10n!A333),FALSE),TEXT(table_prefix[说明],""),""))</f>
        <v>场景 - 名称</v>
      </c>
      <c r="C333" s="19" t="s">
        <v>2595</v>
      </c>
      <c r="D333" s="15" t="s">
        <v>2595</v>
      </c>
      <c r="E333" s="15" t="s">
        <v>2595</v>
      </c>
      <c r="F333" s="15" t="s">
        <v>2637</v>
      </c>
      <c r="G333" s="15" t="s">
        <v>2638</v>
      </c>
      <c r="H333" s="15" t="s">
        <v>2639</v>
      </c>
      <c r="I333" s="15" t="s">
        <v>2640</v>
      </c>
      <c r="J333" s="15" t="s">
        <v>2641</v>
      </c>
    </row>
    <row r="334" spans="1:10" x14ac:dyDescent="0.2">
      <c r="A334" s="13" t="s">
        <v>2608</v>
      </c>
      <c r="B334" s="18" t="str" cm="1">
        <f t="array" ref="B334">_xlfn.TEXTJOIN(,1,IF(IFERROR(FIND(table_prefix[前缀],table_l10n!A334),FALSE),TEXT(table_prefix[说明],""),""))</f>
        <v>场景 - 名称</v>
      </c>
      <c r="C334" s="19" t="s">
        <v>2596</v>
      </c>
      <c r="D334" s="15" t="s">
        <v>2596</v>
      </c>
      <c r="E334" s="15" t="s">
        <v>2642</v>
      </c>
      <c r="F334" s="15" t="s">
        <v>2643</v>
      </c>
      <c r="G334" s="15" t="s">
        <v>2644</v>
      </c>
      <c r="H334" s="15" t="s">
        <v>2645</v>
      </c>
      <c r="I334" s="15" t="s">
        <v>2646</v>
      </c>
      <c r="J334" s="15" t="s">
        <v>2647</v>
      </c>
    </row>
    <row r="335" spans="1:10" x14ac:dyDescent="0.2">
      <c r="A335" s="13" t="s">
        <v>2609</v>
      </c>
      <c r="B335" s="18" t="str" cm="1">
        <f t="array" ref="B335">_xlfn.TEXTJOIN(,1,IF(IFERROR(FIND(table_prefix[前缀],table_l10n!A335),FALSE),TEXT(table_prefix[说明],""),""))</f>
        <v>场景 - 名称</v>
      </c>
      <c r="C335" s="19" t="s">
        <v>2597</v>
      </c>
      <c r="D335" s="15" t="s">
        <v>2597</v>
      </c>
      <c r="E335" s="15" t="s">
        <v>2648</v>
      </c>
      <c r="F335" s="15" t="s">
        <v>2649</v>
      </c>
      <c r="G335" s="15" t="s">
        <v>2650</v>
      </c>
      <c r="H335" s="15" t="s">
        <v>2651</v>
      </c>
      <c r="I335" s="15" t="s">
        <v>2652</v>
      </c>
      <c r="J335" s="15" t="s">
        <v>2653</v>
      </c>
    </row>
    <row r="336" spans="1:10" x14ac:dyDescent="0.2">
      <c r="A336" s="13" t="s">
        <v>2610</v>
      </c>
      <c r="B336" s="18" t="str" cm="1">
        <f t="array" ref="B336">_xlfn.TEXTJOIN(,1,IF(IFERROR(FIND(table_prefix[前缀],table_l10n!A336),FALSE),TEXT(table_prefix[说明],""),""))</f>
        <v>场景 - 名称</v>
      </c>
      <c r="C336" s="19" t="s">
        <v>2598</v>
      </c>
      <c r="D336" s="15" t="s">
        <v>2598</v>
      </c>
      <c r="E336" s="15" t="s">
        <v>2598</v>
      </c>
      <c r="F336" s="15" t="s">
        <v>2654</v>
      </c>
      <c r="G336" s="15" t="s">
        <v>2655</v>
      </c>
      <c r="H336" s="15" t="s">
        <v>2656</v>
      </c>
      <c r="I336" s="15" t="s">
        <v>2657</v>
      </c>
      <c r="J336" s="15" t="s">
        <v>2658</v>
      </c>
    </row>
    <row r="337" spans="1:10" x14ac:dyDescent="0.2">
      <c r="A337" s="13" t="s">
        <v>2611</v>
      </c>
      <c r="B337" s="18" t="str" cm="1">
        <f t="array" ref="B337">_xlfn.TEXTJOIN(,1,IF(IFERROR(FIND(table_prefix[前缀],table_l10n!A337),FALSE),TEXT(table_prefix[说明],""),""))</f>
        <v>场景 - 名称</v>
      </c>
      <c r="C337" s="19" t="s">
        <v>2599</v>
      </c>
      <c r="D337" s="15" t="s">
        <v>2599</v>
      </c>
      <c r="E337" s="15" t="s">
        <v>2659</v>
      </c>
      <c r="F337" s="15" t="s">
        <v>2660</v>
      </c>
      <c r="G337" s="15" t="s">
        <v>2661</v>
      </c>
      <c r="H337" s="15" t="s">
        <v>2662</v>
      </c>
      <c r="I337" s="15" t="s">
        <v>2663</v>
      </c>
      <c r="J337" s="15" t="s">
        <v>2664</v>
      </c>
    </row>
    <row r="338" spans="1:10" x14ac:dyDescent="0.2">
      <c r="A338" s="13" t="s">
        <v>2612</v>
      </c>
      <c r="B338" s="18" t="str" cm="1">
        <f t="array" ref="B338">_xlfn.TEXTJOIN(,1,IF(IFERROR(FIND(table_prefix[前缀],table_l10n!A338),FALSE),TEXT(table_prefix[说明],""),""))</f>
        <v>场景 - 名称</v>
      </c>
      <c r="C338" s="19" t="s">
        <v>2600</v>
      </c>
      <c r="D338" s="15" t="s">
        <v>2600</v>
      </c>
      <c r="E338" s="15" t="s">
        <v>2600</v>
      </c>
      <c r="F338" s="15" t="s">
        <v>2665</v>
      </c>
      <c r="G338" s="15" t="s">
        <v>2666</v>
      </c>
      <c r="H338" s="15" t="s">
        <v>2667</v>
      </c>
      <c r="I338" s="15" t="s">
        <v>2668</v>
      </c>
      <c r="J338" s="15" t="s">
        <v>2669</v>
      </c>
    </row>
    <row r="339" spans="1:10" x14ac:dyDescent="0.2">
      <c r="A339" s="13" t="s">
        <v>2613</v>
      </c>
      <c r="B339" s="18" t="str" cm="1">
        <f t="array" ref="B339">_xlfn.TEXTJOIN(,1,IF(IFERROR(FIND(table_prefix[前缀],table_l10n!A339),FALSE),TEXT(table_prefix[说明],""),""))</f>
        <v>场景 - 名称</v>
      </c>
      <c r="C339" s="19" t="s">
        <v>2601</v>
      </c>
      <c r="D339" s="15" t="s">
        <v>2601</v>
      </c>
      <c r="E339" s="15" t="s">
        <v>2670</v>
      </c>
      <c r="F339" s="15" t="s">
        <v>2671</v>
      </c>
      <c r="G339" s="15" t="s">
        <v>2672</v>
      </c>
      <c r="H339" s="15" t="s">
        <v>2673</v>
      </c>
      <c r="I339" s="15" t="s">
        <v>2674</v>
      </c>
      <c r="J339" s="15" t="s">
        <v>2675</v>
      </c>
    </row>
    <row r="340" spans="1:10" x14ac:dyDescent="0.2">
      <c r="A340" s="13" t="s">
        <v>2614</v>
      </c>
      <c r="B340" s="18" t="str" cm="1">
        <f t="array" ref="B340">_xlfn.TEXTJOIN(,1,IF(IFERROR(FIND(table_prefix[前缀],table_l10n!A340),FALSE),TEXT(table_prefix[说明],""),""))</f>
        <v>场景 - 名称</v>
      </c>
      <c r="C340" s="19" t="s">
        <v>2602</v>
      </c>
      <c r="D340" s="15" t="s">
        <v>2602</v>
      </c>
      <c r="E340" s="15" t="s">
        <v>2602</v>
      </c>
      <c r="F340" s="15" t="s">
        <v>2676</v>
      </c>
      <c r="G340" s="15" t="s">
        <v>2677</v>
      </c>
      <c r="H340" s="15" t="s">
        <v>2678</v>
      </c>
      <c r="I340" s="15" t="s">
        <v>2679</v>
      </c>
      <c r="J340" s="15" t="s">
        <v>2680</v>
      </c>
    </row>
    <row r="341" spans="1:10" x14ac:dyDescent="0.2">
      <c r="B341" s="18" t="str" cm="1">
        <f t="array" ref="B341">_xlfn.TEXTJOIN(,1,IF(IFERROR(FIND(table_prefix[前缀],table_l10n!A341),FALSE),TEXT(table_prefix[说明],""),""))</f>
        <v/>
      </c>
    </row>
    <row r="344" spans="1:10" x14ac:dyDescent="0.2">
      <c r="A344" s="13" t="s">
        <v>2330</v>
      </c>
      <c r="B344" s="18" t="str" cm="1">
        <f t="array" ref="B344">_xlfn.TEXTJOIN(,1,IF(IFERROR(FIND(table_prefix[前缀],table_l10n!A344),FALSE),TEXT(table_prefix[说明],""),""))</f>
        <v>天气 - 名称</v>
      </c>
      <c r="C344" s="19" t="s">
        <v>2344</v>
      </c>
      <c r="D344" s="15" t="s">
        <v>2344</v>
      </c>
      <c r="E344" s="20" t="str">
        <f>_xlfn.TRANSLATE($D344,"zh-chs","zh-cht")</f>
        <v>晴</v>
      </c>
      <c r="F344" s="20" t="str">
        <f>_xlfn.TRANSLATE($D344,"zh-chs","en")</f>
        <v>Sunny</v>
      </c>
      <c r="G344" s="20" t="str">
        <f>_xlfn.TRANSLATE($D344,"zh-chs","es")</f>
        <v>Sunny</v>
      </c>
      <c r="H344" s="20" t="str">
        <f>_xlfn.TRANSLATE($D344,"zh-chs","ja")</f>
        <v>サニー</v>
      </c>
      <c r="I344" s="20" t="str">
        <f>_xlfn.TRANSLATE($D344,"zh-chs","ru")</f>
        <v>Санни</v>
      </c>
      <c r="J344" s="20" t="str">
        <f>_xlfn.TRANSLATE($D344,"zh-chs","ko")</f>
        <v>써니</v>
      </c>
    </row>
    <row r="345" spans="1:10" x14ac:dyDescent="0.2">
      <c r="B345" s="18" t="str" cm="1">
        <f t="array" ref="B345">_xlfn.TEXTJOIN(,1,IF(IFERROR(FIND(table_prefix[前缀],table_l10n!A345),FALSE),TEXT(table_prefix[说明],""),""))</f>
        <v/>
      </c>
      <c r="E345" s="15" t="str">
        <f t="shared" ref="E345" si="18">_xlfn.TRANSLATE($D345,"zh-chs","zh-cht")</f>
        <v/>
      </c>
      <c r="F345" s="15" t="str">
        <f t="shared" ref="F345" si="19">_xlfn.TRANSLATE($D345,"zh-chs","en")</f>
        <v/>
      </c>
      <c r="G345" s="15" t="str">
        <f t="shared" ref="G345" si="20">_xlfn.TRANSLATE($D345,"zh-chs","es")</f>
        <v/>
      </c>
      <c r="H345" s="15" t="str">
        <f t="shared" ref="H345" si="21">_xlfn.TRANSLATE($D345,"zh-chs","ja")</f>
        <v/>
      </c>
      <c r="I345" s="15" t="str">
        <f t="shared" ref="I345" si="22">_xlfn.TRANSLATE($D345,"zh-chs","ru")</f>
        <v/>
      </c>
      <c r="J345" s="15" t="str">
        <f t="shared" ref="J345" si="23">_xlfn.TRANSLATE($D345,"zh-chs","ko")</f>
        <v/>
      </c>
    </row>
    <row r="346" spans="1:10" x14ac:dyDescent="0.2">
      <c r="A346" s="13" t="s">
        <v>2442</v>
      </c>
      <c r="B346" s="18" t="str" cm="1">
        <f t="array" ref="B346">_xlfn.TEXTJOIN(,1,IF(IFERROR(FIND(table_prefix[前缀],table_l10n!A346),FALSE),TEXT(table_prefix[说明],""),""))</f>
        <v>天气 - 名称</v>
      </c>
      <c r="C346" s="19" t="s">
        <v>2443</v>
      </c>
      <c r="D346" s="15" t="s">
        <v>2443</v>
      </c>
      <c r="E346" s="15" t="s">
        <v>2443</v>
      </c>
      <c r="F346" s="15" t="s">
        <v>2447</v>
      </c>
      <c r="G346" s="15" t="s">
        <v>2448</v>
      </c>
      <c r="H346" s="15" t="s">
        <v>2449</v>
      </c>
      <c r="I346" s="15" t="s">
        <v>2450</v>
      </c>
      <c r="J346" s="15" t="s">
        <v>2451</v>
      </c>
    </row>
    <row r="347" spans="1:10" x14ac:dyDescent="0.2">
      <c r="A347" s="13" t="s">
        <v>2331</v>
      </c>
      <c r="B347" s="18" t="str" cm="1">
        <f t="array" ref="B347">_xlfn.TEXTJOIN(,1,IF(IFERROR(FIND(table_prefix[前缀],table_l10n!A347),FALSE),TEXT(table_prefix[说明],""),""))</f>
        <v>天气 - 名称</v>
      </c>
      <c r="C347" s="19" t="s">
        <v>2345</v>
      </c>
      <c r="D347" s="15" t="s">
        <v>2345</v>
      </c>
      <c r="E347" s="15" t="s">
        <v>2368</v>
      </c>
      <c r="F347" s="15" t="s">
        <v>2369</v>
      </c>
      <c r="G347" s="15" t="s">
        <v>2370</v>
      </c>
      <c r="H347" s="15" t="s">
        <v>2371</v>
      </c>
      <c r="I347" s="15" t="s">
        <v>2372</v>
      </c>
      <c r="J347" s="15" t="s">
        <v>2373</v>
      </c>
    </row>
    <row r="348" spans="1:10" x14ac:dyDescent="0.2">
      <c r="A348" s="13" t="s">
        <v>2332</v>
      </c>
      <c r="B348" s="18" t="str" cm="1">
        <f t="array" ref="B348">_xlfn.TEXTJOIN(,1,IF(IFERROR(FIND(table_prefix[前缀],table_l10n!A348),FALSE),TEXT(table_prefix[说明],""),""))</f>
        <v>天气 - 名称</v>
      </c>
      <c r="C348" s="19" t="s">
        <v>2444</v>
      </c>
      <c r="D348" s="15" t="s">
        <v>2444</v>
      </c>
      <c r="E348" s="15" t="s">
        <v>2452</v>
      </c>
      <c r="F348" s="15" t="s">
        <v>2453</v>
      </c>
      <c r="G348" s="15" t="s">
        <v>2454</v>
      </c>
      <c r="H348" s="15" t="s">
        <v>2452</v>
      </c>
      <c r="I348" s="15" t="s">
        <v>2455</v>
      </c>
      <c r="J348" s="15" t="s">
        <v>2456</v>
      </c>
    </row>
    <row r="349" spans="1:10" x14ac:dyDescent="0.2">
      <c r="A349" s="13" t="s">
        <v>2333</v>
      </c>
      <c r="B349" s="18" t="str" cm="1">
        <f t="array" ref="B349">_xlfn.TEXTJOIN(,1,IF(IFERROR(FIND(table_prefix[前缀],table_l10n!A349),FALSE),TEXT(table_prefix[说明],""),""))</f>
        <v>天气 - 名称</v>
      </c>
      <c r="C349" s="19" t="s">
        <v>2346</v>
      </c>
      <c r="D349" s="15" t="s">
        <v>2346</v>
      </c>
      <c r="E349" s="15" t="s">
        <v>2374</v>
      </c>
      <c r="F349" s="15" t="s">
        <v>2375</v>
      </c>
      <c r="G349" s="15" t="s">
        <v>2376</v>
      </c>
      <c r="H349" s="15" t="s">
        <v>2377</v>
      </c>
      <c r="I349" s="15" t="s">
        <v>2378</v>
      </c>
      <c r="J349" s="15" t="s">
        <v>2379</v>
      </c>
    </row>
    <row r="350" spans="1:10" x14ac:dyDescent="0.2">
      <c r="A350" s="13" t="s">
        <v>2334</v>
      </c>
      <c r="B350" s="18" t="str" cm="1">
        <f t="array" ref="B350">_xlfn.TEXTJOIN(,1,IF(IFERROR(FIND(table_prefix[前缀],table_l10n!A350),FALSE),TEXT(table_prefix[说明],""),""))</f>
        <v>天气 - 名称</v>
      </c>
      <c r="C350" s="19" t="s">
        <v>2347</v>
      </c>
      <c r="D350" s="15" t="s">
        <v>2347</v>
      </c>
      <c r="E350" s="15" t="s">
        <v>2380</v>
      </c>
      <c r="F350" s="15" t="s">
        <v>2381</v>
      </c>
      <c r="G350" s="15" t="s">
        <v>2382</v>
      </c>
      <c r="H350" s="15" t="s">
        <v>2383</v>
      </c>
      <c r="I350" s="15" t="s">
        <v>2384</v>
      </c>
      <c r="J350" s="15" t="s">
        <v>2385</v>
      </c>
    </row>
    <row r="351" spans="1:10" x14ac:dyDescent="0.2">
      <c r="B351" s="18" t="str" cm="1">
        <f t="array" ref="B351">_xlfn.TEXTJOIN(,1,IF(IFERROR(FIND(table_prefix[前缀],table_l10n!A351),FALSE),TEXT(table_prefix[说明],""),""))</f>
        <v/>
      </c>
      <c r="E351" s="15" t="s">
        <v>314</v>
      </c>
      <c r="F351" s="15" t="s">
        <v>314</v>
      </c>
      <c r="G351" s="15" t="s">
        <v>314</v>
      </c>
      <c r="H351" s="15" t="s">
        <v>314</v>
      </c>
      <c r="I351" s="15" t="s">
        <v>314</v>
      </c>
      <c r="J351" s="15" t="s">
        <v>314</v>
      </c>
    </row>
    <row r="352" spans="1:10" x14ac:dyDescent="0.2">
      <c r="A352" s="13" t="s">
        <v>2417</v>
      </c>
      <c r="B352" s="18" t="str" cm="1">
        <f t="array" ref="B352">_xlfn.TEXTJOIN(,1,IF(IFERROR(FIND(table_prefix[前缀],table_l10n!A352),FALSE),TEXT(table_prefix[说明],""),""))</f>
        <v>天气 - 名称</v>
      </c>
      <c r="C352" s="19" t="s">
        <v>2445</v>
      </c>
      <c r="D352" s="15" t="s">
        <v>2445</v>
      </c>
      <c r="E352" s="15" t="s">
        <v>2457</v>
      </c>
      <c r="F352" s="15" t="s">
        <v>2458</v>
      </c>
      <c r="G352" s="15" t="s">
        <v>2459</v>
      </c>
      <c r="H352" s="15" t="s">
        <v>2460</v>
      </c>
      <c r="I352" s="15" t="s">
        <v>2461</v>
      </c>
      <c r="J352" s="15" t="s">
        <v>2462</v>
      </c>
    </row>
    <row r="353" spans="1:10" x14ac:dyDescent="0.2">
      <c r="A353" s="13" t="s">
        <v>2335</v>
      </c>
      <c r="B353" s="18" t="str" cm="1">
        <f t="array" ref="B353">_xlfn.TEXTJOIN(,1,IF(IFERROR(FIND(table_prefix[前缀],table_l10n!A353),FALSE),TEXT(table_prefix[说明],""),""))</f>
        <v>天气 - 名称</v>
      </c>
      <c r="C353" s="19" t="s">
        <v>2348</v>
      </c>
      <c r="D353" s="15" t="s">
        <v>2348</v>
      </c>
      <c r="E353" s="15" t="s">
        <v>2386</v>
      </c>
      <c r="F353" s="15" t="s">
        <v>2387</v>
      </c>
      <c r="G353" s="15" t="s">
        <v>2388</v>
      </c>
      <c r="H353" s="15" t="s">
        <v>2389</v>
      </c>
      <c r="I353" s="15" t="s">
        <v>2390</v>
      </c>
      <c r="J353" s="15" t="s">
        <v>2391</v>
      </c>
    </row>
    <row r="354" spans="1:10" x14ac:dyDescent="0.2">
      <c r="A354" s="13" t="s">
        <v>2336</v>
      </c>
      <c r="B354" s="18" t="str" cm="1">
        <f t="array" ref="B354">_xlfn.TEXTJOIN(,1,IF(IFERROR(FIND(table_prefix[前缀],table_l10n!A354),FALSE),TEXT(table_prefix[说明],""),""))</f>
        <v>天气 - 名称</v>
      </c>
      <c r="C354" s="19" t="s">
        <v>2349</v>
      </c>
      <c r="D354" s="15" t="s">
        <v>2349</v>
      </c>
      <c r="E354" s="15" t="s">
        <v>2349</v>
      </c>
      <c r="F354" s="15" t="s">
        <v>2392</v>
      </c>
      <c r="G354" s="15" t="s">
        <v>2393</v>
      </c>
      <c r="H354" s="15" t="s">
        <v>2394</v>
      </c>
      <c r="I354" s="15" t="s">
        <v>2395</v>
      </c>
      <c r="J354" s="15" t="s">
        <v>2396</v>
      </c>
    </row>
    <row r="355" spans="1:10" x14ac:dyDescent="0.2">
      <c r="A355" s="13" t="s">
        <v>2337</v>
      </c>
      <c r="B355" s="18" t="str" cm="1">
        <f t="array" ref="B355">_xlfn.TEXTJOIN(,1,IF(IFERROR(FIND(table_prefix[前缀],table_l10n!A355),FALSE),TEXT(table_prefix[说明],""),""))</f>
        <v>天气 - 名称</v>
      </c>
      <c r="C355" s="19" t="s">
        <v>2419</v>
      </c>
      <c r="D355" s="15" t="s">
        <v>2419</v>
      </c>
      <c r="E355" s="15" t="s">
        <v>2422</v>
      </c>
      <c r="F355" s="15" t="s">
        <v>2423</v>
      </c>
      <c r="G355" s="15" t="s">
        <v>2424</v>
      </c>
      <c r="H355" s="15" t="s">
        <v>2425</v>
      </c>
      <c r="I355" s="15" t="s">
        <v>2426</v>
      </c>
      <c r="J355" s="15" t="s">
        <v>2427</v>
      </c>
    </row>
    <row r="356" spans="1:10" x14ac:dyDescent="0.2">
      <c r="A356" s="13" t="s">
        <v>2338</v>
      </c>
      <c r="B356" s="18" t="str" cm="1">
        <f t="array" ref="B356">_xlfn.TEXTJOIN(,1,IF(IFERROR(FIND(table_prefix[前缀],table_l10n!A356),FALSE),TEXT(table_prefix[说明],""),""))</f>
        <v>天气 - 名称</v>
      </c>
      <c r="C356" s="19" t="s">
        <v>2420</v>
      </c>
      <c r="D356" s="15" t="s">
        <v>2420</v>
      </c>
      <c r="E356" s="15" t="s">
        <v>2428</v>
      </c>
      <c r="F356" s="15" t="s">
        <v>2429</v>
      </c>
      <c r="G356" s="15" t="s">
        <v>2430</v>
      </c>
      <c r="H356" s="15" t="s">
        <v>2431</v>
      </c>
      <c r="I356" s="15" t="s">
        <v>2432</v>
      </c>
      <c r="J356" s="15" t="s">
        <v>2433</v>
      </c>
    </row>
    <row r="357" spans="1:10" x14ac:dyDescent="0.2">
      <c r="A357" s="13" t="s">
        <v>2339</v>
      </c>
      <c r="B357" s="18" t="str" cm="1">
        <f t="array" ref="B357">_xlfn.TEXTJOIN(,1,IF(IFERROR(FIND(table_prefix[前缀],table_l10n!A357),FALSE),TEXT(table_prefix[说明],""),""))</f>
        <v>天气 - 名称</v>
      </c>
      <c r="C357" s="19" t="s">
        <v>2421</v>
      </c>
      <c r="D357" s="15" t="s">
        <v>2421</v>
      </c>
      <c r="E357" s="15" t="s">
        <v>2434</v>
      </c>
      <c r="F357" s="15" t="s">
        <v>2435</v>
      </c>
      <c r="G357" s="15" t="s">
        <v>2436</v>
      </c>
      <c r="H357" s="15" t="s">
        <v>2437</v>
      </c>
      <c r="I357" s="15" t="s">
        <v>2438</v>
      </c>
      <c r="J357" s="15" t="s">
        <v>2439</v>
      </c>
    </row>
    <row r="358" spans="1:10" x14ac:dyDescent="0.2">
      <c r="B358" s="18" t="str" cm="1">
        <f t="array" ref="B358">_xlfn.TEXTJOIN(,1,IF(IFERROR(FIND(table_prefix[前缀],table_l10n!A358),FALSE),TEXT(table_prefix[说明],""),""))</f>
        <v/>
      </c>
      <c r="E358" s="15" t="s">
        <v>314</v>
      </c>
      <c r="F358" s="15" t="s">
        <v>314</v>
      </c>
      <c r="G358" s="15" t="s">
        <v>314</v>
      </c>
      <c r="H358" s="15" t="s">
        <v>314</v>
      </c>
      <c r="I358" s="15" t="s">
        <v>314</v>
      </c>
      <c r="J358" s="15" t="s">
        <v>314</v>
      </c>
    </row>
    <row r="359" spans="1:10" x14ac:dyDescent="0.2">
      <c r="A359" s="13" t="s">
        <v>2418</v>
      </c>
      <c r="B359" s="18" t="str" cm="1">
        <f t="array" ref="B359">_xlfn.TEXTJOIN(,1,IF(IFERROR(FIND(table_prefix[前缀],table_l10n!A359),FALSE),TEXT(table_prefix[说明],""),""))</f>
        <v>天气 - 名称</v>
      </c>
      <c r="C359" s="19" t="s">
        <v>2446</v>
      </c>
      <c r="D359" s="15" t="s">
        <v>2446</v>
      </c>
      <c r="E359" s="15" t="s">
        <v>2463</v>
      </c>
      <c r="F359" s="15" t="s">
        <v>2464</v>
      </c>
      <c r="G359" s="15" t="s">
        <v>2465</v>
      </c>
      <c r="H359" s="15" t="s">
        <v>2466</v>
      </c>
      <c r="I359" s="15" t="s">
        <v>2467</v>
      </c>
      <c r="J359" s="15" t="s">
        <v>2468</v>
      </c>
    </row>
    <row r="360" spans="1:10" x14ac:dyDescent="0.2">
      <c r="A360" s="13" t="s">
        <v>2340</v>
      </c>
      <c r="B360" s="18" t="str" cm="1">
        <f t="array" ref="B360">_xlfn.TEXTJOIN(,1,IF(IFERROR(FIND(table_prefix[前缀],table_l10n!A360),FALSE),TEXT(table_prefix[说明],""),""))</f>
        <v>天气 - 名称</v>
      </c>
      <c r="C360" s="19" t="s">
        <v>2350</v>
      </c>
      <c r="D360" s="15" t="s">
        <v>2350</v>
      </c>
      <c r="E360" s="15" t="s">
        <v>2397</v>
      </c>
      <c r="F360" s="15" t="s">
        <v>2398</v>
      </c>
      <c r="G360" s="15" t="s">
        <v>2399</v>
      </c>
      <c r="H360" s="15" t="s">
        <v>2400</v>
      </c>
      <c r="I360" s="15" t="s">
        <v>2401</v>
      </c>
      <c r="J360" s="15" t="s">
        <v>2402</v>
      </c>
    </row>
    <row r="361" spans="1:10" x14ac:dyDescent="0.2">
      <c r="A361" s="13" t="s">
        <v>2341</v>
      </c>
      <c r="B361" s="18" t="str" cm="1">
        <f t="array" ref="B361">_xlfn.TEXTJOIN(,1,IF(IFERROR(FIND(table_prefix[前缀],table_l10n!A361),FALSE),TEXT(table_prefix[说明],""),""))</f>
        <v>天气 - 名称</v>
      </c>
      <c r="C361" s="19" t="s">
        <v>2351</v>
      </c>
      <c r="D361" s="15" t="s">
        <v>2351</v>
      </c>
      <c r="E361" s="15" t="s">
        <v>2351</v>
      </c>
      <c r="F361" s="15" t="s">
        <v>2403</v>
      </c>
      <c r="G361" s="15" t="s">
        <v>2404</v>
      </c>
      <c r="H361" s="15" t="s">
        <v>2405</v>
      </c>
      <c r="I361" s="15" t="s">
        <v>2406</v>
      </c>
      <c r="J361" s="15" t="s">
        <v>2407</v>
      </c>
    </row>
    <row r="362" spans="1:10" x14ac:dyDescent="0.2">
      <c r="A362" s="13" t="s">
        <v>2342</v>
      </c>
      <c r="B362" s="18" t="str" cm="1">
        <f t="array" ref="B362">_xlfn.TEXTJOIN(,1,IF(IFERROR(FIND(table_prefix[前缀],table_l10n!A362),FALSE),TEXT(table_prefix[说明],""),""))</f>
        <v>天气 - 名称</v>
      </c>
      <c r="C362" s="19" t="s">
        <v>2352</v>
      </c>
      <c r="D362" s="15" t="s">
        <v>2352</v>
      </c>
      <c r="E362" s="15" t="s">
        <v>2352</v>
      </c>
      <c r="F362" s="15" t="s">
        <v>2408</v>
      </c>
      <c r="G362" s="15" t="s">
        <v>2409</v>
      </c>
      <c r="H362" s="15" t="s">
        <v>2410</v>
      </c>
      <c r="I362" s="15" t="s">
        <v>2411</v>
      </c>
      <c r="J362" s="15" t="s">
        <v>2412</v>
      </c>
    </row>
    <row r="363" spans="1:10" x14ac:dyDescent="0.2">
      <c r="A363" s="13" t="s">
        <v>2343</v>
      </c>
      <c r="B363" s="18" t="str" cm="1">
        <f t="array" ref="B363">_xlfn.TEXTJOIN(,1,IF(IFERROR(FIND(table_prefix[前缀],table_l10n!A363),FALSE),TEXT(table_prefix[说明],""),""))</f>
        <v>天气 - 名称</v>
      </c>
      <c r="C363" s="19" t="s">
        <v>2353</v>
      </c>
      <c r="D363" s="15" t="s">
        <v>2353</v>
      </c>
      <c r="E363" s="15" t="s">
        <v>2353</v>
      </c>
      <c r="F363" s="15" t="s">
        <v>2413</v>
      </c>
      <c r="G363" s="15" t="s">
        <v>2409</v>
      </c>
      <c r="H363" s="15" t="s">
        <v>2414</v>
      </c>
      <c r="I363" s="15" t="s">
        <v>2415</v>
      </c>
      <c r="J363" s="15" t="s">
        <v>2416</v>
      </c>
    </row>
    <row r="365" spans="1:10" x14ac:dyDescent="0.2">
      <c r="B365" s="18" t="str" cm="1">
        <f t="array" ref="B365">_xlfn.TEXTJOIN(,1,IF(IFERROR(FIND(table_prefix[前缀],table_l10n!A365),FALSE),TEXT(table_prefix[说明],""),""))</f>
        <v/>
      </c>
      <c r="E365" s="15" t="s">
        <v>314</v>
      </c>
      <c r="F365" s="15" t="s">
        <v>314</v>
      </c>
      <c r="G365" s="15" t="s">
        <v>314</v>
      </c>
      <c r="H365" s="15" t="s">
        <v>314</v>
      </c>
      <c r="I365" s="15" t="s">
        <v>314</v>
      </c>
      <c r="J365" s="15" t="s">
        <v>314</v>
      </c>
    </row>
    <row r="366" spans="1:10" x14ac:dyDescent="0.2">
      <c r="B366" s="18" t="str" cm="1">
        <f t="array" ref="B366">_xlfn.TEXTJOIN(,1,IF(IFERROR(FIND(table_prefix[前缀],table_l10n!A366),FALSE),TEXT(table_prefix[说明],""),""))</f>
        <v/>
      </c>
      <c r="E366" s="15" t="s">
        <v>314</v>
      </c>
      <c r="F366" s="15" t="s">
        <v>314</v>
      </c>
      <c r="G366" s="15" t="s">
        <v>314</v>
      </c>
      <c r="H366" s="15" t="s">
        <v>314</v>
      </c>
      <c r="I366" s="15" t="s">
        <v>314</v>
      </c>
      <c r="J366" s="15" t="s">
        <v>314</v>
      </c>
    </row>
    <row r="367" spans="1:10" x14ac:dyDescent="0.2">
      <c r="A367" s="13" t="s">
        <v>2354</v>
      </c>
      <c r="B367" s="18" t="str" cm="1">
        <f t="array" ref="B367">_xlfn.TEXTJOIN(,1,IF(IFERROR(FIND(table_prefix[前缀],table_l10n!A367),FALSE),TEXT(table_prefix[说明],""),""))</f>
        <v>天气 - 描述</v>
      </c>
      <c r="C367" s="19" t="s">
        <v>2470</v>
      </c>
      <c r="D367" s="15" t="s">
        <v>2470</v>
      </c>
      <c r="E367" s="15" t="s">
        <v>2487</v>
      </c>
      <c r="F367" s="15" t="s">
        <v>2488</v>
      </c>
      <c r="G367" s="15" t="s">
        <v>2489</v>
      </c>
      <c r="H367" s="15" t="s">
        <v>2490</v>
      </c>
      <c r="I367" s="15" t="s">
        <v>2491</v>
      </c>
      <c r="J367" s="15" t="s">
        <v>2492</v>
      </c>
    </row>
    <row r="368" spans="1:10" x14ac:dyDescent="0.2">
      <c r="B368" s="18" t="str" cm="1">
        <f t="array" ref="B368">_xlfn.TEXTJOIN(,1,IF(IFERROR(FIND(table_prefix[前缀],table_l10n!A368),FALSE),TEXT(table_prefix[说明],""),""))</f>
        <v/>
      </c>
      <c r="C368" s="19" t="s">
        <v>314</v>
      </c>
      <c r="D368" s="15" t="s">
        <v>314</v>
      </c>
      <c r="E368" s="15" t="s">
        <v>314</v>
      </c>
      <c r="F368" s="15" t="s">
        <v>314</v>
      </c>
      <c r="G368" s="15" t="s">
        <v>314</v>
      </c>
      <c r="H368" s="15" t="s">
        <v>314</v>
      </c>
      <c r="I368" s="15" t="s">
        <v>314</v>
      </c>
      <c r="J368" s="15" t="s">
        <v>314</v>
      </c>
    </row>
    <row r="369" spans="1:10" x14ac:dyDescent="0.2">
      <c r="A369" s="13" t="s">
        <v>2469</v>
      </c>
      <c r="B369" s="18" t="str" cm="1">
        <f t="array" ref="B369">_xlfn.TEXTJOIN(,1,IF(IFERROR(FIND(table_prefix[前缀],table_l10n!A369),FALSE),TEXT(table_prefix[说明],""),""))</f>
        <v>天气 - 描述</v>
      </c>
      <c r="C369" s="19" t="s">
        <v>2471</v>
      </c>
      <c r="D369" s="15" t="s">
        <v>2471</v>
      </c>
      <c r="E369" s="15" t="s">
        <v>2493</v>
      </c>
      <c r="F369" s="15" t="s">
        <v>2494</v>
      </c>
      <c r="G369" s="15" t="s">
        <v>2495</v>
      </c>
      <c r="H369" s="15" t="s">
        <v>2496</v>
      </c>
      <c r="I369" s="15" t="s">
        <v>2497</v>
      </c>
      <c r="J369" s="15" t="s">
        <v>2498</v>
      </c>
    </row>
    <row r="370" spans="1:10" x14ac:dyDescent="0.2">
      <c r="A370" s="13" t="s">
        <v>2355</v>
      </c>
      <c r="B370" s="18" t="str" cm="1">
        <f t="array" ref="B370">_xlfn.TEXTJOIN(,1,IF(IFERROR(FIND(table_prefix[前缀],table_l10n!A370),FALSE),TEXT(table_prefix[说明],""),""))</f>
        <v>天气 - 描述</v>
      </c>
      <c r="C370" s="19" t="s">
        <v>2472</v>
      </c>
      <c r="D370" s="15" t="s">
        <v>2472</v>
      </c>
      <c r="E370" s="15" t="s">
        <v>2499</v>
      </c>
      <c r="F370" s="15" t="s">
        <v>2500</v>
      </c>
      <c r="G370" s="15" t="s">
        <v>2501</v>
      </c>
      <c r="H370" s="15" t="s">
        <v>2502</v>
      </c>
      <c r="I370" s="15" t="s">
        <v>2503</v>
      </c>
      <c r="J370" s="15" t="s">
        <v>2504</v>
      </c>
    </row>
    <row r="371" spans="1:10" x14ac:dyDescent="0.2">
      <c r="A371" s="13" t="s">
        <v>2356</v>
      </c>
      <c r="B371" s="18" t="str" cm="1">
        <f t="array" ref="B371">_xlfn.TEXTJOIN(,1,IF(IFERROR(FIND(table_prefix[前缀],table_l10n!A371),FALSE),TEXT(table_prefix[说明],""),""))</f>
        <v>天气 - 描述</v>
      </c>
      <c r="C371" s="19" t="s">
        <v>2473</v>
      </c>
      <c r="D371" s="15" t="s">
        <v>2473</v>
      </c>
      <c r="E371" s="15" t="s">
        <v>2505</v>
      </c>
      <c r="F371" s="15" t="s">
        <v>2506</v>
      </c>
      <c r="G371" s="15" t="s">
        <v>2507</v>
      </c>
      <c r="H371" s="15" t="s">
        <v>2508</v>
      </c>
      <c r="I371" s="15" t="s">
        <v>2509</v>
      </c>
      <c r="J371" s="15" t="s">
        <v>2510</v>
      </c>
    </row>
    <row r="372" spans="1:10" x14ac:dyDescent="0.2">
      <c r="A372" s="13" t="s">
        <v>2357</v>
      </c>
      <c r="B372" s="18" t="str" cm="1">
        <f t="array" ref="B372">_xlfn.TEXTJOIN(,1,IF(IFERROR(FIND(table_prefix[前缀],table_l10n!A372),FALSE),TEXT(table_prefix[说明],""),""))</f>
        <v>天气 - 描述</v>
      </c>
      <c r="C372" s="19" t="s">
        <v>2474</v>
      </c>
      <c r="D372" s="15" t="s">
        <v>2474</v>
      </c>
      <c r="E372" s="15" t="s">
        <v>2511</v>
      </c>
      <c r="F372" s="15" t="s">
        <v>2512</v>
      </c>
      <c r="G372" s="15" t="s">
        <v>2513</v>
      </c>
      <c r="H372" s="15" t="s">
        <v>2514</v>
      </c>
      <c r="I372" s="15" t="s">
        <v>2515</v>
      </c>
      <c r="J372" s="15" t="s">
        <v>2516</v>
      </c>
    </row>
    <row r="373" spans="1:10" x14ac:dyDescent="0.2">
      <c r="A373" s="13" t="s">
        <v>2358</v>
      </c>
      <c r="B373" s="18" t="str" cm="1">
        <f t="array" ref="B373">_xlfn.TEXTJOIN(,1,IF(IFERROR(FIND(table_prefix[前缀],table_l10n!A373),FALSE),TEXT(table_prefix[说明],""),""))</f>
        <v>天气 - 描述</v>
      </c>
      <c r="C373" s="19" t="s">
        <v>2475</v>
      </c>
      <c r="D373" s="15" t="s">
        <v>2475</v>
      </c>
      <c r="E373" s="15" t="s">
        <v>2517</v>
      </c>
      <c r="F373" s="15" t="s">
        <v>2518</v>
      </c>
      <c r="G373" s="15" t="s">
        <v>2519</v>
      </c>
      <c r="H373" s="15" t="s">
        <v>2520</v>
      </c>
      <c r="I373" s="15" t="s">
        <v>2521</v>
      </c>
      <c r="J373" s="15" t="s">
        <v>2522</v>
      </c>
    </row>
    <row r="374" spans="1:10" x14ac:dyDescent="0.2">
      <c r="B374" s="18" t="str" cm="1">
        <f t="array" ref="B374">_xlfn.TEXTJOIN(,1,IF(IFERROR(FIND(table_prefix[前缀],table_l10n!A374),FALSE),TEXT(table_prefix[说明],""),""))</f>
        <v/>
      </c>
      <c r="C374" s="19" t="s">
        <v>314</v>
      </c>
      <c r="D374" s="15" t="s">
        <v>314</v>
      </c>
      <c r="E374" s="15" t="s">
        <v>314</v>
      </c>
      <c r="F374" s="15" t="s">
        <v>314</v>
      </c>
      <c r="G374" s="15" t="s">
        <v>314</v>
      </c>
      <c r="H374" s="15" t="s">
        <v>314</v>
      </c>
      <c r="I374" s="15" t="s">
        <v>314</v>
      </c>
      <c r="J374" s="15" t="s">
        <v>314</v>
      </c>
    </row>
    <row r="375" spans="1:10" x14ac:dyDescent="0.2">
      <c r="A375" s="13" t="s">
        <v>2440</v>
      </c>
      <c r="B375" s="18" t="str" cm="1">
        <f t="array" ref="B375">_xlfn.TEXTJOIN(,1,IF(IFERROR(FIND(table_prefix[前缀],table_l10n!A375),FALSE),TEXT(table_prefix[说明],""),""))</f>
        <v>天气 - 描述</v>
      </c>
      <c r="C375" s="19" t="s">
        <v>2476</v>
      </c>
      <c r="D375" s="15" t="s">
        <v>2476</v>
      </c>
      <c r="E375" s="15" t="s">
        <v>2523</v>
      </c>
      <c r="F375" s="15" t="s">
        <v>2524</v>
      </c>
      <c r="G375" s="15" t="s">
        <v>2525</v>
      </c>
      <c r="H375" s="15" t="s">
        <v>2526</v>
      </c>
      <c r="I375" s="15" t="s">
        <v>2527</v>
      </c>
      <c r="J375" s="15" t="s">
        <v>2528</v>
      </c>
    </row>
    <row r="376" spans="1:10" x14ac:dyDescent="0.2">
      <c r="A376" s="13" t="s">
        <v>2359</v>
      </c>
      <c r="B376" s="18" t="str" cm="1">
        <f t="array" ref="B376">_xlfn.TEXTJOIN(,1,IF(IFERROR(FIND(table_prefix[前缀],table_l10n!A376),FALSE),TEXT(table_prefix[说明],""),""))</f>
        <v>天气 - 描述</v>
      </c>
      <c r="C376" s="19" t="s">
        <v>2477</v>
      </c>
      <c r="D376" s="15" t="s">
        <v>2477</v>
      </c>
      <c r="E376" s="15" t="s">
        <v>2529</v>
      </c>
      <c r="F376" s="15" t="s">
        <v>2530</v>
      </c>
      <c r="G376" s="15" t="s">
        <v>2531</v>
      </c>
      <c r="H376" s="15" t="s">
        <v>2532</v>
      </c>
      <c r="I376" s="15" t="s">
        <v>2533</v>
      </c>
      <c r="J376" s="15" t="s">
        <v>2534</v>
      </c>
    </row>
    <row r="377" spans="1:10" x14ac:dyDescent="0.2">
      <c r="A377" s="13" t="s">
        <v>2360</v>
      </c>
      <c r="B377" s="18" t="str" cm="1">
        <f t="array" ref="B377">_xlfn.TEXTJOIN(,1,IF(IFERROR(FIND(table_prefix[前缀],table_l10n!A377),FALSE),TEXT(table_prefix[说明],""),""))</f>
        <v>天气 - 描述</v>
      </c>
      <c r="C377" s="19" t="s">
        <v>2478</v>
      </c>
      <c r="D377" s="15" t="s">
        <v>2478</v>
      </c>
      <c r="E377" s="15" t="s">
        <v>2535</v>
      </c>
      <c r="F377" s="15" t="s">
        <v>2536</v>
      </c>
      <c r="G377" s="15" t="s">
        <v>2537</v>
      </c>
      <c r="H377" s="15" t="s">
        <v>2538</v>
      </c>
      <c r="I377" s="15" t="s">
        <v>2539</v>
      </c>
      <c r="J377" s="15" t="s">
        <v>2540</v>
      </c>
    </row>
    <row r="378" spans="1:10" x14ac:dyDescent="0.2">
      <c r="A378" s="13" t="s">
        <v>2361</v>
      </c>
      <c r="B378" s="18" t="str" cm="1">
        <f t="array" ref="B378">_xlfn.TEXTJOIN(,1,IF(IFERROR(FIND(table_prefix[前缀],table_l10n!A378),FALSE),TEXT(table_prefix[说明],""),""))</f>
        <v>天气 - 描述</v>
      </c>
      <c r="C378" s="19" t="s">
        <v>2479</v>
      </c>
      <c r="D378" s="15" t="s">
        <v>2479</v>
      </c>
      <c r="E378" s="15" t="s">
        <v>2541</v>
      </c>
      <c r="F378" s="15" t="s">
        <v>2542</v>
      </c>
      <c r="G378" s="15" t="s">
        <v>2543</v>
      </c>
      <c r="H378" s="15" t="s">
        <v>2544</v>
      </c>
      <c r="I378" s="15" t="s">
        <v>2545</v>
      </c>
      <c r="J378" s="15" t="s">
        <v>2546</v>
      </c>
    </row>
    <row r="379" spans="1:10" x14ac:dyDescent="0.2">
      <c r="A379" s="13" t="s">
        <v>2362</v>
      </c>
      <c r="B379" s="18" t="str" cm="1">
        <f t="array" ref="B379">_xlfn.TEXTJOIN(,1,IF(IFERROR(FIND(table_prefix[前缀],table_l10n!A379),FALSE),TEXT(table_prefix[说明],""),""))</f>
        <v>天气 - 描述</v>
      </c>
      <c r="C379" s="19" t="s">
        <v>2480</v>
      </c>
      <c r="D379" s="15" t="s">
        <v>2480</v>
      </c>
      <c r="E379" s="15" t="s">
        <v>2547</v>
      </c>
      <c r="F379" s="15" t="s">
        <v>2548</v>
      </c>
      <c r="G379" s="15" t="s">
        <v>2549</v>
      </c>
      <c r="H379" s="15" t="s">
        <v>2550</v>
      </c>
      <c r="I379" s="15" t="s">
        <v>2551</v>
      </c>
      <c r="J379" s="15" t="s">
        <v>2552</v>
      </c>
    </row>
    <row r="380" spans="1:10" x14ac:dyDescent="0.2">
      <c r="A380" s="13" t="s">
        <v>2363</v>
      </c>
      <c r="B380" s="18" t="str" cm="1">
        <f t="array" ref="B380">_xlfn.TEXTJOIN(,1,IF(IFERROR(FIND(table_prefix[前缀],table_l10n!A380),FALSE),TEXT(table_prefix[说明],""),""))</f>
        <v>天气 - 描述</v>
      </c>
      <c r="C380" s="19" t="s">
        <v>2481</v>
      </c>
      <c r="D380" s="15" t="s">
        <v>2481</v>
      </c>
      <c r="E380" s="15" t="s">
        <v>2553</v>
      </c>
      <c r="F380" s="15" t="s">
        <v>2554</v>
      </c>
      <c r="G380" s="15" t="s">
        <v>2555</v>
      </c>
      <c r="H380" s="15" t="s">
        <v>2556</v>
      </c>
      <c r="I380" s="15" t="s">
        <v>2557</v>
      </c>
      <c r="J380" s="15" t="s">
        <v>2558</v>
      </c>
    </row>
    <row r="381" spans="1:10" x14ac:dyDescent="0.2">
      <c r="B381" s="18" t="str" cm="1">
        <f t="array" ref="B381">_xlfn.TEXTJOIN(,1,IF(IFERROR(FIND(table_prefix[前缀],table_l10n!A381),FALSE),TEXT(table_prefix[说明],""),""))</f>
        <v/>
      </c>
      <c r="C381" s="19" t="s">
        <v>314</v>
      </c>
      <c r="D381" s="15" t="s">
        <v>314</v>
      </c>
      <c r="E381" s="15" t="s">
        <v>314</v>
      </c>
      <c r="F381" s="15" t="s">
        <v>314</v>
      </c>
      <c r="G381" s="15" t="s">
        <v>314</v>
      </c>
      <c r="H381" s="15" t="s">
        <v>314</v>
      </c>
      <c r="I381" s="15" t="s">
        <v>314</v>
      </c>
      <c r="J381" s="15" t="s">
        <v>314</v>
      </c>
    </row>
    <row r="382" spans="1:10" x14ac:dyDescent="0.2">
      <c r="A382" s="13" t="s">
        <v>2441</v>
      </c>
      <c r="B382" s="18" t="str" cm="1">
        <f t="array" ref="B382">_xlfn.TEXTJOIN(,1,IF(IFERROR(FIND(table_prefix[前缀],table_l10n!A382),FALSE),TEXT(table_prefix[说明],""),""))</f>
        <v>天气 - 描述</v>
      </c>
      <c r="C382" s="19" t="s">
        <v>2482</v>
      </c>
      <c r="D382" s="15" t="s">
        <v>2482</v>
      </c>
      <c r="E382" s="15" t="s">
        <v>2559</v>
      </c>
      <c r="F382" s="15" t="s">
        <v>2560</v>
      </c>
      <c r="G382" s="15" t="s">
        <v>2561</v>
      </c>
      <c r="H382" s="15" t="s">
        <v>2562</v>
      </c>
      <c r="I382" s="15" t="s">
        <v>2563</v>
      </c>
      <c r="J382" s="15" t="s">
        <v>2564</v>
      </c>
    </row>
    <row r="383" spans="1:10" x14ac:dyDescent="0.2">
      <c r="A383" s="13" t="s">
        <v>2364</v>
      </c>
      <c r="B383" s="18" t="str" cm="1">
        <f t="array" ref="B383">_xlfn.TEXTJOIN(,1,IF(IFERROR(FIND(table_prefix[前缀],table_l10n!A383),FALSE),TEXT(table_prefix[说明],""),""))</f>
        <v>天气 - 描述</v>
      </c>
      <c r="C383" s="19" t="s">
        <v>2483</v>
      </c>
      <c r="D383" s="15" t="s">
        <v>2483</v>
      </c>
      <c r="E383" s="15" t="s">
        <v>2565</v>
      </c>
      <c r="F383" s="15" t="s">
        <v>2566</v>
      </c>
      <c r="G383" s="15" t="s">
        <v>2567</v>
      </c>
      <c r="H383" s="15" t="s">
        <v>2568</v>
      </c>
      <c r="I383" s="15" t="s">
        <v>2569</v>
      </c>
      <c r="J383" s="15" t="s">
        <v>2570</v>
      </c>
    </row>
    <row r="384" spans="1:10" x14ac:dyDescent="0.2">
      <c r="A384" s="13" t="s">
        <v>2365</v>
      </c>
      <c r="B384" s="18" t="str" cm="1">
        <f t="array" ref="B384">_xlfn.TEXTJOIN(,1,IF(IFERROR(FIND(table_prefix[前缀],table_l10n!A384),FALSE),TEXT(table_prefix[说明],""),""))</f>
        <v>天气 - 描述</v>
      </c>
      <c r="C384" s="19" t="s">
        <v>2484</v>
      </c>
      <c r="D384" s="15" t="s">
        <v>2484</v>
      </c>
      <c r="E384" s="15" t="s">
        <v>2571</v>
      </c>
      <c r="F384" s="15" t="s">
        <v>2572</v>
      </c>
      <c r="G384" s="15" t="s">
        <v>2573</v>
      </c>
      <c r="H384" s="15" t="s">
        <v>2574</v>
      </c>
      <c r="I384" s="15" t="s">
        <v>2575</v>
      </c>
      <c r="J384" s="15" t="s">
        <v>2576</v>
      </c>
    </row>
    <row r="385" spans="1:10" x14ac:dyDescent="0.2">
      <c r="A385" s="13" t="s">
        <v>2366</v>
      </c>
      <c r="B385" s="18" t="str" cm="1">
        <f t="array" ref="B385">_xlfn.TEXTJOIN(,1,IF(IFERROR(FIND(table_prefix[前缀],table_l10n!A385),FALSE),TEXT(table_prefix[说明],""),""))</f>
        <v>天气 - 描述</v>
      </c>
      <c r="C385" s="19" t="s">
        <v>2485</v>
      </c>
      <c r="D385" s="15" t="s">
        <v>2485</v>
      </c>
      <c r="E385" s="15" t="s">
        <v>2577</v>
      </c>
      <c r="F385" s="15" t="s">
        <v>2578</v>
      </c>
      <c r="G385" s="15" t="s">
        <v>2579</v>
      </c>
      <c r="H385" s="15" t="s">
        <v>2580</v>
      </c>
      <c r="I385" s="15" t="s">
        <v>2581</v>
      </c>
      <c r="J385" s="15" t="s">
        <v>2582</v>
      </c>
    </row>
    <row r="386" spans="1:10" x14ac:dyDescent="0.2">
      <c r="A386" s="13" t="s">
        <v>2367</v>
      </c>
      <c r="B386" s="18" t="str" cm="1">
        <f t="array" ref="B386">_xlfn.TEXTJOIN(,1,IF(IFERROR(FIND(table_prefix[前缀],table_l10n!A386),FALSE),TEXT(table_prefix[说明],""),""))</f>
        <v>天气 - 描述</v>
      </c>
      <c r="C386" s="19" t="s">
        <v>2486</v>
      </c>
      <c r="D386" s="15" t="s">
        <v>2486</v>
      </c>
      <c r="E386" s="15" t="s">
        <v>2583</v>
      </c>
      <c r="F386" s="15" t="s">
        <v>2584</v>
      </c>
      <c r="G386" s="15" t="s">
        <v>2585</v>
      </c>
      <c r="H386" s="15" t="s">
        <v>2586</v>
      </c>
      <c r="I386" s="15" t="s">
        <v>2587</v>
      </c>
      <c r="J386" s="15" t="s">
        <v>2588</v>
      </c>
    </row>
    <row r="390" spans="1:10" x14ac:dyDescent="0.2">
      <c r="A390" s="13" t="s">
        <v>2880</v>
      </c>
      <c r="B390" s="18" t="str" cm="1">
        <f t="array" ref="B390">_xlfn.TEXTJOIN(,1,IF(IFERROR(FIND(table_prefix[前缀],table_l10n!A390),FALSE),TEXT(table_prefix[说明],""),""))</f>
        <v>物品 - 名称</v>
      </c>
      <c r="C390" s="19" t="s">
        <v>2882</v>
      </c>
      <c r="D390" s="15" t="s">
        <v>2881</v>
      </c>
      <c r="E390" s="15" t="s">
        <v>2883</v>
      </c>
      <c r="F390" s="15" t="s">
        <v>2884</v>
      </c>
      <c r="G390" s="15" t="s">
        <v>2885</v>
      </c>
      <c r="H390" s="15" t="s">
        <v>2886</v>
      </c>
      <c r="I390" s="15" t="s">
        <v>2887</v>
      </c>
      <c r="J390" s="15" t="s">
        <v>2888</v>
      </c>
    </row>
    <row r="391" spans="1:10" x14ac:dyDescent="0.2">
      <c r="B391" s="18" t="str" cm="1">
        <f t="array" ref="B391">_xlfn.TEXTJOIN(,1,IF(IFERROR(FIND(table_prefix[前缀],table_l10n!A391),FALSE),TEXT(table_prefix[说明],""),""))</f>
        <v/>
      </c>
      <c r="E391" s="15" t="s">
        <v>314</v>
      </c>
      <c r="F391" s="15" t="s">
        <v>314</v>
      </c>
      <c r="G391" s="15" t="s">
        <v>314</v>
      </c>
      <c r="H391" s="15" t="s">
        <v>314</v>
      </c>
      <c r="I391" s="15" t="s">
        <v>314</v>
      </c>
      <c r="J391" s="15" t="s">
        <v>314</v>
      </c>
    </row>
    <row r="392" spans="1:10" x14ac:dyDescent="0.2">
      <c r="A392" s="13" t="s">
        <v>1976</v>
      </c>
      <c r="B392" s="18" t="str" cm="1">
        <f t="array" ref="B392">_xlfn.TEXTJOIN(,1,IF(IFERROR(FIND(table_prefix[前缀],table_l10n!A392),FALSE),TEXT(table_prefix[说明],""),""))</f>
        <v>物品 - 名称</v>
      </c>
      <c r="C392" s="19" t="s">
        <v>2019</v>
      </c>
      <c r="D392" s="15" t="s">
        <v>2019</v>
      </c>
      <c r="E392" s="15" t="s">
        <v>2019</v>
      </c>
      <c r="F392" s="15" t="s">
        <v>2050</v>
      </c>
      <c r="G392" s="15" t="s">
        <v>2051</v>
      </c>
      <c r="H392" s="15" t="s">
        <v>2052</v>
      </c>
      <c r="I392" s="15" t="s">
        <v>2053</v>
      </c>
      <c r="J392" s="15" t="s">
        <v>2054</v>
      </c>
    </row>
    <row r="393" spans="1:10" x14ac:dyDescent="0.2">
      <c r="A393" s="13" t="s">
        <v>1977</v>
      </c>
      <c r="B393" s="18" t="str" cm="1">
        <f t="array" ref="B393">_xlfn.TEXTJOIN(,1,IF(IFERROR(FIND(table_prefix[前缀],table_l10n!A393),FALSE),TEXT(table_prefix[说明],""),""))</f>
        <v>物品 - 名称</v>
      </c>
      <c r="C393" s="19" t="s">
        <v>2020</v>
      </c>
      <c r="D393" s="15" t="s">
        <v>2020</v>
      </c>
      <c r="E393" s="15" t="s">
        <v>2020</v>
      </c>
      <c r="F393" s="15" t="s">
        <v>2055</v>
      </c>
      <c r="G393" s="15" t="s">
        <v>2056</v>
      </c>
      <c r="H393" s="15" t="s">
        <v>2057</v>
      </c>
      <c r="I393" s="15" t="s">
        <v>2058</v>
      </c>
      <c r="J393" s="15" t="s">
        <v>2059</v>
      </c>
    </row>
    <row r="394" spans="1:10" x14ac:dyDescent="0.2">
      <c r="A394" s="14" t="s">
        <v>1978</v>
      </c>
      <c r="B394" s="18" t="str" cm="1">
        <f t="array" ref="B394">_xlfn.TEXTJOIN(,1,IF(IFERROR(FIND(table_prefix[前缀],table_l10n!A394),FALSE),TEXT(table_prefix[说明],""),""))</f>
        <v>物品 - 名称</v>
      </c>
      <c r="C394" s="19" t="s">
        <v>2021</v>
      </c>
      <c r="D394" s="15" t="s">
        <v>2021</v>
      </c>
      <c r="E394" s="15" t="s">
        <v>2060</v>
      </c>
      <c r="F394" s="15" t="s">
        <v>2061</v>
      </c>
      <c r="G394" s="15" t="s">
        <v>2062</v>
      </c>
      <c r="H394" s="15" t="s">
        <v>2063</v>
      </c>
      <c r="I394" s="15" t="s">
        <v>2064</v>
      </c>
      <c r="J394" s="15" t="s">
        <v>2065</v>
      </c>
    </row>
    <row r="395" spans="1:10" x14ac:dyDescent="0.2">
      <c r="A395" s="14" t="s">
        <v>1979</v>
      </c>
      <c r="B395" s="18" t="str" cm="1">
        <f t="array" ref="B395">_xlfn.TEXTJOIN(,1,IF(IFERROR(FIND(table_prefix[前缀],table_l10n!A395),FALSE),TEXT(table_prefix[说明],""),""))</f>
        <v>物品 - 名称</v>
      </c>
      <c r="C395" s="19" t="s">
        <v>2022</v>
      </c>
      <c r="D395" s="15" t="s">
        <v>2022</v>
      </c>
      <c r="E395" s="15" t="s">
        <v>2066</v>
      </c>
      <c r="F395" s="15" t="s">
        <v>2067</v>
      </c>
      <c r="G395" s="15" t="s">
        <v>2068</v>
      </c>
      <c r="H395" s="15" t="s">
        <v>2069</v>
      </c>
      <c r="I395" s="15" t="s">
        <v>2070</v>
      </c>
      <c r="J395" s="15" t="s">
        <v>2071</v>
      </c>
    </row>
    <row r="396" spans="1:10" x14ac:dyDescent="0.2">
      <c r="A396" s="14" t="s">
        <v>1980</v>
      </c>
      <c r="B396" s="18" t="str" cm="1">
        <f t="array" ref="B396">_xlfn.TEXTJOIN(,1,IF(IFERROR(FIND(table_prefix[前缀],table_l10n!A396),FALSE),TEXT(table_prefix[说明],""),""))</f>
        <v>物品 - 名称</v>
      </c>
      <c r="C396" s="19" t="s">
        <v>2023</v>
      </c>
      <c r="D396" s="15" t="s">
        <v>2023</v>
      </c>
      <c r="E396" s="15" t="s">
        <v>2072</v>
      </c>
      <c r="F396" s="15" t="s">
        <v>2073</v>
      </c>
      <c r="G396" s="15" t="s">
        <v>2074</v>
      </c>
      <c r="H396" s="15" t="s">
        <v>2075</v>
      </c>
      <c r="I396" s="15" t="s">
        <v>2076</v>
      </c>
      <c r="J396" s="15" t="s">
        <v>2077</v>
      </c>
    </row>
    <row r="397" spans="1:10" x14ac:dyDescent="0.2">
      <c r="A397" s="13" t="s">
        <v>1981</v>
      </c>
      <c r="B397" s="18" t="str" cm="1">
        <f t="array" ref="B397">_xlfn.TEXTJOIN(,1,IF(IFERROR(FIND(table_prefix[前缀],table_l10n!A397),FALSE),TEXT(table_prefix[说明],""),""))</f>
        <v>物品 - 名称</v>
      </c>
      <c r="C397" s="19" t="s">
        <v>2024</v>
      </c>
      <c r="D397" s="15" t="s">
        <v>2024</v>
      </c>
      <c r="E397" s="15" t="s">
        <v>2078</v>
      </c>
      <c r="F397" s="15" t="s">
        <v>2079</v>
      </c>
      <c r="G397" s="15" t="s">
        <v>2080</v>
      </c>
      <c r="H397" s="15" t="s">
        <v>2081</v>
      </c>
      <c r="I397" s="15" t="s">
        <v>2082</v>
      </c>
      <c r="J397" s="15" t="s">
        <v>2083</v>
      </c>
    </row>
    <row r="398" spans="1:10" x14ac:dyDescent="0.2">
      <c r="A398" s="13" t="s">
        <v>1982</v>
      </c>
      <c r="B398" s="18" t="str" cm="1">
        <f t="array" ref="B398">_xlfn.TEXTJOIN(,1,IF(IFERROR(FIND(table_prefix[前缀],table_l10n!A398),FALSE),TEXT(table_prefix[说明],""),""))</f>
        <v>物品 - 名称</v>
      </c>
      <c r="C398" s="19" t="s">
        <v>2025</v>
      </c>
      <c r="D398" s="15" t="s">
        <v>2025</v>
      </c>
      <c r="E398" s="15" t="s">
        <v>2084</v>
      </c>
      <c r="F398" s="15" t="s">
        <v>2085</v>
      </c>
      <c r="G398" s="15" t="s">
        <v>2086</v>
      </c>
      <c r="H398" s="15" t="s">
        <v>2087</v>
      </c>
      <c r="I398" s="15" t="s">
        <v>2088</v>
      </c>
      <c r="J398" s="15" t="s">
        <v>2089</v>
      </c>
    </row>
    <row r="399" spans="1:10" x14ac:dyDescent="0.2">
      <c r="A399" s="13" t="s">
        <v>1983</v>
      </c>
      <c r="B399" s="18" t="str" cm="1">
        <f t="array" ref="B399">_xlfn.TEXTJOIN(,1,IF(IFERROR(FIND(table_prefix[前缀],table_l10n!A399),FALSE),TEXT(table_prefix[说明],""),""))</f>
        <v>物品 - 名称</v>
      </c>
      <c r="C399" s="19" t="s">
        <v>2026</v>
      </c>
      <c r="D399" s="15" t="s">
        <v>2026</v>
      </c>
      <c r="E399" s="15" t="s">
        <v>2026</v>
      </c>
      <c r="F399" s="15" t="s">
        <v>2090</v>
      </c>
      <c r="G399" s="15" t="s">
        <v>2091</v>
      </c>
      <c r="H399" s="15" t="s">
        <v>2092</v>
      </c>
      <c r="I399" s="15" t="s">
        <v>2093</v>
      </c>
      <c r="J399" s="15" t="s">
        <v>2094</v>
      </c>
    </row>
    <row r="400" spans="1:10" x14ac:dyDescent="0.2">
      <c r="A400" s="13" t="s">
        <v>1984</v>
      </c>
      <c r="B400" s="18" t="str" cm="1">
        <f t="array" ref="B400">_xlfn.TEXTJOIN(,1,IF(IFERROR(FIND(table_prefix[前缀],table_l10n!A400),FALSE),TEXT(table_prefix[说明],""),""))</f>
        <v>物品 - 名称</v>
      </c>
      <c r="C400" s="19" t="s">
        <v>2027</v>
      </c>
      <c r="D400" s="15" t="s">
        <v>2027</v>
      </c>
      <c r="E400" s="15" t="s">
        <v>2095</v>
      </c>
      <c r="F400" s="15" t="s">
        <v>2096</v>
      </c>
      <c r="G400" s="15" t="s">
        <v>2097</v>
      </c>
      <c r="H400" s="15" t="s">
        <v>2098</v>
      </c>
      <c r="I400" s="15" t="s">
        <v>2099</v>
      </c>
      <c r="J400" s="15" t="s">
        <v>2100</v>
      </c>
    </row>
    <row r="401" spans="1:10" x14ac:dyDescent="0.2">
      <c r="A401" s="13" t="s">
        <v>1985</v>
      </c>
      <c r="B401" s="18" t="str" cm="1">
        <f t="array" ref="B401">_xlfn.TEXTJOIN(,1,IF(IFERROR(FIND(table_prefix[前缀],table_l10n!A401),FALSE),TEXT(table_prefix[说明],""),""))</f>
        <v>物品 - 名称</v>
      </c>
      <c r="C401" s="19" t="s">
        <v>2028</v>
      </c>
      <c r="D401" s="15" t="s">
        <v>2028</v>
      </c>
      <c r="E401" s="15" t="s">
        <v>2101</v>
      </c>
      <c r="F401" s="15" t="s">
        <v>2102</v>
      </c>
      <c r="G401" s="15" t="s">
        <v>2103</v>
      </c>
      <c r="H401" s="15" t="s">
        <v>2104</v>
      </c>
      <c r="I401" s="15" t="s">
        <v>2105</v>
      </c>
      <c r="J401" s="15" t="s">
        <v>2106</v>
      </c>
    </row>
    <row r="402" spans="1:10" x14ac:dyDescent="0.2">
      <c r="B402" s="18" t="str" cm="1">
        <f t="array" ref="B402">_xlfn.TEXTJOIN(,1,IF(IFERROR(FIND(table_prefix[前缀],table_l10n!A402),FALSE),TEXT(table_prefix[说明],""),""))</f>
        <v/>
      </c>
      <c r="E402" s="15" t="s">
        <v>314</v>
      </c>
      <c r="F402" s="15" t="s">
        <v>314</v>
      </c>
      <c r="G402" s="15" t="s">
        <v>314</v>
      </c>
      <c r="H402" s="15" t="s">
        <v>314</v>
      </c>
      <c r="I402" s="15" t="s">
        <v>314</v>
      </c>
      <c r="J402" s="15" t="s">
        <v>314</v>
      </c>
    </row>
    <row r="403" spans="1:10" x14ac:dyDescent="0.2">
      <c r="A403" s="13" t="s">
        <v>1986</v>
      </c>
      <c r="B403" s="18" t="str" cm="1">
        <f t="array" ref="B403">_xlfn.TEXTJOIN(,1,IF(IFERROR(FIND(table_prefix[前缀],table_l10n!A403),FALSE),TEXT(table_prefix[说明],""),""))</f>
        <v>物品 - 名称</v>
      </c>
      <c r="C403" s="19" t="s">
        <v>2029</v>
      </c>
      <c r="D403" s="15" t="s">
        <v>2029</v>
      </c>
      <c r="E403" s="15" t="s">
        <v>2107</v>
      </c>
      <c r="F403" s="15" t="s">
        <v>2108</v>
      </c>
      <c r="G403" s="15" t="s">
        <v>2109</v>
      </c>
      <c r="H403" s="15" t="s">
        <v>2110</v>
      </c>
      <c r="I403" s="15" t="s">
        <v>2111</v>
      </c>
      <c r="J403" s="15" t="s">
        <v>2112</v>
      </c>
    </row>
    <row r="404" spans="1:10" x14ac:dyDescent="0.2">
      <c r="A404" s="13" t="s">
        <v>1987</v>
      </c>
      <c r="B404" s="18" t="str" cm="1">
        <f t="array" ref="B404">_xlfn.TEXTJOIN(,1,IF(IFERROR(FIND(table_prefix[前缀],table_l10n!A404),FALSE),TEXT(table_prefix[说明],""),""))</f>
        <v>物品 - 名称</v>
      </c>
      <c r="C404" s="19" t="s">
        <v>2030</v>
      </c>
      <c r="D404" s="15" t="s">
        <v>2030</v>
      </c>
      <c r="E404" s="15" t="s">
        <v>2030</v>
      </c>
      <c r="F404" s="15" t="s">
        <v>2113</v>
      </c>
      <c r="G404" s="15" t="s">
        <v>2114</v>
      </c>
      <c r="H404" s="15" t="s">
        <v>2115</v>
      </c>
      <c r="I404" s="15" t="s">
        <v>2116</v>
      </c>
      <c r="J404" s="15" t="s">
        <v>2117</v>
      </c>
    </row>
    <row r="405" spans="1:10" x14ac:dyDescent="0.2">
      <c r="A405" s="13" t="s">
        <v>1988</v>
      </c>
      <c r="B405" s="18" t="str" cm="1">
        <f t="array" ref="B405">_xlfn.TEXTJOIN(,1,IF(IFERROR(FIND(table_prefix[前缀],table_l10n!A405),FALSE),TEXT(table_prefix[说明],""),""))</f>
        <v>物品 - 名称</v>
      </c>
      <c r="C405" s="19" t="s">
        <v>2031</v>
      </c>
      <c r="D405" s="15" t="s">
        <v>2031</v>
      </c>
      <c r="E405" s="15" t="s">
        <v>2118</v>
      </c>
      <c r="F405" s="15" t="s">
        <v>2119</v>
      </c>
      <c r="G405" s="15" t="s">
        <v>2120</v>
      </c>
      <c r="H405" s="15" t="s">
        <v>2121</v>
      </c>
      <c r="I405" s="15" t="s">
        <v>2122</v>
      </c>
      <c r="J405" s="15" t="s">
        <v>2123</v>
      </c>
    </row>
    <row r="406" spans="1:10" x14ac:dyDescent="0.2">
      <c r="A406" s="13" t="s">
        <v>1989</v>
      </c>
      <c r="B406" s="18" t="str" cm="1">
        <f t="array" ref="B406">_xlfn.TEXTJOIN(,1,IF(IFERROR(FIND(table_prefix[前缀],table_l10n!A406),FALSE),TEXT(table_prefix[说明],""),""))</f>
        <v>物品 - 名称</v>
      </c>
      <c r="C406" s="19" t="s">
        <v>2032</v>
      </c>
      <c r="D406" s="15" t="s">
        <v>2032</v>
      </c>
      <c r="E406" s="15" t="s">
        <v>2032</v>
      </c>
      <c r="F406" s="15" t="s">
        <v>2124</v>
      </c>
      <c r="G406" s="15" t="s">
        <v>2125</v>
      </c>
      <c r="H406" s="15" t="s">
        <v>2126</v>
      </c>
      <c r="I406" s="15" t="s">
        <v>2127</v>
      </c>
      <c r="J406" s="15" t="s">
        <v>2128</v>
      </c>
    </row>
    <row r="407" spans="1:10" x14ac:dyDescent="0.2">
      <c r="A407" s="13" t="s">
        <v>1990</v>
      </c>
      <c r="B407" s="18" t="str" cm="1">
        <f t="array" ref="B407">_xlfn.TEXTJOIN(,1,IF(IFERROR(FIND(table_prefix[前缀],table_l10n!A407),FALSE),TEXT(table_prefix[说明],""),""))</f>
        <v>物品 - 名称</v>
      </c>
      <c r="C407" s="19" t="s">
        <v>2033</v>
      </c>
      <c r="D407" s="15" t="s">
        <v>2033</v>
      </c>
      <c r="E407" s="15" t="s">
        <v>2129</v>
      </c>
      <c r="F407" s="15" t="s">
        <v>2130</v>
      </c>
      <c r="G407" s="15" t="s">
        <v>2131</v>
      </c>
      <c r="H407" s="15" t="s">
        <v>2132</v>
      </c>
      <c r="I407" s="15" t="s">
        <v>2133</v>
      </c>
      <c r="J407" s="15" t="s">
        <v>2134</v>
      </c>
    </row>
    <row r="408" spans="1:10" x14ac:dyDescent="0.2">
      <c r="A408" s="13" t="s">
        <v>1991</v>
      </c>
      <c r="B408" s="18" t="str" cm="1">
        <f t="array" ref="B408">_xlfn.TEXTJOIN(,1,IF(IFERROR(FIND(table_prefix[前缀],table_l10n!A408),FALSE),TEXT(table_prefix[说明],""),""))</f>
        <v>物品 - 名称</v>
      </c>
      <c r="C408" s="19" t="s">
        <v>2034</v>
      </c>
      <c r="D408" s="15" t="s">
        <v>2034</v>
      </c>
      <c r="E408" s="15" t="s">
        <v>2034</v>
      </c>
      <c r="F408" s="15" t="s">
        <v>2135</v>
      </c>
      <c r="G408" s="15" t="s">
        <v>2136</v>
      </c>
      <c r="H408" s="15" t="s">
        <v>2137</v>
      </c>
      <c r="I408" s="15" t="s">
        <v>2138</v>
      </c>
      <c r="J408" s="15" t="s">
        <v>2139</v>
      </c>
    </row>
    <row r="409" spans="1:10" x14ac:dyDescent="0.2">
      <c r="A409" s="13" t="s">
        <v>1992</v>
      </c>
      <c r="B409" s="18" t="str" cm="1">
        <f t="array" ref="B409">_xlfn.TEXTJOIN(,1,IF(IFERROR(FIND(table_prefix[前缀],table_l10n!A409),FALSE),TEXT(table_prefix[说明],""),""))</f>
        <v>物品 - 名称</v>
      </c>
      <c r="C409" s="19" t="s">
        <v>2035</v>
      </c>
      <c r="D409" s="15" t="s">
        <v>2035</v>
      </c>
      <c r="E409" s="15" t="s">
        <v>2035</v>
      </c>
      <c r="F409" s="15" t="s">
        <v>2140</v>
      </c>
      <c r="G409" s="15" t="s">
        <v>2141</v>
      </c>
      <c r="H409" s="15" t="s">
        <v>2142</v>
      </c>
      <c r="I409" s="15" t="s">
        <v>2143</v>
      </c>
      <c r="J409" s="15" t="s">
        <v>2144</v>
      </c>
    </row>
    <row r="410" spans="1:10" x14ac:dyDescent="0.2">
      <c r="A410" s="13" t="s">
        <v>1993</v>
      </c>
      <c r="B410" s="18" t="str" cm="1">
        <f t="array" ref="B410">_xlfn.TEXTJOIN(,1,IF(IFERROR(FIND(table_prefix[前缀],table_l10n!A410),FALSE),TEXT(table_prefix[说明],""),""))</f>
        <v>物品 - 名称</v>
      </c>
      <c r="C410" s="19" t="s">
        <v>2036</v>
      </c>
      <c r="D410" s="15" t="s">
        <v>2036</v>
      </c>
      <c r="E410" s="15" t="s">
        <v>2036</v>
      </c>
      <c r="F410" s="15" t="s">
        <v>2145</v>
      </c>
      <c r="G410" s="15" t="s">
        <v>2146</v>
      </c>
      <c r="H410" s="15" t="s">
        <v>2147</v>
      </c>
      <c r="I410" s="15" t="s">
        <v>2148</v>
      </c>
      <c r="J410" s="15" t="s">
        <v>2149</v>
      </c>
    </row>
    <row r="411" spans="1:10" x14ac:dyDescent="0.2">
      <c r="A411" s="13" t="s">
        <v>1994</v>
      </c>
      <c r="B411" s="18" t="str" cm="1">
        <f t="array" ref="B411">_xlfn.TEXTJOIN(,1,IF(IFERROR(FIND(table_prefix[前缀],table_l10n!A411),FALSE),TEXT(table_prefix[说明],""),""))</f>
        <v>物品 - 名称</v>
      </c>
      <c r="C411" s="19" t="s">
        <v>2037</v>
      </c>
      <c r="D411" s="15" t="s">
        <v>2037</v>
      </c>
      <c r="E411" s="15" t="s">
        <v>2150</v>
      </c>
      <c r="F411" s="15" t="s">
        <v>2151</v>
      </c>
      <c r="G411" s="15" t="s">
        <v>2152</v>
      </c>
      <c r="H411" s="15" t="s">
        <v>2153</v>
      </c>
      <c r="I411" s="15" t="s">
        <v>2154</v>
      </c>
      <c r="J411" s="15" t="s">
        <v>2155</v>
      </c>
    </row>
    <row r="412" spans="1:10" x14ac:dyDescent="0.2">
      <c r="A412" s="13" t="s">
        <v>1995</v>
      </c>
      <c r="B412" s="18" t="str" cm="1">
        <f t="array" ref="B412">_xlfn.TEXTJOIN(,1,IF(IFERROR(FIND(table_prefix[前缀],table_l10n!A412),FALSE),TEXT(table_prefix[说明],""),""))</f>
        <v>物品 - 名称</v>
      </c>
      <c r="C412" s="19" t="s">
        <v>2038</v>
      </c>
      <c r="D412" s="15" t="s">
        <v>2038</v>
      </c>
      <c r="E412" s="15" t="s">
        <v>2038</v>
      </c>
      <c r="F412" s="15" t="s">
        <v>2156</v>
      </c>
      <c r="G412" s="15" t="s">
        <v>2157</v>
      </c>
      <c r="H412" s="15" t="s">
        <v>2158</v>
      </c>
      <c r="I412" s="15" t="s">
        <v>2159</v>
      </c>
      <c r="J412" s="15" t="s">
        <v>2160</v>
      </c>
    </row>
    <row r="413" spans="1:10" x14ac:dyDescent="0.2">
      <c r="B413" s="18" t="str" cm="1">
        <f t="array" ref="B413">_xlfn.TEXTJOIN(,1,IF(IFERROR(FIND(table_prefix[前缀],table_l10n!A413),FALSE),TEXT(table_prefix[说明],""),""))</f>
        <v/>
      </c>
      <c r="E413" s="15" t="s">
        <v>314</v>
      </c>
      <c r="F413" s="15" t="s">
        <v>314</v>
      </c>
      <c r="G413" s="15" t="s">
        <v>314</v>
      </c>
      <c r="H413" s="15" t="s">
        <v>314</v>
      </c>
      <c r="I413" s="15" t="s">
        <v>314</v>
      </c>
      <c r="J413" s="15" t="s">
        <v>314</v>
      </c>
    </row>
    <row r="414" spans="1:10" x14ac:dyDescent="0.2">
      <c r="A414" s="13" t="s">
        <v>1996</v>
      </c>
      <c r="B414" s="18" t="str" cm="1">
        <f t="array" ref="B414">_xlfn.TEXTJOIN(,1,IF(IFERROR(FIND(table_prefix[前缀],table_l10n!A414),FALSE),TEXT(table_prefix[说明],""),""))</f>
        <v>物品 - 名称</v>
      </c>
      <c r="C414" s="19" t="s">
        <v>2039</v>
      </c>
      <c r="D414" s="16" t="s">
        <v>2039</v>
      </c>
      <c r="E414" s="15" t="s">
        <v>2161</v>
      </c>
      <c r="F414" s="15" t="s">
        <v>2162</v>
      </c>
      <c r="G414" s="15" t="s">
        <v>2163</v>
      </c>
      <c r="H414" s="15" t="s">
        <v>2164</v>
      </c>
      <c r="I414" s="15" t="s">
        <v>2165</v>
      </c>
      <c r="J414" s="15" t="s">
        <v>2166</v>
      </c>
    </row>
    <row r="415" spans="1:10" x14ac:dyDescent="0.2">
      <c r="A415" s="13" t="s">
        <v>1997</v>
      </c>
      <c r="B415" s="18" t="str" cm="1">
        <f t="array" ref="B415">_xlfn.TEXTJOIN(,1,IF(IFERROR(FIND(table_prefix[前缀],table_l10n!A415),FALSE),TEXT(table_prefix[说明],""),""))</f>
        <v>物品 - 名称</v>
      </c>
      <c r="C415" s="19" t="s">
        <v>2040</v>
      </c>
      <c r="D415" s="15" t="s">
        <v>2040</v>
      </c>
      <c r="E415" s="15" t="s">
        <v>2167</v>
      </c>
      <c r="F415" s="15" t="s">
        <v>2168</v>
      </c>
      <c r="G415" s="15" t="s">
        <v>2169</v>
      </c>
      <c r="H415" s="15" t="s">
        <v>2170</v>
      </c>
      <c r="I415" s="15" t="s">
        <v>2171</v>
      </c>
      <c r="J415" s="15" t="s">
        <v>2172</v>
      </c>
    </row>
    <row r="416" spans="1:10" x14ac:dyDescent="0.2">
      <c r="A416" s="13" t="s">
        <v>1998</v>
      </c>
      <c r="B416" s="18" t="str" cm="1">
        <f t="array" ref="B416">_xlfn.TEXTJOIN(,1,IF(IFERROR(FIND(table_prefix[前缀],table_l10n!A416),FALSE),TEXT(table_prefix[说明],""),""))</f>
        <v>物品 - 名称</v>
      </c>
      <c r="C416" s="19" t="s">
        <v>2041</v>
      </c>
      <c r="D416" s="15" t="s">
        <v>2041</v>
      </c>
      <c r="E416" s="15" t="s">
        <v>2173</v>
      </c>
      <c r="F416" s="15" t="s">
        <v>2174</v>
      </c>
      <c r="G416" s="15" t="s">
        <v>2175</v>
      </c>
      <c r="H416" s="15" t="s">
        <v>2176</v>
      </c>
      <c r="I416" s="15" t="s">
        <v>2177</v>
      </c>
      <c r="J416" s="15" t="s">
        <v>2178</v>
      </c>
    </row>
    <row r="417" spans="1:10" x14ac:dyDescent="0.2">
      <c r="A417" s="13" t="s">
        <v>1999</v>
      </c>
      <c r="B417" s="18" t="str" cm="1">
        <f t="array" ref="B417">_xlfn.TEXTJOIN(,1,IF(IFERROR(FIND(table_prefix[前缀],table_l10n!A417),FALSE),TEXT(table_prefix[说明],""),""))</f>
        <v>物品 - 名称</v>
      </c>
      <c r="C417" s="19" t="s">
        <v>2042</v>
      </c>
      <c r="D417" s="15" t="s">
        <v>2042</v>
      </c>
      <c r="E417" s="15" t="s">
        <v>2179</v>
      </c>
      <c r="F417" s="15" t="s">
        <v>2180</v>
      </c>
      <c r="G417" s="15" t="s">
        <v>2181</v>
      </c>
      <c r="H417" s="15" t="s">
        <v>2182</v>
      </c>
      <c r="I417" s="15" t="s">
        <v>2183</v>
      </c>
      <c r="J417" s="15" t="s">
        <v>2184</v>
      </c>
    </row>
    <row r="418" spans="1:10" x14ac:dyDescent="0.2">
      <c r="A418" s="13" t="s">
        <v>2000</v>
      </c>
      <c r="B418" s="18" t="str" cm="1">
        <f t="array" ref="B418">_xlfn.TEXTJOIN(,1,IF(IFERROR(FIND(table_prefix[前缀],table_l10n!A418),FALSE),TEXT(table_prefix[说明],""),""))</f>
        <v>物品 - 名称</v>
      </c>
      <c r="C418" s="19" t="s">
        <v>2043</v>
      </c>
      <c r="D418" s="15" t="s">
        <v>2043</v>
      </c>
      <c r="E418" s="15" t="s">
        <v>2185</v>
      </c>
      <c r="F418" s="15" t="s">
        <v>2186</v>
      </c>
      <c r="G418" s="15" t="s">
        <v>2187</v>
      </c>
      <c r="H418" s="15" t="s">
        <v>2188</v>
      </c>
      <c r="I418" s="15" t="s">
        <v>2189</v>
      </c>
      <c r="J418" s="15" t="s">
        <v>2190</v>
      </c>
    </row>
    <row r="419" spans="1:10" x14ac:dyDescent="0.2">
      <c r="A419" s="13" t="s">
        <v>2001</v>
      </c>
      <c r="B419" s="18" t="str" cm="1">
        <f t="array" ref="B419">_xlfn.TEXTJOIN(,1,IF(IFERROR(FIND(table_prefix[前缀],table_l10n!A419),FALSE),TEXT(table_prefix[说明],""),""))</f>
        <v>物品 - 名称</v>
      </c>
      <c r="C419" s="19" t="s">
        <v>2044</v>
      </c>
      <c r="D419" s="15" t="s">
        <v>2044</v>
      </c>
      <c r="E419" s="15" t="s">
        <v>2191</v>
      </c>
      <c r="F419" s="15" t="s">
        <v>2192</v>
      </c>
      <c r="G419" s="15" t="s">
        <v>2193</v>
      </c>
      <c r="H419" s="15" t="s">
        <v>2194</v>
      </c>
      <c r="I419" s="15" t="s">
        <v>2195</v>
      </c>
      <c r="J419" s="15" t="s">
        <v>2196</v>
      </c>
    </row>
    <row r="420" spans="1:10" x14ac:dyDescent="0.2">
      <c r="A420" s="13" t="s">
        <v>2002</v>
      </c>
      <c r="B420" s="18" t="str" cm="1">
        <f t="array" ref="B420">_xlfn.TEXTJOIN(,1,IF(IFERROR(FIND(table_prefix[前缀],table_l10n!A420),FALSE),TEXT(table_prefix[说明],""),""))</f>
        <v>物品 - 名称</v>
      </c>
      <c r="C420" s="19" t="s">
        <v>2045</v>
      </c>
      <c r="D420" s="15" t="s">
        <v>2045</v>
      </c>
      <c r="E420" s="15" t="s">
        <v>2197</v>
      </c>
      <c r="F420" s="15" t="s">
        <v>2198</v>
      </c>
      <c r="G420" s="15" t="s">
        <v>2199</v>
      </c>
      <c r="H420" s="15" t="s">
        <v>2200</v>
      </c>
      <c r="I420" s="15" t="s">
        <v>2201</v>
      </c>
      <c r="J420" s="15" t="s">
        <v>2202</v>
      </c>
    </row>
    <row r="421" spans="1:10" x14ac:dyDescent="0.2">
      <c r="A421" s="13" t="s">
        <v>2003</v>
      </c>
      <c r="B421" s="18" t="str" cm="1">
        <f t="array" ref="B421">_xlfn.TEXTJOIN(,1,IF(IFERROR(FIND(table_prefix[前缀],table_l10n!A421),FALSE),TEXT(table_prefix[说明],""),""))</f>
        <v>物品 - 名称</v>
      </c>
      <c r="C421" s="19" t="s">
        <v>2046</v>
      </c>
      <c r="D421" s="15" t="s">
        <v>2046</v>
      </c>
      <c r="E421" s="15" t="s">
        <v>2203</v>
      </c>
      <c r="F421" s="15" t="s">
        <v>2204</v>
      </c>
      <c r="G421" s="15" t="s">
        <v>2205</v>
      </c>
      <c r="H421" s="15" t="s">
        <v>2206</v>
      </c>
      <c r="I421" s="15" t="s">
        <v>2207</v>
      </c>
      <c r="J421" s="15" t="s">
        <v>2208</v>
      </c>
    </row>
    <row r="422" spans="1:10" x14ac:dyDescent="0.2">
      <c r="A422" s="13" t="s">
        <v>2004</v>
      </c>
      <c r="B422" s="18" t="str" cm="1">
        <f t="array" ref="B422">_xlfn.TEXTJOIN(,1,IF(IFERROR(FIND(table_prefix[前缀],table_l10n!A422),FALSE),TEXT(table_prefix[说明],""),""))</f>
        <v>物品 - 名称</v>
      </c>
      <c r="C422" s="19" t="s">
        <v>2047</v>
      </c>
      <c r="D422" s="15" t="s">
        <v>2047</v>
      </c>
      <c r="E422" s="15" t="s">
        <v>2209</v>
      </c>
      <c r="F422" s="15" t="s">
        <v>2210</v>
      </c>
      <c r="G422" s="15" t="s">
        <v>2211</v>
      </c>
      <c r="H422" s="15" t="s">
        <v>2212</v>
      </c>
      <c r="I422" s="15" t="s">
        <v>2213</v>
      </c>
      <c r="J422" s="15" t="s">
        <v>2214</v>
      </c>
    </row>
    <row r="423" spans="1:10" x14ac:dyDescent="0.2">
      <c r="A423" s="13" t="s">
        <v>2005</v>
      </c>
      <c r="B423" s="18" t="str" cm="1">
        <f t="array" ref="B423">_xlfn.TEXTJOIN(,1,IF(IFERROR(FIND(table_prefix[前缀],table_l10n!A423),FALSE),TEXT(table_prefix[说明],""),""))</f>
        <v>物品 - 名称</v>
      </c>
      <c r="C423" s="19" t="s">
        <v>2048</v>
      </c>
      <c r="D423" s="15" t="s">
        <v>2048</v>
      </c>
      <c r="E423" s="15" t="s">
        <v>2048</v>
      </c>
      <c r="F423" s="15" t="s">
        <v>2215</v>
      </c>
      <c r="G423" s="15" t="s">
        <v>2216</v>
      </c>
      <c r="H423" s="15" t="s">
        <v>2217</v>
      </c>
      <c r="I423" s="15" t="s">
        <v>2218</v>
      </c>
      <c r="J423" s="15" t="s">
        <v>2219</v>
      </c>
    </row>
    <row r="424" spans="1:10" x14ac:dyDescent="0.2">
      <c r="B424" s="18" t="str" cm="1">
        <f t="array" ref="B424">_xlfn.TEXTJOIN(,1,IF(IFERROR(FIND(table_prefix[前缀],table_l10n!A424),FALSE),TEXT(table_prefix[说明],""),""))</f>
        <v/>
      </c>
      <c r="E424" s="15" t="s">
        <v>314</v>
      </c>
      <c r="F424" s="15" t="s">
        <v>314</v>
      </c>
      <c r="G424" s="15" t="s">
        <v>314</v>
      </c>
      <c r="H424" s="15" t="s">
        <v>314</v>
      </c>
      <c r="I424" s="15" t="s">
        <v>314</v>
      </c>
      <c r="J424" s="15" t="s">
        <v>314</v>
      </c>
    </row>
    <row r="425" spans="1:10" x14ac:dyDescent="0.2">
      <c r="A425" s="13" t="s">
        <v>2006</v>
      </c>
      <c r="B425" s="18" t="str" cm="1">
        <f t="array" ref="B425">_xlfn.TEXTJOIN(,1,IF(IFERROR(FIND(table_prefix[前缀],table_l10n!A425),FALSE),TEXT(table_prefix[说明],""),""))</f>
        <v>物品 - 名称</v>
      </c>
      <c r="C425" s="19" t="s">
        <v>2704</v>
      </c>
      <c r="D425" s="15" t="s">
        <v>2049</v>
      </c>
      <c r="E425" s="15" t="s">
        <v>2049</v>
      </c>
      <c r="F425" s="15" t="s">
        <v>2220</v>
      </c>
      <c r="G425" s="15" t="s">
        <v>2221</v>
      </c>
      <c r="H425" s="15" t="s">
        <v>2222</v>
      </c>
      <c r="I425" s="15" t="s">
        <v>2223</v>
      </c>
      <c r="J425" s="15" t="s">
        <v>2224</v>
      </c>
    </row>
    <row r="426" spans="1:10" x14ac:dyDescent="0.2">
      <c r="A426" s="13" t="s">
        <v>2007</v>
      </c>
      <c r="B426" s="18" t="str" cm="1">
        <f t="array" ref="B426">_xlfn.TEXTJOIN(,1,IF(IFERROR(FIND(table_prefix[前缀],table_l10n!A426),FALSE),TEXT(table_prefix[说明],""),""))</f>
        <v>物品 - 名称</v>
      </c>
      <c r="C426" s="19" t="s">
        <v>2693</v>
      </c>
      <c r="D426" s="15" t="s">
        <v>2693</v>
      </c>
      <c r="E426" s="15" t="s">
        <v>2705</v>
      </c>
      <c r="F426" s="15" t="s">
        <v>2706</v>
      </c>
      <c r="G426" s="15" t="s">
        <v>2707</v>
      </c>
      <c r="H426" s="15" t="s">
        <v>2708</v>
      </c>
      <c r="I426" s="15" t="s">
        <v>2709</v>
      </c>
      <c r="J426" s="15" t="s">
        <v>2710</v>
      </c>
    </row>
    <row r="427" spans="1:10" x14ac:dyDescent="0.2">
      <c r="A427" s="13" t="s">
        <v>2008</v>
      </c>
      <c r="B427" s="18" t="str" cm="1">
        <f t="array" ref="B427">_xlfn.TEXTJOIN(,1,IF(IFERROR(FIND(table_prefix[前缀],table_l10n!A427),FALSE),TEXT(table_prefix[说明],""),""))</f>
        <v>物品 - 名称</v>
      </c>
      <c r="C427" s="19" t="s">
        <v>2694</v>
      </c>
      <c r="D427" s="15" t="s">
        <v>2694</v>
      </c>
      <c r="E427" s="15" t="s">
        <v>2711</v>
      </c>
      <c r="F427" s="15" t="s">
        <v>2712</v>
      </c>
      <c r="G427" s="15" t="s">
        <v>2713</v>
      </c>
      <c r="H427" s="15" t="s">
        <v>2711</v>
      </c>
      <c r="I427" s="15" t="s">
        <v>2714</v>
      </c>
      <c r="J427" s="15" t="s">
        <v>2715</v>
      </c>
    </row>
    <row r="428" spans="1:10" x14ac:dyDescent="0.2">
      <c r="A428" s="13" t="s">
        <v>2009</v>
      </c>
      <c r="B428" s="18" t="str" cm="1">
        <f t="array" ref="B428">_xlfn.TEXTJOIN(,1,IF(IFERROR(FIND(table_prefix[前缀],table_l10n!A428),FALSE),TEXT(table_prefix[说明],""),""))</f>
        <v>物品 - 名称</v>
      </c>
      <c r="C428" s="19" t="s">
        <v>2695</v>
      </c>
      <c r="D428" s="15" t="s">
        <v>2695</v>
      </c>
      <c r="E428" s="15" t="s">
        <v>2695</v>
      </c>
      <c r="F428" s="15" t="s">
        <v>2716</v>
      </c>
      <c r="G428" s="15" t="s">
        <v>2717</v>
      </c>
      <c r="H428" s="15" t="s">
        <v>2718</v>
      </c>
      <c r="I428" s="15" t="s">
        <v>2719</v>
      </c>
      <c r="J428" s="15" t="s">
        <v>2720</v>
      </c>
    </row>
    <row r="429" spans="1:10" x14ac:dyDescent="0.2">
      <c r="A429" s="13" t="s">
        <v>2010</v>
      </c>
      <c r="B429" s="18" t="str" cm="1">
        <f t="array" ref="B429">_xlfn.TEXTJOIN(,1,IF(IFERROR(FIND(table_prefix[前缀],table_l10n!A429),FALSE),TEXT(table_prefix[说明],""),""))</f>
        <v>物品 - 名称</v>
      </c>
      <c r="C429" s="19" t="s">
        <v>2696</v>
      </c>
      <c r="D429" s="15" t="s">
        <v>2696</v>
      </c>
      <c r="E429" s="15" t="s">
        <v>2696</v>
      </c>
      <c r="F429" s="15" t="s">
        <v>2721</v>
      </c>
      <c r="G429" s="15" t="s">
        <v>2722</v>
      </c>
      <c r="H429" s="15" t="s">
        <v>2723</v>
      </c>
      <c r="I429" s="15" t="s">
        <v>2724</v>
      </c>
      <c r="J429" s="15" t="s">
        <v>2725</v>
      </c>
    </row>
    <row r="430" spans="1:10" x14ac:dyDescent="0.2">
      <c r="A430" s="13" t="s">
        <v>2011</v>
      </c>
      <c r="B430" s="18" t="str" cm="1">
        <f t="array" ref="B430">_xlfn.TEXTJOIN(,1,IF(IFERROR(FIND(table_prefix[前缀],table_l10n!A430),FALSE),TEXT(table_prefix[说明],""),""))</f>
        <v>物品 - 名称</v>
      </c>
      <c r="C430" s="19" t="s">
        <v>2697</v>
      </c>
      <c r="D430" s="15" t="s">
        <v>2697</v>
      </c>
      <c r="E430" s="15" t="s">
        <v>2726</v>
      </c>
      <c r="F430" s="15" t="s">
        <v>2727</v>
      </c>
      <c r="G430" s="15" t="s">
        <v>2728</v>
      </c>
      <c r="H430" s="15" t="s">
        <v>2729</v>
      </c>
      <c r="I430" s="15" t="s">
        <v>2730</v>
      </c>
      <c r="J430" s="15" t="s">
        <v>2731</v>
      </c>
    </row>
    <row r="431" spans="1:10" x14ac:dyDescent="0.2">
      <c r="A431" s="13" t="s">
        <v>2012</v>
      </c>
      <c r="B431" s="18" t="str" cm="1">
        <f t="array" ref="B431">_xlfn.TEXTJOIN(,1,IF(IFERROR(FIND(table_prefix[前缀],table_l10n!A431),FALSE),TEXT(table_prefix[说明],""),""))</f>
        <v>物品 - 名称</v>
      </c>
      <c r="C431" s="19" t="s">
        <v>2698</v>
      </c>
      <c r="D431" s="15" t="s">
        <v>2698</v>
      </c>
      <c r="E431" s="15" t="s">
        <v>2732</v>
      </c>
      <c r="F431" s="15" t="s">
        <v>2733</v>
      </c>
      <c r="G431" s="15" t="s">
        <v>2734</v>
      </c>
      <c r="H431" s="15" t="s">
        <v>2735</v>
      </c>
      <c r="I431" s="15" t="s">
        <v>2736</v>
      </c>
      <c r="J431" s="15" t="s">
        <v>2737</v>
      </c>
    </row>
    <row r="432" spans="1:10" x14ac:dyDescent="0.2">
      <c r="A432" s="13" t="s">
        <v>2013</v>
      </c>
      <c r="B432" s="18" t="str" cm="1">
        <f t="array" ref="B432">_xlfn.TEXTJOIN(,1,IF(IFERROR(FIND(table_prefix[前缀],table_l10n!A432),FALSE),TEXT(table_prefix[说明],""),""))</f>
        <v>物品 - 名称</v>
      </c>
      <c r="C432" s="19" t="s">
        <v>2699</v>
      </c>
      <c r="D432" s="15" t="s">
        <v>2699</v>
      </c>
      <c r="E432" s="15" t="s">
        <v>2738</v>
      </c>
      <c r="F432" s="15" t="s">
        <v>2739</v>
      </c>
      <c r="G432" s="15" t="s">
        <v>2740</v>
      </c>
      <c r="H432" s="15" t="s">
        <v>2741</v>
      </c>
      <c r="I432" s="15" t="s">
        <v>2742</v>
      </c>
      <c r="J432" s="15" t="s">
        <v>2743</v>
      </c>
    </row>
    <row r="433" spans="1:10" x14ac:dyDescent="0.2">
      <c r="A433" s="13" t="s">
        <v>2014</v>
      </c>
      <c r="B433" s="18" t="str" cm="1">
        <f t="array" ref="B433">_xlfn.TEXTJOIN(,1,IF(IFERROR(FIND(table_prefix[前缀],table_l10n!A433),FALSE),TEXT(table_prefix[说明],""),""))</f>
        <v>物品 - 名称</v>
      </c>
      <c r="C433" s="19" t="s">
        <v>2247</v>
      </c>
      <c r="D433" s="15" t="s">
        <v>2247</v>
      </c>
      <c r="E433" s="15" t="s">
        <v>2247</v>
      </c>
      <c r="F433" s="15" t="s">
        <v>2302</v>
      </c>
      <c r="G433" s="15" t="s">
        <v>2303</v>
      </c>
      <c r="H433" s="15" t="s">
        <v>2304</v>
      </c>
      <c r="I433" s="15" t="s">
        <v>2305</v>
      </c>
      <c r="J433" s="15" t="s">
        <v>2306</v>
      </c>
    </row>
    <row r="434" spans="1:10" x14ac:dyDescent="0.2">
      <c r="A434" s="13" t="s">
        <v>2015</v>
      </c>
      <c r="B434" s="18" t="str" cm="1">
        <f t="array" ref="B434">_xlfn.TEXTJOIN(,1,IF(IFERROR(FIND(table_prefix[前缀],table_l10n!A434),FALSE),TEXT(table_prefix[说明],""),""))</f>
        <v>物品 - 名称</v>
      </c>
      <c r="C434" s="19" t="s">
        <v>2700</v>
      </c>
      <c r="D434" s="15" t="s">
        <v>2700</v>
      </c>
      <c r="E434" s="15" t="s">
        <v>2700</v>
      </c>
      <c r="F434" s="15" t="s">
        <v>2744</v>
      </c>
      <c r="G434" s="15" t="s">
        <v>2745</v>
      </c>
      <c r="H434" s="15" t="s">
        <v>2746</v>
      </c>
      <c r="I434" s="15" t="s">
        <v>2747</v>
      </c>
      <c r="J434" s="15" t="s">
        <v>2748</v>
      </c>
    </row>
    <row r="435" spans="1:10" x14ac:dyDescent="0.2">
      <c r="A435" s="13" t="s">
        <v>2016</v>
      </c>
      <c r="B435" s="18" t="str" cm="1">
        <f t="array" ref="B435">_xlfn.TEXTJOIN(,1,IF(IFERROR(FIND(table_prefix[前缀],table_l10n!A435),FALSE),TEXT(table_prefix[说明],""),""))</f>
        <v>物品 - 名称</v>
      </c>
      <c r="C435" s="19" t="s">
        <v>2701</v>
      </c>
      <c r="D435" s="15" t="s">
        <v>2701</v>
      </c>
      <c r="E435" s="15" t="s">
        <v>2701</v>
      </c>
      <c r="F435" s="15" t="s">
        <v>2749</v>
      </c>
      <c r="G435" s="15" t="s">
        <v>2750</v>
      </c>
      <c r="H435" s="15" t="s">
        <v>2751</v>
      </c>
      <c r="I435" s="15" t="s">
        <v>2752</v>
      </c>
      <c r="J435" s="15" t="s">
        <v>2753</v>
      </c>
    </row>
    <row r="436" spans="1:10" x14ac:dyDescent="0.2">
      <c r="A436" s="13" t="s">
        <v>2017</v>
      </c>
      <c r="B436" s="18" t="str" cm="1">
        <f t="array" ref="B436">_xlfn.TEXTJOIN(,1,IF(IFERROR(FIND(table_prefix[前缀],table_l10n!A436),FALSE),TEXT(table_prefix[说明],""),""))</f>
        <v>物品 - 名称</v>
      </c>
      <c r="C436" s="19" t="s">
        <v>2702</v>
      </c>
      <c r="D436" s="15" t="s">
        <v>2702</v>
      </c>
      <c r="E436" s="15" t="s">
        <v>2754</v>
      </c>
      <c r="F436" s="15" t="s">
        <v>2755</v>
      </c>
      <c r="G436" s="15" t="s">
        <v>2756</v>
      </c>
      <c r="H436" s="15" t="s">
        <v>2757</v>
      </c>
      <c r="I436" s="15" t="s">
        <v>2758</v>
      </c>
      <c r="J436" s="15" t="s">
        <v>2759</v>
      </c>
    </row>
    <row r="437" spans="1:10" x14ac:dyDescent="0.2">
      <c r="A437" s="13" t="s">
        <v>2018</v>
      </c>
      <c r="B437" s="18" t="str" cm="1">
        <f t="array" ref="B437">_xlfn.TEXTJOIN(,1,IF(IFERROR(FIND(table_prefix[前缀],table_l10n!A437),FALSE),TEXT(table_prefix[说明],""),""))</f>
        <v>物品 - 名称</v>
      </c>
      <c r="C437" s="19" t="s">
        <v>2703</v>
      </c>
      <c r="D437" s="15" t="s">
        <v>2703</v>
      </c>
      <c r="E437" s="15" t="s">
        <v>2760</v>
      </c>
      <c r="F437" s="15" t="s">
        <v>2761</v>
      </c>
      <c r="G437" s="15" t="s">
        <v>2762</v>
      </c>
      <c r="H437" s="15" t="s">
        <v>2763</v>
      </c>
      <c r="I437" s="15" t="s">
        <v>2764</v>
      </c>
      <c r="J437" s="15" t="s">
        <v>2765</v>
      </c>
    </row>
    <row r="438" spans="1:10" x14ac:dyDescent="0.2">
      <c r="B438" s="18" t="str" cm="1">
        <f t="array" ref="B438">_xlfn.TEXTJOIN(,1,IF(IFERROR(FIND(table_prefix[前缀],table_l10n!A438),FALSE),TEXT(table_prefix[说明],""),""))</f>
        <v/>
      </c>
      <c r="H438" s="15"/>
      <c r="I438" s="15"/>
      <c r="J438" s="15"/>
    </row>
    <row r="439" spans="1:10" x14ac:dyDescent="0.2">
      <c r="H439" s="15"/>
      <c r="I439" s="15"/>
      <c r="J439" s="15"/>
    </row>
    <row r="440" spans="1:10" x14ac:dyDescent="0.2">
      <c r="A440" s="14" t="s">
        <v>2768</v>
      </c>
      <c r="B440" s="18" t="str" cm="1">
        <f t="array" ref="B440">_xlfn.TEXTJOIN(,1,IF(IFERROR(FIND(table_prefix[前缀],table_l10n!A440),FALSE),TEXT(table_prefix[说明],""),""))</f>
        <v>物品 - 描述</v>
      </c>
      <c r="C440" s="19" t="s">
        <v>2769</v>
      </c>
      <c r="D440" s="15" t="s">
        <v>2770</v>
      </c>
      <c r="E440" s="15" t="s">
        <v>2771</v>
      </c>
      <c r="F440" s="15" t="s">
        <v>2772</v>
      </c>
      <c r="G440" s="15" t="s">
        <v>2773</v>
      </c>
      <c r="H440" s="15" t="s">
        <v>2774</v>
      </c>
      <c r="I440" s="15" t="s">
        <v>2775</v>
      </c>
      <c r="J440" s="15" t="s">
        <v>2776</v>
      </c>
    </row>
    <row r="441" spans="1:10" x14ac:dyDescent="0.2">
      <c r="B441" s="18" t="str" cm="1">
        <f t="array" ref="B441">_xlfn.TEXTJOIN(,1,IF(IFERROR(FIND(table_prefix[前缀],table_l10n!A441),FALSE),TEXT(table_prefix[说明],""),""))</f>
        <v/>
      </c>
      <c r="H441" s="15"/>
      <c r="I441" s="15"/>
      <c r="J441" s="15"/>
    </row>
    <row r="442" spans="1:10" x14ac:dyDescent="0.2">
      <c r="B442" s="18" t="str" cm="1">
        <f t="array" ref="B442">_xlfn.TEXTJOIN(,1,IF(IFERROR(FIND(table_prefix[前缀],table_l10n!A442),FALSE),TEXT(table_prefix[说明],""),""))</f>
        <v/>
      </c>
      <c r="H442" s="15"/>
      <c r="I442" s="15"/>
      <c r="J442" s="15"/>
    </row>
    <row r="443" spans="1:10" x14ac:dyDescent="0.2">
      <c r="A443" s="13" t="s">
        <v>2227</v>
      </c>
      <c r="B443" s="18" t="str" cm="1">
        <f t="array" ref="B443">_xlfn.TEXTJOIN(,1,IF(IFERROR(FIND(table_prefix[前缀],table_l10n!A443),FALSE),TEXT(table_prefix[说明],""),""))</f>
        <v>营地资源 - 名称</v>
      </c>
      <c r="C443" s="19" t="s">
        <v>2238</v>
      </c>
      <c r="D443" s="15" t="s">
        <v>2238</v>
      </c>
      <c r="E443" s="15" t="s">
        <v>2249</v>
      </c>
      <c r="F443" s="15" t="s">
        <v>2250</v>
      </c>
      <c r="G443" s="15" t="s">
        <v>2251</v>
      </c>
      <c r="H443" s="15" t="s">
        <v>2252</v>
      </c>
      <c r="I443" s="15" t="s">
        <v>2253</v>
      </c>
      <c r="J443" s="15" t="s">
        <v>2254</v>
      </c>
    </row>
    <row r="444" spans="1:10" x14ac:dyDescent="0.2">
      <c r="A444" s="13" t="s">
        <v>2228</v>
      </c>
      <c r="B444" s="18" t="str" cm="1">
        <f t="array" ref="B444">_xlfn.TEXTJOIN(,1,IF(IFERROR(FIND(table_prefix[前缀],table_l10n!A444),FALSE),TEXT(table_prefix[说明],""),""))</f>
        <v>营地资源 - 名称</v>
      </c>
      <c r="C444" s="19" t="s">
        <v>2239</v>
      </c>
      <c r="D444" s="15" t="s">
        <v>2239</v>
      </c>
      <c r="E444" s="15" t="s">
        <v>2239</v>
      </c>
      <c r="F444" s="15" t="s">
        <v>2255</v>
      </c>
      <c r="G444" s="15" t="s">
        <v>2256</v>
      </c>
      <c r="H444" s="15" t="s">
        <v>2239</v>
      </c>
      <c r="I444" s="15" t="s">
        <v>2257</v>
      </c>
      <c r="J444" s="15" t="s">
        <v>2258</v>
      </c>
    </row>
    <row r="445" spans="1:10" x14ac:dyDescent="0.2">
      <c r="A445" s="13" t="s">
        <v>2229</v>
      </c>
      <c r="B445" s="18" t="str" cm="1">
        <f t="array" ref="B445">_xlfn.TEXTJOIN(,1,IF(IFERROR(FIND(table_prefix[前缀],table_l10n!A445),FALSE),TEXT(table_prefix[说明],""),""))</f>
        <v>营地资源 - 名称</v>
      </c>
      <c r="C445" s="19" t="s">
        <v>2240</v>
      </c>
      <c r="D445" s="15" t="s">
        <v>2240</v>
      </c>
      <c r="E445" s="15" t="s">
        <v>2240</v>
      </c>
      <c r="F445" s="15" t="s">
        <v>2259</v>
      </c>
      <c r="G445" s="15" t="s">
        <v>2260</v>
      </c>
      <c r="H445" s="15" t="s">
        <v>2261</v>
      </c>
      <c r="I445" s="15" t="s">
        <v>2262</v>
      </c>
      <c r="J445" s="15" t="s">
        <v>2263</v>
      </c>
    </row>
    <row r="446" spans="1:10" x14ac:dyDescent="0.2">
      <c r="A446" s="13" t="s">
        <v>2230</v>
      </c>
      <c r="B446" s="18" t="str" cm="1">
        <f t="array" ref="B446">_xlfn.TEXTJOIN(,1,IF(IFERROR(FIND(table_prefix[前缀],table_l10n!A446),FALSE),TEXT(table_prefix[说明],""),""))</f>
        <v>营地资源 - 名称</v>
      </c>
      <c r="C446" s="19" t="s">
        <v>2248</v>
      </c>
      <c r="D446" s="16" t="s">
        <v>2248</v>
      </c>
      <c r="E446" s="15" t="s">
        <v>2264</v>
      </c>
      <c r="F446" s="15" t="s">
        <v>2265</v>
      </c>
      <c r="G446" s="15" t="s">
        <v>2265</v>
      </c>
      <c r="H446" s="15" t="s">
        <v>2266</v>
      </c>
      <c r="I446" s="15" t="s">
        <v>2267</v>
      </c>
      <c r="J446" s="15" t="s">
        <v>2268</v>
      </c>
    </row>
    <row r="447" spans="1:10" x14ac:dyDescent="0.2">
      <c r="B447" s="18" t="str" cm="1">
        <f t="array" ref="B447">_xlfn.TEXTJOIN(,1,IF(IFERROR(FIND(table_prefix[前缀],table_l10n!A447),FALSE),TEXT(table_prefix[说明],""),""))</f>
        <v/>
      </c>
      <c r="E447" s="15" t="s">
        <v>314</v>
      </c>
      <c r="F447" s="15" t="s">
        <v>314</v>
      </c>
      <c r="G447" s="15" t="s">
        <v>314</v>
      </c>
      <c r="H447" s="15" t="s">
        <v>314</v>
      </c>
      <c r="I447" s="15" t="s">
        <v>314</v>
      </c>
      <c r="J447" s="15" t="s">
        <v>314</v>
      </c>
    </row>
    <row r="448" spans="1:10" x14ac:dyDescent="0.2">
      <c r="A448" s="13" t="s">
        <v>2231</v>
      </c>
      <c r="B448" s="18" t="str" cm="1">
        <f t="array" ref="B448">_xlfn.TEXTJOIN(,1,IF(IFERROR(FIND(table_prefix[前缀],table_l10n!A448),FALSE),TEXT(table_prefix[说明],""),""))</f>
        <v>营地资源 - 名称</v>
      </c>
      <c r="C448" s="19" t="s">
        <v>2241</v>
      </c>
      <c r="D448" s="15" t="s">
        <v>2241</v>
      </c>
      <c r="E448" s="15" t="s">
        <v>2241</v>
      </c>
      <c r="F448" s="15" t="s">
        <v>2269</v>
      </c>
      <c r="G448" s="15" t="s">
        <v>2270</v>
      </c>
      <c r="H448" s="15" t="s">
        <v>2271</v>
      </c>
      <c r="I448" s="15" t="s">
        <v>2272</v>
      </c>
      <c r="J448" s="15" t="s">
        <v>2273</v>
      </c>
    </row>
    <row r="449" spans="1:10" x14ac:dyDescent="0.2">
      <c r="A449" s="13" t="s">
        <v>2232</v>
      </c>
      <c r="B449" s="18" t="str" cm="1">
        <f t="array" ref="B449">_xlfn.TEXTJOIN(,1,IF(IFERROR(FIND(table_prefix[前缀],table_l10n!A449),FALSE),TEXT(table_prefix[说明],""),""))</f>
        <v>营地资源 - 名称</v>
      </c>
      <c r="C449" s="19" t="s">
        <v>2242</v>
      </c>
      <c r="D449" s="15" t="s">
        <v>2242</v>
      </c>
      <c r="E449" s="15" t="s">
        <v>2242</v>
      </c>
      <c r="F449" s="15" t="s">
        <v>2274</v>
      </c>
      <c r="G449" s="15" t="s">
        <v>2275</v>
      </c>
      <c r="H449" s="15" t="s">
        <v>2276</v>
      </c>
      <c r="I449" s="15" t="s">
        <v>2277</v>
      </c>
      <c r="J449" s="15" t="s">
        <v>2278</v>
      </c>
    </row>
    <row r="450" spans="1:10" x14ac:dyDescent="0.2">
      <c r="A450" s="13" t="s">
        <v>2233</v>
      </c>
      <c r="B450" s="18" t="str" cm="1">
        <f t="array" ref="B450">_xlfn.TEXTJOIN(,1,IF(IFERROR(FIND(table_prefix[前缀],table_l10n!A450),FALSE),TEXT(table_prefix[说明],""),""))</f>
        <v>营地资源 - 名称</v>
      </c>
      <c r="C450" s="19" t="s">
        <v>2243</v>
      </c>
      <c r="D450" s="15" t="s">
        <v>2243</v>
      </c>
      <c r="E450" s="15" t="s">
        <v>2279</v>
      </c>
      <c r="F450" s="15" t="s">
        <v>2280</v>
      </c>
      <c r="G450" s="15" t="s">
        <v>2281</v>
      </c>
      <c r="H450" s="15" t="s">
        <v>2282</v>
      </c>
      <c r="I450" s="15" t="s">
        <v>2283</v>
      </c>
      <c r="J450" s="15" t="s">
        <v>2284</v>
      </c>
    </row>
    <row r="451" spans="1:10" x14ac:dyDescent="0.2">
      <c r="A451" s="13" t="s">
        <v>2234</v>
      </c>
      <c r="B451" s="18" t="str" cm="1">
        <f t="array" ref="B451">_xlfn.TEXTJOIN(,1,IF(IFERROR(FIND(table_prefix[前缀],table_l10n!A451),FALSE),TEXT(table_prefix[说明],""),""))</f>
        <v>营地资源 - 名称</v>
      </c>
      <c r="C451" s="19" t="s">
        <v>2244</v>
      </c>
      <c r="D451" s="15" t="s">
        <v>2244</v>
      </c>
      <c r="E451" s="15" t="s">
        <v>2285</v>
      </c>
      <c r="F451" s="15" t="s">
        <v>2286</v>
      </c>
      <c r="G451" s="15" t="s">
        <v>2287</v>
      </c>
      <c r="H451" s="15" t="s">
        <v>2288</v>
      </c>
      <c r="I451" s="15" t="s">
        <v>2289</v>
      </c>
      <c r="J451" s="15" t="s">
        <v>2290</v>
      </c>
    </row>
    <row r="452" spans="1:10" x14ac:dyDescent="0.2">
      <c r="B452" s="18" t="str" cm="1">
        <f t="array" ref="B452">_xlfn.TEXTJOIN(,1,IF(IFERROR(FIND(table_prefix[前缀],table_l10n!A452),FALSE),TEXT(table_prefix[说明],""),""))</f>
        <v/>
      </c>
      <c r="E452" s="15" t="s">
        <v>314</v>
      </c>
      <c r="F452" s="15" t="s">
        <v>314</v>
      </c>
      <c r="G452" s="15" t="s">
        <v>314</v>
      </c>
      <c r="H452" s="15" t="s">
        <v>314</v>
      </c>
      <c r="I452" s="15" t="s">
        <v>314</v>
      </c>
      <c r="J452" s="15" t="s">
        <v>314</v>
      </c>
    </row>
    <row r="453" spans="1:10" x14ac:dyDescent="0.2">
      <c r="A453" s="13" t="s">
        <v>2235</v>
      </c>
      <c r="B453" s="18" t="str" cm="1">
        <f t="array" ref="B453">_xlfn.TEXTJOIN(,1,IF(IFERROR(FIND(table_prefix[前缀],table_l10n!A453),FALSE),TEXT(table_prefix[说明],""),""))</f>
        <v>营地资源 - 名称</v>
      </c>
      <c r="C453" s="19" t="s">
        <v>2245</v>
      </c>
      <c r="D453" s="15" t="s">
        <v>2245</v>
      </c>
      <c r="E453" s="15" t="s">
        <v>2291</v>
      </c>
      <c r="F453" s="15" t="s">
        <v>2292</v>
      </c>
      <c r="G453" s="15" t="s">
        <v>2293</v>
      </c>
      <c r="H453" s="15" t="s">
        <v>2294</v>
      </c>
      <c r="I453" s="15" t="s">
        <v>2295</v>
      </c>
      <c r="J453" s="15" t="s">
        <v>2296</v>
      </c>
    </row>
    <row r="454" spans="1:10" x14ac:dyDescent="0.2">
      <c r="A454" s="13" t="s">
        <v>2236</v>
      </c>
      <c r="B454" s="18" t="str" cm="1">
        <f t="array" ref="B454">_xlfn.TEXTJOIN(,1,IF(IFERROR(FIND(table_prefix[前缀],table_l10n!A454),FALSE),TEXT(table_prefix[说明],""),""))</f>
        <v>营地资源 - 名称</v>
      </c>
      <c r="C454" s="19" t="s">
        <v>2246</v>
      </c>
      <c r="D454" s="15" t="s">
        <v>2246</v>
      </c>
      <c r="E454" s="15" t="s">
        <v>2246</v>
      </c>
      <c r="F454" s="15" t="s">
        <v>2297</v>
      </c>
      <c r="G454" s="15" t="s">
        <v>2298</v>
      </c>
      <c r="H454" s="15" t="s">
        <v>2299</v>
      </c>
      <c r="I454" s="15" t="s">
        <v>2300</v>
      </c>
      <c r="J454" s="15" t="s">
        <v>2301</v>
      </c>
    </row>
    <row r="455" spans="1:10" x14ac:dyDescent="0.2">
      <c r="A455" s="13" t="s">
        <v>2237</v>
      </c>
      <c r="B455" s="18" t="str" cm="1">
        <f t="array" ref="B455">_xlfn.TEXTJOIN(,1,IF(IFERROR(FIND(table_prefix[前缀],table_l10n!A455),FALSE),TEXT(table_prefix[说明],""),""))</f>
        <v>营地资源 - 名称</v>
      </c>
      <c r="C455" s="19" t="s">
        <v>2247</v>
      </c>
      <c r="D455" s="15" t="s">
        <v>2247</v>
      </c>
      <c r="E455" s="15" t="s">
        <v>2247</v>
      </c>
      <c r="F455" s="15" t="s">
        <v>2302</v>
      </c>
      <c r="G455" s="15" t="s">
        <v>2303</v>
      </c>
      <c r="H455" s="15" t="s">
        <v>2304</v>
      </c>
      <c r="I455" s="15" t="s">
        <v>2305</v>
      </c>
      <c r="J455" s="15" t="s">
        <v>2306</v>
      </c>
    </row>
    <row r="456" spans="1:10" x14ac:dyDescent="0.2">
      <c r="H456" s="15"/>
      <c r="I456" s="15"/>
      <c r="J456" s="15"/>
    </row>
    <row r="457" spans="1:10" x14ac:dyDescent="0.2">
      <c r="H457" s="15"/>
      <c r="I457" s="15"/>
      <c r="J457" s="15"/>
    </row>
    <row r="458" spans="1:10" x14ac:dyDescent="0.2">
      <c r="B458" s="18" t="str" cm="1">
        <f t="array" ref="B458">_xlfn.TEXTJOIN(,1,IF(IFERROR(FIND(table_prefix[前缀],table_l10n!A458),FALSE),TEXT(table_prefix[说明],""),""))</f>
        <v/>
      </c>
      <c r="E458" s="15" t="s">
        <v>314</v>
      </c>
      <c r="F458" s="15" t="s">
        <v>314</v>
      </c>
      <c r="G458" s="15" t="s">
        <v>314</v>
      </c>
      <c r="H458" s="15" t="s">
        <v>314</v>
      </c>
      <c r="I458" s="15" t="s">
        <v>314</v>
      </c>
      <c r="J458" s="15" t="s">
        <v>314</v>
      </c>
    </row>
    <row r="459" spans="1:10" s="22" customFormat="1" x14ac:dyDescent="0.2">
      <c r="A459" s="22" t="s">
        <v>1341</v>
      </c>
      <c r="B459" s="23" t="str" cm="1">
        <f t="array" ref="B459">_xlfn.TEXTJOIN(,1,IF(IFERROR(FIND(table_prefix[前缀],table_l10n!A459),FALSE),TEXT(table_prefix[说明],""),""))</f>
        <v>设备升级 - 名称</v>
      </c>
      <c r="C459" s="24" t="s">
        <v>1353</v>
      </c>
      <c r="D459" s="25" t="s">
        <v>1353</v>
      </c>
      <c r="E459" s="25" t="s">
        <v>1362</v>
      </c>
      <c r="F459" s="25" t="s">
        <v>1363</v>
      </c>
      <c r="G459" s="25" t="s">
        <v>1364</v>
      </c>
      <c r="H459" s="25" t="s">
        <v>1365</v>
      </c>
      <c r="I459" s="25" t="s">
        <v>1366</v>
      </c>
      <c r="J459" s="25" t="s">
        <v>1367</v>
      </c>
    </row>
    <row r="460" spans="1:10" s="22" customFormat="1" x14ac:dyDescent="0.2">
      <c r="A460" s="22" t="s">
        <v>1342</v>
      </c>
      <c r="B460" s="23" t="str" cm="1">
        <f t="array" ref="B460">_xlfn.TEXTJOIN(,1,IF(IFERROR(FIND(table_prefix[前缀],table_l10n!A460),FALSE),TEXT(table_prefix[说明],""),""))</f>
        <v>设备升级 - 名称</v>
      </c>
      <c r="C460" s="24" t="s">
        <v>1354</v>
      </c>
      <c r="D460" s="25" t="s">
        <v>1354</v>
      </c>
      <c r="E460" s="25" t="s">
        <v>1368</v>
      </c>
      <c r="F460" s="25" t="s">
        <v>1369</v>
      </c>
      <c r="G460" s="25" t="s">
        <v>1370</v>
      </c>
      <c r="H460" s="25" t="s">
        <v>1371</v>
      </c>
      <c r="I460" s="25" t="s">
        <v>1372</v>
      </c>
      <c r="J460" s="25" t="s">
        <v>1373</v>
      </c>
    </row>
    <row r="461" spans="1:10" s="22" customFormat="1" x14ac:dyDescent="0.2">
      <c r="A461" s="22" t="s">
        <v>1343</v>
      </c>
      <c r="B461" s="23" t="str" cm="1">
        <f t="array" ref="B461">_xlfn.TEXTJOIN(,1,IF(IFERROR(FIND(table_prefix[前缀],table_l10n!A461),FALSE),TEXT(table_prefix[说明],""),""))</f>
        <v>设备升级 - 名称</v>
      </c>
      <c r="C461" s="24" t="s">
        <v>1455</v>
      </c>
      <c r="D461" s="25" t="s">
        <v>1455</v>
      </c>
      <c r="E461" s="25" t="s">
        <v>1457</v>
      </c>
      <c r="F461" s="25" t="s">
        <v>1458</v>
      </c>
      <c r="G461" s="25" t="s">
        <v>1459</v>
      </c>
      <c r="H461" s="25" t="s">
        <v>1460</v>
      </c>
      <c r="I461" s="25" t="s">
        <v>1461</v>
      </c>
      <c r="J461" s="25" t="s">
        <v>1462</v>
      </c>
    </row>
    <row r="462" spans="1:10" s="22" customFormat="1" x14ac:dyDescent="0.2">
      <c r="A462" s="22" t="s">
        <v>1344</v>
      </c>
      <c r="B462" s="23" t="str" cm="1">
        <f t="array" ref="B462">_xlfn.TEXTJOIN(,1,IF(IFERROR(FIND(table_prefix[前缀],table_l10n!A462),FALSE),TEXT(table_prefix[说明],""),""))</f>
        <v>设备升级 - 名称</v>
      </c>
      <c r="C462" s="24" t="s">
        <v>1456</v>
      </c>
      <c r="D462" s="25" t="s">
        <v>1456</v>
      </c>
      <c r="E462" s="25" t="s">
        <v>1457</v>
      </c>
      <c r="F462" s="25" t="s">
        <v>1458</v>
      </c>
      <c r="G462" s="25" t="s">
        <v>1459</v>
      </c>
      <c r="H462" s="25" t="s">
        <v>1460</v>
      </c>
      <c r="I462" s="25" t="s">
        <v>1461</v>
      </c>
      <c r="J462" s="25" t="s">
        <v>1462</v>
      </c>
    </row>
    <row r="463" spans="1:10" s="22" customFormat="1" x14ac:dyDescent="0.2">
      <c r="A463" s="22" t="s">
        <v>1345</v>
      </c>
      <c r="B463" s="23" t="str" cm="1">
        <f t="array" ref="B463">_xlfn.TEXTJOIN(,1,IF(IFERROR(FIND(table_prefix[前缀],table_l10n!A463),FALSE),TEXT(table_prefix[说明],""),""))</f>
        <v>设备升级 - 名称</v>
      </c>
      <c r="C463" s="24" t="s">
        <v>1355</v>
      </c>
      <c r="D463" s="25" t="s">
        <v>1355</v>
      </c>
      <c r="E463" s="25" t="s">
        <v>1374</v>
      </c>
      <c r="F463" s="25" t="s">
        <v>1375</v>
      </c>
      <c r="G463" s="25" t="s">
        <v>1376</v>
      </c>
      <c r="H463" s="25" t="s">
        <v>1377</v>
      </c>
      <c r="I463" s="25" t="s">
        <v>1378</v>
      </c>
      <c r="J463" s="25" t="s">
        <v>1379</v>
      </c>
    </row>
    <row r="464" spans="1:10" s="22" customFormat="1" x14ac:dyDescent="0.2">
      <c r="A464" s="22" t="s">
        <v>1346</v>
      </c>
      <c r="B464" s="23" t="str" cm="1">
        <f t="array" ref="B464">_xlfn.TEXTJOIN(,1,IF(IFERROR(FIND(table_prefix[前缀],table_l10n!A464),FALSE),TEXT(table_prefix[说明],""),""))</f>
        <v>设备升级 - 名称</v>
      </c>
      <c r="C464" s="24" t="s">
        <v>1356</v>
      </c>
      <c r="D464" s="25" t="s">
        <v>1356</v>
      </c>
      <c r="E464" s="25" t="s">
        <v>1380</v>
      </c>
      <c r="F464" s="25" t="s">
        <v>1381</v>
      </c>
      <c r="G464" s="25" t="s">
        <v>1382</v>
      </c>
      <c r="H464" s="25" t="s">
        <v>1383</v>
      </c>
      <c r="I464" s="25" t="s">
        <v>1384</v>
      </c>
      <c r="J464" s="25" t="s">
        <v>1385</v>
      </c>
    </row>
    <row r="465" spans="1:10" s="22" customFormat="1" x14ac:dyDescent="0.2">
      <c r="A465" s="22" t="s">
        <v>1453</v>
      </c>
      <c r="B465" s="23" t="str" cm="1">
        <f t="array" ref="B465">_xlfn.TEXTJOIN(,1,IF(IFERROR(FIND(table_prefix[前缀],table_l10n!A465),FALSE),TEXT(table_prefix[说明],""),""))</f>
        <v>设备升级 - 名称</v>
      </c>
      <c r="C465" s="24" t="s">
        <v>1357</v>
      </c>
      <c r="D465" s="25" t="s">
        <v>1357</v>
      </c>
      <c r="E465" s="25" t="s">
        <v>1386</v>
      </c>
      <c r="F465" s="25" t="s">
        <v>1387</v>
      </c>
      <c r="G465" s="25" t="s">
        <v>1388</v>
      </c>
      <c r="H465" s="25" t="s">
        <v>1389</v>
      </c>
      <c r="I465" s="25" t="s">
        <v>1390</v>
      </c>
      <c r="J465" s="25" t="s">
        <v>1391</v>
      </c>
    </row>
    <row r="466" spans="1:10" s="22" customFormat="1" x14ac:dyDescent="0.2">
      <c r="A466" s="22" t="s">
        <v>1454</v>
      </c>
      <c r="B466" s="23" t="str" cm="1">
        <f t="array" ref="B466">_xlfn.TEXTJOIN(,1,IF(IFERROR(FIND(table_prefix[前缀],table_l10n!A466),FALSE),TEXT(table_prefix[说明],""),""))</f>
        <v>设备升级 - 名称</v>
      </c>
      <c r="C466" s="24" t="s">
        <v>1358</v>
      </c>
      <c r="D466" s="25" t="s">
        <v>1358</v>
      </c>
      <c r="E466" s="25" t="s">
        <v>1392</v>
      </c>
      <c r="F466" s="25" t="s">
        <v>1393</v>
      </c>
      <c r="G466" s="25" t="s">
        <v>1394</v>
      </c>
      <c r="H466" s="25" t="s">
        <v>1395</v>
      </c>
      <c r="I466" s="25" t="s">
        <v>1396</v>
      </c>
      <c r="J466" s="25" t="s">
        <v>1397</v>
      </c>
    </row>
    <row r="467" spans="1:10" s="22" customFormat="1" x14ac:dyDescent="0.2">
      <c r="B467" s="23"/>
      <c r="C467" s="24"/>
      <c r="D467" s="25"/>
      <c r="E467" s="25"/>
      <c r="F467" s="25"/>
      <c r="G467" s="25"/>
    </row>
    <row r="468" spans="1:10" s="22" customFormat="1" x14ac:dyDescent="0.2">
      <c r="A468" s="22" t="s">
        <v>1398</v>
      </c>
      <c r="B468" s="23" t="str" cm="1">
        <f t="array" ref="B468">_xlfn.TEXTJOIN(,1,IF(IFERROR(FIND(table_prefix[前缀],table_l10n!A468),FALSE),TEXT(table_prefix[说明],""),""))</f>
        <v>设备升级 - 名称</v>
      </c>
      <c r="C468" s="24" t="s">
        <v>259</v>
      </c>
      <c r="D468" s="25" t="s">
        <v>259</v>
      </c>
      <c r="E468" s="25" t="s">
        <v>541</v>
      </c>
      <c r="F468" s="25" t="s">
        <v>542</v>
      </c>
      <c r="G468" s="25" t="s">
        <v>543</v>
      </c>
      <c r="H468" s="25" t="s">
        <v>544</v>
      </c>
      <c r="I468" s="25" t="s">
        <v>545</v>
      </c>
      <c r="J468" s="25" t="s">
        <v>546</v>
      </c>
    </row>
    <row r="469" spans="1:10" s="22" customFormat="1" x14ac:dyDescent="0.2">
      <c r="A469" s="22" t="s">
        <v>1399</v>
      </c>
      <c r="B469" s="23" t="str" cm="1">
        <f t="array" ref="B469">_xlfn.TEXTJOIN(,1,IF(IFERROR(FIND(table_prefix[前缀],table_l10n!A469),FALSE),TEXT(table_prefix[说明],""),""))</f>
        <v>设备升级 - 名称</v>
      </c>
      <c r="C469" s="24" t="s">
        <v>1400</v>
      </c>
      <c r="D469" s="25" t="s">
        <v>1400</v>
      </c>
      <c r="E469" s="25" t="s">
        <v>1400</v>
      </c>
      <c r="F469" s="25" t="s">
        <v>1401</v>
      </c>
      <c r="G469" s="25" t="s">
        <v>1402</v>
      </c>
      <c r="H469" s="25" t="s">
        <v>1403</v>
      </c>
      <c r="I469" s="25" t="s">
        <v>1404</v>
      </c>
      <c r="J469" s="25" t="s">
        <v>1405</v>
      </c>
    </row>
    <row r="471" spans="1:10" x14ac:dyDescent="0.2">
      <c r="A471" s="13" t="s">
        <v>245</v>
      </c>
      <c r="B471" s="18" t="str" cm="1">
        <f t="array" ref="B471">_xlfn.TEXTJOIN(,1,IF(IFERROR(FIND(table_prefix[前缀],table_l10n!A471),FALSE),TEXT(table_prefix[说明],""),""))</f>
        <v>设备升级 - 名称</v>
      </c>
      <c r="C471" s="19" t="s">
        <v>252</v>
      </c>
      <c r="D471" s="15" t="s">
        <v>253</v>
      </c>
      <c r="E471" s="20" t="str">
        <f>_xlfn.TRANSLATE($D471,"zh-chs","zh-cht")</f>
        <v>結構優化</v>
      </c>
      <c r="F471" s="20" t="str">
        <f>_xlfn.TRANSLATE($D471,"zh-chs","en")</f>
        <v>Structural optimization</v>
      </c>
      <c r="G471" s="20" t="str">
        <f>_xlfn.TRANSLATE($D471,"zh-chs","es")</f>
        <v>Optimización estructural</v>
      </c>
      <c r="H471" s="20" t="str">
        <f>_xlfn.TRANSLATE($D471,"zh-chs","ja")</f>
        <v>構造最適化</v>
      </c>
      <c r="I471" s="20" t="str">
        <f>_xlfn.TRANSLATE($D471,"zh-chs","ru")</f>
        <v>Структурная оптимизация</v>
      </c>
      <c r="J471" s="20" t="str">
        <f>_xlfn.TRANSLATE($D471,"zh-chs","ko")</f>
        <v>구조 최적화</v>
      </c>
    </row>
    <row r="472" spans="1:10" x14ac:dyDescent="0.2">
      <c r="A472" s="13" t="s">
        <v>246</v>
      </c>
      <c r="B472" s="18" t="str" cm="1">
        <f t="array" ref="B472">_xlfn.TEXTJOIN(,1,IF(IFERROR(FIND(table_prefix[前缀],table_l10n!A472),FALSE),TEXT(table_prefix[说明],""),""))</f>
        <v>设备升级 - 名称</v>
      </c>
      <c r="C472" s="19" t="s">
        <v>252</v>
      </c>
      <c r="D472" s="15" t="s">
        <v>254</v>
      </c>
      <c r="E472" s="15" t="s">
        <v>505</v>
      </c>
      <c r="F472" s="15" t="s">
        <v>506</v>
      </c>
      <c r="G472" s="15" t="s">
        <v>507</v>
      </c>
      <c r="H472" s="15" t="s">
        <v>508</v>
      </c>
      <c r="I472" s="15" t="s">
        <v>509</v>
      </c>
      <c r="J472" s="15" t="s">
        <v>510</v>
      </c>
    </row>
    <row r="473" spans="1:10" x14ac:dyDescent="0.2">
      <c r="A473" s="13" t="s">
        <v>247</v>
      </c>
      <c r="B473" s="18" t="str" cm="1">
        <f t="array" ref="B473">_xlfn.TEXTJOIN(,1,IF(IFERROR(FIND(table_prefix[前缀],table_l10n!A473),FALSE),TEXT(table_prefix[说明],""),""))</f>
        <v>设备升级 - 名称</v>
      </c>
      <c r="C473" s="19" t="s">
        <v>252</v>
      </c>
      <c r="D473" s="15" t="s">
        <v>255</v>
      </c>
      <c r="E473" s="15" t="s">
        <v>511</v>
      </c>
      <c r="F473" s="15" t="s">
        <v>512</v>
      </c>
      <c r="G473" s="15" t="s">
        <v>513</v>
      </c>
      <c r="H473" s="15" t="s">
        <v>514</v>
      </c>
      <c r="I473" s="15" t="s">
        <v>515</v>
      </c>
      <c r="J473" s="15" t="s">
        <v>516</v>
      </c>
    </row>
    <row r="474" spans="1:10" x14ac:dyDescent="0.2">
      <c r="A474" s="13" t="s">
        <v>248</v>
      </c>
      <c r="B474" s="18" t="str" cm="1">
        <f t="array" ref="B474">_xlfn.TEXTJOIN(,1,IF(IFERROR(FIND(table_prefix[前缀],table_l10n!A474),FALSE),TEXT(table_prefix[说明],""),""))</f>
        <v>设备升级 - 名称</v>
      </c>
      <c r="C474" s="19" t="s">
        <v>252</v>
      </c>
      <c r="D474" s="15" t="s">
        <v>256</v>
      </c>
      <c r="E474" s="15" t="s">
        <v>517</v>
      </c>
      <c r="F474" s="15" t="s">
        <v>518</v>
      </c>
      <c r="G474" s="15" t="s">
        <v>519</v>
      </c>
      <c r="H474" s="15" t="s">
        <v>520</v>
      </c>
      <c r="I474" s="15" t="s">
        <v>521</v>
      </c>
      <c r="J474" s="15" t="s">
        <v>522</v>
      </c>
    </row>
    <row r="475" spans="1:10" x14ac:dyDescent="0.2">
      <c r="A475" s="13" t="s">
        <v>249</v>
      </c>
      <c r="B475" s="18" t="str" cm="1">
        <f t="array" ref="B475">_xlfn.TEXTJOIN(,1,IF(IFERROR(FIND(table_prefix[前缀],table_l10n!A475),FALSE),TEXT(table_prefix[说明],""),""))</f>
        <v>设备升级 - 名称</v>
      </c>
      <c r="C475" s="19" t="s">
        <v>252</v>
      </c>
      <c r="D475" s="15" t="s">
        <v>1249</v>
      </c>
      <c r="E475" s="15" t="s">
        <v>523</v>
      </c>
      <c r="F475" s="15" t="s">
        <v>524</v>
      </c>
      <c r="G475" s="15" t="s">
        <v>525</v>
      </c>
      <c r="H475" s="15" t="s">
        <v>526</v>
      </c>
      <c r="I475" s="15" t="s">
        <v>527</v>
      </c>
      <c r="J475" s="15" t="s">
        <v>528</v>
      </c>
    </row>
    <row r="476" spans="1:10" x14ac:dyDescent="0.2">
      <c r="A476" s="13" t="s">
        <v>250</v>
      </c>
      <c r="B476" s="18" t="str" cm="1">
        <f t="array" ref="B476">_xlfn.TEXTJOIN(,1,IF(IFERROR(FIND(table_prefix[前缀],table_l10n!A476),FALSE),TEXT(table_prefix[说明],""),""))</f>
        <v>设备升级 - 名称</v>
      </c>
      <c r="C476" s="19" t="s">
        <v>252</v>
      </c>
      <c r="D476" s="15" t="s">
        <v>257</v>
      </c>
      <c r="E476" s="15" t="s">
        <v>529</v>
      </c>
      <c r="F476" s="15" t="s">
        <v>530</v>
      </c>
      <c r="G476" s="15" t="s">
        <v>531</v>
      </c>
      <c r="H476" s="15" t="s">
        <v>532</v>
      </c>
      <c r="I476" s="15" t="s">
        <v>533</v>
      </c>
      <c r="J476" s="15" t="s">
        <v>534</v>
      </c>
    </row>
    <row r="477" spans="1:10" x14ac:dyDescent="0.2">
      <c r="A477" s="13" t="s">
        <v>251</v>
      </c>
      <c r="B477" s="18" t="str" cm="1">
        <f t="array" ref="B477">_xlfn.TEXTJOIN(,1,IF(IFERROR(FIND(table_prefix[前缀],table_l10n!A477),FALSE),TEXT(table_prefix[说明],""),""))</f>
        <v>设备升级 - 名称</v>
      </c>
      <c r="C477" s="19" t="s">
        <v>252</v>
      </c>
      <c r="D477" s="15" t="s">
        <v>258</v>
      </c>
      <c r="E477" s="15" t="s">
        <v>535</v>
      </c>
      <c r="F477" s="15" t="s">
        <v>536</v>
      </c>
      <c r="G477" s="15" t="s">
        <v>537</v>
      </c>
      <c r="H477" s="15" t="s">
        <v>538</v>
      </c>
      <c r="I477" s="15" t="s">
        <v>539</v>
      </c>
      <c r="J477" s="15" t="s">
        <v>540</v>
      </c>
    </row>
    <row r="478" spans="1:10" x14ac:dyDescent="0.2">
      <c r="B478" s="18" t="str" cm="1">
        <f t="array" ref="B478">_xlfn.TEXTJOIN(,1,IF(IFERROR(FIND(table_prefix[前缀],table_l10n!A478),FALSE),TEXT(table_prefix[说明],""),""))</f>
        <v/>
      </c>
      <c r="E478" s="15" t="s">
        <v>314</v>
      </c>
      <c r="G478" s="15" t="s">
        <v>314</v>
      </c>
      <c r="H478" s="15" t="s">
        <v>314</v>
      </c>
      <c r="I478" s="15" t="s">
        <v>314</v>
      </c>
      <c r="J478" s="15" t="s">
        <v>314</v>
      </c>
    </row>
    <row r="479" spans="1:10" x14ac:dyDescent="0.2">
      <c r="A479" s="13" t="s">
        <v>269</v>
      </c>
      <c r="B479" s="18" t="str" cm="1">
        <f t="array" ref="B479">_xlfn.TEXTJOIN(,1,IF(IFERROR(FIND(table_prefix[前缀],table_l10n!A479),FALSE),TEXT(table_prefix[说明],""),""))</f>
        <v>设备升级 - 名称</v>
      </c>
      <c r="C479" s="19" t="s">
        <v>275</v>
      </c>
      <c r="D479" s="15" t="s">
        <v>276</v>
      </c>
      <c r="E479" s="15" t="s">
        <v>547</v>
      </c>
      <c r="F479" s="15" t="s">
        <v>548</v>
      </c>
      <c r="G479" s="15" t="s">
        <v>549</v>
      </c>
      <c r="H479" s="15" t="s">
        <v>550</v>
      </c>
      <c r="I479" s="15" t="s">
        <v>551</v>
      </c>
      <c r="J479" s="15" t="s">
        <v>552</v>
      </c>
    </row>
    <row r="480" spans="1:10" x14ac:dyDescent="0.2">
      <c r="A480" s="13" t="s">
        <v>270</v>
      </c>
      <c r="B480" s="18" t="str" cm="1">
        <f t="array" ref="B480">_xlfn.TEXTJOIN(,1,IF(IFERROR(FIND(table_prefix[前缀],table_l10n!A480),FALSE),TEXT(table_prefix[说明],""),""))</f>
        <v>设备升级 - 名称</v>
      </c>
      <c r="C480" s="19" t="s">
        <v>275</v>
      </c>
      <c r="D480" s="15" t="s">
        <v>277</v>
      </c>
      <c r="E480" s="15" t="s">
        <v>553</v>
      </c>
      <c r="F480" s="15" t="s">
        <v>554</v>
      </c>
      <c r="G480" s="15" t="s">
        <v>555</v>
      </c>
      <c r="H480" s="15" t="s">
        <v>556</v>
      </c>
      <c r="I480" s="15" t="s">
        <v>557</v>
      </c>
      <c r="J480" s="15" t="s">
        <v>558</v>
      </c>
    </row>
    <row r="481" spans="1:10" x14ac:dyDescent="0.2">
      <c r="A481" s="13" t="s">
        <v>271</v>
      </c>
      <c r="B481" s="18" t="str" cm="1">
        <f t="array" ref="B481">_xlfn.TEXTJOIN(,1,IF(IFERROR(FIND(table_prefix[前缀],table_l10n!A481),FALSE),TEXT(table_prefix[说明],""),""))</f>
        <v>设备升级 - 名称</v>
      </c>
      <c r="C481" s="19" t="s">
        <v>275</v>
      </c>
      <c r="D481" s="15" t="s">
        <v>278</v>
      </c>
      <c r="E481" s="15" t="s">
        <v>559</v>
      </c>
      <c r="F481" s="15" t="s">
        <v>560</v>
      </c>
      <c r="G481" s="15" t="s">
        <v>561</v>
      </c>
      <c r="H481" s="15" t="s">
        <v>562</v>
      </c>
      <c r="I481" s="15" t="s">
        <v>563</v>
      </c>
      <c r="J481" s="15" t="s">
        <v>564</v>
      </c>
    </row>
    <row r="482" spans="1:10" x14ac:dyDescent="0.2">
      <c r="A482" s="13" t="s">
        <v>272</v>
      </c>
      <c r="B482" s="18" t="str" cm="1">
        <f t="array" ref="B482">_xlfn.TEXTJOIN(,1,IF(IFERROR(FIND(table_prefix[前缀],table_l10n!A482),FALSE),TEXT(table_prefix[说明],""),""))</f>
        <v>设备升级 - 名称</v>
      </c>
      <c r="C482" s="19" t="s">
        <v>275</v>
      </c>
      <c r="D482" s="15" t="s">
        <v>279</v>
      </c>
      <c r="E482" s="15" t="s">
        <v>565</v>
      </c>
      <c r="F482" s="15" t="s">
        <v>566</v>
      </c>
      <c r="G482" s="15" t="s">
        <v>567</v>
      </c>
      <c r="H482" s="15" t="s">
        <v>568</v>
      </c>
      <c r="I482" s="15" t="s">
        <v>569</v>
      </c>
      <c r="J482" s="15" t="s">
        <v>570</v>
      </c>
    </row>
    <row r="483" spans="1:10" x14ac:dyDescent="0.2">
      <c r="A483" s="13" t="s">
        <v>273</v>
      </c>
      <c r="B483" s="18" t="str" cm="1">
        <f t="array" ref="B483">_xlfn.TEXTJOIN(,1,IF(IFERROR(FIND(table_prefix[前缀],table_l10n!A483),FALSE),TEXT(table_prefix[说明],""),""))</f>
        <v>设备升级 - 名称</v>
      </c>
      <c r="C483" s="19" t="s">
        <v>275</v>
      </c>
      <c r="D483" s="15" t="s">
        <v>280</v>
      </c>
      <c r="E483" s="15" t="s">
        <v>571</v>
      </c>
      <c r="F483" s="15" t="s">
        <v>572</v>
      </c>
      <c r="G483" s="15" t="s">
        <v>573</v>
      </c>
      <c r="H483" s="15" t="s">
        <v>574</v>
      </c>
      <c r="I483" s="15" t="s">
        <v>575</v>
      </c>
      <c r="J483" s="15" t="s">
        <v>576</v>
      </c>
    </row>
    <row r="484" spans="1:10" x14ac:dyDescent="0.2">
      <c r="A484" s="13" t="s">
        <v>274</v>
      </c>
      <c r="B484" s="18" t="str" cm="1">
        <f t="array" ref="B484">_xlfn.TEXTJOIN(,1,IF(IFERROR(FIND(table_prefix[前缀],table_l10n!A484),FALSE),TEXT(table_prefix[说明],""),""))</f>
        <v>设备升级 - 名称</v>
      </c>
      <c r="C484" s="19" t="s">
        <v>275</v>
      </c>
      <c r="D484" s="15" t="s">
        <v>259</v>
      </c>
      <c r="E484" s="15" t="s">
        <v>541</v>
      </c>
      <c r="F484" s="15" t="s">
        <v>542</v>
      </c>
      <c r="G484" s="15" t="s">
        <v>543</v>
      </c>
      <c r="H484" s="15" t="s">
        <v>544</v>
      </c>
      <c r="I484" s="15" t="s">
        <v>545</v>
      </c>
      <c r="J484" s="15" t="s">
        <v>546</v>
      </c>
    </row>
    <row r="485" spans="1:10" x14ac:dyDescent="0.2">
      <c r="E485" s="15" t="s">
        <v>314</v>
      </c>
      <c r="F485" s="15" t="s">
        <v>314</v>
      </c>
      <c r="G485" s="15" t="s">
        <v>314</v>
      </c>
      <c r="H485" s="15" t="s">
        <v>314</v>
      </c>
      <c r="I485" s="15" t="s">
        <v>314</v>
      </c>
      <c r="J485" s="15" t="s">
        <v>314</v>
      </c>
    </row>
    <row r="486" spans="1:10" x14ac:dyDescent="0.2">
      <c r="A486" s="13" t="s">
        <v>84</v>
      </c>
      <c r="B486" s="18" t="str" cm="1">
        <f t="array" ref="B486">_xlfn.TEXTJOIN(,1,IF(IFERROR(FIND(table_prefix[前缀],table_l10n!A486),FALSE),TEXT(table_prefix[说明],""),""))</f>
        <v>设备升级 - 名称</v>
      </c>
      <c r="C486" s="19" t="s">
        <v>57</v>
      </c>
      <c r="D486" s="15" t="s">
        <v>95</v>
      </c>
      <c r="E486" s="15" t="s">
        <v>577</v>
      </c>
      <c r="F486" s="15" t="s">
        <v>578</v>
      </c>
      <c r="G486" s="15" t="s">
        <v>579</v>
      </c>
      <c r="H486" s="15" t="s">
        <v>580</v>
      </c>
      <c r="I486" s="15" t="s">
        <v>581</v>
      </c>
      <c r="J486" s="15" t="s">
        <v>582</v>
      </c>
    </row>
    <row r="487" spans="1:10" x14ac:dyDescent="0.2">
      <c r="A487" s="13" t="s">
        <v>85</v>
      </c>
      <c r="B487" s="18" t="str" cm="1">
        <f t="array" ref="B487">_xlfn.TEXTJOIN(,1,IF(IFERROR(FIND(table_prefix[前缀],table_l10n!A487),FALSE),TEXT(table_prefix[说明],""),""))</f>
        <v>设备升级 - 名称</v>
      </c>
      <c r="C487" s="19" t="s">
        <v>57</v>
      </c>
      <c r="D487" s="15" t="s">
        <v>96</v>
      </c>
      <c r="E487" s="15" t="s">
        <v>583</v>
      </c>
      <c r="F487" s="15" t="s">
        <v>584</v>
      </c>
      <c r="G487" s="15" t="s">
        <v>585</v>
      </c>
      <c r="H487" s="15" t="s">
        <v>586</v>
      </c>
      <c r="I487" s="15" t="s">
        <v>587</v>
      </c>
      <c r="J487" s="15" t="s">
        <v>588</v>
      </c>
    </row>
    <row r="488" spans="1:10" x14ac:dyDescent="0.2">
      <c r="A488" s="13" t="s">
        <v>86</v>
      </c>
      <c r="B488" s="18" t="str" cm="1">
        <f t="array" ref="B488">_xlfn.TEXTJOIN(,1,IF(IFERROR(FIND(table_prefix[前缀],table_l10n!A488),FALSE),TEXT(table_prefix[说明],""),""))</f>
        <v>设备升级 - 名称</v>
      </c>
      <c r="C488" s="19" t="s">
        <v>57</v>
      </c>
      <c r="D488" s="15" t="s">
        <v>97</v>
      </c>
      <c r="E488" s="15" t="s">
        <v>589</v>
      </c>
      <c r="F488" s="15" t="s">
        <v>590</v>
      </c>
      <c r="G488" s="15" t="s">
        <v>591</v>
      </c>
      <c r="H488" s="15" t="s">
        <v>592</v>
      </c>
      <c r="I488" s="15" t="s">
        <v>593</v>
      </c>
      <c r="J488" s="15" t="s">
        <v>594</v>
      </c>
    </row>
    <row r="489" spans="1:10" x14ac:dyDescent="0.2">
      <c r="A489" s="13" t="s">
        <v>87</v>
      </c>
      <c r="B489" s="18" t="str" cm="1">
        <f t="array" ref="B489">_xlfn.TEXTJOIN(,1,IF(IFERROR(FIND(table_prefix[前缀],table_l10n!A489),FALSE),TEXT(table_prefix[说明],""),""))</f>
        <v>设备升级 - 名称</v>
      </c>
      <c r="C489" s="19" t="s">
        <v>57</v>
      </c>
      <c r="D489" s="15" t="s">
        <v>98</v>
      </c>
      <c r="E489" s="15" t="s">
        <v>595</v>
      </c>
      <c r="F489" s="15" t="s">
        <v>596</v>
      </c>
      <c r="G489" s="15" t="s">
        <v>597</v>
      </c>
      <c r="H489" s="15" t="s">
        <v>598</v>
      </c>
      <c r="I489" s="15" t="s">
        <v>599</v>
      </c>
      <c r="J489" s="15" t="s">
        <v>600</v>
      </c>
    </row>
    <row r="490" spans="1:10" x14ac:dyDescent="0.2">
      <c r="A490" s="13" t="s">
        <v>88</v>
      </c>
      <c r="B490" s="18" t="str" cm="1">
        <f t="array" ref="B490">_xlfn.TEXTJOIN(,1,IF(IFERROR(FIND(table_prefix[前缀],table_l10n!A490),FALSE),TEXT(table_prefix[说明],""),""))</f>
        <v>设备升级 - 名称</v>
      </c>
      <c r="C490" s="19" t="s">
        <v>57</v>
      </c>
      <c r="D490" s="15" t="s">
        <v>99</v>
      </c>
      <c r="E490" s="15" t="s">
        <v>99</v>
      </c>
      <c r="F490" s="15" t="s">
        <v>601</v>
      </c>
      <c r="G490" s="15" t="s">
        <v>602</v>
      </c>
      <c r="H490" s="15" t="s">
        <v>603</v>
      </c>
      <c r="I490" s="15" t="s">
        <v>604</v>
      </c>
      <c r="J490" s="15" t="s">
        <v>605</v>
      </c>
    </row>
    <row r="491" spans="1:10" x14ac:dyDescent="0.2">
      <c r="A491" s="13" t="s">
        <v>89</v>
      </c>
      <c r="B491" s="18" t="str" cm="1">
        <f t="array" ref="B491">_xlfn.TEXTJOIN(,1,IF(IFERROR(FIND(table_prefix[前缀],table_l10n!A491),FALSE),TEXT(table_prefix[说明],""),""))</f>
        <v>设备升级 - 名称</v>
      </c>
      <c r="C491" s="19" t="s">
        <v>57</v>
      </c>
      <c r="D491" s="15" t="s">
        <v>100</v>
      </c>
      <c r="E491" s="15" t="s">
        <v>606</v>
      </c>
      <c r="F491" s="15" t="s">
        <v>607</v>
      </c>
      <c r="G491" s="15" t="s">
        <v>608</v>
      </c>
      <c r="H491" s="15" t="s">
        <v>609</v>
      </c>
      <c r="I491" s="15" t="s">
        <v>610</v>
      </c>
      <c r="J491" s="15" t="s">
        <v>611</v>
      </c>
    </row>
    <row r="492" spans="1:10" x14ac:dyDescent="0.2">
      <c r="A492" s="13" t="s">
        <v>90</v>
      </c>
      <c r="B492" s="18" t="str" cm="1">
        <f t="array" ref="B492">_xlfn.TEXTJOIN(,1,IF(IFERROR(FIND(table_prefix[前缀],table_l10n!A492),FALSE),TEXT(table_prefix[说明],""),""))</f>
        <v>设备升级 - 名称</v>
      </c>
      <c r="C492" s="19" t="s">
        <v>57</v>
      </c>
      <c r="D492" s="15" t="s">
        <v>101</v>
      </c>
      <c r="E492" s="15" t="s">
        <v>101</v>
      </c>
      <c r="F492" s="15" t="s">
        <v>612</v>
      </c>
      <c r="G492" s="15" t="s">
        <v>613</v>
      </c>
      <c r="H492" s="15" t="s">
        <v>614</v>
      </c>
      <c r="I492" s="15" t="s">
        <v>615</v>
      </c>
      <c r="J492" s="15" t="s">
        <v>616</v>
      </c>
    </row>
    <row r="493" spans="1:10" x14ac:dyDescent="0.2">
      <c r="A493" s="13" t="s">
        <v>91</v>
      </c>
      <c r="B493" s="18" t="str" cm="1">
        <f t="array" ref="B493">_xlfn.TEXTJOIN(,1,IF(IFERROR(FIND(table_prefix[前缀],table_l10n!A493),FALSE),TEXT(table_prefix[说明],""),""))</f>
        <v>设备升级 - 名称</v>
      </c>
      <c r="C493" s="19" t="s">
        <v>57</v>
      </c>
      <c r="D493" s="15" t="s">
        <v>102</v>
      </c>
      <c r="E493" s="15" t="s">
        <v>102</v>
      </c>
      <c r="F493" s="15" t="s">
        <v>617</v>
      </c>
      <c r="G493" s="15" t="s">
        <v>618</v>
      </c>
      <c r="H493" s="15" t="s">
        <v>619</v>
      </c>
      <c r="I493" s="15" t="s">
        <v>620</v>
      </c>
      <c r="J493" s="15" t="s">
        <v>621</v>
      </c>
    </row>
    <row r="494" spans="1:10" x14ac:dyDescent="0.2">
      <c r="A494" s="13" t="s">
        <v>92</v>
      </c>
      <c r="B494" s="18" t="str" cm="1">
        <f t="array" ref="B494">_xlfn.TEXTJOIN(,1,IF(IFERROR(FIND(table_prefix[前缀],table_l10n!A494),FALSE),TEXT(table_prefix[说明],""),""))</f>
        <v>设备升级 - 名称</v>
      </c>
      <c r="C494" s="19" t="s">
        <v>57</v>
      </c>
      <c r="D494" s="15" t="s">
        <v>103</v>
      </c>
      <c r="E494" s="15" t="s">
        <v>622</v>
      </c>
      <c r="F494" s="15" t="s">
        <v>578</v>
      </c>
      <c r="G494" s="15" t="s">
        <v>579</v>
      </c>
      <c r="H494" s="15" t="s">
        <v>580</v>
      </c>
      <c r="I494" s="15" t="s">
        <v>581</v>
      </c>
      <c r="J494" s="15" t="s">
        <v>582</v>
      </c>
    </row>
    <row r="495" spans="1:10" x14ac:dyDescent="0.2">
      <c r="A495" s="13" t="s">
        <v>93</v>
      </c>
      <c r="B495" s="18" t="str" cm="1">
        <f t="array" ref="B495">_xlfn.TEXTJOIN(,1,IF(IFERROR(FIND(table_prefix[前缀],table_l10n!A495),FALSE),TEXT(table_prefix[说明],""),""))</f>
        <v>设备升级 - 名称</v>
      </c>
      <c r="C495" s="19" t="s">
        <v>57</v>
      </c>
      <c r="D495" s="15" t="s">
        <v>104</v>
      </c>
      <c r="E495" s="15" t="s">
        <v>104</v>
      </c>
      <c r="F495" s="15" t="s">
        <v>623</v>
      </c>
      <c r="G495" s="15" t="s">
        <v>624</v>
      </c>
      <c r="H495" s="15" t="s">
        <v>625</v>
      </c>
      <c r="I495" s="15" t="s">
        <v>626</v>
      </c>
      <c r="J495" s="15" t="s">
        <v>627</v>
      </c>
    </row>
    <row r="496" spans="1:10" x14ac:dyDescent="0.2">
      <c r="A496" s="13" t="s">
        <v>94</v>
      </c>
      <c r="B496" s="18" t="str" cm="1">
        <f t="array" ref="B496">_xlfn.TEXTJOIN(,1,IF(IFERROR(FIND(table_prefix[前缀],table_l10n!A496),FALSE),TEXT(table_prefix[说明],""),""))</f>
        <v>设备升级 - 名称</v>
      </c>
      <c r="C496" s="19" t="s">
        <v>57</v>
      </c>
      <c r="D496" s="15" t="s">
        <v>105</v>
      </c>
      <c r="E496" s="15" t="s">
        <v>628</v>
      </c>
      <c r="F496" s="15" t="s">
        <v>629</v>
      </c>
      <c r="G496" s="15" t="s">
        <v>630</v>
      </c>
      <c r="H496" s="15" t="s">
        <v>631</v>
      </c>
      <c r="I496" s="15" t="s">
        <v>632</v>
      </c>
      <c r="J496" s="15" t="s">
        <v>633</v>
      </c>
    </row>
    <row r="497" spans="1:10" x14ac:dyDescent="0.2">
      <c r="B497" s="18" t="str" cm="1">
        <f t="array" ref="B497">_xlfn.TEXTJOIN(,1,IF(IFERROR(FIND(table_prefix[前缀],table_l10n!A497),FALSE),TEXT(table_prefix[说明],""),""))</f>
        <v/>
      </c>
      <c r="E497" s="15" t="s">
        <v>314</v>
      </c>
      <c r="F497" s="15" t="s">
        <v>314</v>
      </c>
      <c r="G497" s="15" t="s">
        <v>314</v>
      </c>
      <c r="H497" s="15" t="s">
        <v>314</v>
      </c>
      <c r="I497" s="15" t="s">
        <v>314</v>
      </c>
      <c r="J497" s="15" t="s">
        <v>314</v>
      </c>
    </row>
    <row r="498" spans="1:10" x14ac:dyDescent="0.2">
      <c r="A498" s="13" t="s">
        <v>141</v>
      </c>
      <c r="B498" s="18" t="str" cm="1">
        <f t="array" ref="B498">_xlfn.TEXTJOIN(,1,IF(IFERROR(FIND(table_prefix[前缀],table_l10n!A498),FALSE),TEXT(table_prefix[说明],""),""))</f>
        <v>设备升级 - 名称</v>
      </c>
      <c r="C498" s="19" t="s">
        <v>164</v>
      </c>
      <c r="D498" s="15" t="s">
        <v>147</v>
      </c>
      <c r="E498" s="15" t="s">
        <v>634</v>
      </c>
      <c r="F498" s="15" t="s">
        <v>635</v>
      </c>
      <c r="G498" s="15" t="s">
        <v>636</v>
      </c>
      <c r="H498" s="15" t="s">
        <v>637</v>
      </c>
      <c r="I498" s="15" t="s">
        <v>638</v>
      </c>
      <c r="J498" s="15" t="s">
        <v>639</v>
      </c>
    </row>
    <row r="499" spans="1:10" x14ac:dyDescent="0.2">
      <c r="A499" s="13" t="s">
        <v>142</v>
      </c>
      <c r="B499" s="18" t="str" cm="1">
        <f t="array" ref="B499">_xlfn.TEXTJOIN(,1,IF(IFERROR(FIND(table_prefix[前缀],table_l10n!A499),FALSE),TEXT(table_prefix[说明],""),""))</f>
        <v>设备升级 - 名称</v>
      </c>
      <c r="C499" s="19" t="s">
        <v>164</v>
      </c>
      <c r="D499" s="15" t="s">
        <v>148</v>
      </c>
      <c r="E499" s="15" t="s">
        <v>640</v>
      </c>
      <c r="F499" s="15" t="s">
        <v>641</v>
      </c>
      <c r="G499" s="15" t="s">
        <v>642</v>
      </c>
      <c r="H499" s="15" t="s">
        <v>643</v>
      </c>
      <c r="I499" s="15" t="s">
        <v>644</v>
      </c>
      <c r="J499" s="15" t="s">
        <v>645</v>
      </c>
    </row>
    <row r="500" spans="1:10" x14ac:dyDescent="0.2">
      <c r="A500" s="13" t="s">
        <v>143</v>
      </c>
      <c r="B500" s="18" t="str" cm="1">
        <f t="array" ref="B500">_xlfn.TEXTJOIN(,1,IF(IFERROR(FIND(table_prefix[前缀],table_l10n!A500),FALSE),TEXT(table_prefix[说明],""),""))</f>
        <v>设备升级 - 名称</v>
      </c>
      <c r="C500" s="19" t="s">
        <v>164</v>
      </c>
      <c r="D500" s="15" t="s">
        <v>149</v>
      </c>
      <c r="E500" s="15" t="s">
        <v>646</v>
      </c>
      <c r="F500" s="15" t="s">
        <v>647</v>
      </c>
      <c r="G500" s="15" t="s">
        <v>648</v>
      </c>
      <c r="H500" s="15" t="s">
        <v>649</v>
      </c>
      <c r="I500" s="15" t="s">
        <v>650</v>
      </c>
      <c r="J500" s="15" t="s">
        <v>651</v>
      </c>
    </row>
    <row r="501" spans="1:10" x14ac:dyDescent="0.2">
      <c r="A501" s="13" t="s">
        <v>144</v>
      </c>
      <c r="B501" s="18" t="str" cm="1">
        <f t="array" ref="B501">_xlfn.TEXTJOIN(,1,IF(IFERROR(FIND(table_prefix[前缀],table_l10n!A501),FALSE),TEXT(table_prefix[说明],""),""))</f>
        <v>设备升级 - 名称</v>
      </c>
      <c r="C501" s="19" t="s">
        <v>164</v>
      </c>
      <c r="D501" s="15" t="s">
        <v>150</v>
      </c>
      <c r="E501" s="15" t="s">
        <v>652</v>
      </c>
      <c r="F501" s="15" t="s">
        <v>653</v>
      </c>
      <c r="G501" s="15" t="s">
        <v>654</v>
      </c>
      <c r="H501" s="15" t="s">
        <v>655</v>
      </c>
      <c r="I501" s="15" t="s">
        <v>656</v>
      </c>
      <c r="J501" s="15" t="s">
        <v>657</v>
      </c>
    </row>
    <row r="502" spans="1:10" x14ac:dyDescent="0.2">
      <c r="A502" s="13" t="s">
        <v>145</v>
      </c>
      <c r="B502" s="18" t="str" cm="1">
        <f t="array" ref="B502">_xlfn.TEXTJOIN(,1,IF(IFERROR(FIND(table_prefix[前缀],table_l10n!A502),FALSE),TEXT(table_prefix[说明],""),""))</f>
        <v>设备升级 - 名称</v>
      </c>
      <c r="C502" s="19" t="s">
        <v>164</v>
      </c>
      <c r="D502" s="15" t="s">
        <v>151</v>
      </c>
      <c r="E502" s="15" t="s">
        <v>658</v>
      </c>
      <c r="F502" s="15" t="s">
        <v>659</v>
      </c>
      <c r="G502" s="15" t="s">
        <v>660</v>
      </c>
      <c r="H502" s="15" t="s">
        <v>661</v>
      </c>
      <c r="I502" s="15" t="s">
        <v>662</v>
      </c>
      <c r="J502" s="15" t="s">
        <v>663</v>
      </c>
    </row>
    <row r="503" spans="1:10" x14ac:dyDescent="0.2">
      <c r="A503" s="13" t="s">
        <v>146</v>
      </c>
      <c r="B503" s="18" t="str" cm="1">
        <f t="array" ref="B503">_xlfn.TEXTJOIN(,1,IF(IFERROR(FIND(table_prefix[前缀],table_l10n!A503),FALSE),TEXT(table_prefix[说明],""),""))</f>
        <v>设备升级 - 名称</v>
      </c>
      <c r="C503" s="19" t="s">
        <v>164</v>
      </c>
      <c r="D503" s="15" t="s">
        <v>152</v>
      </c>
      <c r="E503" s="15" t="s">
        <v>664</v>
      </c>
      <c r="F503" s="15" t="s">
        <v>665</v>
      </c>
      <c r="G503" s="15" t="s">
        <v>666</v>
      </c>
      <c r="H503" s="15" t="s">
        <v>667</v>
      </c>
      <c r="I503" s="15" t="s">
        <v>668</v>
      </c>
      <c r="J503" s="15" t="s">
        <v>669</v>
      </c>
    </row>
    <row r="504" spans="1:10" x14ac:dyDescent="0.2">
      <c r="B504" s="18" t="str" cm="1">
        <f t="array" ref="B504">_xlfn.TEXTJOIN(,1,IF(IFERROR(FIND(table_prefix[前缀],table_l10n!A504),FALSE),TEXT(table_prefix[说明],""),""))</f>
        <v/>
      </c>
      <c r="E504" s="15" t="s">
        <v>314</v>
      </c>
      <c r="F504" s="15" t="s">
        <v>314</v>
      </c>
      <c r="G504" s="15" t="s">
        <v>314</v>
      </c>
      <c r="H504" s="15" t="s">
        <v>314</v>
      </c>
      <c r="I504" s="15" t="s">
        <v>314</v>
      </c>
      <c r="J504" s="15" t="s">
        <v>314</v>
      </c>
    </row>
    <row r="505" spans="1:10" x14ac:dyDescent="0.2">
      <c r="A505" s="13" t="s">
        <v>165</v>
      </c>
      <c r="B505" s="18" t="str" cm="1">
        <f t="array" ref="B505">_xlfn.TEXTJOIN(,1,IF(IFERROR(FIND(table_prefix[前缀],table_l10n!A505),FALSE),TEXT(table_prefix[说明],""),""))</f>
        <v>设备升级 - 名称</v>
      </c>
      <c r="C505" s="19" t="s">
        <v>21</v>
      </c>
      <c r="D505" s="15" t="s">
        <v>176</v>
      </c>
      <c r="E505" s="15" t="s">
        <v>670</v>
      </c>
      <c r="F505" s="15" t="s">
        <v>671</v>
      </c>
      <c r="G505" s="15" t="s">
        <v>672</v>
      </c>
      <c r="H505" s="15" t="s">
        <v>673</v>
      </c>
      <c r="I505" s="15" t="s">
        <v>674</v>
      </c>
      <c r="J505" s="15" t="s">
        <v>675</v>
      </c>
    </row>
    <row r="506" spans="1:10" x14ac:dyDescent="0.2">
      <c r="A506" s="13" t="s">
        <v>166</v>
      </c>
      <c r="B506" s="18" t="str" cm="1">
        <f t="array" ref="B506">_xlfn.TEXTJOIN(,1,IF(IFERROR(FIND(table_prefix[前缀],table_l10n!A506),FALSE),TEXT(table_prefix[说明],""),""))</f>
        <v>设备升级 - 名称</v>
      </c>
      <c r="C506" s="19" t="s">
        <v>21</v>
      </c>
      <c r="D506" s="15" t="s">
        <v>177</v>
      </c>
      <c r="E506" s="15" t="s">
        <v>676</v>
      </c>
      <c r="F506" s="15" t="s">
        <v>677</v>
      </c>
      <c r="G506" s="15" t="s">
        <v>678</v>
      </c>
      <c r="H506" s="15" t="s">
        <v>679</v>
      </c>
      <c r="I506" s="15" t="s">
        <v>680</v>
      </c>
      <c r="J506" s="15" t="s">
        <v>681</v>
      </c>
    </row>
    <row r="507" spans="1:10" x14ac:dyDescent="0.2">
      <c r="A507" s="13" t="s">
        <v>167</v>
      </c>
      <c r="B507" s="18" t="str" cm="1">
        <f t="array" ref="B507">_xlfn.TEXTJOIN(,1,IF(IFERROR(FIND(table_prefix[前缀],table_l10n!A507),FALSE),TEXT(table_prefix[说明],""),""))</f>
        <v>设备升级 - 名称</v>
      </c>
      <c r="C507" s="19" t="s">
        <v>21</v>
      </c>
      <c r="D507" s="15" t="s">
        <v>178</v>
      </c>
      <c r="E507" s="15" t="s">
        <v>682</v>
      </c>
      <c r="F507" s="15" t="s">
        <v>683</v>
      </c>
      <c r="G507" s="15" t="s">
        <v>684</v>
      </c>
      <c r="H507" s="15" t="s">
        <v>685</v>
      </c>
      <c r="I507" s="15" t="s">
        <v>686</v>
      </c>
      <c r="J507" s="15" t="s">
        <v>687</v>
      </c>
    </row>
    <row r="508" spans="1:10" x14ac:dyDescent="0.2">
      <c r="A508" s="13" t="s">
        <v>168</v>
      </c>
      <c r="B508" s="18" t="str" cm="1">
        <f t="array" ref="B508">_xlfn.TEXTJOIN(,1,IF(IFERROR(FIND(table_prefix[前缀],table_l10n!A508),FALSE),TEXT(table_prefix[说明],""),""))</f>
        <v>设备升级 - 名称</v>
      </c>
      <c r="C508" s="19" t="s">
        <v>21</v>
      </c>
      <c r="D508" s="15" t="s">
        <v>179</v>
      </c>
      <c r="E508" s="15" t="s">
        <v>688</v>
      </c>
      <c r="F508" s="15" t="s">
        <v>689</v>
      </c>
      <c r="G508" s="15" t="s">
        <v>690</v>
      </c>
      <c r="H508" s="15" t="s">
        <v>691</v>
      </c>
      <c r="I508" s="15" t="s">
        <v>692</v>
      </c>
      <c r="J508" s="15" t="s">
        <v>693</v>
      </c>
    </row>
    <row r="509" spans="1:10" x14ac:dyDescent="0.2">
      <c r="A509" s="13" t="s">
        <v>169</v>
      </c>
      <c r="B509" s="18" t="str" cm="1">
        <f t="array" ref="B509">_xlfn.TEXTJOIN(,1,IF(IFERROR(FIND(table_prefix[前缀],table_l10n!A509),FALSE),TEXT(table_prefix[说明],""),""))</f>
        <v>设备升级 - 名称</v>
      </c>
      <c r="C509" s="19" t="s">
        <v>21</v>
      </c>
      <c r="D509" s="15" t="s">
        <v>180</v>
      </c>
      <c r="E509" s="15" t="s">
        <v>694</v>
      </c>
      <c r="F509" s="15" t="s">
        <v>695</v>
      </c>
      <c r="G509" s="15" t="s">
        <v>696</v>
      </c>
      <c r="H509" s="15" t="s">
        <v>697</v>
      </c>
      <c r="I509" s="15" t="s">
        <v>698</v>
      </c>
      <c r="J509" s="15" t="s">
        <v>699</v>
      </c>
    </row>
    <row r="510" spans="1:10" x14ac:dyDescent="0.2">
      <c r="A510" s="13" t="s">
        <v>170</v>
      </c>
      <c r="B510" s="18" t="str" cm="1">
        <f t="array" ref="B510">_xlfn.TEXTJOIN(,1,IF(IFERROR(FIND(table_prefix[前缀],table_l10n!A510),FALSE),TEXT(table_prefix[说明],""),""))</f>
        <v>设备升级 - 名称</v>
      </c>
      <c r="C510" s="19" t="s">
        <v>21</v>
      </c>
      <c r="D510" s="15" t="s">
        <v>181</v>
      </c>
      <c r="E510" s="15" t="s">
        <v>700</v>
      </c>
      <c r="F510" s="15" t="s">
        <v>701</v>
      </c>
      <c r="G510" s="15" t="s">
        <v>702</v>
      </c>
      <c r="H510" s="15" t="s">
        <v>703</v>
      </c>
      <c r="I510" s="15" t="s">
        <v>698</v>
      </c>
      <c r="J510" s="15" t="s">
        <v>704</v>
      </c>
    </row>
    <row r="511" spans="1:10" x14ac:dyDescent="0.2">
      <c r="A511" s="13" t="s">
        <v>171</v>
      </c>
      <c r="B511" s="18" t="str" cm="1">
        <f t="array" ref="B511">_xlfn.TEXTJOIN(,1,IF(IFERROR(FIND(table_prefix[前缀],table_l10n!A511),FALSE),TEXT(table_prefix[说明],""),""))</f>
        <v>设备升级 - 名称</v>
      </c>
      <c r="C511" s="19" t="s">
        <v>21</v>
      </c>
      <c r="D511" s="15" t="s">
        <v>182</v>
      </c>
      <c r="E511" s="15" t="s">
        <v>705</v>
      </c>
      <c r="F511" s="15" t="s">
        <v>706</v>
      </c>
      <c r="G511" s="15" t="s">
        <v>707</v>
      </c>
      <c r="H511" s="15" t="s">
        <v>708</v>
      </c>
      <c r="I511" s="15" t="s">
        <v>709</v>
      </c>
      <c r="J511" s="15" t="s">
        <v>710</v>
      </c>
    </row>
    <row r="512" spans="1:10" x14ac:dyDescent="0.2">
      <c r="A512" s="13" t="s">
        <v>172</v>
      </c>
      <c r="B512" s="18" t="str" cm="1">
        <f t="array" ref="B512">_xlfn.TEXTJOIN(,1,IF(IFERROR(FIND(table_prefix[前缀],table_l10n!A512),FALSE),TEXT(table_prefix[说明],""),""))</f>
        <v>设备升级 - 名称</v>
      </c>
      <c r="C512" s="19" t="s">
        <v>21</v>
      </c>
      <c r="D512" s="15" t="s">
        <v>183</v>
      </c>
      <c r="E512" s="15" t="s">
        <v>711</v>
      </c>
      <c r="F512" s="15" t="s">
        <v>712</v>
      </c>
      <c r="G512" s="15" t="s">
        <v>713</v>
      </c>
      <c r="H512" s="15" t="s">
        <v>714</v>
      </c>
      <c r="I512" s="15" t="s">
        <v>715</v>
      </c>
      <c r="J512" s="15" t="s">
        <v>716</v>
      </c>
    </row>
    <row r="513" spans="1:10" x14ac:dyDescent="0.2">
      <c r="A513" s="13" t="s">
        <v>173</v>
      </c>
      <c r="B513" s="18" t="str" cm="1">
        <f t="array" ref="B513">_xlfn.TEXTJOIN(,1,IF(IFERROR(FIND(table_prefix[前缀],table_l10n!A513),FALSE),TEXT(table_prefix[说明],""),""))</f>
        <v>设备升级 - 名称</v>
      </c>
      <c r="C513" s="19" t="s">
        <v>21</v>
      </c>
      <c r="D513" s="15" t="s">
        <v>184</v>
      </c>
      <c r="E513" s="15" t="s">
        <v>717</v>
      </c>
      <c r="F513" s="15" t="s">
        <v>718</v>
      </c>
      <c r="G513" s="15" t="s">
        <v>719</v>
      </c>
      <c r="H513" s="15" t="s">
        <v>720</v>
      </c>
      <c r="I513" s="15" t="s">
        <v>721</v>
      </c>
      <c r="J513" s="15" t="s">
        <v>722</v>
      </c>
    </row>
    <row r="514" spans="1:10" x14ac:dyDescent="0.2">
      <c r="A514" s="13" t="s">
        <v>174</v>
      </c>
      <c r="B514" s="18" t="str" cm="1">
        <f t="array" ref="B514">_xlfn.TEXTJOIN(,1,IF(IFERROR(FIND(table_prefix[前缀],table_l10n!A514),FALSE),TEXT(table_prefix[说明],""),""))</f>
        <v>设备升级 - 名称</v>
      </c>
      <c r="C514" s="19" t="s">
        <v>21</v>
      </c>
      <c r="D514" s="15" t="s">
        <v>185</v>
      </c>
      <c r="E514" s="15" t="s">
        <v>723</v>
      </c>
      <c r="F514" s="15" t="s">
        <v>724</v>
      </c>
      <c r="G514" s="15" t="s">
        <v>725</v>
      </c>
      <c r="H514" s="15" t="s">
        <v>726</v>
      </c>
      <c r="I514" s="15" t="s">
        <v>727</v>
      </c>
      <c r="J514" s="15" t="s">
        <v>728</v>
      </c>
    </row>
    <row r="515" spans="1:10" x14ac:dyDescent="0.2">
      <c r="A515" s="13" t="s">
        <v>175</v>
      </c>
      <c r="B515" s="18" t="str" cm="1">
        <f t="array" ref="B515">_xlfn.TEXTJOIN(,1,IF(IFERROR(FIND(table_prefix[前缀],table_l10n!A515),FALSE),TEXT(table_prefix[说明],""),""))</f>
        <v>设备升级 - 名称</v>
      </c>
      <c r="C515" s="19" t="s">
        <v>21</v>
      </c>
      <c r="D515" s="15" t="s">
        <v>186</v>
      </c>
      <c r="E515" s="15" t="s">
        <v>729</v>
      </c>
      <c r="F515" s="15" t="s">
        <v>730</v>
      </c>
      <c r="G515" s="15" t="s">
        <v>731</v>
      </c>
      <c r="H515" s="15" t="s">
        <v>732</v>
      </c>
      <c r="I515" s="15" t="s">
        <v>733</v>
      </c>
      <c r="J515" s="15" t="s">
        <v>734</v>
      </c>
    </row>
    <row r="516" spans="1:10" x14ac:dyDescent="0.2">
      <c r="B516" s="18" t="str" cm="1">
        <f t="array" ref="B516">_xlfn.TEXTJOIN(,1,IF(IFERROR(FIND(table_prefix[前缀],table_l10n!A516),FALSE),TEXT(table_prefix[说明],""),""))</f>
        <v/>
      </c>
      <c r="E516" s="15" t="s">
        <v>314</v>
      </c>
      <c r="F516" s="15" t="s">
        <v>314</v>
      </c>
      <c r="G516" s="15" t="s">
        <v>314</v>
      </c>
      <c r="H516" s="15" t="s">
        <v>314</v>
      </c>
      <c r="I516" s="15" t="s">
        <v>314</v>
      </c>
      <c r="J516" s="15" t="s">
        <v>314</v>
      </c>
    </row>
    <row r="517" spans="1:10" x14ac:dyDescent="0.2">
      <c r="A517" s="13" t="s">
        <v>1496</v>
      </c>
      <c r="B517" s="18" t="str" cm="1">
        <f t="array" ref="B517">_xlfn.TEXTJOIN(,1,IF(IFERROR(FIND(table_prefix[前缀],table_l10n!A517),FALSE),TEXT(table_prefix[说明],""),""))</f>
        <v>设备升级 - 名称</v>
      </c>
      <c r="C517" s="19" t="s">
        <v>24</v>
      </c>
      <c r="D517" s="15" t="s">
        <v>1503</v>
      </c>
      <c r="E517" s="15" t="s">
        <v>1510</v>
      </c>
      <c r="F517" s="15" t="s">
        <v>1511</v>
      </c>
      <c r="G517" s="15" t="s">
        <v>1512</v>
      </c>
      <c r="H517" s="15" t="s">
        <v>1513</v>
      </c>
      <c r="I517" s="15" t="s">
        <v>1514</v>
      </c>
      <c r="J517" s="15" t="s">
        <v>1515</v>
      </c>
    </row>
    <row r="518" spans="1:10" x14ac:dyDescent="0.2">
      <c r="A518" s="13" t="s">
        <v>1497</v>
      </c>
      <c r="B518" s="18" t="str" cm="1">
        <f t="array" ref="B518">_xlfn.TEXTJOIN(,1,IF(IFERROR(FIND(table_prefix[前缀],table_l10n!A518),FALSE),TEXT(table_prefix[说明],""),""))</f>
        <v>设备升级 - 名称</v>
      </c>
      <c r="C518" s="19" t="s">
        <v>24</v>
      </c>
      <c r="D518" s="15" t="s">
        <v>1504</v>
      </c>
      <c r="E518" s="15" t="s">
        <v>1516</v>
      </c>
      <c r="F518" s="15" t="s">
        <v>1517</v>
      </c>
      <c r="G518" s="15" t="s">
        <v>1518</v>
      </c>
      <c r="H518" s="15" t="s">
        <v>1519</v>
      </c>
      <c r="I518" s="15" t="s">
        <v>1520</v>
      </c>
      <c r="J518" s="15" t="s">
        <v>1521</v>
      </c>
    </row>
    <row r="519" spans="1:10" x14ac:dyDescent="0.2">
      <c r="A519" s="13" t="s">
        <v>1498</v>
      </c>
      <c r="B519" s="18" t="str" cm="1">
        <f t="array" ref="B519">_xlfn.TEXTJOIN(,1,IF(IFERROR(FIND(table_prefix[前缀],table_l10n!A519),FALSE),TEXT(table_prefix[说明],""),""))</f>
        <v>设备升级 - 名称</v>
      </c>
      <c r="C519" s="19" t="s">
        <v>24</v>
      </c>
      <c r="D519" s="15" t="s">
        <v>1505</v>
      </c>
      <c r="E519" s="15" t="s">
        <v>1522</v>
      </c>
      <c r="F519" s="15" t="s">
        <v>1523</v>
      </c>
      <c r="G519" s="15" t="s">
        <v>1524</v>
      </c>
      <c r="H519" s="15" t="s">
        <v>1525</v>
      </c>
      <c r="I519" s="15" t="s">
        <v>1526</v>
      </c>
      <c r="J519" s="15" t="s">
        <v>1527</v>
      </c>
    </row>
    <row r="520" spans="1:10" x14ac:dyDescent="0.2">
      <c r="A520" s="13" t="s">
        <v>1499</v>
      </c>
      <c r="B520" s="18" t="str" cm="1">
        <f t="array" ref="B520">_xlfn.TEXTJOIN(,1,IF(IFERROR(FIND(table_prefix[前缀],table_l10n!A520),FALSE),TEXT(table_prefix[说明],""),""))</f>
        <v>设备升级 - 名称</v>
      </c>
      <c r="C520" s="19" t="s">
        <v>24</v>
      </c>
      <c r="D520" s="15" t="s">
        <v>1506</v>
      </c>
      <c r="E520" s="15" t="s">
        <v>1528</v>
      </c>
      <c r="F520" s="15" t="s">
        <v>1529</v>
      </c>
      <c r="G520" s="15" t="s">
        <v>1530</v>
      </c>
      <c r="H520" s="15" t="s">
        <v>1531</v>
      </c>
      <c r="I520" s="15" t="s">
        <v>1532</v>
      </c>
      <c r="J520" s="15" t="s">
        <v>1533</v>
      </c>
    </row>
    <row r="521" spans="1:10" x14ac:dyDescent="0.2">
      <c r="A521" s="13" t="s">
        <v>1500</v>
      </c>
      <c r="B521" s="18" t="str" cm="1">
        <f t="array" ref="B521">_xlfn.TEXTJOIN(,1,IF(IFERROR(FIND(table_prefix[前缀],table_l10n!A521),FALSE),TEXT(table_prefix[说明],""),""))</f>
        <v>设备升级 - 名称</v>
      </c>
      <c r="C521" s="19" t="s">
        <v>24</v>
      </c>
      <c r="D521" s="15" t="s">
        <v>1507</v>
      </c>
      <c r="E521" s="15" t="s">
        <v>1534</v>
      </c>
      <c r="F521" s="15" t="s">
        <v>1535</v>
      </c>
      <c r="G521" s="15" t="s">
        <v>1536</v>
      </c>
      <c r="H521" s="15" t="s">
        <v>1537</v>
      </c>
      <c r="I521" s="15" t="s">
        <v>1538</v>
      </c>
      <c r="J521" s="15" t="s">
        <v>1539</v>
      </c>
    </row>
    <row r="522" spans="1:10" x14ac:dyDescent="0.2">
      <c r="A522" s="13" t="s">
        <v>1501</v>
      </c>
      <c r="B522" s="18" t="str" cm="1">
        <f t="array" ref="B522">_xlfn.TEXTJOIN(,1,IF(IFERROR(FIND(table_prefix[前缀],table_l10n!A522),FALSE),TEXT(table_prefix[说明],""),""))</f>
        <v>设备升级 - 名称</v>
      </c>
      <c r="C522" s="19" t="s">
        <v>24</v>
      </c>
      <c r="D522" s="15" t="s">
        <v>1508</v>
      </c>
      <c r="E522" s="15" t="s">
        <v>1540</v>
      </c>
      <c r="F522" s="15" t="s">
        <v>1541</v>
      </c>
      <c r="G522" s="15" t="s">
        <v>1542</v>
      </c>
      <c r="H522" s="15" t="s">
        <v>1543</v>
      </c>
      <c r="I522" s="15" t="s">
        <v>1544</v>
      </c>
      <c r="J522" s="15" t="s">
        <v>1545</v>
      </c>
    </row>
    <row r="523" spans="1:10" x14ac:dyDescent="0.2">
      <c r="A523" s="13" t="s">
        <v>1502</v>
      </c>
      <c r="B523" s="18" t="str" cm="1">
        <f t="array" ref="B523">_xlfn.TEXTJOIN(,1,IF(IFERROR(FIND(table_prefix[前缀],table_l10n!A523),FALSE),TEXT(table_prefix[说明],""),""))</f>
        <v>设备升级 - 名称</v>
      </c>
      <c r="C523" s="19" t="s">
        <v>24</v>
      </c>
      <c r="D523" s="15" t="s">
        <v>1509</v>
      </c>
      <c r="E523" s="15" t="s">
        <v>1546</v>
      </c>
      <c r="F523" s="15" t="s">
        <v>1547</v>
      </c>
      <c r="G523" s="15" t="s">
        <v>1548</v>
      </c>
      <c r="H523" s="15" t="s">
        <v>1549</v>
      </c>
      <c r="I523" s="15" t="s">
        <v>1550</v>
      </c>
      <c r="J523" s="15" t="s">
        <v>1551</v>
      </c>
    </row>
    <row r="525" spans="1:10" x14ac:dyDescent="0.2">
      <c r="A525" s="13" t="s">
        <v>209</v>
      </c>
      <c r="B525" s="18" t="str" cm="1">
        <f t="array" ref="B525">_xlfn.TEXTJOIN(,1,IF(IFERROR(FIND(table_prefix[前缀],table_l10n!A525),FALSE),TEXT(table_prefix[说明],""),""))</f>
        <v>设备升级 - 名称</v>
      </c>
      <c r="C525" s="19" t="s">
        <v>25</v>
      </c>
      <c r="D525" s="15" t="s">
        <v>218</v>
      </c>
      <c r="E525" s="15" t="s">
        <v>218</v>
      </c>
      <c r="F525" s="15" t="s">
        <v>735</v>
      </c>
      <c r="G525" s="15" t="s">
        <v>736</v>
      </c>
      <c r="H525" s="15" t="s">
        <v>737</v>
      </c>
      <c r="I525" s="15" t="s">
        <v>738</v>
      </c>
      <c r="J525" s="15" t="s">
        <v>739</v>
      </c>
    </row>
    <row r="526" spans="1:10" x14ac:dyDescent="0.2">
      <c r="A526" s="13" t="s">
        <v>210</v>
      </c>
      <c r="B526" s="18" t="str" cm="1">
        <f t="array" ref="B526">_xlfn.TEXTJOIN(,1,IF(IFERROR(FIND(table_prefix[前缀],table_l10n!A526),FALSE),TEXT(table_prefix[说明],""),""))</f>
        <v>设备升级 - 名称</v>
      </c>
      <c r="C526" s="19" t="s">
        <v>25</v>
      </c>
      <c r="D526" s="15" t="s">
        <v>219</v>
      </c>
      <c r="E526" s="15" t="s">
        <v>219</v>
      </c>
      <c r="F526" s="15" t="s">
        <v>740</v>
      </c>
      <c r="G526" s="15" t="s">
        <v>741</v>
      </c>
      <c r="H526" s="15" t="s">
        <v>742</v>
      </c>
      <c r="I526" s="15" t="s">
        <v>743</v>
      </c>
      <c r="J526" s="15" t="s">
        <v>744</v>
      </c>
    </row>
    <row r="527" spans="1:10" x14ac:dyDescent="0.2">
      <c r="A527" s="13" t="s">
        <v>211</v>
      </c>
      <c r="B527" s="18" t="str" cm="1">
        <f t="array" ref="B527">_xlfn.TEXTJOIN(,1,IF(IFERROR(FIND(table_prefix[前缀],table_l10n!A527),FALSE),TEXT(table_prefix[说明],""),""))</f>
        <v>设备升级 - 名称</v>
      </c>
      <c r="C527" s="19" t="s">
        <v>25</v>
      </c>
      <c r="D527" s="15" t="s">
        <v>220</v>
      </c>
      <c r="E527" s="15" t="s">
        <v>220</v>
      </c>
      <c r="F527" s="15" t="s">
        <v>745</v>
      </c>
      <c r="G527" s="15" t="s">
        <v>746</v>
      </c>
      <c r="H527" s="15" t="s">
        <v>747</v>
      </c>
      <c r="I527" s="15" t="s">
        <v>748</v>
      </c>
      <c r="J527" s="15" t="s">
        <v>749</v>
      </c>
    </row>
    <row r="528" spans="1:10" x14ac:dyDescent="0.2">
      <c r="A528" s="13" t="s">
        <v>212</v>
      </c>
      <c r="B528" s="18" t="str" cm="1">
        <f t="array" ref="B528">_xlfn.TEXTJOIN(,1,IF(IFERROR(FIND(table_prefix[前缀],table_l10n!A528),FALSE),TEXT(table_prefix[说明],""),""))</f>
        <v>设备升级 - 名称</v>
      </c>
      <c r="C528" s="19" t="s">
        <v>25</v>
      </c>
      <c r="D528" s="15" t="s">
        <v>221</v>
      </c>
      <c r="E528" s="15" t="s">
        <v>750</v>
      </c>
      <c r="F528" s="15" t="s">
        <v>751</v>
      </c>
      <c r="G528" s="15" t="s">
        <v>752</v>
      </c>
      <c r="H528" s="15" t="s">
        <v>753</v>
      </c>
      <c r="I528" s="15" t="s">
        <v>754</v>
      </c>
      <c r="J528" s="15" t="s">
        <v>755</v>
      </c>
    </row>
    <row r="529" spans="1:10" x14ac:dyDescent="0.2">
      <c r="A529" s="13" t="s">
        <v>213</v>
      </c>
      <c r="B529" s="18" t="str" cm="1">
        <f t="array" ref="B529">_xlfn.TEXTJOIN(,1,IF(IFERROR(FIND(table_prefix[前缀],table_l10n!A529),FALSE),TEXT(table_prefix[说明],""),""))</f>
        <v>设备升级 - 名称</v>
      </c>
      <c r="C529" s="19" t="s">
        <v>25</v>
      </c>
      <c r="D529" s="15" t="s">
        <v>222</v>
      </c>
      <c r="E529" s="15" t="s">
        <v>222</v>
      </c>
      <c r="F529" s="15" t="s">
        <v>756</v>
      </c>
      <c r="G529" s="15" t="s">
        <v>757</v>
      </c>
      <c r="H529" s="15" t="s">
        <v>758</v>
      </c>
      <c r="I529" s="15" t="s">
        <v>759</v>
      </c>
      <c r="J529" s="15" t="s">
        <v>760</v>
      </c>
    </row>
    <row r="530" spans="1:10" x14ac:dyDescent="0.2">
      <c r="A530" s="13" t="s">
        <v>214</v>
      </c>
      <c r="B530" s="18" t="str" cm="1">
        <f t="array" ref="B530">_xlfn.TEXTJOIN(,1,IF(IFERROR(FIND(table_prefix[前缀],table_l10n!A530),FALSE),TEXT(table_prefix[说明],""),""))</f>
        <v>设备升级 - 名称</v>
      </c>
      <c r="C530" s="19" t="s">
        <v>25</v>
      </c>
      <c r="D530" s="15" t="s">
        <v>223</v>
      </c>
      <c r="E530" s="15" t="s">
        <v>761</v>
      </c>
      <c r="F530" s="15" t="s">
        <v>762</v>
      </c>
      <c r="G530" s="15" t="s">
        <v>763</v>
      </c>
      <c r="H530" s="15" t="s">
        <v>764</v>
      </c>
      <c r="I530" s="15" t="s">
        <v>765</v>
      </c>
      <c r="J530" s="15" t="s">
        <v>766</v>
      </c>
    </row>
    <row r="531" spans="1:10" x14ac:dyDescent="0.2">
      <c r="A531" s="13" t="s">
        <v>215</v>
      </c>
      <c r="B531" s="18" t="str" cm="1">
        <f t="array" ref="B531">_xlfn.TEXTJOIN(,1,IF(IFERROR(FIND(table_prefix[前缀],table_l10n!A531),FALSE),TEXT(table_prefix[说明],""),""))</f>
        <v>设备升级 - 名称</v>
      </c>
      <c r="C531" s="19" t="s">
        <v>25</v>
      </c>
      <c r="D531" s="15" t="s">
        <v>224</v>
      </c>
      <c r="E531" s="15" t="s">
        <v>767</v>
      </c>
      <c r="F531" s="15" t="s">
        <v>768</v>
      </c>
      <c r="G531" s="15" t="s">
        <v>769</v>
      </c>
      <c r="H531" s="15" t="s">
        <v>770</v>
      </c>
      <c r="I531" s="15" t="s">
        <v>771</v>
      </c>
      <c r="J531" s="15" t="s">
        <v>772</v>
      </c>
    </row>
    <row r="532" spans="1:10" x14ac:dyDescent="0.2">
      <c r="A532" s="13" t="s">
        <v>216</v>
      </c>
      <c r="B532" s="18" t="str" cm="1">
        <f t="array" ref="B532">_xlfn.TEXTJOIN(,1,IF(IFERROR(FIND(table_prefix[前缀],table_l10n!A532),FALSE),TEXT(table_prefix[说明],""),""))</f>
        <v>设备升级 - 名称</v>
      </c>
      <c r="C532" s="19" t="s">
        <v>25</v>
      </c>
      <c r="D532" s="15" t="s">
        <v>225</v>
      </c>
      <c r="E532" s="15" t="s">
        <v>773</v>
      </c>
      <c r="F532" s="15" t="s">
        <v>774</v>
      </c>
      <c r="G532" s="15" t="s">
        <v>775</v>
      </c>
      <c r="H532" s="15" t="s">
        <v>776</v>
      </c>
      <c r="I532" s="15" t="s">
        <v>777</v>
      </c>
      <c r="J532" s="15" t="s">
        <v>778</v>
      </c>
    </row>
    <row r="533" spans="1:10" x14ac:dyDescent="0.2">
      <c r="A533" s="13" t="s">
        <v>217</v>
      </c>
      <c r="B533" s="18" t="str" cm="1">
        <f t="array" ref="B533">_xlfn.TEXTJOIN(,1,IF(IFERROR(FIND(table_prefix[前缀],table_l10n!A533),FALSE),TEXT(table_prefix[说明],""),""))</f>
        <v>设备升级 - 名称</v>
      </c>
      <c r="C533" s="19" t="s">
        <v>25</v>
      </c>
      <c r="D533" s="15" t="s">
        <v>226</v>
      </c>
      <c r="E533" s="15" t="s">
        <v>779</v>
      </c>
      <c r="F533" s="15" t="s">
        <v>780</v>
      </c>
      <c r="G533" s="15" t="s">
        <v>781</v>
      </c>
      <c r="H533" s="15" t="s">
        <v>782</v>
      </c>
      <c r="I533" s="15" t="s">
        <v>783</v>
      </c>
      <c r="J533" s="15" t="s">
        <v>784</v>
      </c>
    </row>
    <row r="538" spans="1:10" s="22" customFormat="1" x14ac:dyDescent="0.2">
      <c r="A538" s="22" t="s">
        <v>1347</v>
      </c>
      <c r="B538" s="23" t="str" cm="1">
        <f t="array" ref="B538">_xlfn.TEXTJOIN(,1,IF(IFERROR(FIND(table_prefix[前缀],table_l10n!A538),FALSE),TEXT(table_prefix[说明],""),""))</f>
        <v>设备升级 - 描述</v>
      </c>
      <c r="C538" s="24" t="s">
        <v>1359</v>
      </c>
      <c r="D538" s="25" t="s">
        <v>1425</v>
      </c>
      <c r="E538" s="25" t="s">
        <v>1429</v>
      </c>
      <c r="F538" s="25" t="s">
        <v>1430</v>
      </c>
      <c r="G538" s="25" t="s">
        <v>1431</v>
      </c>
      <c r="H538" s="25" t="s">
        <v>1432</v>
      </c>
      <c r="I538" s="25" t="s">
        <v>1433</v>
      </c>
      <c r="J538" s="25" t="s">
        <v>1434</v>
      </c>
    </row>
    <row r="539" spans="1:10" s="22" customFormat="1" x14ac:dyDescent="0.2">
      <c r="A539" s="22" t="s">
        <v>1348</v>
      </c>
      <c r="B539" s="23" t="str" cm="1">
        <f t="array" ref="B539">_xlfn.TEXTJOIN(,1,IF(IFERROR(FIND(table_prefix[前缀],table_l10n!A539),FALSE),TEXT(table_prefix[说明],""),""))</f>
        <v>设备升级 - 描述</v>
      </c>
      <c r="C539" s="24" t="s">
        <v>1359</v>
      </c>
      <c r="D539" s="25" t="s">
        <v>1425</v>
      </c>
      <c r="E539" s="25" t="s">
        <v>1429</v>
      </c>
      <c r="F539" s="25" t="s">
        <v>1430</v>
      </c>
      <c r="G539" s="25" t="s">
        <v>1431</v>
      </c>
      <c r="H539" s="25" t="s">
        <v>1432</v>
      </c>
      <c r="I539" s="25" t="s">
        <v>1433</v>
      </c>
      <c r="J539" s="25" t="s">
        <v>1434</v>
      </c>
    </row>
    <row r="540" spans="1:10" s="22" customFormat="1" x14ac:dyDescent="0.2">
      <c r="A540" s="22" t="s">
        <v>1349</v>
      </c>
      <c r="B540" s="23" t="str" cm="1">
        <f t="array" ref="B540">_xlfn.TEXTJOIN(,1,IF(IFERROR(FIND(table_prefix[前缀],table_l10n!A540),FALSE),TEXT(table_prefix[说明],""),""))</f>
        <v>设备升级 - 描述</v>
      </c>
      <c r="C540" s="24" t="s">
        <v>1424</v>
      </c>
      <c r="D540" s="25" t="s">
        <v>1426</v>
      </c>
      <c r="E540" s="25" t="s">
        <v>1435</v>
      </c>
      <c r="F540" s="25" t="s">
        <v>1436</v>
      </c>
      <c r="G540" s="25" t="s">
        <v>1437</v>
      </c>
      <c r="H540" s="25" t="s">
        <v>1438</v>
      </c>
      <c r="I540" s="25" t="s">
        <v>1439</v>
      </c>
      <c r="J540" s="25" t="s">
        <v>1440</v>
      </c>
    </row>
    <row r="541" spans="1:10" s="22" customFormat="1" x14ac:dyDescent="0.2">
      <c r="A541" s="22" t="s">
        <v>1350</v>
      </c>
      <c r="B541" s="23" t="str" cm="1">
        <f t="array" ref="B541">_xlfn.TEXTJOIN(,1,IF(IFERROR(FIND(table_prefix[前缀],table_l10n!A541),FALSE),TEXT(table_prefix[说明],""),""))</f>
        <v>设备升级 - 描述</v>
      </c>
      <c r="C541" s="24" t="s">
        <v>1424</v>
      </c>
      <c r="D541" s="25" t="s">
        <v>1426</v>
      </c>
      <c r="E541" s="25" t="s">
        <v>1435</v>
      </c>
      <c r="F541" s="25" t="s">
        <v>1436</v>
      </c>
      <c r="G541" s="25" t="s">
        <v>1437</v>
      </c>
      <c r="H541" s="25" t="s">
        <v>1438</v>
      </c>
      <c r="I541" s="25" t="s">
        <v>1439</v>
      </c>
      <c r="J541" s="25" t="s">
        <v>1440</v>
      </c>
    </row>
    <row r="542" spans="1:10" s="22" customFormat="1" x14ac:dyDescent="0.2">
      <c r="A542" s="22" t="s">
        <v>1351</v>
      </c>
      <c r="B542" s="23" t="str" cm="1">
        <f t="array" ref="B542">_xlfn.TEXTJOIN(,1,IF(IFERROR(FIND(table_prefix[前缀],table_l10n!A542),FALSE),TEXT(table_prefix[说明],""),""))</f>
        <v>设备升级 - 描述</v>
      </c>
      <c r="C542" s="24" t="s">
        <v>1360</v>
      </c>
      <c r="D542" s="25" t="s">
        <v>1427</v>
      </c>
      <c r="E542" s="25" t="s">
        <v>1441</v>
      </c>
      <c r="F542" s="25" t="s">
        <v>1442</v>
      </c>
      <c r="G542" s="25" t="s">
        <v>1443</v>
      </c>
      <c r="H542" s="25" t="s">
        <v>1444</v>
      </c>
      <c r="I542" s="25" t="s">
        <v>1445</v>
      </c>
      <c r="J542" s="25" t="s">
        <v>1446</v>
      </c>
    </row>
    <row r="543" spans="1:10" s="22" customFormat="1" x14ac:dyDescent="0.2">
      <c r="A543" s="22" t="s">
        <v>1352</v>
      </c>
      <c r="B543" s="23" t="str" cm="1">
        <f t="array" ref="B543">_xlfn.TEXTJOIN(,1,IF(IFERROR(FIND(table_prefix[前缀],table_l10n!A543),FALSE),TEXT(table_prefix[说明],""),""))</f>
        <v>设备升级 - 描述</v>
      </c>
      <c r="C543" s="24" t="s">
        <v>1360</v>
      </c>
      <c r="D543" s="25" t="s">
        <v>1427</v>
      </c>
      <c r="E543" s="25" t="s">
        <v>1441</v>
      </c>
      <c r="F543" s="25" t="s">
        <v>1442</v>
      </c>
      <c r="G543" s="25" t="s">
        <v>1443</v>
      </c>
      <c r="H543" s="25" t="s">
        <v>1444</v>
      </c>
      <c r="I543" s="25" t="s">
        <v>1445</v>
      </c>
      <c r="J543" s="25" t="s">
        <v>1446</v>
      </c>
    </row>
    <row r="544" spans="1:10" s="22" customFormat="1" x14ac:dyDescent="0.2">
      <c r="A544" s="22" t="s">
        <v>1422</v>
      </c>
      <c r="B544" s="23" t="str" cm="1">
        <f t="array" ref="B544">_xlfn.TEXTJOIN(,1,IF(IFERROR(FIND(table_prefix[前缀],table_l10n!A544),FALSE),TEXT(table_prefix[说明],""),""))</f>
        <v>设备升级 - 描述</v>
      </c>
      <c r="C544" s="24" t="s">
        <v>1361</v>
      </c>
      <c r="D544" s="25" t="s">
        <v>1428</v>
      </c>
      <c r="E544" s="25" t="s">
        <v>1447</v>
      </c>
      <c r="F544" s="25" t="s">
        <v>1448</v>
      </c>
      <c r="G544" s="25" t="s">
        <v>1449</v>
      </c>
      <c r="H544" s="25" t="s">
        <v>1450</v>
      </c>
      <c r="I544" s="25" t="s">
        <v>1451</v>
      </c>
      <c r="J544" s="25" t="s">
        <v>1452</v>
      </c>
    </row>
    <row r="545" spans="1:10" s="22" customFormat="1" x14ac:dyDescent="0.2">
      <c r="A545" s="22" t="s">
        <v>1423</v>
      </c>
      <c r="B545" s="23" t="str" cm="1">
        <f t="array" ref="B545">_xlfn.TEXTJOIN(,1,IF(IFERROR(FIND(table_prefix[前缀],table_l10n!A545),FALSE),TEXT(table_prefix[说明],""),""))</f>
        <v>设备升级 - 描述</v>
      </c>
      <c r="C545" s="24" t="s">
        <v>1361</v>
      </c>
      <c r="D545" s="25" t="s">
        <v>1428</v>
      </c>
      <c r="E545" s="25" t="s">
        <v>1447</v>
      </c>
      <c r="F545" s="25" t="s">
        <v>1448</v>
      </c>
      <c r="G545" s="25" t="s">
        <v>1449</v>
      </c>
      <c r="H545" s="25" t="s">
        <v>1450</v>
      </c>
      <c r="I545" s="25" t="s">
        <v>1451</v>
      </c>
      <c r="J545" s="25" t="s">
        <v>1452</v>
      </c>
    </row>
    <row r="546" spans="1:10" s="22" customFormat="1" x14ac:dyDescent="0.2">
      <c r="B546" s="23"/>
      <c r="C546" s="24"/>
      <c r="D546" s="25"/>
      <c r="E546" s="25"/>
      <c r="F546" s="25"/>
      <c r="G546" s="25"/>
      <c r="H546" s="25"/>
      <c r="I546" s="25"/>
      <c r="J546" s="25"/>
    </row>
    <row r="547" spans="1:10" s="22" customFormat="1" x14ac:dyDescent="0.2">
      <c r="A547" s="22" t="s">
        <v>1406</v>
      </c>
      <c r="B547" s="23" t="str" cm="1">
        <f t="array" ref="B547">_xlfn.TEXTJOIN(,1,IF(IFERROR(FIND(table_prefix[前缀],table_l10n!A547),FALSE),TEXT(table_prefix[说明],""),""))</f>
        <v>设备升级 - 描述</v>
      </c>
      <c r="C547" s="24" t="s">
        <v>1408</v>
      </c>
      <c r="D547" s="25" t="s">
        <v>1408</v>
      </c>
      <c r="E547" s="25" t="s">
        <v>1410</v>
      </c>
      <c r="F547" s="25" t="s">
        <v>1411</v>
      </c>
      <c r="G547" s="25" t="s">
        <v>1412</v>
      </c>
      <c r="H547" s="25" t="s">
        <v>1413</v>
      </c>
      <c r="I547" s="25" t="s">
        <v>1414</v>
      </c>
      <c r="J547" s="25" t="s">
        <v>1415</v>
      </c>
    </row>
    <row r="548" spans="1:10" s="22" customFormat="1" x14ac:dyDescent="0.2">
      <c r="A548" s="22" t="s">
        <v>1407</v>
      </c>
      <c r="B548" s="23" t="str" cm="1">
        <f t="array" ref="B548">_xlfn.TEXTJOIN(,1,IF(IFERROR(FIND(table_prefix[前缀],table_l10n!A548),FALSE),TEXT(table_prefix[说明],""),""))</f>
        <v>设备升级 - 描述</v>
      </c>
      <c r="C548" s="24" t="s">
        <v>1409</v>
      </c>
      <c r="D548" s="25" t="s">
        <v>1409</v>
      </c>
      <c r="E548" s="25" t="s">
        <v>1416</v>
      </c>
      <c r="F548" s="25" t="s">
        <v>1417</v>
      </c>
      <c r="G548" s="25" t="s">
        <v>1418</v>
      </c>
      <c r="H548" s="25" t="s">
        <v>1419</v>
      </c>
      <c r="I548" s="25" t="s">
        <v>1420</v>
      </c>
      <c r="J548" s="25" t="s">
        <v>1421</v>
      </c>
    </row>
    <row r="553" spans="1:10" x14ac:dyDescent="0.2">
      <c r="A553" s="13" t="s">
        <v>260</v>
      </c>
      <c r="B553" s="18" t="str" cm="1">
        <f t="array" ref="B553">_xlfn.TEXTJOIN(,1,IF(IFERROR(FIND(table_prefix[前缀],table_l10n!A553),FALSE),TEXT(table_prefix[说明],""),""))</f>
        <v>设备升级 - 描述</v>
      </c>
      <c r="C553" s="19" t="s">
        <v>252</v>
      </c>
      <c r="D553" s="26" t="s">
        <v>1262</v>
      </c>
      <c r="E553" s="20" t="str">
        <f>_xlfn.TRANSLATE($D553,"zh-chs","zh-cht")</f>
        <v>基礎重量-5</v>
      </c>
      <c r="F553" s="20" t="str">
        <f>_xlfn.TRANSLATE($D553,"zh-chs","en")</f>
        <v>Base weight - 5</v>
      </c>
      <c r="G553" s="20" t="str">
        <f>_xlfn.TRANSLATE($D553,"zh-chs","es")</f>
        <v>Peso base - 5</v>
      </c>
      <c r="H553" s="20" t="str">
        <f>_xlfn.TRANSLATE($D553,"zh-chs","ja")</f>
        <v>基本重量 - 5</v>
      </c>
      <c r="I553" s="20" t="str">
        <f>_xlfn.TRANSLATE($D553,"zh-chs","ru")</f>
        <v>Базовый вес — 5</v>
      </c>
      <c r="J553" s="20" t="str">
        <f>_xlfn.TRANSLATE($D553,"zh-chs","ko")</f>
        <v>기본 무게 - 5</v>
      </c>
    </row>
    <row r="554" spans="1:10" x14ac:dyDescent="0.2">
      <c r="A554" s="13" t="s">
        <v>261</v>
      </c>
      <c r="B554" s="18" t="str" cm="1">
        <f t="array" ref="B554">_xlfn.TEXTJOIN(,1,IF(IFERROR(FIND(table_prefix[前缀],table_l10n!A554),FALSE),TEXT(table_prefix[说明],""),""))</f>
        <v>设备升级 - 描述</v>
      </c>
      <c r="C554" s="19" t="s">
        <v>252</v>
      </c>
      <c r="D554" s="26" t="s">
        <v>1263</v>
      </c>
      <c r="E554" s="15" t="s">
        <v>1268</v>
      </c>
      <c r="F554" s="15" t="s">
        <v>1269</v>
      </c>
      <c r="G554" s="15" t="s">
        <v>1270</v>
      </c>
      <c r="H554" s="15" t="s">
        <v>1271</v>
      </c>
      <c r="I554" s="15" t="s">
        <v>1272</v>
      </c>
      <c r="J554" s="15" t="s">
        <v>1273</v>
      </c>
    </row>
    <row r="555" spans="1:10" x14ac:dyDescent="0.2">
      <c r="A555" s="13" t="s">
        <v>262</v>
      </c>
      <c r="B555" s="18" t="str" cm="1">
        <f t="array" ref="B555">_xlfn.TEXTJOIN(,1,IF(IFERROR(FIND(table_prefix[前缀],table_l10n!A555),FALSE),TEXT(table_prefix[说明],""),""))</f>
        <v>设备升级 - 描述</v>
      </c>
      <c r="C555" s="19" t="s">
        <v>252</v>
      </c>
      <c r="D555" s="26" t="s">
        <v>1264</v>
      </c>
      <c r="E555" s="15" t="s">
        <v>1274</v>
      </c>
      <c r="F555" s="15" t="s">
        <v>1275</v>
      </c>
      <c r="G555" s="15" t="s">
        <v>1276</v>
      </c>
      <c r="H555" s="15" t="s">
        <v>1277</v>
      </c>
      <c r="I555" s="15" t="s">
        <v>1278</v>
      </c>
      <c r="J555" s="15" t="s">
        <v>1279</v>
      </c>
    </row>
    <row r="556" spans="1:10" x14ac:dyDescent="0.2">
      <c r="A556" s="13" t="s">
        <v>263</v>
      </c>
      <c r="B556" s="18" t="str" cm="1">
        <f t="array" ref="B556">_xlfn.TEXTJOIN(,1,IF(IFERROR(FIND(table_prefix[前缀],table_l10n!A556),FALSE),TEXT(table_prefix[说明],""),""))</f>
        <v>设备升级 - 描述</v>
      </c>
      <c r="C556" s="19" t="s">
        <v>252</v>
      </c>
      <c r="D556" s="26" t="s">
        <v>1265</v>
      </c>
      <c r="E556" s="15" t="s">
        <v>1280</v>
      </c>
      <c r="F556" s="15" t="s">
        <v>1281</v>
      </c>
      <c r="G556" s="15" t="s">
        <v>1282</v>
      </c>
      <c r="H556" s="15" t="s">
        <v>1283</v>
      </c>
      <c r="I556" s="15" t="s">
        <v>1284</v>
      </c>
      <c r="J556" s="15" t="s">
        <v>1285</v>
      </c>
    </row>
    <row r="557" spans="1:10" x14ac:dyDescent="0.2">
      <c r="A557" s="13" t="s">
        <v>264</v>
      </c>
      <c r="B557" s="18" t="str" cm="1">
        <f t="array" ref="B557">_xlfn.TEXTJOIN(,1,IF(IFERROR(FIND(table_prefix[前缀],table_l10n!A557),FALSE),TEXT(table_prefix[说明],""),""))</f>
        <v>设备升级 - 描述</v>
      </c>
      <c r="C557" s="19" t="s">
        <v>252</v>
      </c>
      <c r="D557" s="26" t="s">
        <v>1266</v>
      </c>
      <c r="E557" s="15" t="s">
        <v>1286</v>
      </c>
      <c r="F557" s="15" t="s">
        <v>1287</v>
      </c>
      <c r="G557" s="15" t="s">
        <v>1288</v>
      </c>
      <c r="H557" s="15" t="s">
        <v>1289</v>
      </c>
      <c r="I557" s="15" t="s">
        <v>1290</v>
      </c>
      <c r="J557" s="15" t="s">
        <v>1291</v>
      </c>
    </row>
    <row r="558" spans="1:10" x14ac:dyDescent="0.2">
      <c r="A558" s="13" t="s">
        <v>265</v>
      </c>
      <c r="B558" s="18" t="str" cm="1">
        <f t="array" ref="B558">_xlfn.TEXTJOIN(,1,IF(IFERROR(FIND(table_prefix[前缀],table_l10n!A558),FALSE),TEXT(table_prefix[说明],""),""))</f>
        <v>设备升级 - 描述</v>
      </c>
      <c r="C558" s="19" t="s">
        <v>252</v>
      </c>
      <c r="D558" s="26" t="s">
        <v>1267</v>
      </c>
      <c r="E558" s="15" t="s">
        <v>1292</v>
      </c>
      <c r="F558" s="15" t="s">
        <v>1293</v>
      </c>
      <c r="G558" s="15" t="s">
        <v>1294</v>
      </c>
      <c r="H558" s="15" t="s">
        <v>1295</v>
      </c>
      <c r="I558" s="15" t="s">
        <v>1296</v>
      </c>
      <c r="J558" s="15" t="s">
        <v>1297</v>
      </c>
    </row>
    <row r="559" spans="1:10" x14ac:dyDescent="0.2">
      <c r="A559" s="13" t="s">
        <v>266</v>
      </c>
      <c r="B559" s="18" t="str" cm="1">
        <f t="array" ref="B559">_xlfn.TEXTJOIN(,1,IF(IFERROR(FIND(table_prefix[前缀],table_l10n!A559),FALSE),TEXT(table_prefix[说明],""),""))</f>
        <v>设备升级 - 描述</v>
      </c>
      <c r="C559" s="19" t="s">
        <v>252</v>
      </c>
      <c r="D559" s="26" t="s">
        <v>1267</v>
      </c>
      <c r="E559" s="15" t="s">
        <v>1292</v>
      </c>
      <c r="F559" s="15" t="s">
        <v>1293</v>
      </c>
      <c r="G559" s="15" t="s">
        <v>1294</v>
      </c>
      <c r="H559" s="15" t="s">
        <v>1295</v>
      </c>
      <c r="I559" s="15" t="s">
        <v>1296</v>
      </c>
      <c r="J559" s="15" t="s">
        <v>1297</v>
      </c>
    </row>
    <row r="560" spans="1:10" x14ac:dyDescent="0.2">
      <c r="B560" s="18" t="str" cm="1">
        <f t="array" ref="B560">_xlfn.TEXTJOIN(,1,IF(IFERROR(FIND(table_prefix[前缀],table_l10n!A560),FALSE),TEXT(table_prefix[说明],""),""))</f>
        <v/>
      </c>
      <c r="D560" s="26"/>
      <c r="E560" s="15" t="s">
        <v>314</v>
      </c>
      <c r="F560" s="15" t="s">
        <v>314</v>
      </c>
      <c r="G560" s="15" t="s">
        <v>314</v>
      </c>
      <c r="H560" s="15" t="s">
        <v>314</v>
      </c>
      <c r="I560" s="15" t="s">
        <v>314</v>
      </c>
      <c r="J560" s="15" t="s">
        <v>314</v>
      </c>
    </row>
    <row r="561" spans="1:10" x14ac:dyDescent="0.2">
      <c r="A561" s="13" t="s">
        <v>281</v>
      </c>
      <c r="B561" s="18" t="str" cm="1">
        <f t="array" ref="B561">_xlfn.TEXTJOIN(,1,IF(IFERROR(FIND(table_prefix[前缀],table_l10n!A561),FALSE),TEXT(table_prefix[说明],""),""))</f>
        <v>设备升级 - 描述</v>
      </c>
      <c r="C561" s="19" t="s">
        <v>275</v>
      </c>
      <c r="D561" s="26" t="s">
        <v>287</v>
      </c>
      <c r="E561" s="15" t="s">
        <v>287</v>
      </c>
      <c r="F561" s="15" t="s">
        <v>797</v>
      </c>
      <c r="G561" s="15" t="s">
        <v>798</v>
      </c>
      <c r="H561" s="15" t="s">
        <v>799</v>
      </c>
      <c r="I561" s="15" t="s">
        <v>800</v>
      </c>
      <c r="J561" s="15" t="s">
        <v>801</v>
      </c>
    </row>
    <row r="562" spans="1:10" x14ac:dyDescent="0.2">
      <c r="A562" s="13" t="s">
        <v>282</v>
      </c>
      <c r="B562" s="18" t="str" cm="1">
        <f t="array" ref="B562">_xlfn.TEXTJOIN(,1,IF(IFERROR(FIND(table_prefix[前缀],table_l10n!A562),FALSE),TEXT(table_prefix[说明],""),""))</f>
        <v>设备升级 - 描述</v>
      </c>
      <c r="C562" s="19" t="s">
        <v>275</v>
      </c>
      <c r="D562" s="26" t="s">
        <v>288</v>
      </c>
      <c r="E562" s="15" t="s">
        <v>288</v>
      </c>
      <c r="F562" s="15" t="s">
        <v>802</v>
      </c>
      <c r="G562" s="15" t="s">
        <v>803</v>
      </c>
      <c r="H562" s="15" t="s">
        <v>804</v>
      </c>
      <c r="I562" s="15" t="s">
        <v>805</v>
      </c>
      <c r="J562" s="15" t="s">
        <v>806</v>
      </c>
    </row>
    <row r="563" spans="1:10" x14ac:dyDescent="0.2">
      <c r="A563" s="13" t="s">
        <v>283</v>
      </c>
      <c r="B563" s="18" t="str" cm="1">
        <f t="array" ref="B563">_xlfn.TEXTJOIN(,1,IF(IFERROR(FIND(table_prefix[前缀],table_l10n!A563),FALSE),TEXT(table_prefix[说明],""),""))</f>
        <v>设备升级 - 描述</v>
      </c>
      <c r="C563" s="19" t="s">
        <v>275</v>
      </c>
      <c r="D563" s="26" t="s">
        <v>289</v>
      </c>
      <c r="E563" s="15" t="s">
        <v>807</v>
      </c>
      <c r="F563" s="15" t="s">
        <v>808</v>
      </c>
      <c r="G563" s="15" t="s">
        <v>809</v>
      </c>
      <c r="H563" s="15" t="s">
        <v>810</v>
      </c>
      <c r="I563" s="15" t="s">
        <v>811</v>
      </c>
      <c r="J563" s="15" t="s">
        <v>812</v>
      </c>
    </row>
    <row r="564" spans="1:10" x14ac:dyDescent="0.2">
      <c r="A564" s="13" t="s">
        <v>284</v>
      </c>
      <c r="B564" s="18" t="str" cm="1">
        <f t="array" ref="B564">_xlfn.TEXTJOIN(,1,IF(IFERROR(FIND(table_prefix[前缀],table_l10n!A564),FALSE),TEXT(table_prefix[说明],""),""))</f>
        <v>设备升级 - 描述</v>
      </c>
      <c r="C564" s="19" t="s">
        <v>275</v>
      </c>
      <c r="D564" s="26" t="s">
        <v>290</v>
      </c>
      <c r="E564" s="15" t="s">
        <v>813</v>
      </c>
      <c r="F564" s="15" t="s">
        <v>814</v>
      </c>
      <c r="G564" s="15" t="s">
        <v>815</v>
      </c>
      <c r="H564" s="15" t="s">
        <v>816</v>
      </c>
      <c r="I564" s="15" t="s">
        <v>817</v>
      </c>
      <c r="J564" s="15" t="s">
        <v>818</v>
      </c>
    </row>
    <row r="565" spans="1:10" x14ac:dyDescent="0.2">
      <c r="A565" s="13" t="s">
        <v>285</v>
      </c>
      <c r="B565" s="18" t="str" cm="1">
        <f t="array" ref="B565">_xlfn.TEXTJOIN(,1,IF(IFERROR(FIND(table_prefix[前缀],table_l10n!A565),FALSE),TEXT(table_prefix[说明],""),""))</f>
        <v>设备升级 - 描述</v>
      </c>
      <c r="C565" s="19" t="s">
        <v>275</v>
      </c>
      <c r="D565" s="26" t="s">
        <v>267</v>
      </c>
      <c r="E565" s="15" t="s">
        <v>785</v>
      </c>
      <c r="F565" s="15" t="s">
        <v>786</v>
      </c>
      <c r="G565" s="15" t="s">
        <v>787</v>
      </c>
      <c r="H565" s="15" t="s">
        <v>788</v>
      </c>
      <c r="I565" s="15" t="s">
        <v>789</v>
      </c>
      <c r="J565" s="15" t="s">
        <v>790</v>
      </c>
    </row>
    <row r="566" spans="1:10" x14ac:dyDescent="0.2">
      <c r="A566" s="13" t="s">
        <v>286</v>
      </c>
      <c r="B566" s="18" t="str" cm="1">
        <f t="array" ref="B566">_xlfn.TEXTJOIN(,1,IF(IFERROR(FIND(table_prefix[前缀],table_l10n!A566),FALSE),TEXT(table_prefix[说明],""),""))</f>
        <v>设备升级 - 描述</v>
      </c>
      <c r="C566" s="19" t="s">
        <v>275</v>
      </c>
      <c r="D566" s="26" t="s">
        <v>268</v>
      </c>
      <c r="E566" s="15" t="s">
        <v>791</v>
      </c>
      <c r="F566" s="15" t="s">
        <v>792</v>
      </c>
      <c r="G566" s="15" t="s">
        <v>793</v>
      </c>
      <c r="H566" s="15" t="s">
        <v>794</v>
      </c>
      <c r="I566" s="15" t="s">
        <v>795</v>
      </c>
      <c r="J566" s="15" t="s">
        <v>796</v>
      </c>
    </row>
    <row r="567" spans="1:10" x14ac:dyDescent="0.2">
      <c r="E567" s="15" t="s">
        <v>314</v>
      </c>
      <c r="F567" s="15" t="s">
        <v>314</v>
      </c>
      <c r="G567" s="15" t="s">
        <v>314</v>
      </c>
      <c r="H567" s="15" t="s">
        <v>314</v>
      </c>
      <c r="I567" s="15" t="s">
        <v>314</v>
      </c>
      <c r="J567" s="15" t="s">
        <v>314</v>
      </c>
    </row>
    <row r="568" spans="1:10" x14ac:dyDescent="0.2">
      <c r="A568" s="14" t="s">
        <v>138</v>
      </c>
      <c r="B568" s="18" t="str" cm="1">
        <f t="array" ref="B568">_xlfn.TEXTJOIN(,1,IF(IFERROR(FIND(table_prefix[前缀],table_l10n!A568),FALSE),TEXT(table_prefix[说明],""),""))</f>
        <v>设备升级 - 描述</v>
      </c>
      <c r="C568" s="19" t="s">
        <v>57</v>
      </c>
      <c r="D568" s="26" t="s">
        <v>127</v>
      </c>
      <c r="E568" s="15" t="s">
        <v>819</v>
      </c>
      <c r="F568" s="15" t="s">
        <v>820</v>
      </c>
      <c r="G568" s="15" t="s">
        <v>821</v>
      </c>
      <c r="H568" s="15" t="s">
        <v>822</v>
      </c>
      <c r="I568" s="15" t="s">
        <v>823</v>
      </c>
      <c r="J568" s="15" t="s">
        <v>824</v>
      </c>
    </row>
    <row r="569" spans="1:10" x14ac:dyDescent="0.2">
      <c r="A569" s="13" t="s">
        <v>117</v>
      </c>
      <c r="B569" s="18" t="str" cm="1">
        <f t="array" ref="B569">_xlfn.TEXTJOIN(,1,IF(IFERROR(FIND(table_prefix[前缀],table_l10n!A569),FALSE),TEXT(table_prefix[说明],""),""))</f>
        <v>设备升级 - 描述</v>
      </c>
      <c r="C569" s="19" t="s">
        <v>57</v>
      </c>
      <c r="D569" s="26" t="s">
        <v>128</v>
      </c>
      <c r="E569" s="15" t="s">
        <v>825</v>
      </c>
      <c r="F569" s="15" t="s">
        <v>826</v>
      </c>
      <c r="G569" s="15" t="s">
        <v>827</v>
      </c>
      <c r="H569" s="15" t="s">
        <v>828</v>
      </c>
      <c r="I569" s="15" t="s">
        <v>829</v>
      </c>
      <c r="J569" s="15" t="s">
        <v>830</v>
      </c>
    </row>
    <row r="570" spans="1:10" x14ac:dyDescent="0.2">
      <c r="A570" s="13" t="s">
        <v>118</v>
      </c>
      <c r="B570" s="18" t="str" cm="1">
        <f t="array" ref="B570">_xlfn.TEXTJOIN(,1,IF(IFERROR(FIND(table_prefix[前缀],table_l10n!A570),FALSE),TEXT(table_prefix[说明],""),""))</f>
        <v>设备升级 - 描述</v>
      </c>
      <c r="C570" s="19" t="s">
        <v>57</v>
      </c>
      <c r="D570" s="26" t="s">
        <v>129</v>
      </c>
      <c r="E570" s="15" t="s">
        <v>831</v>
      </c>
      <c r="F570" s="15" t="s">
        <v>832</v>
      </c>
      <c r="G570" s="15" t="s">
        <v>833</v>
      </c>
      <c r="H570" s="15" t="s">
        <v>834</v>
      </c>
      <c r="I570" s="15" t="s">
        <v>835</v>
      </c>
      <c r="J570" s="15" t="s">
        <v>836</v>
      </c>
    </row>
    <row r="571" spans="1:10" x14ac:dyDescent="0.2">
      <c r="A571" s="13" t="s">
        <v>119</v>
      </c>
      <c r="B571" s="18" t="str" cm="1">
        <f t="array" ref="B571">_xlfn.TEXTJOIN(,1,IF(IFERROR(FIND(table_prefix[前缀],table_l10n!A571),FALSE),TEXT(table_prefix[说明],""),""))</f>
        <v>设备升级 - 描述</v>
      </c>
      <c r="C571" s="19" t="s">
        <v>57</v>
      </c>
      <c r="D571" s="26" t="s">
        <v>130</v>
      </c>
      <c r="E571" s="15" t="s">
        <v>837</v>
      </c>
      <c r="F571" s="15" t="s">
        <v>838</v>
      </c>
      <c r="G571" s="15" t="s">
        <v>839</v>
      </c>
      <c r="H571" s="15" t="s">
        <v>840</v>
      </c>
      <c r="I571" s="15" t="s">
        <v>841</v>
      </c>
      <c r="J571" s="15" t="s">
        <v>842</v>
      </c>
    </row>
    <row r="572" spans="1:10" x14ac:dyDescent="0.2">
      <c r="A572" s="13" t="s">
        <v>120</v>
      </c>
      <c r="B572" s="18" t="str" cm="1">
        <f t="array" ref="B572">_xlfn.TEXTJOIN(,1,IF(IFERROR(FIND(table_prefix[前缀],table_l10n!A572),FALSE),TEXT(table_prefix[说明],""),""))</f>
        <v>设备升级 - 描述</v>
      </c>
      <c r="C572" s="19" t="s">
        <v>57</v>
      </c>
      <c r="D572" s="26" t="s">
        <v>131</v>
      </c>
      <c r="E572" s="15" t="s">
        <v>843</v>
      </c>
      <c r="F572" s="15" t="s">
        <v>844</v>
      </c>
      <c r="G572" s="15" t="s">
        <v>845</v>
      </c>
      <c r="H572" s="15" t="s">
        <v>846</v>
      </c>
      <c r="I572" s="15" t="s">
        <v>847</v>
      </c>
      <c r="J572" s="15" t="s">
        <v>848</v>
      </c>
    </row>
    <row r="573" spans="1:10" x14ac:dyDescent="0.2">
      <c r="A573" s="13" t="s">
        <v>121</v>
      </c>
      <c r="B573" s="18" t="str" cm="1">
        <f t="array" ref="B573">_xlfn.TEXTJOIN(,1,IF(IFERROR(FIND(table_prefix[前缀],table_l10n!A573),FALSE),TEXT(table_prefix[说明],""),""))</f>
        <v>设备升级 - 描述</v>
      </c>
      <c r="C573" s="19" t="s">
        <v>57</v>
      </c>
      <c r="D573" s="26" t="s">
        <v>132</v>
      </c>
      <c r="E573" s="15" t="s">
        <v>849</v>
      </c>
      <c r="F573" s="15" t="s">
        <v>850</v>
      </c>
      <c r="G573" s="15" t="s">
        <v>851</v>
      </c>
      <c r="H573" s="15" t="s">
        <v>852</v>
      </c>
      <c r="I573" s="15" t="s">
        <v>853</v>
      </c>
      <c r="J573" s="15" t="s">
        <v>854</v>
      </c>
    </row>
    <row r="574" spans="1:10" x14ac:dyDescent="0.2">
      <c r="A574" s="13" t="s">
        <v>122</v>
      </c>
      <c r="B574" s="18" t="str" cm="1">
        <f t="array" ref="B574">_xlfn.TEXTJOIN(,1,IF(IFERROR(FIND(table_prefix[前缀],table_l10n!A574),FALSE),TEXT(table_prefix[说明],""),""))</f>
        <v>设备升级 - 描述</v>
      </c>
      <c r="C574" s="19" t="s">
        <v>57</v>
      </c>
      <c r="D574" s="26" t="s">
        <v>133</v>
      </c>
      <c r="E574" s="15" t="s">
        <v>855</v>
      </c>
      <c r="F574" s="15" t="s">
        <v>856</v>
      </c>
      <c r="G574" s="15" t="s">
        <v>857</v>
      </c>
      <c r="H574" s="15" t="s">
        <v>858</v>
      </c>
      <c r="I574" s="15" t="s">
        <v>859</v>
      </c>
      <c r="J574" s="15" t="s">
        <v>860</v>
      </c>
    </row>
    <row r="575" spans="1:10" x14ac:dyDescent="0.2">
      <c r="A575" s="13" t="s">
        <v>123</v>
      </c>
      <c r="B575" s="18" t="str" cm="1">
        <f t="array" ref="B575">_xlfn.TEXTJOIN(,1,IF(IFERROR(FIND(table_prefix[前缀],table_l10n!A575),FALSE),TEXT(table_prefix[说明],""),""))</f>
        <v>设备升级 - 描述</v>
      </c>
      <c r="C575" s="19" t="s">
        <v>57</v>
      </c>
      <c r="D575" s="26" t="s">
        <v>134</v>
      </c>
      <c r="E575" s="15" t="s">
        <v>861</v>
      </c>
      <c r="F575" s="15" t="s">
        <v>862</v>
      </c>
      <c r="G575" s="15" t="s">
        <v>863</v>
      </c>
      <c r="H575" s="15" t="s">
        <v>864</v>
      </c>
      <c r="I575" s="15" t="s">
        <v>865</v>
      </c>
      <c r="J575" s="15" t="s">
        <v>866</v>
      </c>
    </row>
    <row r="576" spans="1:10" x14ac:dyDescent="0.2">
      <c r="A576" s="13" t="s">
        <v>124</v>
      </c>
      <c r="B576" s="18" t="str" cm="1">
        <f t="array" ref="B576">_xlfn.TEXTJOIN(,1,IF(IFERROR(FIND(table_prefix[前缀],table_l10n!A576),FALSE),TEXT(table_prefix[说明],""),""))</f>
        <v>设备升级 - 描述</v>
      </c>
      <c r="C576" s="19" t="s">
        <v>57</v>
      </c>
      <c r="D576" s="26" t="s">
        <v>135</v>
      </c>
      <c r="E576" s="15" t="s">
        <v>867</v>
      </c>
      <c r="F576" s="15" t="s">
        <v>868</v>
      </c>
      <c r="G576" s="15" t="s">
        <v>869</v>
      </c>
      <c r="H576" s="15" t="s">
        <v>870</v>
      </c>
      <c r="I576" s="15" t="s">
        <v>871</v>
      </c>
      <c r="J576" s="15" t="s">
        <v>872</v>
      </c>
    </row>
    <row r="577" spans="1:10" x14ac:dyDescent="0.2">
      <c r="A577" s="13" t="s">
        <v>125</v>
      </c>
      <c r="B577" s="18" t="str" cm="1">
        <f t="array" ref="B577">_xlfn.TEXTJOIN(,1,IF(IFERROR(FIND(table_prefix[前缀],table_l10n!A577),FALSE),TEXT(table_prefix[说明],""),""))</f>
        <v>设备升级 - 描述</v>
      </c>
      <c r="C577" s="19" t="s">
        <v>57</v>
      </c>
      <c r="D577" s="26" t="s">
        <v>136</v>
      </c>
      <c r="E577" s="15" t="s">
        <v>873</v>
      </c>
      <c r="F577" s="15" t="s">
        <v>874</v>
      </c>
      <c r="G577" s="15" t="s">
        <v>875</v>
      </c>
      <c r="H577" s="15" t="s">
        <v>876</v>
      </c>
      <c r="I577" s="15" t="s">
        <v>877</v>
      </c>
      <c r="J577" s="15" t="s">
        <v>878</v>
      </c>
    </row>
    <row r="578" spans="1:10" x14ac:dyDescent="0.2">
      <c r="A578" s="13" t="s">
        <v>126</v>
      </c>
      <c r="B578" s="18" t="str" cm="1">
        <f t="array" ref="B578">_xlfn.TEXTJOIN(,1,IF(IFERROR(FIND(table_prefix[前缀],table_l10n!A578),FALSE),TEXT(table_prefix[说明],""),""))</f>
        <v>设备升级 - 描述</v>
      </c>
      <c r="C578" s="19" t="s">
        <v>57</v>
      </c>
      <c r="D578" s="26" t="s">
        <v>137</v>
      </c>
      <c r="E578" s="15" t="s">
        <v>879</v>
      </c>
      <c r="F578" s="15" t="s">
        <v>880</v>
      </c>
      <c r="G578" s="15" t="s">
        <v>881</v>
      </c>
      <c r="H578" s="15" t="s">
        <v>882</v>
      </c>
      <c r="I578" s="15" t="s">
        <v>883</v>
      </c>
      <c r="J578" s="15" t="s">
        <v>884</v>
      </c>
    </row>
    <row r="579" spans="1:10" x14ac:dyDescent="0.2">
      <c r="E579" s="15" t="s">
        <v>314</v>
      </c>
      <c r="F579" s="15" t="s">
        <v>314</v>
      </c>
      <c r="G579" s="15" t="s">
        <v>314</v>
      </c>
      <c r="H579" s="15" t="s">
        <v>314</v>
      </c>
      <c r="I579" s="15" t="s">
        <v>314</v>
      </c>
      <c r="J579" s="15" t="s">
        <v>314</v>
      </c>
    </row>
    <row r="580" spans="1:10" x14ac:dyDescent="0.2">
      <c r="A580" s="13" t="s">
        <v>153</v>
      </c>
      <c r="B580" s="18" t="str" cm="1">
        <f t="array" ref="B580">_xlfn.TEXTJOIN(,1,IF(IFERROR(FIND(table_prefix[前缀],table_l10n!A580),FALSE),TEXT(table_prefix[说明],""),""))</f>
        <v>设备升级 - 描述</v>
      </c>
      <c r="C580" s="19" t="s">
        <v>164</v>
      </c>
      <c r="D580" s="26" t="s">
        <v>159</v>
      </c>
      <c r="E580" s="15" t="s">
        <v>885</v>
      </c>
      <c r="F580" s="15" t="s">
        <v>886</v>
      </c>
      <c r="G580" s="15" t="s">
        <v>887</v>
      </c>
      <c r="H580" s="15" t="s">
        <v>888</v>
      </c>
      <c r="I580" s="15" t="s">
        <v>889</v>
      </c>
      <c r="J580" s="15" t="s">
        <v>890</v>
      </c>
    </row>
    <row r="581" spans="1:10" x14ac:dyDescent="0.2">
      <c r="A581" s="13" t="s">
        <v>154</v>
      </c>
      <c r="B581" s="18" t="str" cm="1">
        <f t="array" ref="B581">_xlfn.TEXTJOIN(,1,IF(IFERROR(FIND(table_prefix[前缀],table_l10n!A581),FALSE),TEXT(table_prefix[说明],""),""))</f>
        <v>设备升级 - 描述</v>
      </c>
      <c r="C581" s="19" t="s">
        <v>164</v>
      </c>
      <c r="D581" s="26" t="s">
        <v>160</v>
      </c>
      <c r="E581" s="15" t="s">
        <v>891</v>
      </c>
      <c r="F581" s="15" t="s">
        <v>892</v>
      </c>
      <c r="G581" s="15" t="s">
        <v>893</v>
      </c>
      <c r="H581" s="15" t="s">
        <v>894</v>
      </c>
      <c r="I581" s="15" t="s">
        <v>895</v>
      </c>
      <c r="J581" s="15" t="s">
        <v>896</v>
      </c>
    </row>
    <row r="582" spans="1:10" x14ac:dyDescent="0.2">
      <c r="A582" s="13" t="s">
        <v>155</v>
      </c>
      <c r="B582" s="18" t="str" cm="1">
        <f t="array" ref="B582">_xlfn.TEXTJOIN(,1,IF(IFERROR(FIND(table_prefix[前缀],table_l10n!A582),FALSE),TEXT(table_prefix[说明],""),""))</f>
        <v>设备升级 - 描述</v>
      </c>
      <c r="C582" s="19" t="s">
        <v>164</v>
      </c>
      <c r="D582" s="26" t="s">
        <v>161</v>
      </c>
      <c r="E582" s="15" t="s">
        <v>897</v>
      </c>
      <c r="F582" s="15" t="s">
        <v>898</v>
      </c>
      <c r="G582" s="15" t="s">
        <v>899</v>
      </c>
      <c r="H582" s="15" t="s">
        <v>900</v>
      </c>
      <c r="I582" s="15" t="s">
        <v>901</v>
      </c>
      <c r="J582" s="15" t="s">
        <v>902</v>
      </c>
    </row>
    <row r="583" spans="1:10" x14ac:dyDescent="0.2">
      <c r="A583" s="13" t="s">
        <v>156</v>
      </c>
      <c r="B583" s="18" t="str" cm="1">
        <f t="array" ref="B583">_xlfn.TEXTJOIN(,1,IF(IFERROR(FIND(table_prefix[前缀],table_l10n!A583),FALSE),TEXT(table_prefix[说明],""),""))</f>
        <v>设备升级 - 描述</v>
      </c>
      <c r="C583" s="19" t="s">
        <v>164</v>
      </c>
      <c r="D583" s="26" t="s">
        <v>162</v>
      </c>
      <c r="E583" s="15" t="s">
        <v>903</v>
      </c>
      <c r="F583" s="15" t="s">
        <v>904</v>
      </c>
      <c r="G583" s="15" t="s">
        <v>905</v>
      </c>
      <c r="H583" s="15" t="s">
        <v>906</v>
      </c>
      <c r="I583" s="15" t="s">
        <v>907</v>
      </c>
      <c r="J583" s="15" t="s">
        <v>908</v>
      </c>
    </row>
    <row r="584" spans="1:10" x14ac:dyDescent="0.2">
      <c r="A584" s="13" t="s">
        <v>157</v>
      </c>
      <c r="B584" s="18" t="str" cm="1">
        <f t="array" ref="B584">_xlfn.TEXTJOIN(,1,IF(IFERROR(FIND(table_prefix[前缀],table_l10n!A584),FALSE),TEXT(table_prefix[说明],""),""))</f>
        <v>设备升级 - 描述</v>
      </c>
      <c r="C584" s="19" t="s">
        <v>164</v>
      </c>
      <c r="D584" s="26" t="s">
        <v>163</v>
      </c>
      <c r="E584" s="15" t="s">
        <v>909</v>
      </c>
      <c r="F584" s="15" t="s">
        <v>910</v>
      </c>
      <c r="G584" s="15" t="s">
        <v>911</v>
      </c>
      <c r="H584" s="15" t="s">
        <v>912</v>
      </c>
      <c r="I584" s="15" t="s">
        <v>913</v>
      </c>
      <c r="J584" s="15" t="s">
        <v>914</v>
      </c>
    </row>
    <row r="585" spans="1:10" x14ac:dyDescent="0.2">
      <c r="A585" s="13" t="s">
        <v>158</v>
      </c>
      <c r="B585" s="18" t="str" cm="1">
        <f t="array" ref="B585">_xlfn.TEXTJOIN(,1,IF(IFERROR(FIND(table_prefix[前缀],table_l10n!A585),FALSE),TEXT(table_prefix[说明],""),""))</f>
        <v>设备升级 - 描述</v>
      </c>
      <c r="C585" s="19" t="s">
        <v>164</v>
      </c>
      <c r="D585" s="26" t="s">
        <v>137</v>
      </c>
      <c r="E585" s="15" t="s">
        <v>879</v>
      </c>
      <c r="F585" s="15" t="s">
        <v>880</v>
      </c>
      <c r="G585" s="15" t="s">
        <v>881</v>
      </c>
      <c r="H585" s="15" t="s">
        <v>882</v>
      </c>
      <c r="I585" s="15" t="s">
        <v>883</v>
      </c>
      <c r="J585" s="15" t="s">
        <v>884</v>
      </c>
    </row>
    <row r="586" spans="1:10" x14ac:dyDescent="0.2">
      <c r="B586" s="18" t="str" cm="1">
        <f t="array" ref="B586">_xlfn.TEXTJOIN(,1,IF(IFERROR(FIND(table_prefix[前缀],table_l10n!A586),FALSE),TEXT(table_prefix[说明],""),""))</f>
        <v/>
      </c>
      <c r="D586" s="26"/>
      <c r="E586" s="15" t="s">
        <v>314</v>
      </c>
      <c r="F586" s="15" t="s">
        <v>314</v>
      </c>
      <c r="G586" s="15" t="s">
        <v>314</v>
      </c>
      <c r="H586" s="15" t="s">
        <v>314</v>
      </c>
      <c r="I586" s="15" t="s">
        <v>314</v>
      </c>
      <c r="J586" s="15" t="s">
        <v>314</v>
      </c>
    </row>
    <row r="587" spans="1:10" x14ac:dyDescent="0.2">
      <c r="A587" s="13" t="s">
        <v>187</v>
      </c>
      <c r="B587" s="18" t="str" cm="1">
        <f t="array" ref="B587">_xlfn.TEXTJOIN(,1,IF(IFERROR(FIND(table_prefix[前缀],table_l10n!A587),FALSE),TEXT(table_prefix[说明],""),""))</f>
        <v>设备升级 - 描述</v>
      </c>
      <c r="C587" s="19" t="s">
        <v>21</v>
      </c>
      <c r="D587" s="26" t="s">
        <v>198</v>
      </c>
      <c r="E587" s="15" t="s">
        <v>915</v>
      </c>
      <c r="F587" s="15" t="s">
        <v>916</v>
      </c>
      <c r="G587" s="15" t="s">
        <v>917</v>
      </c>
      <c r="H587" s="15" t="s">
        <v>918</v>
      </c>
      <c r="I587" s="15" t="s">
        <v>919</v>
      </c>
      <c r="J587" s="15" t="s">
        <v>920</v>
      </c>
    </row>
    <row r="588" spans="1:10" x14ac:dyDescent="0.2">
      <c r="A588" s="13" t="s">
        <v>188</v>
      </c>
      <c r="B588" s="18" t="str" cm="1">
        <f t="array" ref="B588">_xlfn.TEXTJOIN(,1,IF(IFERROR(FIND(table_prefix[前缀],table_l10n!A588),FALSE),TEXT(table_prefix[说明],""),""))</f>
        <v>设备升级 - 描述</v>
      </c>
      <c r="C588" s="19" t="s">
        <v>21</v>
      </c>
      <c r="D588" s="26" t="s">
        <v>199</v>
      </c>
      <c r="E588" s="15" t="s">
        <v>921</v>
      </c>
      <c r="F588" s="15" t="s">
        <v>922</v>
      </c>
      <c r="G588" s="15" t="s">
        <v>923</v>
      </c>
      <c r="H588" s="15" t="s">
        <v>924</v>
      </c>
      <c r="I588" s="15" t="s">
        <v>925</v>
      </c>
      <c r="J588" s="15" t="s">
        <v>926</v>
      </c>
    </row>
    <row r="589" spans="1:10" x14ac:dyDescent="0.2">
      <c r="A589" s="13" t="s">
        <v>189</v>
      </c>
      <c r="B589" s="18" t="str" cm="1">
        <f t="array" ref="B589">_xlfn.TEXTJOIN(,1,IF(IFERROR(FIND(table_prefix[前缀],table_l10n!A589),FALSE),TEXT(table_prefix[说明],""),""))</f>
        <v>设备升级 - 描述</v>
      </c>
      <c r="C589" s="19" t="s">
        <v>21</v>
      </c>
      <c r="D589" s="26" t="s">
        <v>200</v>
      </c>
      <c r="E589" s="15" t="s">
        <v>927</v>
      </c>
      <c r="F589" s="15" t="s">
        <v>928</v>
      </c>
      <c r="G589" s="15" t="s">
        <v>929</v>
      </c>
      <c r="H589" s="15" t="s">
        <v>930</v>
      </c>
      <c r="I589" s="15" t="s">
        <v>931</v>
      </c>
      <c r="J589" s="15" t="s">
        <v>932</v>
      </c>
    </row>
    <row r="590" spans="1:10" x14ac:dyDescent="0.2">
      <c r="A590" s="13" t="s">
        <v>190</v>
      </c>
      <c r="B590" s="18" t="str" cm="1">
        <f t="array" ref="B590">_xlfn.TEXTJOIN(,1,IF(IFERROR(FIND(table_prefix[前缀],table_l10n!A590),FALSE),TEXT(table_prefix[说明],""),""))</f>
        <v>设备升级 - 描述</v>
      </c>
      <c r="C590" s="19" t="s">
        <v>21</v>
      </c>
      <c r="D590" s="26" t="s">
        <v>201</v>
      </c>
      <c r="E590" s="15" t="s">
        <v>933</v>
      </c>
      <c r="F590" s="15" t="s">
        <v>934</v>
      </c>
      <c r="G590" s="15" t="s">
        <v>935</v>
      </c>
      <c r="H590" s="15" t="s">
        <v>936</v>
      </c>
      <c r="I590" s="15" t="s">
        <v>937</v>
      </c>
      <c r="J590" s="15" t="s">
        <v>938</v>
      </c>
    </row>
    <row r="591" spans="1:10" x14ac:dyDescent="0.2">
      <c r="A591" s="13" t="s">
        <v>191</v>
      </c>
      <c r="B591" s="18" t="str" cm="1">
        <f t="array" ref="B591">_xlfn.TEXTJOIN(,1,IF(IFERROR(FIND(table_prefix[前缀],table_l10n!A591),FALSE),TEXT(table_prefix[说明],""),""))</f>
        <v>设备升级 - 描述</v>
      </c>
      <c r="C591" s="19" t="s">
        <v>21</v>
      </c>
      <c r="D591" s="26" t="s">
        <v>202</v>
      </c>
      <c r="E591" s="15" t="s">
        <v>939</v>
      </c>
      <c r="F591" s="15" t="s">
        <v>940</v>
      </c>
      <c r="G591" s="15" t="s">
        <v>941</v>
      </c>
      <c r="H591" s="15" t="s">
        <v>942</v>
      </c>
      <c r="I591" s="15" t="s">
        <v>943</v>
      </c>
      <c r="J591" s="15" t="s">
        <v>944</v>
      </c>
    </row>
    <row r="592" spans="1:10" x14ac:dyDescent="0.2">
      <c r="A592" s="13" t="s">
        <v>192</v>
      </c>
      <c r="B592" s="18" t="str" cm="1">
        <f t="array" ref="B592">_xlfn.TEXTJOIN(,1,IF(IFERROR(FIND(table_prefix[前缀],table_l10n!A592),FALSE),TEXT(table_prefix[说明],""),""))</f>
        <v>设备升级 - 描述</v>
      </c>
      <c r="C592" s="19" t="s">
        <v>21</v>
      </c>
      <c r="D592" s="26" t="s">
        <v>203</v>
      </c>
      <c r="E592" s="15" t="s">
        <v>945</v>
      </c>
      <c r="F592" s="15" t="s">
        <v>946</v>
      </c>
      <c r="G592" s="15" t="s">
        <v>947</v>
      </c>
      <c r="H592" s="15" t="s">
        <v>948</v>
      </c>
      <c r="I592" s="15" t="s">
        <v>949</v>
      </c>
      <c r="J592" s="15" t="s">
        <v>950</v>
      </c>
    </row>
    <row r="593" spans="1:10" x14ac:dyDescent="0.2">
      <c r="A593" s="13" t="s">
        <v>193</v>
      </c>
      <c r="B593" s="18" t="str" cm="1">
        <f t="array" ref="B593">_xlfn.TEXTJOIN(,1,IF(IFERROR(FIND(table_prefix[前缀],table_l10n!A593),FALSE),TEXT(table_prefix[说明],""),""))</f>
        <v>设备升级 - 描述</v>
      </c>
      <c r="C593" s="19" t="s">
        <v>21</v>
      </c>
      <c r="D593" s="26" t="s">
        <v>204</v>
      </c>
      <c r="E593" s="15" t="s">
        <v>951</v>
      </c>
      <c r="F593" s="15" t="s">
        <v>952</v>
      </c>
      <c r="G593" s="15" t="s">
        <v>953</v>
      </c>
      <c r="H593" s="15" t="s">
        <v>954</v>
      </c>
      <c r="I593" s="15" t="s">
        <v>955</v>
      </c>
      <c r="J593" s="15" t="s">
        <v>956</v>
      </c>
    </row>
    <row r="594" spans="1:10" x14ac:dyDescent="0.2">
      <c r="A594" s="13" t="s">
        <v>194</v>
      </c>
      <c r="B594" s="18" t="str" cm="1">
        <f t="array" ref="B594">_xlfn.TEXTJOIN(,1,IF(IFERROR(FIND(table_prefix[前缀],table_l10n!A594),FALSE),TEXT(table_prefix[说明],""),""))</f>
        <v>设备升级 - 描述</v>
      </c>
      <c r="C594" s="19" t="s">
        <v>21</v>
      </c>
      <c r="D594" s="26" t="s">
        <v>205</v>
      </c>
      <c r="E594" s="15" t="s">
        <v>957</v>
      </c>
      <c r="F594" s="15" t="s">
        <v>958</v>
      </c>
      <c r="G594" s="15" t="s">
        <v>959</v>
      </c>
      <c r="H594" s="15" t="s">
        <v>960</v>
      </c>
      <c r="I594" s="15" t="s">
        <v>961</v>
      </c>
      <c r="J594" s="15" t="s">
        <v>962</v>
      </c>
    </row>
    <row r="595" spans="1:10" x14ac:dyDescent="0.2">
      <c r="A595" s="13" t="s">
        <v>195</v>
      </c>
      <c r="B595" s="18" t="str" cm="1">
        <f t="array" ref="B595">_xlfn.TEXTJOIN(,1,IF(IFERROR(FIND(table_prefix[前缀],table_l10n!A595),FALSE),TEXT(table_prefix[说明],""),""))</f>
        <v>设备升级 - 描述</v>
      </c>
      <c r="C595" s="19" t="s">
        <v>21</v>
      </c>
      <c r="D595" s="26" t="s">
        <v>206</v>
      </c>
      <c r="E595" s="15" t="s">
        <v>963</v>
      </c>
      <c r="F595" s="15" t="s">
        <v>964</v>
      </c>
      <c r="G595" s="15" t="s">
        <v>965</v>
      </c>
      <c r="H595" s="15" t="s">
        <v>966</v>
      </c>
      <c r="I595" s="15" t="s">
        <v>967</v>
      </c>
      <c r="J595" s="15" t="s">
        <v>968</v>
      </c>
    </row>
    <row r="596" spans="1:10" x14ac:dyDescent="0.2">
      <c r="A596" s="13" t="s">
        <v>196</v>
      </c>
      <c r="B596" s="18" t="str" cm="1">
        <f t="array" ref="B596">_xlfn.TEXTJOIN(,1,IF(IFERROR(FIND(table_prefix[前缀],table_l10n!A596),FALSE),TEXT(table_prefix[说明],""),""))</f>
        <v>设备升级 - 描述</v>
      </c>
      <c r="C596" s="19" t="s">
        <v>21</v>
      </c>
      <c r="D596" s="26" t="s">
        <v>207</v>
      </c>
      <c r="E596" s="15" t="s">
        <v>969</v>
      </c>
      <c r="F596" s="15" t="s">
        <v>970</v>
      </c>
      <c r="G596" s="15" t="s">
        <v>971</v>
      </c>
      <c r="H596" s="15" t="s">
        <v>972</v>
      </c>
      <c r="I596" s="15" t="s">
        <v>973</v>
      </c>
      <c r="J596" s="15" t="s">
        <v>974</v>
      </c>
    </row>
    <row r="597" spans="1:10" x14ac:dyDescent="0.2">
      <c r="A597" s="13" t="s">
        <v>197</v>
      </c>
      <c r="B597" s="18" t="str" cm="1">
        <f t="array" ref="B597">_xlfn.TEXTJOIN(,1,IF(IFERROR(FIND(table_prefix[前缀],table_l10n!A597),FALSE),TEXT(table_prefix[说明],""),""))</f>
        <v>设备升级 - 描述</v>
      </c>
      <c r="C597" s="19" t="s">
        <v>21</v>
      </c>
      <c r="D597" s="26" t="s">
        <v>208</v>
      </c>
      <c r="E597" s="15" t="s">
        <v>975</v>
      </c>
      <c r="F597" s="15" t="s">
        <v>976</v>
      </c>
      <c r="G597" s="15" t="s">
        <v>977</v>
      </c>
      <c r="H597" s="15" t="s">
        <v>978</v>
      </c>
      <c r="I597" s="15" t="s">
        <v>979</v>
      </c>
      <c r="J597" s="15" t="s">
        <v>980</v>
      </c>
    </row>
    <row r="598" spans="1:10" x14ac:dyDescent="0.2">
      <c r="B598" s="18" t="str" cm="1">
        <f t="array" ref="B598">_xlfn.TEXTJOIN(,1,IF(IFERROR(FIND(table_prefix[前缀],table_l10n!A598),FALSE),TEXT(table_prefix[说明],""),""))</f>
        <v/>
      </c>
    </row>
    <row r="599" spans="1:10" x14ac:dyDescent="0.2">
      <c r="A599" s="13" t="s">
        <v>1552</v>
      </c>
      <c r="B599" s="18" t="str" cm="1">
        <f t="array" ref="B599">_xlfn.TEXTJOIN(,1,IF(IFERROR(FIND(table_prefix[前缀],table_l10n!A599),FALSE),TEXT(table_prefix[说明],""),""))</f>
        <v>设备升级 - 描述</v>
      </c>
      <c r="C599" s="19" t="s">
        <v>24</v>
      </c>
      <c r="D599" s="13" t="s">
        <v>1559</v>
      </c>
      <c r="E599" s="15" t="s">
        <v>1561</v>
      </c>
      <c r="F599" s="15" t="s">
        <v>1562</v>
      </c>
      <c r="G599" s="15" t="s">
        <v>1563</v>
      </c>
      <c r="H599" s="15" t="s">
        <v>1564</v>
      </c>
      <c r="I599" s="15" t="s">
        <v>1565</v>
      </c>
      <c r="J599" s="15" t="s">
        <v>1566</v>
      </c>
    </row>
    <row r="600" spans="1:10" x14ac:dyDescent="0.2">
      <c r="A600" s="13" t="s">
        <v>1553</v>
      </c>
      <c r="B600" s="18" t="str" cm="1">
        <f t="array" ref="B600">_xlfn.TEXTJOIN(,1,IF(IFERROR(FIND(table_prefix[前缀],table_l10n!A600),FALSE),TEXT(table_prefix[说明],""),""))</f>
        <v>设备升级 - 描述</v>
      </c>
      <c r="C600" s="19" t="s">
        <v>24</v>
      </c>
      <c r="D600" s="13" t="s">
        <v>1559</v>
      </c>
      <c r="E600" s="15" t="s">
        <v>1561</v>
      </c>
      <c r="F600" s="15" t="s">
        <v>1562</v>
      </c>
      <c r="G600" s="15" t="s">
        <v>1563</v>
      </c>
      <c r="H600" s="15" t="s">
        <v>1564</v>
      </c>
      <c r="I600" s="15" t="s">
        <v>1565</v>
      </c>
      <c r="J600" s="15" t="s">
        <v>1566</v>
      </c>
    </row>
    <row r="601" spans="1:10" x14ac:dyDescent="0.2">
      <c r="A601" s="13" t="s">
        <v>1554</v>
      </c>
      <c r="B601" s="18" t="str" cm="1">
        <f t="array" ref="B601">_xlfn.TEXTJOIN(,1,IF(IFERROR(FIND(table_prefix[前缀],table_l10n!A601),FALSE),TEXT(table_prefix[说明],""),""))</f>
        <v>设备升级 - 描述</v>
      </c>
      <c r="C601" s="19" t="s">
        <v>24</v>
      </c>
      <c r="D601" s="13" t="s">
        <v>1559</v>
      </c>
      <c r="E601" s="15" t="s">
        <v>1561</v>
      </c>
      <c r="F601" s="15" t="s">
        <v>1562</v>
      </c>
      <c r="G601" s="15" t="s">
        <v>1563</v>
      </c>
      <c r="H601" s="15" t="s">
        <v>1564</v>
      </c>
      <c r="I601" s="15" t="s">
        <v>1565</v>
      </c>
      <c r="J601" s="15" t="s">
        <v>1566</v>
      </c>
    </row>
    <row r="602" spans="1:10" x14ac:dyDescent="0.2">
      <c r="A602" s="13" t="s">
        <v>1555</v>
      </c>
      <c r="B602" s="18" t="str" cm="1">
        <f t="array" ref="B602">_xlfn.TEXTJOIN(,1,IF(IFERROR(FIND(table_prefix[前缀],table_l10n!A602),FALSE),TEXT(table_prefix[说明],""),""))</f>
        <v>设备升级 - 描述</v>
      </c>
      <c r="C602" s="19" t="s">
        <v>24</v>
      </c>
      <c r="D602" s="13" t="s">
        <v>1559</v>
      </c>
      <c r="E602" s="15" t="s">
        <v>1561</v>
      </c>
      <c r="F602" s="15" t="s">
        <v>1562</v>
      </c>
      <c r="G602" s="15" t="s">
        <v>1563</v>
      </c>
      <c r="H602" s="15" t="s">
        <v>1564</v>
      </c>
      <c r="I602" s="15" t="s">
        <v>1565</v>
      </c>
      <c r="J602" s="15" t="s">
        <v>1566</v>
      </c>
    </row>
    <row r="603" spans="1:10" x14ac:dyDescent="0.2">
      <c r="A603" s="13" t="s">
        <v>1556</v>
      </c>
      <c r="B603" s="18" t="str" cm="1">
        <f t="array" ref="B603">_xlfn.TEXTJOIN(,1,IF(IFERROR(FIND(table_prefix[前缀],table_l10n!A603),FALSE),TEXT(table_prefix[说明],""),""))</f>
        <v>设备升级 - 描述</v>
      </c>
      <c r="C603" s="19" t="s">
        <v>24</v>
      </c>
      <c r="D603" s="13" t="s">
        <v>1560</v>
      </c>
      <c r="E603" s="15" t="s">
        <v>1567</v>
      </c>
      <c r="F603" s="15" t="s">
        <v>1568</v>
      </c>
      <c r="G603" s="15" t="s">
        <v>1569</v>
      </c>
      <c r="H603" s="15" t="s">
        <v>1570</v>
      </c>
      <c r="I603" s="15" t="s">
        <v>1571</v>
      </c>
      <c r="J603" s="15" t="s">
        <v>1572</v>
      </c>
    </row>
    <row r="604" spans="1:10" x14ac:dyDescent="0.2">
      <c r="A604" s="13" t="s">
        <v>1557</v>
      </c>
      <c r="B604" s="18" t="str" cm="1">
        <f t="array" ref="B604">_xlfn.TEXTJOIN(,1,IF(IFERROR(FIND(table_prefix[前缀],table_l10n!A604),FALSE),TEXT(table_prefix[说明],""),""))</f>
        <v>设备升级 - 描述</v>
      </c>
      <c r="C604" s="19" t="s">
        <v>24</v>
      </c>
      <c r="D604" s="13" t="s">
        <v>1560</v>
      </c>
      <c r="E604" s="15" t="s">
        <v>1567</v>
      </c>
      <c r="F604" s="15" t="s">
        <v>1568</v>
      </c>
      <c r="G604" s="15" t="s">
        <v>1569</v>
      </c>
      <c r="H604" s="15" t="s">
        <v>1570</v>
      </c>
      <c r="I604" s="15" t="s">
        <v>1571</v>
      </c>
      <c r="J604" s="15" t="s">
        <v>1572</v>
      </c>
    </row>
    <row r="605" spans="1:10" x14ac:dyDescent="0.2">
      <c r="A605" s="13" t="s">
        <v>1558</v>
      </c>
      <c r="B605" s="18" t="str" cm="1">
        <f t="array" ref="B605">_xlfn.TEXTJOIN(,1,IF(IFERROR(FIND(table_prefix[前缀],table_l10n!A605),FALSE),TEXT(table_prefix[说明],""),""))</f>
        <v>设备升级 - 描述</v>
      </c>
      <c r="C605" s="19" t="s">
        <v>24</v>
      </c>
      <c r="D605" s="13" t="s">
        <v>1560</v>
      </c>
      <c r="E605" s="15" t="s">
        <v>1567</v>
      </c>
      <c r="F605" s="15" t="s">
        <v>1568</v>
      </c>
      <c r="G605" s="15" t="s">
        <v>1569</v>
      </c>
      <c r="H605" s="15" t="s">
        <v>1570</v>
      </c>
      <c r="I605" s="15" t="s">
        <v>1571</v>
      </c>
      <c r="J605" s="15" t="s">
        <v>1572</v>
      </c>
    </row>
    <row r="607" spans="1:10" x14ac:dyDescent="0.2">
      <c r="A607" s="13" t="s">
        <v>227</v>
      </c>
      <c r="B607" s="18" t="str" cm="1">
        <f t="array" ref="B607">_xlfn.TEXTJOIN(,1,IF(IFERROR(FIND(table_prefix[前缀],table_l10n!A607),FALSE),TEXT(table_prefix[说明],""),""))</f>
        <v>设备升级 - 描述</v>
      </c>
      <c r="C607" s="19" t="s">
        <v>25</v>
      </c>
      <c r="D607" s="26" t="s">
        <v>236</v>
      </c>
      <c r="E607" s="15" t="s">
        <v>981</v>
      </c>
      <c r="F607" s="15" t="s">
        <v>982</v>
      </c>
      <c r="G607" s="15" t="s">
        <v>983</v>
      </c>
      <c r="H607" s="15" t="s">
        <v>984</v>
      </c>
      <c r="I607" s="15" t="s">
        <v>985</v>
      </c>
      <c r="J607" s="15" t="s">
        <v>986</v>
      </c>
    </row>
    <row r="608" spans="1:10" x14ac:dyDescent="0.2">
      <c r="A608" s="13" t="s">
        <v>228</v>
      </c>
      <c r="B608" s="18" t="str" cm="1">
        <f t="array" ref="B608">_xlfn.TEXTJOIN(,1,IF(IFERROR(FIND(table_prefix[前缀],table_l10n!A608),FALSE),TEXT(table_prefix[说明],""),""))</f>
        <v>设备升级 - 描述</v>
      </c>
      <c r="C608" s="19" t="s">
        <v>25</v>
      </c>
      <c r="D608" s="26" t="s">
        <v>237</v>
      </c>
      <c r="E608" s="15" t="s">
        <v>987</v>
      </c>
      <c r="F608" s="15" t="s">
        <v>988</v>
      </c>
      <c r="G608" s="15" t="s">
        <v>989</v>
      </c>
      <c r="H608" s="15" t="s">
        <v>990</v>
      </c>
      <c r="I608" s="15" t="s">
        <v>991</v>
      </c>
      <c r="J608" s="15" t="s">
        <v>992</v>
      </c>
    </row>
    <row r="609" spans="1:10" x14ac:dyDescent="0.2">
      <c r="A609" s="13" t="s">
        <v>229</v>
      </c>
      <c r="B609" s="18" t="str" cm="1">
        <f t="array" ref="B609">_xlfn.TEXTJOIN(,1,IF(IFERROR(FIND(table_prefix[前缀],table_l10n!A609),FALSE),TEXT(table_prefix[说明],""),""))</f>
        <v>设备升级 - 描述</v>
      </c>
      <c r="C609" s="19" t="s">
        <v>25</v>
      </c>
      <c r="D609" s="26" t="s">
        <v>238</v>
      </c>
      <c r="E609" s="15" t="s">
        <v>993</v>
      </c>
      <c r="F609" s="15" t="s">
        <v>994</v>
      </c>
      <c r="G609" s="15" t="s">
        <v>995</v>
      </c>
      <c r="H609" s="15" t="s">
        <v>996</v>
      </c>
      <c r="I609" s="15" t="s">
        <v>997</v>
      </c>
      <c r="J609" s="15" t="s">
        <v>998</v>
      </c>
    </row>
    <row r="610" spans="1:10" x14ac:dyDescent="0.2">
      <c r="A610" s="13" t="s">
        <v>230</v>
      </c>
      <c r="B610" s="18" t="str" cm="1">
        <f t="array" ref="B610">_xlfn.TEXTJOIN(,1,IF(IFERROR(FIND(table_prefix[前缀],table_l10n!A610),FALSE),TEXT(table_prefix[说明],""),""))</f>
        <v>设备升级 - 描述</v>
      </c>
      <c r="C610" s="19" t="s">
        <v>25</v>
      </c>
      <c r="D610" s="26" t="s">
        <v>239</v>
      </c>
      <c r="E610" s="15" t="s">
        <v>999</v>
      </c>
      <c r="F610" s="15" t="s">
        <v>1000</v>
      </c>
      <c r="G610" s="15" t="s">
        <v>1001</v>
      </c>
      <c r="H610" s="15" t="s">
        <v>1002</v>
      </c>
      <c r="I610" s="15" t="s">
        <v>1003</v>
      </c>
      <c r="J610" s="15" t="s">
        <v>1004</v>
      </c>
    </row>
    <row r="611" spans="1:10" x14ac:dyDescent="0.2">
      <c r="A611" s="13" t="s">
        <v>231</v>
      </c>
      <c r="B611" s="18" t="str" cm="1">
        <f t="array" ref="B611">_xlfn.TEXTJOIN(,1,IF(IFERROR(FIND(table_prefix[前缀],table_l10n!A611),FALSE),TEXT(table_prefix[说明],""),""))</f>
        <v>设备升级 - 描述</v>
      </c>
      <c r="C611" s="19" t="s">
        <v>25</v>
      </c>
      <c r="D611" s="26" t="s">
        <v>240</v>
      </c>
      <c r="E611" s="15" t="s">
        <v>1005</v>
      </c>
      <c r="F611" s="15" t="s">
        <v>1006</v>
      </c>
      <c r="G611" s="15" t="s">
        <v>1007</v>
      </c>
      <c r="H611" s="15" t="s">
        <v>1008</v>
      </c>
      <c r="I611" s="15" t="s">
        <v>1009</v>
      </c>
      <c r="J611" s="15" t="s">
        <v>1010</v>
      </c>
    </row>
    <row r="612" spans="1:10" x14ac:dyDescent="0.2">
      <c r="A612" s="13" t="s">
        <v>232</v>
      </c>
      <c r="B612" s="18" t="str" cm="1">
        <f t="array" ref="B612">_xlfn.TEXTJOIN(,1,IF(IFERROR(FIND(table_prefix[前缀],table_l10n!A612),FALSE),TEXT(table_prefix[说明],""),""))</f>
        <v>设备升级 - 描述</v>
      </c>
      <c r="C612" s="19" t="s">
        <v>25</v>
      </c>
      <c r="D612" s="26" t="s">
        <v>241</v>
      </c>
      <c r="E612" s="15" t="s">
        <v>1011</v>
      </c>
      <c r="F612" s="15" t="s">
        <v>1012</v>
      </c>
      <c r="G612" s="15" t="s">
        <v>1013</v>
      </c>
      <c r="H612" s="15" t="s">
        <v>1014</v>
      </c>
      <c r="I612" s="15" t="s">
        <v>1015</v>
      </c>
      <c r="J612" s="15" t="s">
        <v>1016</v>
      </c>
    </row>
    <row r="613" spans="1:10" x14ac:dyDescent="0.2">
      <c r="A613" s="13" t="s">
        <v>233</v>
      </c>
      <c r="B613" s="18" t="str" cm="1">
        <f t="array" ref="B613">_xlfn.TEXTJOIN(,1,IF(IFERROR(FIND(table_prefix[前缀],table_l10n!A613),FALSE),TEXT(table_prefix[说明],""),""))</f>
        <v>设备升级 - 描述</v>
      </c>
      <c r="C613" s="19" t="s">
        <v>25</v>
      </c>
      <c r="D613" s="26" t="s">
        <v>242</v>
      </c>
      <c r="E613" s="15" t="s">
        <v>1017</v>
      </c>
      <c r="F613" s="15" t="s">
        <v>1018</v>
      </c>
      <c r="G613" s="15" t="s">
        <v>1019</v>
      </c>
      <c r="H613" s="15" t="s">
        <v>1020</v>
      </c>
      <c r="I613" s="15" t="s">
        <v>1021</v>
      </c>
      <c r="J613" s="15" t="s">
        <v>1022</v>
      </c>
    </row>
    <row r="614" spans="1:10" x14ac:dyDescent="0.2">
      <c r="A614" s="13" t="s">
        <v>234</v>
      </c>
      <c r="B614" s="18" t="str" cm="1">
        <f t="array" ref="B614">_xlfn.TEXTJOIN(,1,IF(IFERROR(FIND(table_prefix[前缀],table_l10n!A614),FALSE),TEXT(table_prefix[说明],""),""))</f>
        <v>设备升级 - 描述</v>
      </c>
      <c r="C614" s="19" t="s">
        <v>25</v>
      </c>
      <c r="D614" s="26" t="s">
        <v>243</v>
      </c>
      <c r="E614" s="15" t="s">
        <v>1023</v>
      </c>
      <c r="F614" s="15" t="s">
        <v>1024</v>
      </c>
      <c r="G614" s="15" t="s">
        <v>1025</v>
      </c>
      <c r="H614" s="15" t="s">
        <v>1026</v>
      </c>
      <c r="I614" s="15" t="s">
        <v>1027</v>
      </c>
      <c r="J614" s="15" t="s">
        <v>1028</v>
      </c>
    </row>
    <row r="615" spans="1:10" x14ac:dyDescent="0.2">
      <c r="A615" s="13" t="s">
        <v>235</v>
      </c>
      <c r="B615" s="18" t="str" cm="1">
        <f t="array" ref="B615">_xlfn.TEXTJOIN(,1,IF(IFERROR(FIND(table_prefix[前缀],table_l10n!A615),FALSE),TEXT(table_prefix[说明],""),""))</f>
        <v>设备升级 - 描述</v>
      </c>
      <c r="C615" s="19" t="s">
        <v>25</v>
      </c>
      <c r="D615" s="26" t="s">
        <v>244</v>
      </c>
      <c r="E615" s="15" t="s">
        <v>1029</v>
      </c>
      <c r="F615" s="15" t="s">
        <v>1030</v>
      </c>
      <c r="G615" s="15" t="s">
        <v>1031</v>
      </c>
      <c r="H615" s="15" t="s">
        <v>1032</v>
      </c>
      <c r="I615" s="15" t="s">
        <v>1033</v>
      </c>
      <c r="J615" s="15" t="s">
        <v>1034</v>
      </c>
    </row>
    <row r="618" spans="1:10" s="22" customFormat="1" x14ac:dyDescent="0.2">
      <c r="A618" s="22" t="s">
        <v>1464</v>
      </c>
      <c r="B618" s="23" t="str" cm="1">
        <f t="array" ref="B618">_xlfn.TEXTJOIN(,1,IF(IFERROR(FIND(table_prefix[前缀],table_l10n!A618),FALSE),TEXT(table_prefix[说明],""),""))</f>
        <v>设备升级 - 设定</v>
      </c>
      <c r="C618" s="24" t="s">
        <v>1472</v>
      </c>
      <c r="D618" s="25" t="s">
        <v>1472</v>
      </c>
      <c r="E618" s="25" t="s">
        <v>1474</v>
      </c>
      <c r="F618" s="25" t="s">
        <v>1475</v>
      </c>
      <c r="G618" s="25" t="s">
        <v>1476</v>
      </c>
      <c r="H618" s="25" t="s">
        <v>1477</v>
      </c>
      <c r="I618" s="25" t="s">
        <v>1478</v>
      </c>
      <c r="J618" s="25" t="s">
        <v>1479</v>
      </c>
    </row>
    <row r="619" spans="1:10" s="22" customFormat="1" x14ac:dyDescent="0.2">
      <c r="A619" s="22" t="s">
        <v>1465</v>
      </c>
      <c r="B619" s="23" t="str" cm="1">
        <f t="array" ref="B619">_xlfn.TEXTJOIN(,1,IF(IFERROR(FIND(table_prefix[前缀],table_l10n!A619),FALSE),TEXT(table_prefix[说明],""),""))</f>
        <v>设备升级 - 设定</v>
      </c>
      <c r="C619" s="24" t="s">
        <v>1472</v>
      </c>
      <c r="D619" s="25" t="s">
        <v>1472</v>
      </c>
      <c r="E619" s="25" t="s">
        <v>1474</v>
      </c>
      <c r="F619" s="25" t="s">
        <v>1475</v>
      </c>
      <c r="G619" s="25" t="s">
        <v>1476</v>
      </c>
      <c r="H619" s="25" t="s">
        <v>1477</v>
      </c>
      <c r="I619" s="25" t="s">
        <v>1478</v>
      </c>
      <c r="J619" s="25" t="s">
        <v>1479</v>
      </c>
    </row>
    <row r="620" spans="1:10" s="22" customFormat="1" x14ac:dyDescent="0.2">
      <c r="A620" s="22" t="s">
        <v>1466</v>
      </c>
      <c r="B620" s="23" t="str" cm="1">
        <f t="array" ref="B620">_xlfn.TEXTJOIN(,1,IF(IFERROR(FIND(table_prefix[前缀],table_l10n!A620),FALSE),TEXT(table_prefix[说明],""),""))</f>
        <v>设备升级 - 设定</v>
      </c>
      <c r="C620" s="24" t="s">
        <v>1472</v>
      </c>
      <c r="D620" s="25" t="s">
        <v>1472</v>
      </c>
      <c r="E620" s="25" t="s">
        <v>1474</v>
      </c>
      <c r="F620" s="25" t="s">
        <v>1475</v>
      </c>
      <c r="G620" s="25" t="s">
        <v>1476</v>
      </c>
      <c r="H620" s="25" t="s">
        <v>1477</v>
      </c>
      <c r="I620" s="25" t="s">
        <v>1478</v>
      </c>
      <c r="J620" s="25" t="s">
        <v>1479</v>
      </c>
    </row>
    <row r="621" spans="1:10" s="22" customFormat="1" x14ac:dyDescent="0.2">
      <c r="A621" s="22" t="s">
        <v>1467</v>
      </c>
      <c r="B621" s="23" t="str" cm="1">
        <f t="array" ref="B621">_xlfn.TEXTJOIN(,1,IF(IFERROR(FIND(table_prefix[前缀],table_l10n!A621),FALSE),TEXT(table_prefix[说明],""),""))</f>
        <v>设备升级 - 设定</v>
      </c>
      <c r="C621" s="24" t="s">
        <v>1472</v>
      </c>
      <c r="D621" s="25" t="s">
        <v>1472</v>
      </c>
      <c r="E621" s="25" t="s">
        <v>1474</v>
      </c>
      <c r="F621" s="25" t="s">
        <v>1475</v>
      </c>
      <c r="G621" s="25" t="s">
        <v>1476</v>
      </c>
      <c r="H621" s="25" t="s">
        <v>1477</v>
      </c>
      <c r="I621" s="25" t="s">
        <v>1478</v>
      </c>
      <c r="J621" s="25" t="s">
        <v>1479</v>
      </c>
    </row>
    <row r="622" spans="1:10" s="22" customFormat="1" x14ac:dyDescent="0.2">
      <c r="A622" s="22" t="s">
        <v>1468</v>
      </c>
      <c r="B622" s="23" t="str" cm="1">
        <f t="array" ref="B622">_xlfn.TEXTJOIN(,1,IF(IFERROR(FIND(table_prefix[前缀],table_l10n!A622),FALSE),TEXT(table_prefix[说明],""),""))</f>
        <v>设备升级 - 设定</v>
      </c>
      <c r="C622" s="24" t="s">
        <v>1472</v>
      </c>
      <c r="D622" s="25" t="s">
        <v>1472</v>
      </c>
      <c r="E622" s="25" t="s">
        <v>1474</v>
      </c>
      <c r="F622" s="25" t="s">
        <v>1475</v>
      </c>
      <c r="G622" s="25" t="s">
        <v>1476</v>
      </c>
      <c r="H622" s="25" t="s">
        <v>1477</v>
      </c>
      <c r="I622" s="25" t="s">
        <v>1478</v>
      </c>
      <c r="J622" s="25" t="s">
        <v>1479</v>
      </c>
    </row>
    <row r="623" spans="1:10" s="22" customFormat="1" x14ac:dyDescent="0.2">
      <c r="A623" s="22" t="s">
        <v>1469</v>
      </c>
      <c r="B623" s="23" t="str" cm="1">
        <f t="array" ref="B623">_xlfn.TEXTJOIN(,1,IF(IFERROR(FIND(table_prefix[前缀],table_l10n!A623),FALSE),TEXT(table_prefix[说明],""),""))</f>
        <v>设备升级 - 设定</v>
      </c>
      <c r="C623" s="24" t="s">
        <v>1472</v>
      </c>
      <c r="D623" s="25" t="s">
        <v>1472</v>
      </c>
      <c r="E623" s="25" t="s">
        <v>1474</v>
      </c>
      <c r="F623" s="25" t="s">
        <v>1475</v>
      </c>
      <c r="G623" s="25" t="s">
        <v>1476</v>
      </c>
      <c r="H623" s="25" t="s">
        <v>1477</v>
      </c>
      <c r="I623" s="25" t="s">
        <v>1478</v>
      </c>
      <c r="J623" s="25" t="s">
        <v>1479</v>
      </c>
    </row>
    <row r="624" spans="1:10" s="22" customFormat="1" x14ac:dyDescent="0.2">
      <c r="A624" s="22" t="s">
        <v>1470</v>
      </c>
      <c r="B624" s="23" t="str" cm="1">
        <f t="array" ref="B624">_xlfn.TEXTJOIN(,1,IF(IFERROR(FIND(table_prefix[前缀],table_l10n!A624),FALSE),TEXT(table_prefix[说明],""),""))</f>
        <v>设备升级 - 设定</v>
      </c>
      <c r="C624" s="24" t="s">
        <v>1472</v>
      </c>
      <c r="D624" s="25" t="s">
        <v>1472</v>
      </c>
      <c r="E624" s="25" t="s">
        <v>1474</v>
      </c>
      <c r="F624" s="25" t="s">
        <v>1475</v>
      </c>
      <c r="G624" s="25" t="s">
        <v>1476</v>
      </c>
      <c r="H624" s="25" t="s">
        <v>1477</v>
      </c>
      <c r="I624" s="25" t="s">
        <v>1478</v>
      </c>
      <c r="J624" s="25" t="s">
        <v>1479</v>
      </c>
    </row>
    <row r="625" spans="1:10" s="22" customFormat="1" x14ac:dyDescent="0.2">
      <c r="A625" s="22" t="s">
        <v>1471</v>
      </c>
      <c r="B625" s="23" t="str" cm="1">
        <f t="array" ref="B625">_xlfn.TEXTJOIN(,1,IF(IFERROR(FIND(table_prefix[前缀],table_l10n!A625),FALSE),TEXT(table_prefix[说明],""),""))</f>
        <v>设备升级 - 设定</v>
      </c>
      <c r="C625" s="24" t="s">
        <v>1472</v>
      </c>
      <c r="D625" s="25" t="s">
        <v>1472</v>
      </c>
      <c r="E625" s="25" t="s">
        <v>1474</v>
      </c>
      <c r="F625" s="25" t="s">
        <v>1475</v>
      </c>
      <c r="G625" s="25" t="s">
        <v>1476</v>
      </c>
      <c r="H625" s="25" t="s">
        <v>1477</v>
      </c>
      <c r="I625" s="25" t="s">
        <v>1478</v>
      </c>
      <c r="J625" s="25" t="s">
        <v>1479</v>
      </c>
    </row>
    <row r="628" spans="1:10" x14ac:dyDescent="0.2">
      <c r="A628" s="13" t="s">
        <v>2891</v>
      </c>
      <c r="B628" s="18" t="str" cm="1">
        <f t="array" ref="B628">_xlfn.TEXTJOIN(,1,IF(IFERROR(FIND(table_prefix[前缀],table_l10n!A628),FALSE),TEXT(table_prefix[说明],""),""))</f>
        <v>安全区</v>
      </c>
      <c r="C628" s="19" t="s">
        <v>2896</v>
      </c>
      <c r="D628" s="15" t="s">
        <v>2896</v>
      </c>
      <c r="E628" s="15" t="s">
        <v>2896</v>
      </c>
      <c r="F628" s="15" t="s">
        <v>2905</v>
      </c>
      <c r="G628" s="15" t="s">
        <v>2906</v>
      </c>
      <c r="H628" s="15" t="s">
        <v>2907</v>
      </c>
      <c r="I628" s="15" t="s">
        <v>2908</v>
      </c>
      <c r="J628" s="15" t="s">
        <v>2909</v>
      </c>
    </row>
    <row r="629" spans="1:10" x14ac:dyDescent="0.2">
      <c r="A629" s="13" t="s">
        <v>2892</v>
      </c>
      <c r="B629" s="18" t="str" cm="1">
        <f t="array" ref="B629">_xlfn.TEXTJOIN(,1,IF(IFERROR(FIND(table_prefix[前缀],table_l10n!A629),FALSE),TEXT(table_prefix[说明],""),""))</f>
        <v>安全区</v>
      </c>
      <c r="C629" s="19" t="s">
        <v>2899</v>
      </c>
      <c r="D629" s="15" t="s">
        <v>2898</v>
      </c>
      <c r="E629" s="15" t="s">
        <v>2910</v>
      </c>
      <c r="F629" s="15" t="s">
        <v>2911</v>
      </c>
      <c r="G629" s="15" t="s">
        <v>2912</v>
      </c>
      <c r="H629" s="15" t="s">
        <v>2913</v>
      </c>
      <c r="I629" s="15" t="s">
        <v>2914</v>
      </c>
      <c r="J629" s="15" t="s">
        <v>2915</v>
      </c>
    </row>
    <row r="630" spans="1:10" x14ac:dyDescent="0.2">
      <c r="A630" s="13" t="s">
        <v>2893</v>
      </c>
      <c r="B630" s="18" t="str" cm="1">
        <f t="array" ref="B630">_xlfn.TEXTJOIN(,1,IF(IFERROR(FIND(table_prefix[前缀],table_l10n!A630),FALSE),TEXT(table_prefix[说明],""),""))</f>
        <v>安全区</v>
      </c>
      <c r="C630" s="19" t="s">
        <v>2903</v>
      </c>
      <c r="D630" s="15" t="s">
        <v>2902</v>
      </c>
      <c r="E630" s="15" t="s">
        <v>2916</v>
      </c>
      <c r="F630" s="15" t="s">
        <v>2917</v>
      </c>
      <c r="G630" s="15" t="s">
        <v>2918</v>
      </c>
      <c r="H630" s="15" t="s">
        <v>2919</v>
      </c>
      <c r="I630" s="15" t="s">
        <v>2920</v>
      </c>
      <c r="J630" s="15" t="s">
        <v>2921</v>
      </c>
    </row>
    <row r="631" spans="1:10" x14ac:dyDescent="0.2">
      <c r="A631" s="13" t="s">
        <v>2894</v>
      </c>
      <c r="B631" s="18" t="str" cm="1">
        <f t="array" ref="B631">_xlfn.TEXTJOIN(,1,IF(IFERROR(FIND(table_prefix[前缀],table_l10n!A631),FALSE),TEXT(table_prefix[说明],""),""))</f>
        <v>安全区</v>
      </c>
      <c r="C631" s="19" t="s">
        <v>2901</v>
      </c>
      <c r="D631" s="15" t="s">
        <v>2900</v>
      </c>
      <c r="E631" s="15" t="s">
        <v>2922</v>
      </c>
      <c r="F631" s="15" t="s">
        <v>2923</v>
      </c>
      <c r="G631" s="15" t="s">
        <v>2924</v>
      </c>
      <c r="H631" s="15" t="s">
        <v>2925</v>
      </c>
      <c r="I631" s="15" t="s">
        <v>2926</v>
      </c>
      <c r="J631" s="15" t="s">
        <v>2927</v>
      </c>
    </row>
    <row r="632" spans="1:10" x14ac:dyDescent="0.2">
      <c r="A632" s="13" t="s">
        <v>2895</v>
      </c>
      <c r="B632" s="18" t="str" cm="1">
        <f t="array" ref="B632">_xlfn.TEXTJOIN(,1,IF(IFERROR(FIND(table_prefix[前缀],table_l10n!A632),FALSE),TEXT(table_prefix[说明],""),""))</f>
        <v>安全区</v>
      </c>
      <c r="C632" s="19" t="s">
        <v>2904</v>
      </c>
      <c r="D632" s="15" t="s">
        <v>2897</v>
      </c>
      <c r="E632" s="15" t="s">
        <v>2928</v>
      </c>
      <c r="F632" s="15" t="s">
        <v>2929</v>
      </c>
      <c r="G632" s="15" t="s">
        <v>2930</v>
      </c>
      <c r="H632" s="15" t="s">
        <v>2931</v>
      </c>
      <c r="I632" s="15" t="s">
        <v>2932</v>
      </c>
      <c r="J632" s="15" t="s">
        <v>2933</v>
      </c>
    </row>
    <row r="635" spans="1:10" x14ac:dyDescent="0.2">
      <c r="A635" s="13" t="s">
        <v>3445</v>
      </c>
      <c r="B635" s="18" t="str" cm="1">
        <f t="array" ref="B635">_xlfn.TEXTJOIN(,1,IF(IFERROR(FIND(table_prefix[前缀],table_l10n!A635),FALSE),TEXT(table_prefix[说明],""),""))</f>
        <v>科技 - 名称</v>
      </c>
      <c r="C635" s="19" t="s">
        <v>3453</v>
      </c>
      <c r="D635" s="15" t="s">
        <v>3453</v>
      </c>
      <c r="E635" s="15" t="s">
        <v>3461</v>
      </c>
      <c r="F635" s="15" t="s">
        <v>3462</v>
      </c>
      <c r="G635" s="15" t="s">
        <v>3463</v>
      </c>
      <c r="H635" s="15" t="s">
        <v>3464</v>
      </c>
      <c r="I635" s="15" t="s">
        <v>3465</v>
      </c>
      <c r="J635" s="15" t="s">
        <v>3466</v>
      </c>
    </row>
    <row r="636" spans="1:10" x14ac:dyDescent="0.2">
      <c r="A636" s="13" t="s">
        <v>3446</v>
      </c>
      <c r="B636" s="18" t="str" cm="1">
        <f t="array" ref="B636">_xlfn.TEXTJOIN(,1,IF(IFERROR(FIND(table_prefix[前缀],table_l10n!A636),FALSE),TEXT(table_prefix[说明],""),""))</f>
        <v>科技 - 名称</v>
      </c>
      <c r="C636" s="19" t="s">
        <v>3454</v>
      </c>
      <c r="D636" s="15" t="s">
        <v>3454</v>
      </c>
      <c r="E636" s="15" t="s">
        <v>3467</v>
      </c>
      <c r="F636" s="15" t="s">
        <v>3468</v>
      </c>
      <c r="G636" s="15" t="s">
        <v>3469</v>
      </c>
      <c r="H636" s="15" t="s">
        <v>3470</v>
      </c>
      <c r="I636" s="15" t="s">
        <v>3471</v>
      </c>
      <c r="J636" s="15" t="s">
        <v>3472</v>
      </c>
    </row>
    <row r="637" spans="1:10" x14ac:dyDescent="0.2">
      <c r="A637" s="13" t="s">
        <v>3447</v>
      </c>
      <c r="B637" s="18" t="str" cm="1">
        <f t="array" ref="B637">_xlfn.TEXTJOIN(,1,IF(IFERROR(FIND(table_prefix[前缀],table_l10n!A637),FALSE),TEXT(table_prefix[说明],""),""))</f>
        <v>科技 - 名称</v>
      </c>
      <c r="C637" s="19" t="s">
        <v>3455</v>
      </c>
      <c r="D637" s="15" t="s">
        <v>3455</v>
      </c>
      <c r="E637" s="15" t="s">
        <v>3473</v>
      </c>
      <c r="F637" s="15" t="s">
        <v>3474</v>
      </c>
      <c r="G637" s="15" t="s">
        <v>3475</v>
      </c>
      <c r="H637" s="15" t="s">
        <v>3476</v>
      </c>
      <c r="I637" s="15" t="s">
        <v>3477</v>
      </c>
      <c r="J637" s="15" t="s">
        <v>3478</v>
      </c>
    </row>
    <row r="638" spans="1:10" x14ac:dyDescent="0.2">
      <c r="A638" s="13" t="s">
        <v>3448</v>
      </c>
      <c r="B638" s="18" t="str" cm="1">
        <f t="array" ref="B638">_xlfn.TEXTJOIN(,1,IF(IFERROR(FIND(table_prefix[前缀],table_l10n!A638),FALSE),TEXT(table_prefix[说明],""),""))</f>
        <v>科技 - 名称</v>
      </c>
      <c r="C638" s="19" t="s">
        <v>3456</v>
      </c>
      <c r="D638" s="15" t="s">
        <v>3456</v>
      </c>
      <c r="E638" s="15" t="s">
        <v>3479</v>
      </c>
      <c r="F638" s="15" t="s">
        <v>3480</v>
      </c>
      <c r="G638" s="15" t="s">
        <v>3481</v>
      </c>
      <c r="H638" s="15" t="s">
        <v>3482</v>
      </c>
      <c r="I638" s="15" t="s">
        <v>3483</v>
      </c>
      <c r="J638" s="15" t="s">
        <v>3484</v>
      </c>
    </row>
    <row r="639" spans="1:10" x14ac:dyDescent="0.2">
      <c r="A639" s="13" t="s">
        <v>3449</v>
      </c>
      <c r="B639" s="18" t="str" cm="1">
        <f t="array" ref="B639">_xlfn.TEXTJOIN(,1,IF(IFERROR(FIND(table_prefix[前缀],table_l10n!A639),FALSE),TEXT(table_prefix[说明],""),""))</f>
        <v>科技 - 名称</v>
      </c>
      <c r="C639" s="19" t="s">
        <v>3457</v>
      </c>
      <c r="D639" s="15" t="s">
        <v>3457</v>
      </c>
      <c r="E639" s="15" t="s">
        <v>3485</v>
      </c>
      <c r="F639" s="15" t="s">
        <v>3486</v>
      </c>
      <c r="G639" s="15" t="s">
        <v>3487</v>
      </c>
      <c r="H639" s="15" t="s">
        <v>3488</v>
      </c>
      <c r="I639" s="15" t="s">
        <v>3489</v>
      </c>
      <c r="J639" s="15" t="s">
        <v>3490</v>
      </c>
    </row>
    <row r="640" spans="1:10" x14ac:dyDescent="0.2">
      <c r="A640" s="13" t="s">
        <v>3450</v>
      </c>
      <c r="B640" s="18" t="str" cm="1">
        <f t="array" ref="B640">_xlfn.TEXTJOIN(,1,IF(IFERROR(FIND(table_prefix[前缀],table_l10n!A640),FALSE),TEXT(table_prefix[说明],""),""))</f>
        <v>科技 - 名称</v>
      </c>
      <c r="C640" s="19" t="s">
        <v>3458</v>
      </c>
      <c r="D640" s="15" t="s">
        <v>3458</v>
      </c>
      <c r="E640" s="15" t="s">
        <v>3491</v>
      </c>
      <c r="F640" s="15" t="s">
        <v>3492</v>
      </c>
      <c r="G640" s="15" t="s">
        <v>3493</v>
      </c>
      <c r="H640" s="15" t="s">
        <v>3494</v>
      </c>
      <c r="I640" s="15" t="s">
        <v>3495</v>
      </c>
      <c r="J640" s="15" t="s">
        <v>3496</v>
      </c>
    </row>
    <row r="641" spans="1:10" x14ac:dyDescent="0.2">
      <c r="A641" s="13" t="s">
        <v>3451</v>
      </c>
      <c r="B641" s="18" t="str" cm="1">
        <f t="array" ref="B641">_xlfn.TEXTJOIN(,1,IF(IFERROR(FIND(table_prefix[前缀],table_l10n!A641),FALSE),TEXT(table_prefix[说明],""),""))</f>
        <v>科技 - 名称</v>
      </c>
      <c r="C641" s="19" t="s">
        <v>3459</v>
      </c>
      <c r="D641" s="15" t="s">
        <v>3459</v>
      </c>
      <c r="E641" s="15" t="s">
        <v>3497</v>
      </c>
      <c r="F641" s="15" t="s">
        <v>3498</v>
      </c>
      <c r="G641" s="15" t="s">
        <v>3499</v>
      </c>
      <c r="H641" s="15" t="s">
        <v>3500</v>
      </c>
      <c r="I641" s="15" t="s">
        <v>3501</v>
      </c>
      <c r="J641" s="15" t="s">
        <v>3502</v>
      </c>
    </row>
    <row r="642" spans="1:10" x14ac:dyDescent="0.2">
      <c r="A642" s="13" t="s">
        <v>3452</v>
      </c>
      <c r="B642" s="18" t="str" cm="1">
        <f t="array" ref="B642">_xlfn.TEXTJOIN(,1,IF(IFERROR(FIND(table_prefix[前缀],table_l10n!A642),FALSE),TEXT(table_prefix[说明],""),""))</f>
        <v>科技 - 名称</v>
      </c>
      <c r="C642" s="19" t="s">
        <v>3460</v>
      </c>
      <c r="D642" s="15" t="s">
        <v>3460</v>
      </c>
      <c r="E642" s="15" t="s">
        <v>3503</v>
      </c>
      <c r="F642" s="15" t="s">
        <v>3504</v>
      </c>
      <c r="G642" s="15" t="s">
        <v>3505</v>
      </c>
      <c r="H642" s="15" t="s">
        <v>3506</v>
      </c>
      <c r="I642" s="15" t="s">
        <v>3507</v>
      </c>
      <c r="J642" s="15" t="s">
        <v>3508</v>
      </c>
    </row>
    <row r="643" spans="1:10" x14ac:dyDescent="0.2">
      <c r="A643" s="13" t="s">
        <v>2971</v>
      </c>
      <c r="B643" s="18" t="str" cm="1">
        <f t="array" ref="B643">_xlfn.TEXTJOIN(,1,IF(IFERROR(FIND(table_prefix[前缀],table_l10n!A643),FALSE),TEXT(table_prefix[说明],""),""))</f>
        <v>科技 - 名称</v>
      </c>
      <c r="C643" s="19" t="s">
        <v>2981</v>
      </c>
      <c r="D643" s="15" t="s">
        <v>2981</v>
      </c>
      <c r="E643" s="15" t="s">
        <v>2991</v>
      </c>
      <c r="F643" s="15" t="s">
        <v>2992</v>
      </c>
      <c r="G643" s="15" t="s">
        <v>2993</v>
      </c>
      <c r="H643" s="15" t="s">
        <v>2994</v>
      </c>
      <c r="I643" s="15" t="s">
        <v>2992</v>
      </c>
      <c r="J643" s="15" t="s">
        <v>2995</v>
      </c>
    </row>
    <row r="644" spans="1:10" x14ac:dyDescent="0.2">
      <c r="A644" s="13" t="s">
        <v>2972</v>
      </c>
      <c r="B644" s="18" t="str" cm="1">
        <f t="array" ref="B644">_xlfn.TEXTJOIN(,1,IF(IFERROR(FIND(table_prefix[前缀],table_l10n!A644),FALSE),TEXT(table_prefix[说明],""),""))</f>
        <v>科技 - 名称</v>
      </c>
      <c r="C644" s="19" t="s">
        <v>2982</v>
      </c>
      <c r="D644" s="15" t="s">
        <v>2982</v>
      </c>
      <c r="E644" s="15" t="s">
        <v>2996</v>
      </c>
      <c r="F644" s="15" t="s">
        <v>2997</v>
      </c>
      <c r="G644" s="15" t="s">
        <v>2998</v>
      </c>
      <c r="H644" s="15" t="s">
        <v>2999</v>
      </c>
      <c r="I644" s="15" t="s">
        <v>2997</v>
      </c>
      <c r="J644" s="15" t="s">
        <v>3000</v>
      </c>
    </row>
    <row r="645" spans="1:10" x14ac:dyDescent="0.2">
      <c r="A645" s="13" t="s">
        <v>2973</v>
      </c>
      <c r="B645" s="18" t="str" cm="1">
        <f t="array" ref="B645">_xlfn.TEXTJOIN(,1,IF(IFERROR(FIND(table_prefix[前缀],table_l10n!A645),FALSE),TEXT(table_prefix[说明],""),""))</f>
        <v>科技 - 名称</v>
      </c>
      <c r="C645" s="19" t="s">
        <v>2983</v>
      </c>
      <c r="D645" s="15" t="s">
        <v>2983</v>
      </c>
      <c r="E645" s="15" t="s">
        <v>3001</v>
      </c>
      <c r="F645" s="15" t="s">
        <v>3002</v>
      </c>
      <c r="G645" s="15" t="s">
        <v>3003</v>
      </c>
      <c r="H645" s="15" t="s">
        <v>3004</v>
      </c>
      <c r="I645" s="15" t="s">
        <v>3002</v>
      </c>
      <c r="J645" s="15" t="s">
        <v>3005</v>
      </c>
    </row>
    <row r="646" spans="1:10" x14ac:dyDescent="0.2">
      <c r="A646" s="13" t="s">
        <v>2974</v>
      </c>
      <c r="B646" s="18" t="str" cm="1">
        <f t="array" ref="B646">_xlfn.TEXTJOIN(,1,IF(IFERROR(FIND(table_prefix[前缀],table_l10n!A646),FALSE),TEXT(table_prefix[说明],""),""))</f>
        <v>科技 - 名称</v>
      </c>
      <c r="C646" s="19" t="s">
        <v>2984</v>
      </c>
      <c r="D646" s="15" t="s">
        <v>2984</v>
      </c>
      <c r="E646" s="15" t="s">
        <v>3006</v>
      </c>
      <c r="F646" s="15" t="s">
        <v>3007</v>
      </c>
      <c r="G646" s="15" t="s">
        <v>3008</v>
      </c>
      <c r="H646" s="15" t="s">
        <v>3009</v>
      </c>
      <c r="I646" s="15" t="s">
        <v>3010</v>
      </c>
      <c r="J646" s="15" t="s">
        <v>3011</v>
      </c>
    </row>
    <row r="647" spans="1:10" x14ac:dyDescent="0.2">
      <c r="A647" s="13" t="s">
        <v>2975</v>
      </c>
      <c r="B647" s="18" t="str" cm="1">
        <f t="array" ref="B647">_xlfn.TEXTJOIN(,1,IF(IFERROR(FIND(table_prefix[前缀],table_l10n!A647),FALSE),TEXT(table_prefix[说明],""),""))</f>
        <v>科技 - 名称</v>
      </c>
      <c r="C647" s="19" t="s">
        <v>2985</v>
      </c>
      <c r="D647" s="15" t="s">
        <v>2985</v>
      </c>
      <c r="E647" s="15" t="s">
        <v>3012</v>
      </c>
      <c r="F647" s="15" t="s">
        <v>3013</v>
      </c>
      <c r="G647" s="15" t="s">
        <v>3014</v>
      </c>
      <c r="H647" s="15" t="s">
        <v>3015</v>
      </c>
      <c r="I647" s="15" t="s">
        <v>3016</v>
      </c>
      <c r="J647" s="15" t="s">
        <v>3017</v>
      </c>
    </row>
    <row r="648" spans="1:10" x14ac:dyDescent="0.2">
      <c r="A648" s="13" t="s">
        <v>2976</v>
      </c>
      <c r="B648" s="18" t="str" cm="1">
        <f t="array" ref="B648">_xlfn.TEXTJOIN(,1,IF(IFERROR(FIND(table_prefix[前缀],table_l10n!A648),FALSE),TEXT(table_prefix[说明],""),""))</f>
        <v>科技 - 名称</v>
      </c>
      <c r="C648" s="19" t="s">
        <v>2986</v>
      </c>
      <c r="D648" s="15" t="s">
        <v>2986</v>
      </c>
      <c r="E648" s="15" t="s">
        <v>3018</v>
      </c>
      <c r="F648" s="15" t="s">
        <v>3019</v>
      </c>
      <c r="G648" s="15" t="s">
        <v>3020</v>
      </c>
      <c r="H648" s="15" t="s">
        <v>3021</v>
      </c>
      <c r="I648" s="15" t="s">
        <v>3022</v>
      </c>
      <c r="J648" s="15" t="s">
        <v>3023</v>
      </c>
    </row>
    <row r="649" spans="1:10" x14ac:dyDescent="0.2">
      <c r="A649" s="13" t="s">
        <v>2977</v>
      </c>
      <c r="B649" s="18" t="str" cm="1">
        <f t="array" ref="B649">_xlfn.TEXTJOIN(,1,IF(IFERROR(FIND(table_prefix[前缀],table_l10n!A649),FALSE),TEXT(table_prefix[说明],""),""))</f>
        <v>科技 - 名称</v>
      </c>
      <c r="C649" s="19" t="s">
        <v>2987</v>
      </c>
      <c r="D649" s="15" t="s">
        <v>2987</v>
      </c>
      <c r="E649" s="15" t="s">
        <v>3024</v>
      </c>
      <c r="F649" s="15" t="s">
        <v>3025</v>
      </c>
      <c r="G649" s="15" t="s">
        <v>3026</v>
      </c>
      <c r="H649" s="15" t="s">
        <v>3027</v>
      </c>
      <c r="I649" s="15" t="s">
        <v>3028</v>
      </c>
      <c r="J649" s="15" t="s">
        <v>3029</v>
      </c>
    </row>
    <row r="650" spans="1:10" x14ac:dyDescent="0.2">
      <c r="A650" s="13" t="s">
        <v>2978</v>
      </c>
      <c r="B650" s="18" t="str" cm="1">
        <f t="array" ref="B650">_xlfn.TEXTJOIN(,1,IF(IFERROR(FIND(table_prefix[前缀],table_l10n!A650),FALSE),TEXT(table_prefix[说明],""),""))</f>
        <v>科技 - 名称</v>
      </c>
      <c r="C650" s="19" t="s">
        <v>2988</v>
      </c>
      <c r="D650" s="15" t="s">
        <v>2988</v>
      </c>
      <c r="E650" s="15" t="s">
        <v>3030</v>
      </c>
      <c r="F650" s="15" t="s">
        <v>3031</v>
      </c>
      <c r="G650" s="15" t="s">
        <v>3032</v>
      </c>
      <c r="H650" s="15" t="s">
        <v>3033</v>
      </c>
      <c r="I650" s="15" t="s">
        <v>3034</v>
      </c>
      <c r="J650" s="15" t="s">
        <v>3035</v>
      </c>
    </row>
    <row r="651" spans="1:10" x14ac:dyDescent="0.2">
      <c r="A651" s="13" t="s">
        <v>2979</v>
      </c>
      <c r="B651" s="18" t="str" cm="1">
        <f t="array" ref="B651">_xlfn.TEXTJOIN(,1,IF(IFERROR(FIND(table_prefix[前缀],table_l10n!A651),FALSE),TEXT(table_prefix[说明],""),""))</f>
        <v>科技 - 名称</v>
      </c>
      <c r="C651" s="19" t="s">
        <v>2989</v>
      </c>
      <c r="D651" s="15" t="s">
        <v>2989</v>
      </c>
      <c r="E651" s="15" t="s">
        <v>3036</v>
      </c>
      <c r="F651" s="15" t="s">
        <v>3037</v>
      </c>
      <c r="G651" s="15" t="s">
        <v>3038</v>
      </c>
      <c r="H651" s="15" t="s">
        <v>3039</v>
      </c>
      <c r="I651" s="15" t="s">
        <v>3040</v>
      </c>
      <c r="J651" s="15" t="s">
        <v>3041</v>
      </c>
    </row>
    <row r="652" spans="1:10" x14ac:dyDescent="0.2">
      <c r="A652" s="13" t="s">
        <v>2980</v>
      </c>
      <c r="B652" s="18" t="str" cm="1">
        <f t="array" ref="B652">_xlfn.TEXTJOIN(,1,IF(IFERROR(FIND(table_prefix[前缀],table_l10n!A652),FALSE),TEXT(table_prefix[说明],""),""))</f>
        <v>科技 - 名称</v>
      </c>
      <c r="C652" s="19" t="s">
        <v>2990</v>
      </c>
      <c r="D652" s="15" t="s">
        <v>2990</v>
      </c>
      <c r="E652" s="20" t="str">
        <f t="shared" ref="E652" si="24">_xlfn.TRANSLATE($D652,"zh-chs","zh-cht")</f>
        <v>貨艙擴容 5</v>
      </c>
      <c r="F652" s="20" t="str">
        <f t="shared" ref="F652" si="25">_xlfn.TRANSLATE($D652,"zh-chs","en")</f>
        <v>Cargo space expansion 5</v>
      </c>
      <c r="G652" s="20" t="str">
        <f t="shared" ref="G652" si="26">_xlfn.TRANSLATE($D652,"zh-chs","es")</f>
        <v>Expansión del espacio de carga 5</v>
      </c>
      <c r="H652" s="20" t="str">
        <f t="shared" ref="H652" si="27">_xlfn.TRANSLATE($D652,"zh-chs","ja")</f>
        <v>カーゴスペース拡張5</v>
      </c>
      <c r="I652" s="20" t="str">
        <f t="shared" ref="I652" si="28">_xlfn.TRANSLATE($D652,"zh-chs","ru")</f>
        <v>Расширение грузового пространства 5</v>
      </c>
      <c r="J652" s="20" t="str">
        <f t="shared" ref="J652" si="29">_xlfn.TRANSLATE($D652,"zh-chs","ko")</f>
        <v>화물 공간 확장 5</v>
      </c>
    </row>
    <row r="656" spans="1:10" x14ac:dyDescent="0.2">
      <c r="A656" s="13" t="s">
        <v>3509</v>
      </c>
      <c r="B656" s="18" t="str" cm="1">
        <f t="array" ref="B656">_xlfn.TEXTJOIN(,1,IF(IFERROR(FIND(table_prefix[前缀],table_l10n!A656),FALSE),TEXT(table_prefix[说明],""),""))</f>
        <v>科技 - 描述</v>
      </c>
      <c r="D656" s="15" t="s">
        <v>3517</v>
      </c>
      <c r="E656" s="15" t="s">
        <v>3526</v>
      </c>
      <c r="F656" s="15" t="s">
        <v>3527</v>
      </c>
      <c r="G656" s="15" t="s">
        <v>3528</v>
      </c>
      <c r="H656" s="15" t="s">
        <v>3529</v>
      </c>
      <c r="I656" s="15" t="s">
        <v>3530</v>
      </c>
      <c r="J656" s="15" t="s">
        <v>3531</v>
      </c>
    </row>
    <row r="657" spans="1:10" x14ac:dyDescent="0.2">
      <c r="A657" s="13" t="s">
        <v>3510</v>
      </c>
      <c r="B657" s="18" t="str" cm="1">
        <f t="array" ref="B657">_xlfn.TEXTJOIN(,1,IF(IFERROR(FIND(table_prefix[前缀],table_l10n!A657),FALSE),TEXT(table_prefix[说明],""),""))</f>
        <v>科技 - 描述</v>
      </c>
      <c r="D657" s="15" t="s">
        <v>3518</v>
      </c>
      <c r="E657" s="15" t="s">
        <v>3532</v>
      </c>
      <c r="F657" s="15" t="s">
        <v>3533</v>
      </c>
      <c r="G657" s="15" t="s">
        <v>3534</v>
      </c>
      <c r="H657" s="15" t="s">
        <v>3535</v>
      </c>
      <c r="I657" s="15" t="s">
        <v>3536</v>
      </c>
      <c r="J657" s="15" t="s">
        <v>3537</v>
      </c>
    </row>
    <row r="658" spans="1:10" x14ac:dyDescent="0.2">
      <c r="A658" s="13" t="s">
        <v>3511</v>
      </c>
      <c r="B658" s="18" t="str" cm="1">
        <f t="array" ref="B658">_xlfn.TEXTJOIN(,1,IF(IFERROR(FIND(table_prefix[前缀],table_l10n!A658),FALSE),TEXT(table_prefix[说明],""),""))</f>
        <v>科技 - 描述</v>
      </c>
      <c r="D658" s="15" t="s">
        <v>3519</v>
      </c>
      <c r="E658" s="15" t="s">
        <v>3538</v>
      </c>
      <c r="F658" s="15" t="s">
        <v>3539</v>
      </c>
      <c r="G658" s="15" t="s">
        <v>3540</v>
      </c>
      <c r="H658" s="15" t="s">
        <v>3541</v>
      </c>
      <c r="I658" s="15" t="s">
        <v>3542</v>
      </c>
      <c r="J658" s="15" t="s">
        <v>3543</v>
      </c>
    </row>
    <row r="659" spans="1:10" x14ac:dyDescent="0.2">
      <c r="A659" s="13" t="s">
        <v>3512</v>
      </c>
      <c r="B659" s="18" t="str" cm="1">
        <f t="array" ref="B659">_xlfn.TEXTJOIN(,1,IF(IFERROR(FIND(table_prefix[前缀],table_l10n!A659),FALSE),TEXT(table_prefix[说明],""),""))</f>
        <v>科技 - 描述</v>
      </c>
      <c r="D659" s="15" t="s">
        <v>3520</v>
      </c>
      <c r="E659" s="15" t="s">
        <v>3544</v>
      </c>
      <c r="F659" s="15" t="s">
        <v>3545</v>
      </c>
      <c r="G659" s="15" t="s">
        <v>3546</v>
      </c>
      <c r="H659" s="15" t="s">
        <v>3547</v>
      </c>
      <c r="I659" s="15" t="s">
        <v>3548</v>
      </c>
      <c r="J659" s="15" t="s">
        <v>3549</v>
      </c>
    </row>
    <row r="660" spans="1:10" x14ac:dyDescent="0.2">
      <c r="A660" s="13" t="s">
        <v>3513</v>
      </c>
      <c r="B660" s="18" t="str" cm="1">
        <f t="array" ref="B660">_xlfn.TEXTJOIN(,1,IF(IFERROR(FIND(table_prefix[前缀],table_l10n!A660),FALSE),TEXT(table_prefix[说明],""),""))</f>
        <v>科技 - 描述</v>
      </c>
      <c r="D660" s="15" t="s">
        <v>3521</v>
      </c>
      <c r="E660" s="15" t="s">
        <v>3550</v>
      </c>
      <c r="F660" s="15" t="s">
        <v>3551</v>
      </c>
      <c r="G660" s="15" t="s">
        <v>3552</v>
      </c>
      <c r="H660" s="15" t="s">
        <v>3553</v>
      </c>
      <c r="I660" s="15" t="s">
        <v>3554</v>
      </c>
      <c r="J660" s="15" t="s">
        <v>3555</v>
      </c>
    </row>
    <row r="661" spans="1:10" x14ac:dyDescent="0.2">
      <c r="A661" s="13" t="s">
        <v>3514</v>
      </c>
      <c r="B661" s="18" t="str" cm="1">
        <f t="array" ref="B661">_xlfn.TEXTJOIN(,1,IF(IFERROR(FIND(table_prefix[前缀],table_l10n!A661),FALSE),TEXT(table_prefix[说明],""),""))</f>
        <v>科技 - 描述</v>
      </c>
      <c r="D661" s="15" t="s">
        <v>3522</v>
      </c>
      <c r="E661" s="15" t="s">
        <v>3556</v>
      </c>
      <c r="F661" s="15" t="s">
        <v>3557</v>
      </c>
      <c r="G661" s="15" t="s">
        <v>3558</v>
      </c>
      <c r="H661" s="15" t="s">
        <v>3559</v>
      </c>
      <c r="I661" s="15" t="s">
        <v>3560</v>
      </c>
      <c r="J661" s="15" t="s">
        <v>3561</v>
      </c>
    </row>
    <row r="662" spans="1:10" x14ac:dyDescent="0.2">
      <c r="A662" s="13" t="s">
        <v>3515</v>
      </c>
      <c r="B662" s="18" t="str" cm="1">
        <f t="array" ref="B662">_xlfn.TEXTJOIN(,1,IF(IFERROR(FIND(table_prefix[前缀],table_l10n!A662),FALSE),TEXT(table_prefix[说明],""),""))</f>
        <v>科技 - 描述</v>
      </c>
      <c r="D662" s="15" t="s">
        <v>3523</v>
      </c>
      <c r="E662" s="15" t="s">
        <v>3562</v>
      </c>
      <c r="F662" s="15" t="s">
        <v>3563</v>
      </c>
      <c r="G662" s="15" t="s">
        <v>3564</v>
      </c>
      <c r="H662" s="15" t="s">
        <v>3565</v>
      </c>
      <c r="I662" s="15" t="s">
        <v>3566</v>
      </c>
      <c r="J662" s="15" t="s">
        <v>3567</v>
      </c>
    </row>
    <row r="663" spans="1:10" x14ac:dyDescent="0.2">
      <c r="A663" s="13" t="s">
        <v>3516</v>
      </c>
      <c r="B663" s="18" t="str" cm="1">
        <f t="array" ref="B663">_xlfn.TEXTJOIN(,1,IF(IFERROR(FIND(table_prefix[前缀],table_l10n!A663),FALSE),TEXT(table_prefix[说明],""),""))</f>
        <v>科技 - 描述</v>
      </c>
      <c r="D663" s="15" t="s">
        <v>3524</v>
      </c>
      <c r="E663" s="15" t="s">
        <v>3568</v>
      </c>
      <c r="F663" s="15" t="s">
        <v>3569</v>
      </c>
      <c r="G663" s="15" t="s">
        <v>3570</v>
      </c>
      <c r="H663" s="15" t="s">
        <v>3571</v>
      </c>
      <c r="I663" s="15" t="s">
        <v>3572</v>
      </c>
      <c r="J663" s="15" t="s">
        <v>3573</v>
      </c>
    </row>
    <row r="664" spans="1:10" x14ac:dyDescent="0.2">
      <c r="E664" s="15" t="s">
        <v>314</v>
      </c>
      <c r="F664" s="15" t="s">
        <v>314</v>
      </c>
      <c r="G664" s="15" t="s">
        <v>314</v>
      </c>
      <c r="H664" s="15" t="s">
        <v>314</v>
      </c>
      <c r="I664" s="15" t="s">
        <v>314</v>
      </c>
      <c r="J664" s="15" t="s">
        <v>314</v>
      </c>
    </row>
    <row r="665" spans="1:10" x14ac:dyDescent="0.2">
      <c r="A665" s="13" t="s">
        <v>3043</v>
      </c>
      <c r="B665" s="18" t="str" cm="1">
        <f t="array" ref="B665">_xlfn.TEXTJOIN(,1,IF(IFERROR(FIND(table_prefix[前缀],table_l10n!A665),FALSE),TEXT(table_prefix[说明],""),""))</f>
        <v>科技 - 描述</v>
      </c>
      <c r="C665" s="19" t="s">
        <v>3045</v>
      </c>
      <c r="D665" s="15" t="s">
        <v>3045</v>
      </c>
      <c r="E665" s="15" t="s">
        <v>3046</v>
      </c>
      <c r="F665" s="15" t="s">
        <v>3047</v>
      </c>
      <c r="G665" s="15" t="s">
        <v>3048</v>
      </c>
      <c r="H665" s="15" t="s">
        <v>3049</v>
      </c>
      <c r="I665" s="15" t="s">
        <v>3050</v>
      </c>
      <c r="J665" s="15" t="s">
        <v>3051</v>
      </c>
    </row>
    <row r="666" spans="1:10" x14ac:dyDescent="0.2">
      <c r="A666" s="13" t="s">
        <v>3042</v>
      </c>
      <c r="B666" s="18" t="str" cm="1">
        <f t="array" ref="B666">_xlfn.TEXTJOIN(,1,IF(IFERROR(FIND(table_prefix[前缀],table_l10n!A666),FALSE),TEXT(table_prefix[说明],""),""))</f>
        <v>科技 - 描述</v>
      </c>
      <c r="C666" s="19" t="s">
        <v>3044</v>
      </c>
      <c r="D666" s="15" t="s">
        <v>3525</v>
      </c>
      <c r="E666" s="15" t="s">
        <v>3574</v>
      </c>
      <c r="F666" s="15" t="s">
        <v>3575</v>
      </c>
      <c r="G666" s="15" t="s">
        <v>3576</v>
      </c>
      <c r="H666" s="15" t="s">
        <v>3577</v>
      </c>
      <c r="I666" s="15" t="s">
        <v>3578</v>
      </c>
      <c r="J666" s="15" t="s">
        <v>3579</v>
      </c>
    </row>
  </sheetData>
  <sortState xmlns:xlrd2="http://schemas.microsoft.com/office/spreadsheetml/2017/richdata2" ref="A22:F24">
    <sortCondition ref="A22:A24"/>
  </sortState>
  <phoneticPr fontId="8" type="noConversion"/>
  <conditionalFormatting sqref="A1:A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AAC1-8AC5-4A3C-A848-8EC939057678}">
  <dimension ref="A1:K23"/>
  <sheetViews>
    <sheetView workbookViewId="0">
      <selection activeCell="K33" sqref="K33"/>
    </sheetView>
  </sheetViews>
  <sheetFormatPr defaultRowHeight="14.25" x14ac:dyDescent="0.2"/>
  <cols>
    <col min="1" max="1" width="14.375" style="13" bestFit="1" customWidth="1"/>
    <col min="2" max="2" width="15.25" style="13" bestFit="1" customWidth="1"/>
    <col min="3" max="3" width="9" style="15"/>
    <col min="4" max="16384" width="9" style="13"/>
  </cols>
  <sheetData>
    <row r="1" spans="1:11" x14ac:dyDescent="0.2">
      <c r="A1" s="11" t="s">
        <v>106</v>
      </c>
      <c r="B1" s="11" t="s">
        <v>107</v>
      </c>
      <c r="C1" s="12" t="s">
        <v>1079</v>
      </c>
    </row>
    <row r="2" spans="1:11" x14ac:dyDescent="0.2">
      <c r="A2" s="14" t="s">
        <v>113</v>
      </c>
      <c r="B2" s="14" t="s">
        <v>11</v>
      </c>
      <c r="C2" s="15">
        <v>10</v>
      </c>
    </row>
    <row r="3" spans="1:11" x14ac:dyDescent="0.2">
      <c r="A3" s="14" t="s">
        <v>114</v>
      </c>
      <c r="B3" s="14" t="s">
        <v>115</v>
      </c>
      <c r="C3" s="16" t="s">
        <v>1081</v>
      </c>
    </row>
    <row r="4" spans="1:11" x14ac:dyDescent="0.2">
      <c r="A4" s="14" t="s">
        <v>1299</v>
      </c>
      <c r="B4" s="14" t="s">
        <v>1298</v>
      </c>
      <c r="C4" s="16" t="s">
        <v>1300</v>
      </c>
    </row>
    <row r="5" spans="1:11" x14ac:dyDescent="0.2">
      <c r="A5" s="14" t="s">
        <v>1088</v>
      </c>
      <c r="B5" s="14" t="s">
        <v>1089</v>
      </c>
      <c r="C5" s="16">
        <v>14</v>
      </c>
    </row>
    <row r="6" spans="1:11" x14ac:dyDescent="0.2">
      <c r="A6" s="14" t="s">
        <v>1082</v>
      </c>
      <c r="B6" s="14" t="s">
        <v>1083</v>
      </c>
      <c r="C6" s="15">
        <v>15</v>
      </c>
      <c r="K6" s="14"/>
    </row>
    <row r="7" spans="1:11" x14ac:dyDescent="0.2">
      <c r="A7" s="14" t="s">
        <v>1084</v>
      </c>
      <c r="B7" s="14" t="s">
        <v>1085</v>
      </c>
      <c r="C7" s="15">
        <v>16</v>
      </c>
      <c r="H7" s="14"/>
    </row>
    <row r="8" spans="1:11" x14ac:dyDescent="0.2">
      <c r="A8" s="14" t="s">
        <v>1086</v>
      </c>
      <c r="B8" s="14" t="s">
        <v>1087</v>
      </c>
      <c r="C8" s="15">
        <v>16</v>
      </c>
    </row>
    <row r="9" spans="1:11" x14ac:dyDescent="0.2">
      <c r="A9" s="14" t="s">
        <v>315</v>
      </c>
      <c r="B9" s="14" t="s">
        <v>316</v>
      </c>
      <c r="C9" s="15">
        <v>30</v>
      </c>
    </row>
    <row r="10" spans="1:11" x14ac:dyDescent="0.2">
      <c r="A10" s="14" t="s">
        <v>1035</v>
      </c>
      <c r="B10" s="14" t="s">
        <v>1036</v>
      </c>
      <c r="C10" s="15">
        <v>30</v>
      </c>
    </row>
    <row r="11" spans="1:11" x14ac:dyDescent="0.2">
      <c r="A11" s="14" t="s">
        <v>112</v>
      </c>
      <c r="B11" s="14" t="s">
        <v>83</v>
      </c>
      <c r="C11" s="15">
        <v>40</v>
      </c>
      <c r="H11" s="14"/>
    </row>
    <row r="12" spans="1:11" x14ac:dyDescent="0.2">
      <c r="A12" s="14" t="s">
        <v>2590</v>
      </c>
      <c r="B12" s="14" t="s">
        <v>2589</v>
      </c>
      <c r="C12" s="15">
        <v>42</v>
      </c>
    </row>
    <row r="13" spans="1:11" x14ac:dyDescent="0.2">
      <c r="A13" s="14" t="s">
        <v>2326</v>
      </c>
      <c r="B13" s="14" t="s">
        <v>2328</v>
      </c>
      <c r="C13" s="15">
        <v>46</v>
      </c>
    </row>
    <row r="14" spans="1:11" x14ac:dyDescent="0.2">
      <c r="A14" s="14" t="s">
        <v>2327</v>
      </c>
      <c r="B14" s="14" t="s">
        <v>2329</v>
      </c>
      <c r="C14" s="15">
        <v>46</v>
      </c>
    </row>
    <row r="15" spans="1:11" x14ac:dyDescent="0.2">
      <c r="A15" s="14" t="s">
        <v>108</v>
      </c>
      <c r="B15" s="13" t="s">
        <v>111</v>
      </c>
      <c r="C15" s="15">
        <v>60</v>
      </c>
    </row>
    <row r="16" spans="1:11" x14ac:dyDescent="0.2">
      <c r="A16" s="14" t="s">
        <v>2766</v>
      </c>
      <c r="B16" s="14" t="s">
        <v>2767</v>
      </c>
      <c r="C16" s="15">
        <v>60</v>
      </c>
    </row>
    <row r="17" spans="1:3" x14ac:dyDescent="0.2">
      <c r="A17" s="14" t="s">
        <v>2226</v>
      </c>
      <c r="B17" s="14" t="s">
        <v>2225</v>
      </c>
      <c r="C17" s="15">
        <v>61</v>
      </c>
    </row>
    <row r="18" spans="1:3" x14ac:dyDescent="0.2">
      <c r="A18" s="14" t="s">
        <v>109</v>
      </c>
      <c r="B18" s="14" t="s">
        <v>110</v>
      </c>
      <c r="C18" s="16" t="s">
        <v>1080</v>
      </c>
    </row>
    <row r="19" spans="1:3" x14ac:dyDescent="0.2">
      <c r="A19" s="14" t="s">
        <v>139</v>
      </c>
      <c r="B19" s="14" t="s">
        <v>140</v>
      </c>
      <c r="C19" s="16" t="s">
        <v>1080</v>
      </c>
    </row>
    <row r="20" spans="1:3" x14ac:dyDescent="0.2">
      <c r="A20" s="14" t="s">
        <v>1463</v>
      </c>
      <c r="B20" s="14" t="s">
        <v>1473</v>
      </c>
      <c r="C20" s="16" t="s">
        <v>1080</v>
      </c>
    </row>
    <row r="21" spans="1:3" x14ac:dyDescent="0.2">
      <c r="A21" s="14" t="s">
        <v>2889</v>
      </c>
      <c r="B21" s="14" t="s">
        <v>2890</v>
      </c>
      <c r="C21" s="16" t="s">
        <v>1300</v>
      </c>
    </row>
    <row r="22" spans="1:3" x14ac:dyDescent="0.2">
      <c r="A22" s="14" t="s">
        <v>2967</v>
      </c>
      <c r="B22" s="14" t="s">
        <v>2969</v>
      </c>
      <c r="C22" s="15">
        <v>65</v>
      </c>
    </row>
    <row r="23" spans="1:3" x14ac:dyDescent="0.2">
      <c r="A23" s="14" t="s">
        <v>2968</v>
      </c>
      <c r="B23" s="14" t="s">
        <v>2970</v>
      </c>
      <c r="C23" s="15">
        <v>65</v>
      </c>
    </row>
  </sheetData>
  <phoneticPr fontId="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table_l10n</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Wenda Wang</cp:lastModifiedBy>
  <dcterms:created xsi:type="dcterms:W3CDTF">2015-06-05T18:19:00Z</dcterms:created>
  <dcterms:modified xsi:type="dcterms:W3CDTF">2026-01-08T10:57:45Z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3C74A27F2FB748ED9AFFF5EE5A04D3FA</vt:lpwstr>
  </property>
  <property fmtid="{D5CDD505-2E9C-101B-9397-08002B2CF9AE}" pid="3" name="KSOProductBuildVer">
    <vt:lpwstr>2052-12.1.0.19770</vt:lpwstr>
  </property>
</Properties>
</file>