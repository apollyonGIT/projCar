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GitRepository\GitLab\yh-unityproject\Assets\Tables\"/>
    </mc:Choice>
  </mc:AlternateContent>
  <xr:revisionPtr revIDLastSave="0" documentId="13_ncr:1_{48C3F436-1732-432F-8121-2B5D1A541C45}" xr6:coauthVersionLast="47" xr6:coauthVersionMax="47" xr10:uidLastSave="{00000000-0000-0000-0000-000000000000}"/>
  <bookViews>
    <workbookView xWindow="-38520" yWindow="-120" windowWidth="38640" windowHeight="21240" activeTab="2" xr2:uid="{00000000-000D-0000-FFFF-FFFF00000000}"/>
  </bookViews>
  <sheets>
    <sheet name="plot" sheetId="6" r:id="rId1"/>
    <sheet name="event_site" sheetId="4" r:id="rId2"/>
    <sheet name="-id 配置说明" sheetId="7" r:id="rId3"/>
  </sheets>
  <definedNames>
    <definedName name="locate">_xlfn.LAMBDA(_xlpm.col_relative,_xlpm.rows,"RC["&amp;_xlpm.col_relative&amp;"]:R["&amp;_xlpm.rows-1&amp;"]C["&amp;_xlpm.col_relative&amp;"]")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8" i="6" l="1"/>
  <c r="F68" i="6" s="1"/>
  <c r="H52" i="6"/>
  <c r="F52" i="6" s="1"/>
  <c r="H46" i="6"/>
  <c r="F46" i="6" s="1"/>
  <c r="H45" i="6"/>
  <c r="F45" i="6" s="1"/>
  <c r="H40" i="6"/>
  <c r="F40" i="6" s="1"/>
  <c r="H35" i="6" l="1"/>
  <c r="F35" i="6" s="1"/>
  <c r="H26" i="6"/>
  <c r="F26" i="6" s="1"/>
  <c r="H29" i="6"/>
  <c r="F29" i="6" s="1"/>
  <c r="H34" i="6"/>
  <c r="F34" i="6" s="1"/>
  <c r="H33" i="6"/>
  <c r="F33" i="6" s="1"/>
  <c r="H32" i="6"/>
  <c r="F32" i="6" s="1"/>
  <c r="H72" i="6"/>
  <c r="F72" i="6" s="1"/>
  <c r="H71" i="6"/>
  <c r="F71" i="6" s="1"/>
  <c r="H70" i="6"/>
  <c r="F70" i="6" s="1"/>
  <c r="H69" i="6"/>
  <c r="F69" i="6" s="1"/>
  <c r="H67" i="6"/>
  <c r="F67" i="6" s="1"/>
  <c r="H65" i="6"/>
  <c r="F65" i="6" s="1"/>
  <c r="H64" i="6"/>
  <c r="F64" i="6" s="1"/>
  <c r="H63" i="6"/>
  <c r="F63" i="6" s="1"/>
  <c r="H62" i="6"/>
  <c r="F62" i="6" s="1"/>
  <c r="H61" i="6"/>
  <c r="F61" i="6" s="1"/>
  <c r="H59" i="6"/>
  <c r="F59" i="6" s="1"/>
  <c r="H58" i="6"/>
  <c r="F58" i="6" s="1"/>
  <c r="H57" i="6"/>
  <c r="F57" i="6" s="1"/>
  <c r="H56" i="6"/>
  <c r="F56" i="6" s="1"/>
  <c r="H55" i="6"/>
  <c r="F55" i="6" s="1"/>
  <c r="H53" i="6"/>
  <c r="F53" i="6" s="1"/>
  <c r="H51" i="6"/>
  <c r="F51" i="6" s="1"/>
  <c r="H50" i="6"/>
  <c r="F50" i="6" s="1"/>
  <c r="H49" i="6"/>
  <c r="F49" i="6" s="1"/>
  <c r="H48" i="6"/>
  <c r="F48" i="6" s="1"/>
  <c r="R7" i="4" a="1"/>
  <c r="R7" i="4" s="1"/>
  <c r="R6" i="4" a="1"/>
  <c r="R6" i="4" s="1"/>
  <c r="R5" i="4" a="1"/>
  <c r="R5" i="4" s="1"/>
  <c r="I48" i="6" a="1"/>
  <c r="I67" i="6" a="1"/>
  <c r="I55" i="6" a="1"/>
  <c r="I61" i="6" a="1"/>
  <c r="I67" i="6" l="1"/>
  <c r="K67" i="6" s="1" a="1"/>
  <c r="K67" i="6" s="1"/>
  <c r="I61" i="6"/>
  <c r="K61" i="6" s="1" a="1"/>
  <c r="K61" i="6" s="1"/>
  <c r="I55" i="6"/>
  <c r="K55" i="6" s="1" a="1"/>
  <c r="K55" i="6" s="1"/>
  <c r="I48" i="6"/>
  <c r="K48" i="6" s="1" a="1"/>
  <c r="K48" i="6" s="1"/>
  <c r="H44" i="6"/>
  <c r="F44" i="6" s="1"/>
  <c r="H43" i="6"/>
  <c r="F43" i="6" s="1"/>
  <c r="H42" i="6"/>
  <c r="F42" i="6" s="1"/>
  <c r="H39" i="6"/>
  <c r="F39" i="6" s="1"/>
  <c r="H30" i="6"/>
  <c r="F30" i="6" s="1"/>
  <c r="I42" i="6" a="1"/>
  <c r="I42" i="6" l="1"/>
  <c r="K42" i="6" s="1" a="1"/>
  <c r="K42" i="6" s="1"/>
  <c r="K29" i="4" l="1"/>
  <c r="J29" i="4"/>
  <c r="K28" i="4"/>
  <c r="J28" i="4"/>
  <c r="K26" i="4"/>
  <c r="J26" i="4"/>
  <c r="K25" i="4"/>
  <c r="J25" i="4"/>
  <c r="K24" i="4"/>
  <c r="J24" i="4"/>
  <c r="K23" i="4"/>
  <c r="J23" i="4"/>
  <c r="K22" i="4"/>
  <c r="J22" i="4"/>
  <c r="K21" i="4"/>
  <c r="J21" i="4"/>
  <c r="K20" i="4"/>
  <c r="J20" i="4"/>
  <c r="K19" i="4"/>
  <c r="J19" i="4"/>
  <c r="K18" i="4"/>
  <c r="J18" i="4"/>
  <c r="K17" i="4"/>
  <c r="J17" i="4"/>
  <c r="K16" i="4"/>
  <c r="J16" i="4"/>
  <c r="K15" i="4"/>
  <c r="J15" i="4"/>
  <c r="K14" i="4"/>
  <c r="J14" i="4"/>
  <c r="K13" i="4"/>
  <c r="J13" i="4"/>
  <c r="K12" i="4"/>
  <c r="J12" i="4"/>
  <c r="K11" i="4"/>
  <c r="J11" i="4"/>
  <c r="K10" i="4"/>
  <c r="J10" i="4"/>
  <c r="K9" i="4"/>
  <c r="J9" i="4"/>
  <c r="K8" i="4"/>
  <c r="J8" i="4"/>
  <c r="K7" i="4"/>
  <c r="J7" i="4"/>
  <c r="K6" i="4"/>
  <c r="J6" i="4"/>
  <c r="K5" i="4"/>
  <c r="J5" i="4"/>
  <c r="H38" i="6"/>
  <c r="F38" i="6" s="1"/>
  <c r="H37" i="6"/>
  <c r="H28" i="6"/>
  <c r="F28" i="6" s="1"/>
  <c r="H25" i="6"/>
  <c r="F25" i="6" s="1"/>
  <c r="H20" i="6"/>
  <c r="F20" i="6" s="1"/>
  <c r="H19" i="6"/>
  <c r="F19" i="6" s="1"/>
  <c r="H18" i="6"/>
  <c r="F18" i="6" s="1"/>
  <c r="H17" i="6"/>
  <c r="F17" i="6" s="1"/>
  <c r="H16" i="6"/>
  <c r="F16" i="6" s="1"/>
  <c r="H15" i="6"/>
  <c r="F15" i="6" s="1"/>
  <c r="H14" i="6"/>
  <c r="F14" i="6" s="1"/>
  <c r="H12" i="6"/>
  <c r="F12" i="6" s="1"/>
  <c r="H11" i="6"/>
  <c r="F11" i="6" s="1"/>
  <c r="H10" i="6"/>
  <c r="F10" i="6" s="1"/>
  <c r="H9" i="6"/>
  <c r="F9" i="6" s="1"/>
  <c r="H8" i="6"/>
  <c r="F8" i="6" s="1"/>
  <c r="H6" i="6"/>
  <c r="F6" i="6" s="1"/>
  <c r="H5" i="6"/>
  <c r="F5" i="6" s="1"/>
  <c r="H4" i="6"/>
  <c r="F4" i="6" s="1"/>
  <c r="I28" i="6" a="1"/>
  <c r="I25" i="6" a="1"/>
  <c r="I4" i="6" a="1"/>
  <c r="I37" i="6" a="1"/>
  <c r="I14" i="6" a="1"/>
  <c r="I32" i="6" a="1"/>
  <c r="I8" i="6" a="1"/>
  <c r="I32" i="6" l="1"/>
  <c r="K32" i="6" s="1" a="1"/>
  <c r="K32" i="6" s="1"/>
  <c r="F37" i="6"/>
  <c r="I14" i="6"/>
  <c r="I4" i="6"/>
  <c r="I8" i="6"/>
  <c r="I28" i="6"/>
  <c r="K28" i="6" s="1" a="1"/>
  <c r="K28" i="6" s="1"/>
  <c r="I25" i="6"/>
  <c r="K25" i="6" s="1" a="1"/>
  <c r="K25" i="6" s="1"/>
  <c r="I37" i="6"/>
  <c r="K37" i="6" s="1" a="1"/>
  <c r="K37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<sst xmlns="http://schemas.openxmlformats.org/spreadsheetml/2006/main" count="259" uniqueCount="153">
  <si>
    <t>group_id</t>
  </si>
  <si>
    <t>site_order</t>
  </si>
  <si>
    <t>event_count</t>
  </si>
  <si>
    <t>ui_visible</t>
  </si>
  <si>
    <t>event_list</t>
  </si>
  <si>
    <t>event_interval</t>
  </si>
  <si>
    <t>uint key</t>
  </si>
  <si>
    <t>int</t>
  </si>
  <si>
    <t>bool</t>
  </si>
  <si>
    <t>uint[]</t>
  </si>
  <si>
    <t>(float,float)</t>
  </si>
  <si>
    <t>组id</t>
  </si>
  <si>
    <r>
      <rPr>
        <b/>
        <sz val="11"/>
        <color theme="1"/>
        <rFont val="等线"/>
        <family val="3"/>
        <charset val="134"/>
        <scheme val="minor"/>
      </rPr>
      <t xml:space="preserve">子id
</t>
    </r>
    <r>
      <rPr>
        <i/>
        <sz val="10"/>
        <color theme="1"/>
        <rFont val="等线"/>
        <family val="3"/>
        <charset val="134"/>
        <scheme val="minor"/>
      </rPr>
      <t>也是顺序</t>
    </r>
  </si>
  <si>
    <t>组内事件数量</t>
  </si>
  <si>
    <r>
      <rPr>
        <b/>
        <sz val="11"/>
        <color theme="1"/>
        <rFont val="等线"/>
        <family val="3"/>
        <charset val="134"/>
        <scheme val="minor"/>
      </rPr>
      <t xml:space="preserve">进度条上强化显示
</t>
    </r>
    <r>
      <rPr>
        <i/>
        <sz val="9"/>
        <color theme="1"/>
        <rFont val="等线"/>
        <family val="3"/>
        <charset val="134"/>
        <scheme val="minor"/>
      </rPr>
      <t>true: 强化显示为重要地点
false:半透明显示</t>
    </r>
  </si>
  <si>
    <r>
      <rPr>
        <b/>
        <sz val="11"/>
        <color theme="1"/>
        <rFont val="等线"/>
        <family val="3"/>
        <charset val="134"/>
        <scheme val="minor"/>
      </rPr>
      <t xml:space="preserve">事件列表
</t>
    </r>
    <r>
      <rPr>
        <i/>
        <sz val="10"/>
        <color theme="1"/>
        <rFont val="等线"/>
        <family val="3"/>
        <charset val="134"/>
        <scheme val="minor"/>
      </rPr>
      <t>event_site表id</t>
    </r>
  </si>
  <si>
    <t>组内事件间距</t>
  </si>
  <si>
    <t>辅助列1
间距min</t>
  </si>
  <si>
    <t>辅助列2
间距 max</t>
  </si>
  <si>
    <t>剩余长度统计</t>
  </si>
  <si>
    <t>45001;45002;45003</t>
  </si>
  <si>
    <t>45004;45061;45062;45063;45064;45065</t>
  </si>
  <si>
    <t>配置在Config中的固定终点距离</t>
  </si>
  <si>
    <t>45041;45043;45045</t>
  </si>
  <si>
    <t>#enum siteType: int {Dialog = 0, Monster = 1,Loot = 2}</t>
  </si>
  <si>
    <t>id</t>
  </si>
  <si>
    <t>site_type</t>
  </si>
  <si>
    <t>monster_id</t>
  </si>
  <si>
    <t>monster_state</t>
  </si>
  <si>
    <t>monster_relic_list</t>
  </si>
  <si>
    <t>dialogue_graph</t>
  </si>
  <si>
    <t>prefeb</t>
  </si>
  <si>
    <t>loot_list</t>
  </si>
  <si>
    <t>siteType</t>
  </si>
  <si>
    <t>uint</t>
  </si>
  <si>
    <t>string</t>
  </si>
  <si>
    <t>dict&lt;uint,int&gt;</t>
  </si>
  <si>
    <t>(uint,uint)</t>
  </si>
  <si>
    <t>事件地点id</t>
  </si>
  <si>
    <t>备注1
分类</t>
  </si>
  <si>
    <t>备注2
奇遇内容</t>
  </si>
  <si>
    <t>备注3
等级设定</t>
  </si>
  <si>
    <t>类型</t>
  </si>
  <si>
    <t>Monster.
生成怪物的
id</t>
  </si>
  <si>
    <t>Monster.
生成怪物的
初始状态</t>
  </si>
  <si>
    <r>
      <rPr>
        <b/>
        <sz val="11"/>
        <color theme="1"/>
        <rFont val="等线"/>
        <family val="3"/>
        <charset val="134"/>
        <scheme val="minor"/>
      </rPr>
      <t xml:space="preserve">Monster.
死亡时 遗物掉落列表
</t>
    </r>
    <r>
      <rPr>
        <i/>
        <sz val="10"/>
        <color theme="1"/>
        <rFont val="等线"/>
        <family val="3"/>
        <charset val="134"/>
        <scheme val="minor"/>
      </rPr>
      <t>dict&lt;Relic id=权重&gt;</t>
    </r>
  </si>
  <si>
    <t>命名辅助</t>
  </si>
  <si>
    <r>
      <rPr>
        <b/>
        <sz val="11"/>
        <color theme="1"/>
        <rFont val="等线"/>
        <family val="3"/>
        <charset val="134"/>
        <scheme val="minor"/>
      </rPr>
      <t>Dialog.对话Graph</t>
    </r>
    <r>
      <rPr>
        <sz val="11"/>
        <color theme="1"/>
        <rFont val="等线"/>
        <family val="3"/>
        <charset val="134"/>
        <scheme val="minor"/>
      </rPr>
      <t xml:space="preserve">
</t>
    </r>
    <r>
      <rPr>
        <sz val="11"/>
        <color theme="1"/>
        <rFont val="等线"/>
        <family val="3"/>
        <charset val="134"/>
        <scheme val="minor"/>
      </rPr>
      <t>address</t>
    </r>
  </si>
  <si>
    <r>
      <rPr>
        <b/>
        <sz val="11"/>
        <color theme="1"/>
        <rFont val="等线"/>
        <family val="3"/>
        <charset val="134"/>
        <scheme val="minor"/>
      </rPr>
      <t>Dialog.场景资源</t>
    </r>
    <r>
      <rPr>
        <sz val="11"/>
        <color theme="1"/>
        <rFont val="等线"/>
        <family val="3"/>
        <charset val="134"/>
        <scheme val="minor"/>
      </rPr>
      <t xml:space="preserve">
address</t>
    </r>
  </si>
  <si>
    <r>
      <rPr>
        <b/>
        <sz val="11"/>
        <color theme="1"/>
        <rFont val="等线"/>
        <family val="3"/>
        <charset val="134"/>
        <scheme val="minor"/>
      </rPr>
      <t xml:space="preserve">Loot.资源
</t>
    </r>
    <r>
      <rPr>
        <i/>
        <sz val="10"/>
        <color theme="1"/>
        <rFont val="等线"/>
        <family val="3"/>
        <charset val="134"/>
        <scheme val="minor"/>
      </rPr>
      <t>掉落物种类
掉落物数量</t>
    </r>
  </si>
  <si>
    <t>辅助
事件权重</t>
  </si>
  <si>
    <t>简单赠送</t>
  </si>
  <si>
    <t>金币</t>
  </si>
  <si>
    <t>Dialog</t>
  </si>
  <si>
    <t>wooden_box_coin</t>
  </si>
  <si>
    <t>食物</t>
  </si>
  <si>
    <t>wooden_box_food</t>
  </si>
  <si>
    <t>木材</t>
  </si>
  <si>
    <t>wooden_box_wood</t>
  </si>
  <si>
    <t>武器部件</t>
  </si>
  <si>
    <t>wooden_box_weapon_parts</t>
  </si>
  <si>
    <t>落难旅人</t>
  </si>
  <si>
    <t>讨要/购买食物</t>
  </si>
  <si>
    <t>stranded_traveler_item</t>
  </si>
  <si>
    <t>落难老翁</t>
  </si>
  <si>
    <t>讨要/购买维修工具</t>
  </si>
  <si>
    <t>stranded_traveler</t>
  </si>
  <si>
    <t>篝火</t>
  </si>
  <si>
    <t>——</t>
  </si>
  <si>
    <t>campfire</t>
  </si>
  <si>
    <t>祭坛</t>
  </si>
  <si>
    <t>祝福祭坛</t>
  </si>
  <si>
    <t>altar_blessing</t>
  </si>
  <si>
    <t>神秘祭坛</t>
  </si>
  <si>
    <t>altar_mysteries</t>
  </si>
  <si>
    <t>邪教祭坛</t>
  </si>
  <si>
    <t>altar_cult</t>
  </si>
  <si>
    <t>自由职业者</t>
  </si>
  <si>
    <t>厨子</t>
  </si>
  <si>
    <t>traveller_cook</t>
  </si>
  <si>
    <t>工匠</t>
  </si>
  <si>
    <t>traveller_craftsman</t>
  </si>
  <si>
    <t>猎户</t>
  </si>
  <si>
    <t>traveller_hunter</t>
  </si>
  <si>
    <t>纺织工</t>
  </si>
  <si>
    <t>traveller_weaver</t>
  </si>
  <si>
    <t>菜农</t>
  </si>
  <si>
    <t>traveller_peasant</t>
  </si>
  <si>
    <t>资源采集</t>
  </si>
  <si>
    <t>果丛</t>
  </si>
  <si>
    <t>collet_fruit</t>
  </si>
  <si>
    <t>枯木林</t>
  </si>
  <si>
    <t>collet_timber</t>
  </si>
  <si>
    <t>乱石堆</t>
  </si>
  <si>
    <t>collet_stone</t>
  </si>
  <si>
    <t>废矿坑</t>
  </si>
  <si>
    <t>collet_ore</t>
  </si>
  <si>
    <t>藤蔓丛</t>
  </si>
  <si>
    <t>collet_fiber</t>
  </si>
  <si>
    <t>生胶木</t>
  </si>
  <si>
    <t>collet_glue</t>
  </si>
  <si>
    <t>受伤的猎物</t>
  </si>
  <si>
    <t>collet_meat</t>
  </si>
  <si>
    <t>信标</t>
  </si>
  <si>
    <t>信标石碑</t>
  </si>
  <si>
    <t>beacon_stele</t>
  </si>
  <si>
    <t>信标营地</t>
  </si>
  <si>
    <t>beacon_camp</t>
  </si>
  <si>
    <t>地宫精英</t>
  </si>
  <si>
    <t>捕奴车 近战</t>
  </si>
  <si>
    <t>Monster</t>
  </si>
  <si>
    <t>Idle</t>
  </si>
  <si>
    <t>捕奴车 远程</t>
  </si>
  <si>
    <t>Loot</t>
  </si>
  <si>
    <t>esar_45001_wooden_box_coin</t>
  </si>
  <si>
    <t>第1位</t>
  </si>
  <si>
    <t>第2位</t>
  </si>
  <si>
    <t>第3位</t>
  </si>
  <si>
    <t>第4位</t>
  </si>
  <si>
    <t>第5位</t>
  </si>
  <si>
    <t>第6位</t>
  </si>
  <si>
    <t>44 = plot</t>
  </si>
  <si>
    <t>45 = event_site</t>
  </si>
  <si>
    <t>0 = 对话事件</t>
  </si>
  <si>
    <t xml:space="preserve">0~8 = 普通 </t>
  </si>
  <si>
    <t>00~99 编号</t>
  </si>
  <si>
    <t>9 = Relic信标</t>
  </si>
  <si>
    <t>01 = 地宫</t>
    <phoneticPr fontId="14" type="noConversion"/>
  </si>
  <si>
    <t>02 = 云间</t>
    <phoneticPr fontId="14" type="noConversion"/>
  </si>
  <si>
    <t>08 = 大湖</t>
    <phoneticPr fontId="14" type="noConversion"/>
  </si>
  <si>
    <t>1 = 旅途货币</t>
    <phoneticPr fontId="14" type="noConversion"/>
  </si>
  <si>
    <t>0 = 暂未使用</t>
    <phoneticPr fontId="14" type="noConversion"/>
  </si>
  <si>
    <t>3 = 生成精英</t>
    <phoneticPr fontId="14" type="noConversion"/>
  </si>
  <si>
    <t>2 = 战利品堆</t>
    <phoneticPr fontId="14" type="noConversion"/>
  </si>
  <si>
    <t>通用战利品</t>
    <phoneticPr fontId="14" type="noConversion"/>
  </si>
  <si>
    <t>10000~2</t>
    <phoneticPr fontId="14" type="noConversion"/>
  </si>
  <si>
    <t>10000~4</t>
    <phoneticPr fontId="14" type="noConversion"/>
  </si>
  <si>
    <t>6020~2</t>
    <phoneticPr fontId="14" type="noConversion"/>
  </si>
  <si>
    <t>6020~4</t>
    <phoneticPr fontId="14" type="noConversion"/>
  </si>
  <si>
    <t>木材*2</t>
    <phoneticPr fontId="14" type="noConversion"/>
  </si>
  <si>
    <t>木材*4</t>
    <phoneticPr fontId="14" type="noConversion"/>
  </si>
  <si>
    <t>旅途货币*2</t>
    <phoneticPr fontId="14" type="noConversion"/>
  </si>
  <si>
    <t>旅途货币*4</t>
    <phoneticPr fontId="14" type="noConversion"/>
  </si>
  <si>
    <t>旅途货币*1</t>
    <phoneticPr fontId="14" type="noConversion"/>
  </si>
  <si>
    <t>10000~1</t>
    <phoneticPr fontId="14" type="noConversion"/>
  </si>
  <si>
    <t>453001;453002;453003</t>
    <phoneticPr fontId="14" type="noConversion"/>
  </si>
  <si>
    <t>300011=1;300012=1;300013=1;300021=1;300022=1;300023=1;300031=1;300032=1;300033=1;300041=1;300042=1;300043=1;300051=1;300052=1;300053=1;300061=1;300062=1;300063=1;300071=1;300072=1;300073=1;300081=1;300082=1;300083=1;300091=1;300092=1;300093=1;301011=1;301012=1;301013=1;301021=1;301022=1;301023=1;301031=1;301032=1;301033=1;301041=1;301042=1;301043=1;301051=1;301052=1;301053=1;301061=1;301062=1;301063=1;301211=1;301212=1;301213=1;301221=1;301222=1;301223=1;301231=1;301232=1;301233=1;302011=1;302012=1;302013=1;302021=1;302022=1;302023=1;302031=1;302032=1;302033=1;302041=1;302042=1;302043=1;302051=1;302052=1;302053=1;302061=1;302062=1;302063=1;302211=1;302212=1;302213=1;302231=1;302232=1;302233=1;302311=1;302312=1;302313=1;302321=1;302322=1;302323=1;310201=10;310202=10;310203=10;310204=10;310205=10;310206=10;310207=10;310208=10;310209=10;310210=10;310211=10;310212=10;310213=10;310217=10;310218=10;310219=10</t>
  </si>
  <si>
    <t>451001;451002</t>
    <phoneticPr fontId="14" type="noConversion"/>
  </si>
  <si>
    <t>451002;451003</t>
    <phoneticPr fontId="14" type="noConversion"/>
  </si>
  <si>
    <t>451001;451002;451003</t>
    <phoneticPr fontId="14" type="noConversion"/>
  </si>
  <si>
    <t>10000~3</t>
    <phoneticPr fontId="14" type="noConversion"/>
  </si>
  <si>
    <t>451003;451004</t>
    <phoneticPr fontId="14" type="noConversion"/>
  </si>
  <si>
    <t>预期
怪物组
数量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</si>
</sst>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</font>
    <font>
      <sz val="11"/>
      <color theme="0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i/>
      <sz val="11"/>
      <color theme="6"/>
      <name val="等线"/>
      <family val="3"/>
      <charset val="134"/>
      <scheme val="minor"/>
    </font>
    <font>
      <sz val="11"/>
      <color theme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6"/>
      <name val="等线"/>
      <family val="3"/>
      <charset val="134"/>
      <scheme val="minor"/>
    </font>
    <font>
      <sz val="11"/>
      <color theme="1" tint="0.499984740745262"/>
      <name val="等线"/>
      <family val="3"/>
      <charset val="134"/>
      <scheme val="minor"/>
    </font>
    <font>
      <i/>
      <sz val="11"/>
      <color theme="9"/>
      <name val="等线"/>
      <family val="3"/>
      <charset val="134"/>
      <scheme val="minor"/>
    </font>
    <font>
      <i/>
      <sz val="11"/>
      <color theme="1" tint="0.499984740745262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i/>
      <sz val="10"/>
      <color theme="1"/>
      <name val="等线"/>
      <family val="3"/>
      <charset val="134"/>
      <scheme val="minor"/>
    </font>
    <font>
      <i/>
      <sz val="9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0"/>
      <name val="等线"/>
      <family val="3"/>
      <charset val="134"/>
    </font>
    <font>
      <sz val="11"/>
      <color theme="0"/>
      <name val="等线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11" fillId="0" borderId="0"/>
    <xf numFmtId="0" fontId="11" fillId="0" borderId="0"/>
    <xf numFmtId="0" fontId="11" fillId="0" borderId="0"/>
  </cellStyleXfs>
  <cellXfs count="4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9" borderId="0" xfId="0" applyFill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9" fillId="3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5" fillId="9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6" fillId="0" borderId="1" xfId="0" applyFont="1" applyBorder="1"/>
    <xf numFmtId="0" fontId="0" fillId="0" borderId="2" xfId="0" applyBorder="1" applyAlignment="1">
      <alignment horizontal="center"/>
    </xf>
    <xf numFmtId="0" fontId="8" fillId="9" borderId="0" xfId="0" applyFont="1" applyFill="1" applyAlignment="1">
      <alignment horizontal="center"/>
    </xf>
    <xf numFmtId="0" fontId="15" fillId="2" borderId="3" xfId="3" applyFont="1" applyFill="1" applyBorder="1" applyAlignment="1">
      <alignment horizontal="center" vertical="center"/>
    </xf>
    <xf numFmtId="0" fontId="16" fillId="2" borderId="3" xfId="3" applyFont="1" applyFill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0" borderId="3" xfId="3" applyFont="1" applyBorder="1" applyAlignment="1">
      <alignment horizontal="center" vertical="center"/>
    </xf>
  </cellXfs>
  <cellStyles count="4">
    <cellStyle name="常规" xfId="0" builtinId="0"/>
    <cellStyle name="常规 2" xfId="1" xr:uid="{00000000-0005-0000-0000-000031000000}"/>
    <cellStyle name="常规 2 2" xfId="2" xr:uid="{00000000-0005-0000-0000-000032000000}"/>
    <cellStyle name="常规 2 3" xfId="3" xr:uid="{00000000-0005-0000-0000-000033000000}"/>
  </cellStyles>
  <dxfs count="0"/>
  <tableStyles count="0" defaultTableStyle="TableStyleMedium2" defaultPivotStyle="PivotStyleLight16"/>
  <colors>
    <mruColors>
      <color rgb="FFC7D6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workbookViewId="0">
      <pane ySplit="3" topLeftCell="A33" activePane="bottomLeft" state="frozen"/>
      <selection pane="bottomLeft" activeCell="C83" sqref="C83"/>
    </sheetView>
  </sheetViews>
  <sheetFormatPr defaultColWidth="9.125" defaultRowHeight="14.25" x14ac:dyDescent="0.2"/>
  <cols>
    <col min="1" max="1" width="10.5" style="22" customWidth="1"/>
    <col min="2" max="2" width="11" style="22" customWidth="1"/>
    <col min="3" max="3" width="13" style="22" customWidth="1"/>
    <col min="4" max="4" width="19.25" customWidth="1"/>
    <col min="5" max="5" width="83.625" customWidth="1"/>
    <col min="6" max="6" width="13" style="22" customWidth="1"/>
    <col min="7" max="7" width="8.75" style="23" customWidth="1"/>
    <col min="8" max="8" width="9.75" style="23" customWidth="1"/>
    <col min="9" max="9" width="13.625" style="24" customWidth="1"/>
    <col min="12" max="12" width="28.375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/>
      <c r="H1" s="12"/>
      <c r="I1" s="29"/>
    </row>
    <row r="2" spans="1:12" s="20" customFormat="1" x14ac:dyDescent="0.2">
      <c r="A2" s="20" t="s">
        <v>6</v>
      </c>
      <c r="B2" s="20" t="s">
        <v>6</v>
      </c>
      <c r="C2" s="20" t="s">
        <v>7</v>
      </c>
      <c r="D2" s="20" t="s">
        <v>8</v>
      </c>
      <c r="E2" s="20" t="s">
        <v>9</v>
      </c>
      <c r="F2" s="20" t="s">
        <v>10</v>
      </c>
      <c r="G2" s="25"/>
      <c r="H2" s="25"/>
      <c r="I2" s="30"/>
    </row>
    <row r="3" spans="1:12" s="3" customFormat="1" ht="42.75" x14ac:dyDescent="0.2">
      <c r="A3" s="8" t="s">
        <v>11</v>
      </c>
      <c r="B3" s="10" t="s">
        <v>12</v>
      </c>
      <c r="C3" s="8" t="s">
        <v>13</v>
      </c>
      <c r="D3" s="10" t="s">
        <v>14</v>
      </c>
      <c r="E3" s="10" t="s">
        <v>15</v>
      </c>
      <c r="F3" s="8" t="s">
        <v>16</v>
      </c>
      <c r="G3" s="26" t="s">
        <v>17</v>
      </c>
      <c r="H3" s="26" t="s">
        <v>18</v>
      </c>
      <c r="I3" s="31" t="s">
        <v>19</v>
      </c>
      <c r="J3" s="39" t="s">
        <v>152</v>
      </c>
    </row>
    <row r="4" spans="1:12" x14ac:dyDescent="0.2">
      <c r="A4" s="22">
        <v>44001</v>
      </c>
      <c r="B4" s="22">
        <v>0</v>
      </c>
      <c r="C4" s="22">
        <v>2</v>
      </c>
      <c r="D4" s="4" t="b">
        <v>0</v>
      </c>
      <c r="E4" s="4" t="s">
        <v>20</v>
      </c>
      <c r="F4" s="22" t="str">
        <f>G4&amp;"~"&amp;H4</f>
        <v>100~120</v>
      </c>
      <c r="G4" s="23">
        <v>100</v>
      </c>
      <c r="H4" s="23">
        <f>MROUND(G4*1.05+10,20)</f>
        <v>120</v>
      </c>
      <c r="I4" s="24" t="str" cm="1">
        <f t="array" aca="1" ref="I4" ca="1">_xlfn.LET(_xlpm.sub_id_num,COUNTIF(A:A,A4),_xlpm.event_count,INDIRECT(locate(COLUMN(C4)-COLUMN(),_xlpm.sub_id_num),0),_xlpm.distance_min,INDIRECT(locate(COLUMN(G4)-COLUMN(),_xlpm.sub_id_num),0),_xlpm.distance_max,INDIRECT(locate(COLUMN(H4)-COLUMN(),_xlpm.sub_id_num),0),_xlpm.fixed_end_dis,$L$7*2,_xlpm.distance_sum_min,SUMPRODUCT(_xlpm.event_count,_xlpm.distance_min)*2+_xlpm.fixed_end_dis,_xlpm.distance_sum_max,SUMPRODUCT(_xlpm.event_count,_xlpm.distance_max)*2+_xlpm.fixed_end_dis,_xlpm.distance_sum_min&amp;"~"&amp;_xlpm.distance_sum_max)&amp;" m"</f>
        <v>1400~1560 m</v>
      </c>
    </row>
    <row r="5" spans="1:12" x14ac:dyDescent="0.2">
      <c r="A5" s="22">
        <v>44001</v>
      </c>
      <c r="B5" s="22">
        <v>10</v>
      </c>
      <c r="C5" s="22">
        <v>1</v>
      </c>
      <c r="D5" s="4" t="b">
        <v>1</v>
      </c>
      <c r="E5" s="4">
        <v>45991</v>
      </c>
      <c r="F5" s="22" t="str">
        <f>G5&amp;"~"&amp;H5</f>
        <v>180~200</v>
      </c>
      <c r="G5" s="23">
        <v>180</v>
      </c>
      <c r="H5" s="23">
        <f t="shared" ref="H5:H20" si="0">MROUND(G5*1.05+10,20)</f>
        <v>200</v>
      </c>
    </row>
    <row r="6" spans="1:12" x14ac:dyDescent="0.2">
      <c r="A6" s="22">
        <v>44001</v>
      </c>
      <c r="B6" s="22">
        <v>11</v>
      </c>
      <c r="C6" s="22">
        <v>1</v>
      </c>
      <c r="D6" s="4" t="b">
        <v>0</v>
      </c>
      <c r="E6" s="4" t="s">
        <v>21</v>
      </c>
      <c r="F6" s="22" t="str">
        <f t="shared" ref="F6" si="1">G6&amp;"~"&amp;H6</f>
        <v>220~240</v>
      </c>
      <c r="G6" s="23">
        <v>220</v>
      </c>
      <c r="H6" s="23">
        <f t="shared" si="0"/>
        <v>240</v>
      </c>
      <c r="L6" s="32" t="s">
        <v>22</v>
      </c>
    </row>
    <row r="7" spans="1:12" x14ac:dyDescent="0.2">
      <c r="L7" s="33">
        <v>100</v>
      </c>
    </row>
    <row r="8" spans="1:12" x14ac:dyDescent="0.2">
      <c r="A8" s="22">
        <v>44002</v>
      </c>
      <c r="B8" s="22">
        <v>0</v>
      </c>
      <c r="C8" s="22">
        <v>1</v>
      </c>
      <c r="D8" s="4" t="b">
        <v>1</v>
      </c>
      <c r="E8" s="4">
        <v>45991</v>
      </c>
      <c r="F8" s="22" t="str">
        <f>G8&amp;"~"&amp;H8</f>
        <v>0~20</v>
      </c>
      <c r="G8" s="23">
        <v>0</v>
      </c>
      <c r="H8" s="23">
        <f t="shared" si="0"/>
        <v>20</v>
      </c>
      <c r="I8" s="24" t="str" cm="1">
        <f t="array" aca="1" ref="I8" ca="1">_xlfn.LET(_xlpm.sub_id_num,COUNTIF(A:A,A8),_xlpm.event_count,INDIRECT(locate(COLUMN(C8)-COLUMN(),_xlpm.sub_id_num),0),_xlpm.distance_min,INDIRECT(locate(COLUMN(G8)-COLUMN(),_xlpm.sub_id_num),0),_xlpm.distance_max,INDIRECT(locate(COLUMN(H8)-COLUMN(),_xlpm.sub_id_num),0),_xlpm.fixed_end_dis,$L$7*2,_xlpm.distance_sum_min,SUMPRODUCT(_xlpm.event_count,_xlpm.distance_min)*2+_xlpm.fixed_end_dis,_xlpm.distance_sum_max,SUMPRODUCT(_xlpm.event_count,_xlpm.distance_max)*2+_xlpm.fixed_end_dis,_xlpm.distance_sum_min&amp;"~"&amp;_xlpm.distance_sum_max)&amp;" m"</f>
        <v>3560~3840 m</v>
      </c>
    </row>
    <row r="9" spans="1:12" x14ac:dyDescent="0.2">
      <c r="A9" s="22">
        <v>44002</v>
      </c>
      <c r="B9" s="22">
        <v>11</v>
      </c>
      <c r="C9" s="22">
        <v>2</v>
      </c>
      <c r="D9" s="4" t="b">
        <v>0</v>
      </c>
      <c r="E9" s="4" t="s">
        <v>21</v>
      </c>
      <c r="F9" s="22" t="str">
        <f t="shared" ref="F9:F12" si="2">G9&amp;"~"&amp;H9</f>
        <v>220~240</v>
      </c>
      <c r="G9" s="23">
        <v>220</v>
      </c>
      <c r="H9" s="23">
        <f t="shared" si="0"/>
        <v>240</v>
      </c>
    </row>
    <row r="10" spans="1:12" x14ac:dyDescent="0.2">
      <c r="A10" s="22">
        <v>44002</v>
      </c>
      <c r="B10" s="22">
        <v>100</v>
      </c>
      <c r="C10" s="22">
        <v>1</v>
      </c>
      <c r="D10" s="4" t="b">
        <v>1</v>
      </c>
      <c r="E10" s="4">
        <v>45991</v>
      </c>
      <c r="F10" s="22" t="str">
        <f t="shared" si="2"/>
        <v>320~340</v>
      </c>
      <c r="G10" s="23">
        <v>320</v>
      </c>
      <c r="H10" s="23">
        <f t="shared" si="0"/>
        <v>340</v>
      </c>
    </row>
    <row r="11" spans="1:12" x14ac:dyDescent="0.2">
      <c r="A11" s="22">
        <v>44002</v>
      </c>
      <c r="B11" s="22">
        <v>101</v>
      </c>
      <c r="C11" s="22">
        <v>2</v>
      </c>
      <c r="D11" s="4" t="b">
        <v>0</v>
      </c>
      <c r="E11" s="4" t="s">
        <v>23</v>
      </c>
      <c r="F11" s="22" t="str">
        <f t="shared" si="2"/>
        <v>280~300</v>
      </c>
      <c r="G11" s="23">
        <v>280</v>
      </c>
      <c r="H11" s="23">
        <f t="shared" si="0"/>
        <v>300</v>
      </c>
    </row>
    <row r="12" spans="1:12" x14ac:dyDescent="0.2">
      <c r="A12" s="22">
        <v>44002</v>
      </c>
      <c r="B12" s="22">
        <v>1000</v>
      </c>
      <c r="C12" s="22">
        <v>1</v>
      </c>
      <c r="D12" s="4" t="b">
        <v>1</v>
      </c>
      <c r="E12" s="4">
        <v>45991</v>
      </c>
      <c r="F12" s="22" t="str">
        <f t="shared" si="2"/>
        <v>360~380</v>
      </c>
      <c r="G12" s="23">
        <v>360</v>
      </c>
      <c r="H12" s="23">
        <f t="shared" si="0"/>
        <v>380</v>
      </c>
    </row>
    <row r="14" spans="1:12" x14ac:dyDescent="0.2">
      <c r="A14" s="22">
        <v>44003</v>
      </c>
      <c r="B14" s="22">
        <v>0</v>
      </c>
      <c r="C14" s="22">
        <v>1</v>
      </c>
      <c r="D14" s="4" t="b">
        <v>1</v>
      </c>
      <c r="E14" s="4">
        <v>45991</v>
      </c>
      <c r="F14" s="22" t="str">
        <f>G14&amp;"~"&amp;H14</f>
        <v>0~20</v>
      </c>
      <c r="G14" s="23">
        <v>0</v>
      </c>
      <c r="H14" s="23">
        <f t="shared" si="0"/>
        <v>20</v>
      </c>
      <c r="I14" s="24" t="str" cm="1">
        <f t="array" aca="1" ref="I14" ca="1">_xlfn.LET(_xlpm.sub_id_num,COUNTIF(A:A,A14),_xlpm.event_count,INDIRECT(locate(COLUMN(C14)-COLUMN(),_xlpm.sub_id_num),0),_xlpm.distance_min,INDIRECT(locate(COLUMN(G14)-COLUMN(),_xlpm.sub_id_num),0),_xlpm.distance_max,INDIRECT(locate(COLUMN(H14)-COLUMN(),_xlpm.sub_id_num),0),_xlpm.fixed_end_dis,$L$7*2,_xlpm.distance_sum_min,SUMPRODUCT(_xlpm.event_count,_xlpm.distance_min)*2+_xlpm.fixed_end_dis,_xlpm.distance_sum_max,SUMPRODUCT(_xlpm.event_count,_xlpm.distance_max)*2+_xlpm.fixed_end_dis,_xlpm.distance_sum_min&amp;"~"&amp;_xlpm.distance_sum_max)&amp;" m"</f>
        <v>5360~5800 m</v>
      </c>
    </row>
    <row r="15" spans="1:12" x14ac:dyDescent="0.2">
      <c r="A15" s="22">
        <v>44003</v>
      </c>
      <c r="B15" s="22">
        <v>1</v>
      </c>
      <c r="C15" s="22">
        <v>1</v>
      </c>
      <c r="D15" s="4" t="b">
        <v>0</v>
      </c>
      <c r="E15" s="4" t="s">
        <v>20</v>
      </c>
      <c r="F15" s="22" t="str">
        <f>G15&amp;"~"&amp;H15</f>
        <v>200~220</v>
      </c>
      <c r="G15" s="23">
        <v>200</v>
      </c>
      <c r="H15" s="23">
        <f t="shared" si="0"/>
        <v>220</v>
      </c>
    </row>
    <row r="16" spans="1:12" x14ac:dyDescent="0.2">
      <c r="A16" s="22">
        <v>44003</v>
      </c>
      <c r="B16" s="22">
        <v>10</v>
      </c>
      <c r="C16" s="22">
        <v>1</v>
      </c>
      <c r="D16" s="4" t="b">
        <v>1</v>
      </c>
      <c r="E16" s="4">
        <v>45991</v>
      </c>
      <c r="F16" s="22" t="str">
        <f>G16&amp;"~"&amp;H16</f>
        <v>300~320</v>
      </c>
      <c r="G16" s="23">
        <v>300</v>
      </c>
      <c r="H16" s="23">
        <f t="shared" si="0"/>
        <v>320</v>
      </c>
    </row>
    <row r="17" spans="1:11" x14ac:dyDescent="0.2">
      <c r="A17" s="22">
        <v>44003</v>
      </c>
      <c r="B17" s="22">
        <v>11</v>
      </c>
      <c r="C17" s="22">
        <v>2</v>
      </c>
      <c r="D17" s="4" t="b">
        <v>0</v>
      </c>
      <c r="E17" s="4" t="s">
        <v>21</v>
      </c>
      <c r="F17" s="22" t="str">
        <f t="shared" ref="F17:F20" si="3">G17&amp;"~"&amp;H17</f>
        <v>240~260</v>
      </c>
      <c r="G17" s="23">
        <v>240</v>
      </c>
      <c r="H17" s="23">
        <f t="shared" si="0"/>
        <v>260</v>
      </c>
    </row>
    <row r="18" spans="1:11" x14ac:dyDescent="0.2">
      <c r="A18" s="22">
        <v>44003</v>
      </c>
      <c r="B18" s="22">
        <v>100</v>
      </c>
      <c r="C18" s="22">
        <v>1</v>
      </c>
      <c r="D18" s="4" t="b">
        <v>1</v>
      </c>
      <c r="E18" s="4">
        <v>45991</v>
      </c>
      <c r="F18" s="22" t="str">
        <f t="shared" si="3"/>
        <v>360~380</v>
      </c>
      <c r="G18" s="23">
        <v>360</v>
      </c>
      <c r="H18" s="23">
        <f t="shared" si="0"/>
        <v>380</v>
      </c>
    </row>
    <row r="19" spans="1:11" x14ac:dyDescent="0.2">
      <c r="A19" s="22">
        <v>44003</v>
      </c>
      <c r="B19" s="22">
        <v>101</v>
      </c>
      <c r="C19" s="22">
        <v>3</v>
      </c>
      <c r="D19" s="4" t="b">
        <v>0</v>
      </c>
      <c r="E19" s="4" t="s">
        <v>23</v>
      </c>
      <c r="F19" s="22" t="str">
        <f t="shared" si="3"/>
        <v>280~300</v>
      </c>
      <c r="G19" s="23">
        <v>280</v>
      </c>
      <c r="H19" s="23">
        <f t="shared" si="0"/>
        <v>300</v>
      </c>
    </row>
    <row r="20" spans="1:11" x14ac:dyDescent="0.2">
      <c r="A20" s="22">
        <v>44003</v>
      </c>
      <c r="B20" s="22">
        <v>1000</v>
      </c>
      <c r="C20" s="22">
        <v>1</v>
      </c>
      <c r="D20" s="4" t="b">
        <v>1</v>
      </c>
      <c r="E20" s="4">
        <v>45991</v>
      </c>
      <c r="F20" s="22" t="str">
        <f t="shared" si="3"/>
        <v>400~440</v>
      </c>
      <c r="G20" s="23">
        <v>400</v>
      </c>
      <c r="H20" s="23">
        <f t="shared" si="0"/>
        <v>440</v>
      </c>
    </row>
    <row r="23" spans="1:11" s="21" customFormat="1" x14ac:dyDescent="0.2">
      <c r="A23" s="27"/>
      <c r="B23" s="27"/>
      <c r="C23" s="27"/>
      <c r="F23" s="27"/>
      <c r="G23" s="28"/>
      <c r="H23" s="28"/>
      <c r="I23" s="34"/>
    </row>
    <row r="25" spans="1:11" x14ac:dyDescent="0.2">
      <c r="A25" s="22">
        <v>440101</v>
      </c>
      <c r="B25" s="22">
        <v>1</v>
      </c>
      <c r="C25" s="22">
        <v>1</v>
      </c>
      <c r="D25" s="4" t="b">
        <v>0</v>
      </c>
      <c r="E25" s="38">
        <v>451001</v>
      </c>
      <c r="F25" s="22" t="str">
        <f>G25&amp;"~"&amp;H25</f>
        <v>140~160</v>
      </c>
      <c r="G25" s="23">
        <v>140</v>
      </c>
      <c r="H25" s="23">
        <f t="shared" ref="H25" si="4">MROUND(G25*1.05+10,20)</f>
        <v>160</v>
      </c>
      <c r="I25" s="24" t="str" cm="1">
        <f t="array" aca="1" ref="I25" ca="1">_xlfn.LET(_xlpm.sub_id_num,COUNTIF(A:A,A25),_xlpm.event_count,INDIRECT(locate(COLUMN(C25)-COLUMN(),_xlpm.sub_id_num),0),_xlpm.distance_min,INDIRECT(locate(COLUMN(G25)-COLUMN(),_xlpm.sub_id_num),0),_xlpm.distance_max,INDIRECT(locate(COLUMN(H25)-COLUMN(),_xlpm.sub_id_num),0),_xlpm.fixed_end_dis,$L$7*2,_xlpm.distance_sum_min,SUMPRODUCT(_xlpm.event_count,_xlpm.distance_min)*2+_xlpm.fixed_end_dis,_xlpm.distance_sum_max,SUMPRODUCT(_xlpm.event_count,_xlpm.distance_max)*2+_xlpm.fixed_end_dis,_xlpm.distance_sum_min&amp;"~"&amp;_xlpm.distance_sum_max)&amp;" m"</f>
        <v>1040~1160 m</v>
      </c>
      <c r="J25" s="24">
        <v>2</v>
      </c>
      <c r="K25" s="24" cm="1">
        <f t="array" aca="1" ref="K25" ca="1">AVERAGE(VALUE(_xlfn.TEXTSPLIT(SUBSTITUTE(I25," m",""),"~")))/J25</f>
        <v>550</v>
      </c>
    </row>
    <row r="26" spans="1:11" x14ac:dyDescent="0.2">
      <c r="A26" s="22">
        <v>440101</v>
      </c>
      <c r="B26" s="22">
        <v>2</v>
      </c>
      <c r="C26" s="22">
        <v>2</v>
      </c>
      <c r="D26" s="4" t="b">
        <v>0</v>
      </c>
      <c r="E26" s="38" t="s">
        <v>147</v>
      </c>
      <c r="F26" s="22" t="str">
        <f>G26&amp;"~"&amp;H26</f>
        <v>140~160</v>
      </c>
      <c r="G26" s="23">
        <v>140</v>
      </c>
      <c r="H26" s="23">
        <f t="shared" ref="H26" si="5">MROUND(G26*1.05+10,20)</f>
        <v>160</v>
      </c>
    </row>
    <row r="28" spans="1:11" x14ac:dyDescent="0.2">
      <c r="A28" s="22">
        <v>440102</v>
      </c>
      <c r="B28" s="22">
        <v>1</v>
      </c>
      <c r="C28" s="22">
        <v>1</v>
      </c>
      <c r="D28" s="4" t="b">
        <v>0</v>
      </c>
      <c r="E28" s="38">
        <v>451001</v>
      </c>
      <c r="F28" s="22" t="str">
        <f>G28&amp;"~"&amp;H28</f>
        <v>160~180</v>
      </c>
      <c r="G28" s="23">
        <v>160</v>
      </c>
      <c r="H28" s="23">
        <f t="shared" ref="H28:H29" si="6">MROUND(G28*1.05+10,20)</f>
        <v>180</v>
      </c>
      <c r="I28" s="24" t="str" cm="1">
        <f t="array" aca="1" ref="I28" ca="1">_xlfn.LET(_xlpm.sub_id_num,COUNTIF(A:A,A28),_xlpm.event_count,INDIRECT(locate(COLUMN(C28)-COLUMN(),_xlpm.sub_id_num),0),_xlpm.distance_min,INDIRECT(locate(COLUMN(G28)-COLUMN(),_xlpm.sub_id_num),0),_xlpm.distance_max,INDIRECT(locate(COLUMN(H28)-COLUMN(),_xlpm.sub_id_num),0),_xlpm.fixed_end_dis,$L$7*2,_xlpm.distance_sum_min,SUMPRODUCT(_xlpm.event_count,_xlpm.distance_min)*2+_xlpm.fixed_end_dis,_xlpm.distance_sum_max,SUMPRODUCT(_xlpm.event_count,_xlpm.distance_max)*2+_xlpm.fixed_end_dis,_xlpm.distance_sum_min&amp;"~"&amp;_xlpm.distance_sum_max)&amp;" m"</f>
        <v>1600~1760 m</v>
      </c>
      <c r="J28" s="24">
        <v>3</v>
      </c>
      <c r="K28" s="24" cm="1">
        <f t="array" aca="1" ref="K28" ca="1">AVERAGE(VALUE(_xlfn.TEXTSPLIT(SUBSTITUTE(I28," m",""),"~")))/J28</f>
        <v>560</v>
      </c>
    </row>
    <row r="29" spans="1:11" x14ac:dyDescent="0.2">
      <c r="A29" s="22">
        <v>440102</v>
      </c>
      <c r="B29" s="22">
        <v>2</v>
      </c>
      <c r="C29" s="22">
        <v>2</v>
      </c>
      <c r="D29" s="4" t="b">
        <v>0</v>
      </c>
      <c r="E29" s="38" t="s">
        <v>147</v>
      </c>
      <c r="F29" s="22" t="str">
        <f t="shared" ref="F29" si="7">G29&amp;"~"&amp;H29</f>
        <v>180~200</v>
      </c>
      <c r="G29" s="23">
        <v>180</v>
      </c>
      <c r="H29" s="23">
        <f t="shared" si="6"/>
        <v>200</v>
      </c>
    </row>
    <row r="30" spans="1:11" x14ac:dyDescent="0.2">
      <c r="A30" s="22">
        <v>440102</v>
      </c>
      <c r="B30" s="22">
        <v>3</v>
      </c>
      <c r="C30" s="22">
        <v>1</v>
      </c>
      <c r="D30" s="4" t="b">
        <v>0</v>
      </c>
      <c r="E30" s="38">
        <v>451003</v>
      </c>
      <c r="F30" s="22" t="str">
        <f>G30&amp;"~"&amp;H30</f>
        <v>180~200</v>
      </c>
      <c r="G30" s="23">
        <v>180</v>
      </c>
      <c r="H30" s="23">
        <f t="shared" ref="H30" si="8">MROUND(G30*1.05+10,20)</f>
        <v>200</v>
      </c>
    </row>
    <row r="32" spans="1:11" x14ac:dyDescent="0.2">
      <c r="A32" s="22">
        <v>440103</v>
      </c>
      <c r="B32" s="22">
        <v>10</v>
      </c>
      <c r="C32" s="22">
        <v>1</v>
      </c>
      <c r="D32" s="4" t="b">
        <v>0</v>
      </c>
      <c r="E32" s="38">
        <v>451001</v>
      </c>
      <c r="F32" s="22" t="str">
        <f>G32&amp;"~"&amp;H32</f>
        <v>200~220</v>
      </c>
      <c r="G32" s="23">
        <v>200</v>
      </c>
      <c r="H32" s="23">
        <f t="shared" ref="H32:H34" si="9">MROUND(G32*1.05+10,20)</f>
        <v>220</v>
      </c>
      <c r="I32" s="24" t="str" cm="1">
        <f t="array" aca="1" ref="I32" ca="1">_xlfn.LET(_xlpm.sub_id_num,COUNTIF(A:A,A32),_xlpm.event_count,INDIRECT(locate(COLUMN(C32)-COLUMN(),_xlpm.sub_id_num),0),_xlpm.distance_min,INDIRECT(locate(COLUMN(G32)-COLUMN(),_xlpm.sub_id_num),0),_xlpm.distance_max,INDIRECT(locate(COLUMN(H32)-COLUMN(),_xlpm.sub_id_num),0),_xlpm.fixed_end_dis,$L$7*2,_xlpm.distance_sum_min,SUMPRODUCT(_xlpm.event_count,_xlpm.distance_min)*2+_xlpm.fixed_end_dis,_xlpm.distance_sum_max,SUMPRODUCT(_xlpm.event_count,_xlpm.distance_max)*2+_xlpm.fixed_end_dis,_xlpm.distance_sum_min&amp;"~"&amp;_xlpm.distance_sum_max)&amp;" m"</f>
        <v>2360~2560 m</v>
      </c>
      <c r="J32" s="24">
        <v>4</v>
      </c>
      <c r="K32" s="24" cm="1">
        <f t="array" aca="1" ref="K32" ca="1">AVERAGE(VALUE(_xlfn.TEXTSPLIT(SUBSTITUTE(I32," m",""),"~")))/J32</f>
        <v>615</v>
      </c>
    </row>
    <row r="33" spans="1:11" x14ac:dyDescent="0.2">
      <c r="A33" s="22">
        <v>440103</v>
      </c>
      <c r="B33" s="22">
        <v>20</v>
      </c>
      <c r="C33" s="22">
        <v>1</v>
      </c>
      <c r="D33" s="4" t="b">
        <v>1</v>
      </c>
      <c r="E33" s="38" t="s">
        <v>145</v>
      </c>
      <c r="F33" s="22" t="str">
        <f t="shared" ref="F33" si="10">G33&amp;"~"&amp;H33</f>
        <v>220~240</v>
      </c>
      <c r="G33" s="23">
        <v>220</v>
      </c>
      <c r="H33" s="23">
        <f t="shared" si="9"/>
        <v>240</v>
      </c>
    </row>
    <row r="34" spans="1:11" x14ac:dyDescent="0.2">
      <c r="A34" s="22">
        <v>440103</v>
      </c>
      <c r="B34" s="22">
        <v>21</v>
      </c>
      <c r="C34" s="22">
        <v>2</v>
      </c>
      <c r="D34" s="4" t="b">
        <v>0</v>
      </c>
      <c r="E34" s="38" t="s">
        <v>149</v>
      </c>
      <c r="F34" s="22" t="str">
        <f>G34&amp;"~"&amp;H34</f>
        <v>220~240</v>
      </c>
      <c r="G34" s="23">
        <v>220</v>
      </c>
      <c r="H34" s="23">
        <f t="shared" si="9"/>
        <v>240</v>
      </c>
    </row>
    <row r="35" spans="1:11" x14ac:dyDescent="0.2">
      <c r="A35" s="22">
        <v>440103</v>
      </c>
      <c r="B35" s="22">
        <v>22</v>
      </c>
      <c r="C35" s="22">
        <v>1</v>
      </c>
      <c r="D35" s="4" t="b">
        <v>0</v>
      </c>
      <c r="E35" s="38">
        <v>451003</v>
      </c>
      <c r="F35" s="22" t="str">
        <f>G35&amp;"~"&amp;H35</f>
        <v>220~240</v>
      </c>
      <c r="G35" s="23">
        <v>220</v>
      </c>
      <c r="H35" s="23">
        <f t="shared" ref="H35" si="11">MROUND(G35*1.05+10,20)</f>
        <v>240</v>
      </c>
    </row>
    <row r="37" spans="1:11" x14ac:dyDescent="0.2">
      <c r="A37" s="22">
        <v>440104</v>
      </c>
      <c r="B37" s="22">
        <v>1</v>
      </c>
      <c r="C37" s="22">
        <v>1</v>
      </c>
      <c r="D37" s="4" t="b">
        <v>0</v>
      </c>
      <c r="E37" s="38">
        <v>451001</v>
      </c>
      <c r="F37" s="22" t="str">
        <f>G37&amp;"~"&amp;H37</f>
        <v>220~240</v>
      </c>
      <c r="G37" s="23">
        <v>220</v>
      </c>
      <c r="H37" s="23">
        <f t="shared" ref="H37:H38" si="12">MROUND(G37*1.05+10,20)</f>
        <v>240</v>
      </c>
      <c r="I37" s="24" t="str" cm="1">
        <f t="array" aca="1" ref="I37" ca="1">_xlfn.LET(_xlpm.sub_id_num,COUNTIF(A:A,A37),_xlpm.event_count,INDIRECT(locate(COLUMN(C37)-COLUMN(),_xlpm.sub_id_num),0),_xlpm.distance_min,INDIRECT(locate(COLUMN(G37)-COLUMN(),_xlpm.sub_id_num),0),_xlpm.distance_max,INDIRECT(locate(COLUMN(H37)-COLUMN(),_xlpm.sub_id_num),0),_xlpm.fixed_end_dis,$L$7*2,_xlpm.distance_sum_min,SUMPRODUCT(_xlpm.event_count,_xlpm.distance_min)*2+_xlpm.fixed_end_dis,_xlpm.distance_sum_max,SUMPRODUCT(_xlpm.event_count,_xlpm.distance_max)*2+_xlpm.fixed_end_dis,_xlpm.distance_sum_min&amp;"~"&amp;_xlpm.distance_sum_max)&amp;" m"</f>
        <v>2440~2640 m</v>
      </c>
      <c r="J37" s="24">
        <v>4</v>
      </c>
      <c r="K37" s="24" cm="1">
        <f t="array" aca="1" ref="K37" ca="1">AVERAGE(VALUE(_xlfn.TEXTSPLIT(SUBSTITUTE(I37," m",""),"~")))/J37</f>
        <v>635</v>
      </c>
    </row>
    <row r="38" spans="1:11" x14ac:dyDescent="0.2">
      <c r="A38" s="22">
        <v>440104</v>
      </c>
      <c r="B38" s="22">
        <v>2</v>
      </c>
      <c r="C38" s="22">
        <v>1</v>
      </c>
      <c r="D38" s="4" t="b">
        <v>0</v>
      </c>
      <c r="E38" s="38" t="s">
        <v>147</v>
      </c>
      <c r="F38" s="22" t="str">
        <f t="shared" ref="F38" si="13">G38&amp;"~"&amp;H38</f>
        <v>220~240</v>
      </c>
      <c r="G38" s="23">
        <v>220</v>
      </c>
      <c r="H38" s="23">
        <f t="shared" si="12"/>
        <v>240</v>
      </c>
    </row>
    <row r="39" spans="1:11" x14ac:dyDescent="0.2">
      <c r="A39" s="22">
        <v>440104</v>
      </c>
      <c r="B39" s="22">
        <v>3</v>
      </c>
      <c r="C39" s="22">
        <v>2</v>
      </c>
      <c r="D39" s="4" t="b">
        <v>0</v>
      </c>
      <c r="E39" s="38" t="s">
        <v>148</v>
      </c>
      <c r="F39" s="22" t="str">
        <f t="shared" ref="F39" si="14">G39&amp;"~"&amp;H39</f>
        <v>220~240</v>
      </c>
      <c r="G39" s="23">
        <v>220</v>
      </c>
      <c r="H39" s="23">
        <f t="shared" ref="H39" si="15">MROUND(G39*1.05+10,20)</f>
        <v>240</v>
      </c>
    </row>
    <row r="40" spans="1:11" x14ac:dyDescent="0.2">
      <c r="A40" s="22">
        <v>440104</v>
      </c>
      <c r="B40" s="22">
        <v>4</v>
      </c>
      <c r="C40" s="22">
        <v>1</v>
      </c>
      <c r="D40" s="4" t="b">
        <v>0</v>
      </c>
      <c r="E40" s="38">
        <v>451003</v>
      </c>
      <c r="F40" s="22" t="str">
        <f t="shared" ref="F40" si="16">G40&amp;"~"&amp;H40</f>
        <v>240~260</v>
      </c>
      <c r="G40" s="23">
        <v>240</v>
      </c>
      <c r="H40" s="23">
        <f t="shared" ref="H40" si="17">MROUND(G40*1.05+10,20)</f>
        <v>260</v>
      </c>
    </row>
    <row r="42" spans="1:11" x14ac:dyDescent="0.2">
      <c r="A42" s="22">
        <v>440105</v>
      </c>
      <c r="B42" s="22">
        <v>1</v>
      </c>
      <c r="C42" s="22">
        <v>1</v>
      </c>
      <c r="D42" s="4" t="b">
        <v>0</v>
      </c>
      <c r="E42" s="38">
        <v>451001</v>
      </c>
      <c r="F42" s="22" t="str">
        <f>G42&amp;"~"&amp;H42</f>
        <v>200~220</v>
      </c>
      <c r="G42" s="23">
        <v>200</v>
      </c>
      <c r="H42" s="23">
        <f t="shared" ref="H42:H44" si="18">MROUND(G42*1.05+10,20)</f>
        <v>220</v>
      </c>
      <c r="I42" s="24" t="str" cm="1">
        <f t="array" aca="1" ref="I42" ca="1">_xlfn.LET(_xlpm.sub_id_num,COUNTIF(A:A,A42),_xlpm.event_count,INDIRECT(locate(COLUMN(C42)-COLUMN(),_xlpm.sub_id_num),0),_xlpm.distance_min,INDIRECT(locate(COLUMN(G42)-COLUMN(),_xlpm.sub_id_num),0),_xlpm.distance_max,INDIRECT(locate(COLUMN(H42)-COLUMN(),_xlpm.sub_id_num),0),_xlpm.fixed_end_dis,$L$7*2,_xlpm.distance_sum_min,SUMPRODUCT(_xlpm.event_count,_xlpm.distance_min)*2+_xlpm.fixed_end_dis,_xlpm.distance_sum_max,SUMPRODUCT(_xlpm.event_count,_xlpm.distance_max)*2+_xlpm.fixed_end_dis,_xlpm.distance_sum_min&amp;"~"&amp;_xlpm.distance_sum_max)&amp;" m"</f>
        <v>2600~2840 m</v>
      </c>
      <c r="J42" s="24">
        <v>4</v>
      </c>
      <c r="K42" s="24" cm="1">
        <f t="array" aca="1" ref="K42" ca="1">AVERAGE(VALUE(_xlfn.TEXTSPLIT(SUBSTITUTE(I42," m",""),"~")))/J42</f>
        <v>680</v>
      </c>
    </row>
    <row r="43" spans="1:11" x14ac:dyDescent="0.2">
      <c r="A43" s="22">
        <v>440105</v>
      </c>
      <c r="B43" s="22">
        <v>2</v>
      </c>
      <c r="C43" s="22">
        <v>1</v>
      </c>
      <c r="D43" s="4" t="b">
        <v>0</v>
      </c>
      <c r="E43" s="38" t="s">
        <v>147</v>
      </c>
      <c r="F43" s="22" t="str">
        <f t="shared" ref="F43:F44" si="19">G43&amp;"~"&amp;H43</f>
        <v>200~220</v>
      </c>
      <c r="G43" s="23">
        <v>200</v>
      </c>
      <c r="H43" s="23">
        <f t="shared" si="18"/>
        <v>220</v>
      </c>
    </row>
    <row r="44" spans="1:11" x14ac:dyDescent="0.2">
      <c r="A44" s="22">
        <v>440105</v>
      </c>
      <c r="B44" s="22">
        <v>3</v>
      </c>
      <c r="C44" s="22">
        <v>2</v>
      </c>
      <c r="D44" s="4" t="b">
        <v>0</v>
      </c>
      <c r="E44" s="38" t="s">
        <v>148</v>
      </c>
      <c r="F44" s="22" t="str">
        <f t="shared" si="19"/>
        <v>200~220</v>
      </c>
      <c r="G44" s="23">
        <v>200</v>
      </c>
      <c r="H44" s="23">
        <f t="shared" si="18"/>
        <v>220</v>
      </c>
    </row>
    <row r="45" spans="1:11" x14ac:dyDescent="0.2">
      <c r="A45" s="22">
        <v>440105</v>
      </c>
      <c r="B45" s="22">
        <v>4</v>
      </c>
      <c r="C45" s="22">
        <v>1</v>
      </c>
      <c r="D45" s="4" t="b">
        <v>0</v>
      </c>
      <c r="E45" s="38">
        <v>451003</v>
      </c>
      <c r="F45" s="22" t="str">
        <f t="shared" ref="F45" si="20">G45&amp;"~"&amp;H45</f>
        <v>200~220</v>
      </c>
      <c r="G45" s="23">
        <v>200</v>
      </c>
      <c r="H45" s="23">
        <f t="shared" ref="H45" si="21">MROUND(G45*1.05+10,20)</f>
        <v>220</v>
      </c>
    </row>
    <row r="46" spans="1:11" x14ac:dyDescent="0.2">
      <c r="A46" s="22">
        <v>440105</v>
      </c>
      <c r="B46" s="22">
        <v>5</v>
      </c>
      <c r="C46" s="22">
        <v>1</v>
      </c>
      <c r="D46" s="4" t="b">
        <v>0</v>
      </c>
      <c r="E46" s="38">
        <v>451004</v>
      </c>
      <c r="F46" s="22" t="str">
        <f t="shared" ref="F46" si="22">G46&amp;"~"&amp;H46</f>
        <v>200~220</v>
      </c>
      <c r="G46" s="23">
        <v>200</v>
      </c>
      <c r="H46" s="23">
        <f t="shared" ref="H46" si="23">MROUND(G46*1.05+10,20)</f>
        <v>220</v>
      </c>
    </row>
    <row r="48" spans="1:11" x14ac:dyDescent="0.2">
      <c r="A48" s="22">
        <v>440106</v>
      </c>
      <c r="B48" s="22">
        <v>10</v>
      </c>
      <c r="C48" s="22">
        <v>1</v>
      </c>
      <c r="D48" s="4" t="b">
        <v>0</v>
      </c>
      <c r="E48" s="38">
        <v>451001</v>
      </c>
      <c r="F48" s="22" t="str">
        <f>G48&amp;"~"&amp;H48</f>
        <v>200~220</v>
      </c>
      <c r="G48" s="23">
        <v>200</v>
      </c>
      <c r="H48" s="23">
        <f t="shared" ref="H48:H53" si="24">MROUND(G48*1.05+10,20)</f>
        <v>220</v>
      </c>
      <c r="I48" s="24" t="str" cm="1">
        <f t="array" aca="1" ref="I48" ca="1">_xlfn.LET(_xlpm.sub_id_num,COUNTIF(A:A,A48),_xlpm.event_count,INDIRECT(locate(COLUMN(C48)-COLUMN(),_xlpm.sub_id_num),0),_xlpm.distance_min,INDIRECT(locate(COLUMN(G48)-COLUMN(),_xlpm.sub_id_num),0),_xlpm.distance_max,INDIRECT(locate(COLUMN(H48)-COLUMN(),_xlpm.sub_id_num),0),_xlpm.fixed_end_dis,$L$7*2,_xlpm.distance_sum_min,SUMPRODUCT(_xlpm.event_count,_xlpm.distance_min)*2+_xlpm.fixed_end_dis,_xlpm.distance_sum_max,SUMPRODUCT(_xlpm.event_count,_xlpm.distance_max)*2+_xlpm.fixed_end_dis,_xlpm.distance_sum_min&amp;"~"&amp;_xlpm.distance_sum_max)&amp;" m"</f>
        <v>2840~3080 m</v>
      </c>
      <c r="J48" s="24">
        <v>4</v>
      </c>
      <c r="K48" s="24" cm="1">
        <f t="array" aca="1" ref="K48" ca="1">AVERAGE(VALUE(_xlfn.TEXTSPLIT(SUBSTITUTE(I48," m",""),"~")))/J48</f>
        <v>740</v>
      </c>
    </row>
    <row r="49" spans="1:11" x14ac:dyDescent="0.2">
      <c r="A49" s="22">
        <v>440106</v>
      </c>
      <c r="B49" s="22">
        <v>20</v>
      </c>
      <c r="C49" s="22">
        <v>1</v>
      </c>
      <c r="D49" s="4" t="b">
        <v>1</v>
      </c>
      <c r="E49" s="38" t="s">
        <v>145</v>
      </c>
      <c r="F49" s="22" t="str">
        <f t="shared" ref="F49:F53" si="25">G49&amp;"~"&amp;H49</f>
        <v>220~240</v>
      </c>
      <c r="G49" s="23">
        <v>220</v>
      </c>
      <c r="H49" s="23">
        <f t="shared" si="24"/>
        <v>240</v>
      </c>
    </row>
    <row r="50" spans="1:11" x14ac:dyDescent="0.2">
      <c r="A50" s="22">
        <v>440106</v>
      </c>
      <c r="B50" s="22">
        <v>21</v>
      </c>
      <c r="C50" s="22">
        <v>1</v>
      </c>
      <c r="D50" s="4" t="b">
        <v>0</v>
      </c>
      <c r="E50" s="38" t="s">
        <v>147</v>
      </c>
      <c r="F50" s="22" t="str">
        <f t="shared" si="25"/>
        <v>220~240</v>
      </c>
      <c r="G50" s="23">
        <v>220</v>
      </c>
      <c r="H50" s="23">
        <f t="shared" si="24"/>
        <v>240</v>
      </c>
    </row>
    <row r="51" spans="1:11" x14ac:dyDescent="0.2">
      <c r="A51" s="22">
        <v>440106</v>
      </c>
      <c r="B51" s="22">
        <v>22</v>
      </c>
      <c r="C51" s="22">
        <v>1</v>
      </c>
      <c r="D51" s="4" t="b">
        <v>0</v>
      </c>
      <c r="E51" s="38" t="s">
        <v>148</v>
      </c>
      <c r="F51" s="22" t="str">
        <f t="shared" si="25"/>
        <v>220~240</v>
      </c>
      <c r="G51" s="23">
        <v>220</v>
      </c>
      <c r="H51" s="23">
        <f t="shared" si="24"/>
        <v>240</v>
      </c>
    </row>
    <row r="52" spans="1:11" x14ac:dyDescent="0.2">
      <c r="A52" s="22">
        <v>440106</v>
      </c>
      <c r="B52" s="22">
        <v>23</v>
      </c>
      <c r="C52" s="22">
        <v>1</v>
      </c>
      <c r="D52" s="4" t="b">
        <v>0</v>
      </c>
      <c r="E52" s="38" t="s">
        <v>151</v>
      </c>
      <c r="F52" s="22" t="str">
        <f t="shared" ref="F52" si="26">G52&amp;"~"&amp;H52</f>
        <v>220~240</v>
      </c>
      <c r="G52" s="23">
        <v>220</v>
      </c>
      <c r="H52" s="23">
        <f t="shared" ref="H52" si="27">MROUND(G52*1.05+10,20)</f>
        <v>240</v>
      </c>
    </row>
    <row r="53" spans="1:11" x14ac:dyDescent="0.2">
      <c r="A53" s="22">
        <v>440106</v>
      </c>
      <c r="B53" s="22">
        <v>24</v>
      </c>
      <c r="C53" s="22">
        <v>1</v>
      </c>
      <c r="D53" s="4" t="b">
        <v>0</v>
      </c>
      <c r="E53" s="38">
        <v>451004</v>
      </c>
      <c r="F53" s="22" t="str">
        <f t="shared" si="25"/>
        <v>240~260</v>
      </c>
      <c r="G53" s="23">
        <v>240</v>
      </c>
      <c r="H53" s="23">
        <f t="shared" si="24"/>
        <v>260</v>
      </c>
    </row>
    <row r="55" spans="1:11" x14ac:dyDescent="0.2">
      <c r="A55" s="22">
        <v>440107</v>
      </c>
      <c r="B55" s="22">
        <v>1</v>
      </c>
      <c r="C55" s="22">
        <v>1</v>
      </c>
      <c r="D55" s="4" t="b">
        <v>0</v>
      </c>
      <c r="E55" s="38">
        <v>451001</v>
      </c>
      <c r="F55" s="22" t="str">
        <f>G55&amp;"~"&amp;H55</f>
        <v>240~260</v>
      </c>
      <c r="G55" s="23">
        <v>240</v>
      </c>
      <c r="H55" s="23">
        <f t="shared" ref="H55:H59" si="28">MROUND(G55*1.05+10,20)</f>
        <v>260</v>
      </c>
      <c r="I55" s="24" t="str" cm="1">
        <f t="array" aca="1" ref="I55" ca="1">_xlfn.LET(_xlpm.sub_id_num,COUNTIF(A:A,A55),_xlpm.event_count,INDIRECT(locate(COLUMN(C55)-COLUMN(),_xlpm.sub_id_num),0),_xlpm.distance_min,INDIRECT(locate(COLUMN(G55)-COLUMN(),_xlpm.sub_id_num),0),_xlpm.distance_max,INDIRECT(locate(COLUMN(H55)-COLUMN(),_xlpm.sub_id_num),0),_xlpm.fixed_end_dis,$L$7*2,_xlpm.distance_sum_min,SUMPRODUCT(_xlpm.event_count,_xlpm.distance_min)*2+_xlpm.fixed_end_dis,_xlpm.distance_sum_max,SUMPRODUCT(_xlpm.event_count,_xlpm.distance_max)*2+_xlpm.fixed_end_dis,_xlpm.distance_sum_min&amp;"~"&amp;_xlpm.distance_sum_max)&amp;" m"</f>
        <v>3160~3400 m</v>
      </c>
      <c r="J55" s="24">
        <v>4</v>
      </c>
      <c r="K55" s="24" cm="1">
        <f t="array" aca="1" ref="K55" ca="1">AVERAGE(VALUE(_xlfn.TEXTSPLIT(SUBSTITUTE(I55," m",""),"~")))/J55</f>
        <v>820</v>
      </c>
    </row>
    <row r="56" spans="1:11" x14ac:dyDescent="0.2">
      <c r="A56" s="22">
        <v>440107</v>
      </c>
      <c r="B56" s="22">
        <v>2</v>
      </c>
      <c r="C56" s="22">
        <v>1</v>
      </c>
      <c r="D56" s="4" t="b">
        <v>0</v>
      </c>
      <c r="E56" s="38" t="s">
        <v>147</v>
      </c>
      <c r="F56" s="22" t="str">
        <f t="shared" ref="F56:F59" si="29">G56&amp;"~"&amp;H56</f>
        <v>240~260</v>
      </c>
      <c r="G56" s="23">
        <v>240</v>
      </c>
      <c r="H56" s="23">
        <f t="shared" si="28"/>
        <v>260</v>
      </c>
    </row>
    <row r="57" spans="1:11" x14ac:dyDescent="0.2">
      <c r="A57" s="22">
        <v>440107</v>
      </c>
      <c r="B57" s="22">
        <v>3</v>
      </c>
      <c r="C57" s="22">
        <v>2</v>
      </c>
      <c r="D57" s="4" t="b">
        <v>0</v>
      </c>
      <c r="E57" s="38" t="s">
        <v>148</v>
      </c>
      <c r="F57" s="22" t="str">
        <f t="shared" si="29"/>
        <v>240~260</v>
      </c>
      <c r="G57" s="23">
        <v>240</v>
      </c>
      <c r="H57" s="23">
        <f t="shared" si="28"/>
        <v>260</v>
      </c>
    </row>
    <row r="58" spans="1:11" x14ac:dyDescent="0.2">
      <c r="A58" s="22">
        <v>440107</v>
      </c>
      <c r="B58" s="22">
        <v>4</v>
      </c>
      <c r="C58" s="22">
        <v>1</v>
      </c>
      <c r="D58" s="4" t="b">
        <v>0</v>
      </c>
      <c r="E58" s="38" t="s">
        <v>151</v>
      </c>
      <c r="F58" s="22" t="str">
        <f t="shared" si="29"/>
        <v>260~280</v>
      </c>
      <c r="G58" s="23">
        <v>260</v>
      </c>
      <c r="H58" s="23">
        <f t="shared" si="28"/>
        <v>280</v>
      </c>
    </row>
    <row r="59" spans="1:11" x14ac:dyDescent="0.2">
      <c r="A59" s="22">
        <v>440107</v>
      </c>
      <c r="B59" s="22">
        <v>5</v>
      </c>
      <c r="C59" s="22">
        <v>1</v>
      </c>
      <c r="D59" s="4" t="b">
        <v>0</v>
      </c>
      <c r="E59" s="38">
        <v>451004</v>
      </c>
      <c r="F59" s="22" t="str">
        <f t="shared" si="29"/>
        <v>260~280</v>
      </c>
      <c r="G59" s="23">
        <v>260</v>
      </c>
      <c r="H59" s="23">
        <f t="shared" si="28"/>
        <v>280</v>
      </c>
    </row>
    <row r="61" spans="1:11" x14ac:dyDescent="0.2">
      <c r="A61" s="22">
        <v>440108</v>
      </c>
      <c r="B61" s="22">
        <v>1</v>
      </c>
      <c r="C61" s="22">
        <v>1</v>
      </c>
      <c r="D61" s="4" t="b">
        <v>0</v>
      </c>
      <c r="E61" s="38">
        <v>451001</v>
      </c>
      <c r="F61" s="22" t="str">
        <f>G61&amp;"~"&amp;H61</f>
        <v>240~260</v>
      </c>
      <c r="G61" s="23">
        <v>240</v>
      </c>
      <c r="H61" s="23">
        <f t="shared" ref="H61:H65" si="30">MROUND(G61*1.05+10,20)</f>
        <v>260</v>
      </c>
      <c r="I61" s="24" t="str" cm="1">
        <f t="array" aca="1" ref="I61" ca="1">_xlfn.LET(_xlpm.sub_id_num,COUNTIF(A:A,A61),_xlpm.event_count,INDIRECT(locate(COLUMN(C61)-COLUMN(),_xlpm.sub_id_num),0),_xlpm.distance_min,INDIRECT(locate(COLUMN(G61)-COLUMN(),_xlpm.sub_id_num),0),_xlpm.distance_max,INDIRECT(locate(COLUMN(H61)-COLUMN(),_xlpm.sub_id_num),0),_xlpm.fixed_end_dis,$L$7*2,_xlpm.distance_sum_min,SUMPRODUCT(_xlpm.event_count,_xlpm.distance_min)*2+_xlpm.fixed_end_dis,_xlpm.distance_sum_max,SUMPRODUCT(_xlpm.event_count,_xlpm.distance_max)*2+_xlpm.fixed_end_dis,_xlpm.distance_sum_min&amp;"~"&amp;_xlpm.distance_sum_max)&amp;" m"</f>
        <v>3680~3960 m</v>
      </c>
      <c r="J61" s="24">
        <v>4</v>
      </c>
      <c r="K61" s="24" cm="1">
        <f t="array" aca="1" ref="K61" ca="1">AVERAGE(VALUE(_xlfn.TEXTSPLIT(SUBSTITUTE(I61," m",""),"~")))/J61</f>
        <v>955</v>
      </c>
    </row>
    <row r="62" spans="1:11" x14ac:dyDescent="0.2">
      <c r="A62" s="22">
        <v>440108</v>
      </c>
      <c r="B62" s="22">
        <v>2</v>
      </c>
      <c r="C62" s="22">
        <v>1</v>
      </c>
      <c r="D62" s="4" t="b">
        <v>0</v>
      </c>
      <c r="E62" s="38" t="s">
        <v>147</v>
      </c>
      <c r="F62" s="22" t="str">
        <f t="shared" ref="F62:F65" si="31">G62&amp;"~"&amp;H62</f>
        <v>240~260</v>
      </c>
      <c r="G62" s="23">
        <v>240</v>
      </c>
      <c r="H62" s="23">
        <f t="shared" si="30"/>
        <v>260</v>
      </c>
    </row>
    <row r="63" spans="1:11" x14ac:dyDescent="0.2">
      <c r="A63" s="22">
        <v>440108</v>
      </c>
      <c r="B63" s="22">
        <v>3</v>
      </c>
      <c r="C63" s="22">
        <v>2</v>
      </c>
      <c r="D63" s="4" t="b">
        <v>0</v>
      </c>
      <c r="E63" s="38" t="s">
        <v>148</v>
      </c>
      <c r="F63" s="22" t="str">
        <f t="shared" si="31"/>
        <v>240~260</v>
      </c>
      <c r="G63" s="23">
        <v>240</v>
      </c>
      <c r="H63" s="23">
        <f t="shared" si="30"/>
        <v>260</v>
      </c>
    </row>
    <row r="64" spans="1:11" x14ac:dyDescent="0.2">
      <c r="A64" s="22">
        <v>440108</v>
      </c>
      <c r="B64" s="22">
        <v>4</v>
      </c>
      <c r="C64" s="22">
        <v>2</v>
      </c>
      <c r="D64" s="4" t="b">
        <v>0</v>
      </c>
      <c r="E64" s="38" t="s">
        <v>151</v>
      </c>
      <c r="F64" s="22" t="str">
        <f t="shared" si="31"/>
        <v>260~280</v>
      </c>
      <c r="G64" s="23">
        <v>260</v>
      </c>
      <c r="H64" s="23">
        <f t="shared" si="30"/>
        <v>280</v>
      </c>
    </row>
    <row r="65" spans="1:11" x14ac:dyDescent="0.2">
      <c r="A65" s="22">
        <v>440108</v>
      </c>
      <c r="B65" s="22">
        <v>5</v>
      </c>
      <c r="C65" s="22">
        <v>1</v>
      </c>
      <c r="D65" s="4" t="b">
        <v>0</v>
      </c>
      <c r="E65" s="38">
        <v>451004</v>
      </c>
      <c r="F65" s="22" t="str">
        <f t="shared" si="31"/>
        <v>260~280</v>
      </c>
      <c r="G65" s="23">
        <v>260</v>
      </c>
      <c r="H65" s="23">
        <f t="shared" si="30"/>
        <v>280</v>
      </c>
    </row>
    <row r="67" spans="1:11" x14ac:dyDescent="0.2">
      <c r="A67" s="22">
        <v>440109</v>
      </c>
      <c r="B67" s="22">
        <v>10</v>
      </c>
      <c r="C67" s="22">
        <v>1</v>
      </c>
      <c r="D67" s="4" t="b">
        <v>0</v>
      </c>
      <c r="E67" s="38">
        <v>451001</v>
      </c>
      <c r="F67" s="22" t="str">
        <f>G67&amp;"~"&amp;H67</f>
        <v>240~260</v>
      </c>
      <c r="G67" s="23">
        <v>240</v>
      </c>
      <c r="H67" s="23">
        <f t="shared" ref="H67:H72" si="32">MROUND(G67*1.05+10,20)</f>
        <v>260</v>
      </c>
      <c r="I67" s="24" t="str" cm="1">
        <f t="array" aca="1" ref="I67" ca="1">_xlfn.LET(_xlpm.sub_id_num,COUNTIF(A:A,A67),_xlpm.event_count,INDIRECT(locate(COLUMN(C67)-COLUMN(),_xlpm.sub_id_num),0),_xlpm.distance_min,INDIRECT(locate(COLUMN(G67)-COLUMN(),_xlpm.sub_id_num),0),_xlpm.distance_max,INDIRECT(locate(COLUMN(H67)-COLUMN(),_xlpm.sub_id_num),0),_xlpm.fixed_end_dis,$L$7*2,_xlpm.distance_sum_min,SUMPRODUCT(_xlpm.event_count,_xlpm.distance_min)*2+_xlpm.fixed_end_dis,_xlpm.distance_sum_max,SUMPRODUCT(_xlpm.event_count,_xlpm.distance_max)*2+_xlpm.fixed_end_dis,_xlpm.distance_sum_min&amp;"~"&amp;_xlpm.distance_sum_max)&amp;" m"</f>
        <v>4160~4480 m</v>
      </c>
      <c r="J67" s="24">
        <v>4</v>
      </c>
      <c r="K67" s="24" cm="1">
        <f t="array" aca="1" ref="K67" ca="1">AVERAGE(VALUE(_xlfn.TEXTSPLIT(SUBSTITUTE(I67," m",""),"~")))/J67</f>
        <v>1080</v>
      </c>
    </row>
    <row r="68" spans="1:11" x14ac:dyDescent="0.2">
      <c r="A68" s="22">
        <v>440109</v>
      </c>
      <c r="B68" s="22">
        <v>20</v>
      </c>
      <c r="C68" s="22">
        <v>1</v>
      </c>
      <c r="D68" s="4" t="b">
        <v>1</v>
      </c>
      <c r="E68" s="38" t="s">
        <v>145</v>
      </c>
      <c r="F68" s="22" t="str">
        <f t="shared" ref="F68" si="33">G68&amp;"~"&amp;H68</f>
        <v>240~260</v>
      </c>
      <c r="G68" s="23">
        <v>240</v>
      </c>
      <c r="H68" s="23">
        <f t="shared" si="32"/>
        <v>260</v>
      </c>
    </row>
    <row r="69" spans="1:11" x14ac:dyDescent="0.2">
      <c r="A69" s="22">
        <v>440109</v>
      </c>
      <c r="B69" s="22">
        <v>21</v>
      </c>
      <c r="C69" s="22">
        <v>1</v>
      </c>
      <c r="D69" s="4" t="b">
        <v>0</v>
      </c>
      <c r="E69" s="38" t="s">
        <v>147</v>
      </c>
      <c r="F69" s="22" t="str">
        <f t="shared" ref="F69:F72" si="34">G69&amp;"~"&amp;H69</f>
        <v>240~260</v>
      </c>
      <c r="G69" s="23">
        <v>240</v>
      </c>
      <c r="H69" s="23">
        <f t="shared" si="32"/>
        <v>260</v>
      </c>
    </row>
    <row r="70" spans="1:11" x14ac:dyDescent="0.2">
      <c r="A70" s="22">
        <v>440109</v>
      </c>
      <c r="B70" s="22">
        <v>22</v>
      </c>
      <c r="C70" s="22">
        <v>2</v>
      </c>
      <c r="D70" s="4" t="b">
        <v>0</v>
      </c>
      <c r="E70" s="38" t="s">
        <v>148</v>
      </c>
      <c r="F70" s="22" t="str">
        <f t="shared" si="34"/>
        <v>240~260</v>
      </c>
      <c r="G70" s="23">
        <v>240</v>
      </c>
      <c r="H70" s="23">
        <f t="shared" si="32"/>
        <v>260</v>
      </c>
    </row>
    <row r="71" spans="1:11" x14ac:dyDescent="0.2">
      <c r="A71" s="22">
        <v>440109</v>
      </c>
      <c r="B71" s="22">
        <v>23</v>
      </c>
      <c r="C71" s="22">
        <v>2</v>
      </c>
      <c r="D71" s="4" t="b">
        <v>0</v>
      </c>
      <c r="E71" s="38" t="s">
        <v>151</v>
      </c>
      <c r="F71" s="22" t="str">
        <f t="shared" si="34"/>
        <v>260~280</v>
      </c>
      <c r="G71" s="23">
        <v>260</v>
      </c>
      <c r="H71" s="23">
        <f t="shared" si="32"/>
        <v>280</v>
      </c>
    </row>
    <row r="72" spans="1:11" x14ac:dyDescent="0.2">
      <c r="A72" s="22">
        <v>440109</v>
      </c>
      <c r="B72" s="22">
        <v>24</v>
      </c>
      <c r="C72" s="22">
        <v>1</v>
      </c>
      <c r="D72" s="4" t="b">
        <v>0</v>
      </c>
      <c r="E72" s="38">
        <v>451004</v>
      </c>
      <c r="F72" s="22" t="str">
        <f t="shared" si="34"/>
        <v>260~280</v>
      </c>
      <c r="G72" s="23">
        <v>260</v>
      </c>
      <c r="H72" s="23">
        <f t="shared" si="32"/>
        <v>280</v>
      </c>
    </row>
  </sheetData>
  <phoneticPr fontId="14" type="noConversion"/>
  <conditionalFormatting sqref="K1:K1048576">
    <cfRule type="dataBar" priority="1">
      <dataBar>
        <cfvo type="min"/>
        <cfvo type="max"/>
        <color rgb="FFC7D6EB"/>
      </dataBar>
      <extLst>
        <ext xmlns:x14="http://schemas.microsoft.com/office/spreadsheetml/2009/9/main" uri="{B025F937-C7B1-47D3-B67F-A62EFF666E3E}">
          <x14:id>{62932766-FAE1-4E32-8A77-82C9EF246C10}</x14:id>
        </ext>
      </extLst>
    </cfRule>
  </conditionalFormatting>
  <pageMargins left="0.75" right="0.75" top="1" bottom="1" header="0.5" footer="0.5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932766-FAE1-4E32-8A77-82C9EF246C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K1:K1048576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4"/>
  <sheetViews>
    <sheetView workbookViewId="0">
      <pane ySplit="4" topLeftCell="A5" activePane="bottomLeft" state="frozen"/>
      <selection pane="bottomLeft" activeCell="B21" sqref="B21"/>
    </sheetView>
  </sheetViews>
  <sheetFormatPr defaultColWidth="9.125" defaultRowHeight="14.25" x14ac:dyDescent="0.2"/>
  <cols>
    <col min="1" max="1" width="10.5" style="4" customWidth="1"/>
    <col min="2" max="2" width="13.625" style="5" customWidth="1"/>
    <col min="3" max="3" width="18.625" style="5" customWidth="1"/>
    <col min="4" max="4" width="9.5" style="5" customWidth="1"/>
    <col min="5" max="5" width="10.5" style="4" customWidth="1"/>
    <col min="6" max="6" width="12.75" style="4" customWidth="1"/>
    <col min="7" max="7" width="13.375" style="4" customWidth="1"/>
    <col min="8" max="8" width="18.75" style="4" customWidth="1"/>
    <col min="9" max="9" width="26" style="6" customWidth="1"/>
    <col min="10" max="10" width="37.625" style="4" customWidth="1"/>
    <col min="11" max="11" width="36.875" style="4" customWidth="1"/>
    <col min="12" max="12" width="13.375" style="4" customWidth="1"/>
    <col min="13" max="16384" width="9.125" style="4"/>
  </cols>
  <sheetData>
    <row r="1" spans="1:18" x14ac:dyDescent="0.2">
      <c r="A1" s="40" t="s">
        <v>24</v>
      </c>
      <c r="B1" s="40"/>
      <c r="C1" s="40"/>
      <c r="D1" s="40"/>
      <c r="E1" s="40"/>
      <c r="F1" s="40"/>
    </row>
    <row r="2" spans="1:18" s="1" customFormat="1" x14ac:dyDescent="0.2">
      <c r="A2" s="1" t="s">
        <v>25</v>
      </c>
      <c r="B2" s="7"/>
      <c r="C2" s="7"/>
      <c r="D2" s="7"/>
      <c r="E2" s="1" t="s">
        <v>26</v>
      </c>
      <c r="F2" s="1" t="s">
        <v>27</v>
      </c>
      <c r="G2" s="1" t="s">
        <v>28</v>
      </c>
      <c r="H2" s="1" t="s">
        <v>29</v>
      </c>
      <c r="I2" s="12"/>
      <c r="J2" s="1" t="s">
        <v>30</v>
      </c>
      <c r="K2" s="1" t="s">
        <v>31</v>
      </c>
      <c r="L2" s="1" t="s">
        <v>32</v>
      </c>
    </row>
    <row r="3" spans="1:18" s="2" customFormat="1" x14ac:dyDescent="0.2">
      <c r="A3" s="2" t="s">
        <v>6</v>
      </c>
      <c r="B3" s="7"/>
      <c r="C3" s="7"/>
      <c r="D3" s="7"/>
      <c r="E3" s="2" t="s">
        <v>33</v>
      </c>
      <c r="F3" s="2" t="s">
        <v>34</v>
      </c>
      <c r="G3" s="2" t="s">
        <v>35</v>
      </c>
      <c r="H3" s="2" t="s">
        <v>36</v>
      </c>
      <c r="I3" s="12"/>
      <c r="J3" s="2" t="s">
        <v>35</v>
      </c>
      <c r="K3" s="2" t="s">
        <v>35</v>
      </c>
      <c r="L3" s="2" t="s">
        <v>37</v>
      </c>
    </row>
    <row r="4" spans="1:18" s="3" customFormat="1" ht="42.75" x14ac:dyDescent="0.2">
      <c r="A4" s="8" t="s">
        <v>38</v>
      </c>
      <c r="B4" s="9" t="s">
        <v>39</v>
      </c>
      <c r="C4" s="9" t="s">
        <v>40</v>
      </c>
      <c r="D4" s="9" t="s">
        <v>41</v>
      </c>
      <c r="E4" s="8" t="s">
        <v>42</v>
      </c>
      <c r="F4" s="10" t="s">
        <v>43</v>
      </c>
      <c r="G4" s="10" t="s">
        <v>44</v>
      </c>
      <c r="H4" s="10" t="s">
        <v>45</v>
      </c>
      <c r="I4" s="13" t="s">
        <v>46</v>
      </c>
      <c r="J4" s="14" t="s">
        <v>47</v>
      </c>
      <c r="K4" s="14" t="s">
        <v>48</v>
      </c>
      <c r="L4" s="10" t="s">
        <v>49</v>
      </c>
      <c r="N4" s="14" t="s">
        <v>50</v>
      </c>
    </row>
    <row r="5" spans="1:18" x14ac:dyDescent="0.2">
      <c r="A5" s="4">
        <v>45001</v>
      </c>
      <c r="B5" s="5" t="s">
        <v>51</v>
      </c>
      <c r="C5" s="5" t="s">
        <v>52</v>
      </c>
      <c r="D5" s="5">
        <v>1</v>
      </c>
      <c r="E5" s="4" t="s">
        <v>53</v>
      </c>
      <c r="F5" s="11"/>
      <c r="G5" s="11"/>
      <c r="H5" s="11"/>
      <c r="I5" s="6" t="s">
        <v>54</v>
      </c>
      <c r="J5" s="15" t="str">
        <f>_xlfn.TEXTJOIN("_",1,"esdg",$A5,$I5)</f>
        <v>esdg_45001_wooden_box_coin</v>
      </c>
      <c r="K5" s="15" t="str">
        <f t="shared" ref="K5:K26" si="0">_xlfn.TEXTJOIN("_",1,"esar",$A5,$I5)</f>
        <v>esar_45001_wooden_box_coin</v>
      </c>
      <c r="L5" s="11"/>
      <c r="N5" s="4">
        <v>1</v>
      </c>
      <c r="P5" s="4">
        <v>1</v>
      </c>
      <c r="R5" s="4" t="str" cm="1">
        <f t="array" ref="R5">_xlfn.TEXTJOIN(";",1,IF(($N$5:$N$29)*($D$5:$D$29=P5),$A$5:$A$29,""))</f>
        <v>45001;45002;45003</v>
      </c>
    </row>
    <row r="6" spans="1:18" x14ac:dyDescent="0.2">
      <c r="A6" s="4">
        <v>45002</v>
      </c>
      <c r="B6" s="5" t="s">
        <v>51</v>
      </c>
      <c r="C6" s="5" t="s">
        <v>55</v>
      </c>
      <c r="D6" s="5">
        <v>1</v>
      </c>
      <c r="E6" s="4" t="s">
        <v>53</v>
      </c>
      <c r="F6" s="11"/>
      <c r="G6" s="11"/>
      <c r="H6" s="11"/>
      <c r="I6" s="6" t="s">
        <v>56</v>
      </c>
      <c r="J6" s="15" t="str">
        <f t="shared" ref="J6:J26" si="1">_xlfn.TEXTJOIN("_",1,"esdg",$A6,$I6)</f>
        <v>esdg_45002_wooden_box_food</v>
      </c>
      <c r="K6" s="15" t="str">
        <f t="shared" si="0"/>
        <v>esar_45002_wooden_box_food</v>
      </c>
      <c r="L6" s="11"/>
      <c r="N6" s="4">
        <v>1</v>
      </c>
      <c r="P6" s="4">
        <v>2</v>
      </c>
      <c r="R6" s="4" t="str" cm="1">
        <f t="array" ref="R6">_xlfn.TEXTJOIN(";",1,IF(($N$5:$N$29)*($D$5:$D$29=P6),$A$5:$A$29,""))</f>
        <v>45004;45061;45062;45063;45064;45065</v>
      </c>
    </row>
    <row r="7" spans="1:18" x14ac:dyDescent="0.2">
      <c r="A7" s="4">
        <v>45003</v>
      </c>
      <c r="B7" s="5" t="s">
        <v>51</v>
      </c>
      <c r="C7" s="5" t="s">
        <v>57</v>
      </c>
      <c r="D7" s="5">
        <v>1</v>
      </c>
      <c r="E7" s="4" t="s">
        <v>53</v>
      </c>
      <c r="F7" s="11"/>
      <c r="G7" s="11"/>
      <c r="H7" s="11"/>
      <c r="I7" s="6" t="s">
        <v>58</v>
      </c>
      <c r="J7" s="15" t="str">
        <f t="shared" si="1"/>
        <v>esdg_45003_wooden_box_wood</v>
      </c>
      <c r="K7" s="15" t="str">
        <f t="shared" si="0"/>
        <v>esar_45003_wooden_box_wood</v>
      </c>
      <c r="L7" s="11"/>
      <c r="N7" s="4">
        <v>1</v>
      </c>
      <c r="P7" s="4">
        <v>3</v>
      </c>
      <c r="R7" s="4" t="str" cm="1">
        <f t="array" ref="R7">_xlfn.TEXTJOIN(";",1,IF(($N$5:$N$29)*($D$5:$D$29=P7),$A$5:$A$29,""))</f>
        <v>45041;45043;45045</v>
      </c>
    </row>
    <row r="8" spans="1:18" x14ac:dyDescent="0.2">
      <c r="A8" s="4">
        <v>45004</v>
      </c>
      <c r="B8" s="5" t="s">
        <v>51</v>
      </c>
      <c r="C8" s="5" t="s">
        <v>59</v>
      </c>
      <c r="D8" s="5">
        <v>2</v>
      </c>
      <c r="E8" s="4" t="s">
        <v>53</v>
      </c>
      <c r="F8" s="11"/>
      <c r="G8" s="11"/>
      <c r="H8" s="11"/>
      <c r="I8" s="6" t="s">
        <v>60</v>
      </c>
      <c r="J8" s="15" t="str">
        <f t="shared" si="1"/>
        <v>esdg_45004_wooden_box_weapon_parts</v>
      </c>
      <c r="K8" s="15" t="str">
        <f t="shared" si="0"/>
        <v>esar_45004_wooden_box_weapon_parts</v>
      </c>
      <c r="L8" s="11"/>
      <c r="N8" s="4">
        <v>1</v>
      </c>
    </row>
    <row r="9" spans="1:18" x14ac:dyDescent="0.2">
      <c r="A9" s="4">
        <v>45011</v>
      </c>
      <c r="B9" s="5" t="s">
        <v>61</v>
      </c>
      <c r="C9" s="5" t="s">
        <v>62</v>
      </c>
      <c r="E9" s="4" t="s">
        <v>53</v>
      </c>
      <c r="F9" s="11"/>
      <c r="G9" s="11"/>
      <c r="H9" s="11"/>
      <c r="I9" s="6" t="s">
        <v>63</v>
      </c>
      <c r="J9" s="15" t="str">
        <f t="shared" si="1"/>
        <v>esdg_45011_stranded_traveler_item</v>
      </c>
      <c r="K9" s="15" t="str">
        <f t="shared" si="0"/>
        <v>esar_45011_stranded_traveler_item</v>
      </c>
      <c r="L9" s="11"/>
      <c r="N9" s="4">
        <v>1</v>
      </c>
    </row>
    <row r="10" spans="1:18" x14ac:dyDescent="0.2">
      <c r="A10" s="4">
        <v>45012</v>
      </c>
      <c r="B10" s="5" t="s">
        <v>64</v>
      </c>
      <c r="C10" s="5" t="s">
        <v>65</v>
      </c>
      <c r="E10" s="4" t="s">
        <v>53</v>
      </c>
      <c r="F10" s="11"/>
      <c r="G10" s="11"/>
      <c r="H10" s="11"/>
      <c r="I10" s="6" t="s">
        <v>66</v>
      </c>
      <c r="J10" s="4" t="str">
        <f t="shared" si="1"/>
        <v>esdg_45012_stranded_traveler</v>
      </c>
      <c r="K10" s="16" t="str">
        <f t="shared" si="0"/>
        <v>esar_45012_stranded_traveler</v>
      </c>
      <c r="L10" s="11"/>
    </row>
    <row r="11" spans="1:18" x14ac:dyDescent="0.2">
      <c r="A11" s="4">
        <v>45020</v>
      </c>
      <c r="B11" s="5" t="s">
        <v>67</v>
      </c>
      <c r="C11" s="5" t="s">
        <v>68</v>
      </c>
      <c r="E11" s="4" t="s">
        <v>53</v>
      </c>
      <c r="F11" s="11"/>
      <c r="G11" s="11"/>
      <c r="H11" s="11"/>
      <c r="I11" s="6" t="s">
        <v>69</v>
      </c>
      <c r="J11" s="4" t="str">
        <f t="shared" si="1"/>
        <v>esdg_45020_campfire</v>
      </c>
      <c r="K11" s="16" t="str">
        <f t="shared" si="0"/>
        <v>esar_45020_campfire</v>
      </c>
      <c r="L11" s="11"/>
    </row>
    <row r="12" spans="1:18" x14ac:dyDescent="0.2">
      <c r="A12" s="4">
        <v>45031</v>
      </c>
      <c r="B12" s="5" t="s">
        <v>70</v>
      </c>
      <c r="C12" s="5" t="s">
        <v>71</v>
      </c>
      <c r="E12" s="4" t="s">
        <v>53</v>
      </c>
      <c r="F12" s="11"/>
      <c r="G12" s="11"/>
      <c r="H12" s="11"/>
      <c r="I12" s="6" t="s">
        <v>72</v>
      </c>
      <c r="J12" s="15" t="str">
        <f t="shared" si="1"/>
        <v>esdg_45031_altar_blessing</v>
      </c>
      <c r="K12" s="15" t="str">
        <f t="shared" si="0"/>
        <v>esar_45031_altar_blessing</v>
      </c>
      <c r="L12" s="11"/>
      <c r="N12" s="4">
        <v>1</v>
      </c>
    </row>
    <row r="13" spans="1:18" x14ac:dyDescent="0.2">
      <c r="A13" s="4">
        <v>45032</v>
      </c>
      <c r="B13" s="5" t="s">
        <v>70</v>
      </c>
      <c r="C13" s="5" t="s">
        <v>73</v>
      </c>
      <c r="E13" s="4" t="s">
        <v>53</v>
      </c>
      <c r="F13" s="11"/>
      <c r="G13" s="11"/>
      <c r="H13" s="11"/>
      <c r="I13" s="6" t="s">
        <v>74</v>
      </c>
      <c r="J13" s="4" t="str">
        <f t="shared" si="1"/>
        <v>esdg_45032_altar_mysteries</v>
      </c>
      <c r="K13" s="16" t="str">
        <f t="shared" si="0"/>
        <v>esar_45032_altar_mysteries</v>
      </c>
      <c r="L13" s="11"/>
    </row>
    <row r="14" spans="1:18" x14ac:dyDescent="0.2">
      <c r="A14" s="4">
        <v>45033</v>
      </c>
      <c r="B14" s="5" t="s">
        <v>70</v>
      </c>
      <c r="C14" s="5" t="s">
        <v>75</v>
      </c>
      <c r="E14" s="4" t="s">
        <v>53</v>
      </c>
      <c r="F14" s="11"/>
      <c r="G14" s="11"/>
      <c r="H14" s="11"/>
      <c r="I14" s="6" t="s">
        <v>76</v>
      </c>
      <c r="J14" s="4" t="str">
        <f t="shared" si="1"/>
        <v>esdg_45033_altar_cult</v>
      </c>
      <c r="K14" s="16" t="str">
        <f t="shared" si="0"/>
        <v>esar_45033_altar_cult</v>
      </c>
      <c r="L14" s="11"/>
    </row>
    <row r="15" spans="1:18" x14ac:dyDescent="0.2">
      <c r="A15" s="4">
        <v>45041</v>
      </c>
      <c r="B15" s="5" t="s">
        <v>77</v>
      </c>
      <c r="C15" s="5" t="s">
        <v>78</v>
      </c>
      <c r="D15" s="5">
        <v>3</v>
      </c>
      <c r="E15" s="4" t="s">
        <v>53</v>
      </c>
      <c r="F15" s="11"/>
      <c r="G15" s="11"/>
      <c r="H15" s="11"/>
      <c r="I15" s="6" t="s">
        <v>79</v>
      </c>
      <c r="J15" s="15" t="str">
        <f t="shared" si="1"/>
        <v>esdg_45041_traveller_cook</v>
      </c>
      <c r="K15" s="15" t="str">
        <f t="shared" si="0"/>
        <v>esar_45041_traveller_cook</v>
      </c>
      <c r="L15" s="11"/>
      <c r="N15" s="4">
        <v>1</v>
      </c>
    </row>
    <row r="16" spans="1:18" x14ac:dyDescent="0.2">
      <c r="A16" s="4">
        <v>45042</v>
      </c>
      <c r="B16" s="5" t="s">
        <v>77</v>
      </c>
      <c r="C16" s="5" t="s">
        <v>80</v>
      </c>
      <c r="D16" s="5">
        <v>3</v>
      </c>
      <c r="E16" s="4" t="s">
        <v>53</v>
      </c>
      <c r="F16" s="11"/>
      <c r="G16" s="11"/>
      <c r="H16" s="11"/>
      <c r="I16" s="6" t="s">
        <v>81</v>
      </c>
      <c r="J16" s="4" t="str">
        <f t="shared" si="1"/>
        <v>esdg_45042_traveller_craftsman</v>
      </c>
      <c r="K16" s="16" t="str">
        <f t="shared" si="0"/>
        <v>esar_45042_traveller_craftsman</v>
      </c>
      <c r="L16" s="11"/>
    </row>
    <row r="17" spans="1:14" x14ac:dyDescent="0.2">
      <c r="A17" s="4">
        <v>45043</v>
      </c>
      <c r="B17" s="5" t="s">
        <v>77</v>
      </c>
      <c r="C17" s="5" t="s">
        <v>82</v>
      </c>
      <c r="D17" s="5">
        <v>3</v>
      </c>
      <c r="E17" s="4" t="s">
        <v>53</v>
      </c>
      <c r="F17" s="11"/>
      <c r="G17" s="11"/>
      <c r="H17" s="11"/>
      <c r="I17" s="6" t="s">
        <v>83</v>
      </c>
      <c r="J17" s="15" t="str">
        <f t="shared" si="1"/>
        <v>esdg_45043_traveller_hunter</v>
      </c>
      <c r="K17" s="15" t="str">
        <f t="shared" si="0"/>
        <v>esar_45043_traveller_hunter</v>
      </c>
      <c r="L17" s="11"/>
      <c r="N17" s="4">
        <v>1</v>
      </c>
    </row>
    <row r="18" spans="1:14" x14ac:dyDescent="0.2">
      <c r="A18" s="4">
        <v>45044</v>
      </c>
      <c r="B18" s="5" t="s">
        <v>77</v>
      </c>
      <c r="C18" s="5" t="s">
        <v>84</v>
      </c>
      <c r="D18" s="5">
        <v>3</v>
      </c>
      <c r="E18" s="4" t="s">
        <v>53</v>
      </c>
      <c r="F18" s="11"/>
      <c r="G18" s="11"/>
      <c r="H18" s="11"/>
      <c r="I18" s="6" t="s">
        <v>85</v>
      </c>
      <c r="J18" s="4" t="str">
        <f t="shared" si="1"/>
        <v>esdg_45044_traveller_weaver</v>
      </c>
      <c r="K18" s="16" t="str">
        <f t="shared" si="0"/>
        <v>esar_45044_traveller_weaver</v>
      </c>
      <c r="L18" s="11"/>
    </row>
    <row r="19" spans="1:14" x14ac:dyDescent="0.2">
      <c r="A19" s="4">
        <v>45045</v>
      </c>
      <c r="B19" s="5" t="s">
        <v>77</v>
      </c>
      <c r="C19" s="5" t="s">
        <v>86</v>
      </c>
      <c r="D19" s="5">
        <v>3</v>
      </c>
      <c r="E19" s="4" t="s">
        <v>53</v>
      </c>
      <c r="F19" s="11"/>
      <c r="G19" s="11"/>
      <c r="H19" s="11"/>
      <c r="I19" s="6" t="s">
        <v>87</v>
      </c>
      <c r="J19" s="15" t="str">
        <f t="shared" si="1"/>
        <v>esdg_45045_traveller_peasant</v>
      </c>
      <c r="K19" s="15" t="str">
        <f t="shared" si="0"/>
        <v>esar_45045_traveller_peasant</v>
      </c>
      <c r="L19" s="11"/>
      <c r="N19" s="4">
        <v>1</v>
      </c>
    </row>
    <row r="20" spans="1:14" x14ac:dyDescent="0.2">
      <c r="A20" s="4">
        <v>45061</v>
      </c>
      <c r="B20" s="5" t="s">
        <v>88</v>
      </c>
      <c r="C20" s="5" t="s">
        <v>89</v>
      </c>
      <c r="D20" s="5">
        <v>2</v>
      </c>
      <c r="E20" s="4" t="s">
        <v>53</v>
      </c>
      <c r="F20" s="11"/>
      <c r="G20" s="11"/>
      <c r="H20" s="11"/>
      <c r="I20" s="6" t="s">
        <v>90</v>
      </c>
      <c r="J20" s="15" t="str">
        <f t="shared" si="1"/>
        <v>esdg_45061_collet_fruit</v>
      </c>
      <c r="K20" s="15" t="str">
        <f t="shared" si="0"/>
        <v>esar_45061_collet_fruit</v>
      </c>
      <c r="L20" s="11"/>
      <c r="N20" s="4">
        <v>1</v>
      </c>
    </row>
    <row r="21" spans="1:14" x14ac:dyDescent="0.2">
      <c r="A21" s="4">
        <v>45062</v>
      </c>
      <c r="B21" s="5" t="s">
        <v>88</v>
      </c>
      <c r="C21" s="5" t="s">
        <v>91</v>
      </c>
      <c r="D21" s="5">
        <v>2</v>
      </c>
      <c r="E21" s="4" t="s">
        <v>53</v>
      </c>
      <c r="F21" s="11"/>
      <c r="G21" s="11"/>
      <c r="H21" s="11"/>
      <c r="I21" s="6" t="s">
        <v>92</v>
      </c>
      <c r="J21" s="15" t="str">
        <f t="shared" si="1"/>
        <v>esdg_45062_collet_timber</v>
      </c>
      <c r="K21" s="15" t="str">
        <f t="shared" si="0"/>
        <v>esar_45062_collet_timber</v>
      </c>
      <c r="L21" s="11"/>
      <c r="N21" s="4">
        <v>1</v>
      </c>
    </row>
    <row r="22" spans="1:14" x14ac:dyDescent="0.2">
      <c r="A22" s="4">
        <v>45063</v>
      </c>
      <c r="B22" s="5" t="s">
        <v>88</v>
      </c>
      <c r="C22" s="5" t="s">
        <v>93</v>
      </c>
      <c r="D22" s="5">
        <v>2</v>
      </c>
      <c r="E22" s="4" t="s">
        <v>53</v>
      </c>
      <c r="F22" s="11"/>
      <c r="G22" s="11"/>
      <c r="H22" s="11"/>
      <c r="I22" s="6" t="s">
        <v>94</v>
      </c>
      <c r="J22" s="15" t="str">
        <f t="shared" si="1"/>
        <v>esdg_45063_collet_stone</v>
      </c>
      <c r="K22" s="15" t="str">
        <f t="shared" si="0"/>
        <v>esar_45063_collet_stone</v>
      </c>
      <c r="L22" s="11"/>
      <c r="N22" s="4">
        <v>1</v>
      </c>
    </row>
    <row r="23" spans="1:14" x14ac:dyDescent="0.2">
      <c r="A23" s="4">
        <v>45064</v>
      </c>
      <c r="B23" s="5" t="s">
        <v>88</v>
      </c>
      <c r="C23" s="5" t="s">
        <v>95</v>
      </c>
      <c r="D23" s="5">
        <v>2</v>
      </c>
      <c r="E23" s="4" t="s">
        <v>53</v>
      </c>
      <c r="F23" s="11"/>
      <c r="G23" s="11"/>
      <c r="H23" s="11"/>
      <c r="I23" s="6" t="s">
        <v>96</v>
      </c>
      <c r="J23" s="15" t="str">
        <f t="shared" si="1"/>
        <v>esdg_45064_collet_ore</v>
      </c>
      <c r="K23" s="15" t="str">
        <f t="shared" si="0"/>
        <v>esar_45064_collet_ore</v>
      </c>
      <c r="L23" s="11"/>
      <c r="N23" s="4">
        <v>1</v>
      </c>
    </row>
    <row r="24" spans="1:14" x14ac:dyDescent="0.2">
      <c r="A24" s="4">
        <v>45065</v>
      </c>
      <c r="B24" s="5" t="s">
        <v>88</v>
      </c>
      <c r="C24" s="5" t="s">
        <v>97</v>
      </c>
      <c r="D24" s="5">
        <v>2</v>
      </c>
      <c r="E24" s="4" t="s">
        <v>53</v>
      </c>
      <c r="F24" s="11"/>
      <c r="G24" s="11"/>
      <c r="H24" s="11"/>
      <c r="I24" s="6" t="s">
        <v>98</v>
      </c>
      <c r="J24" s="15" t="str">
        <f t="shared" si="1"/>
        <v>esdg_45065_collet_fiber</v>
      </c>
      <c r="K24" s="15" t="str">
        <f t="shared" si="0"/>
        <v>esar_45065_collet_fiber</v>
      </c>
      <c r="L24" s="11"/>
      <c r="N24" s="4">
        <v>1</v>
      </c>
    </row>
    <row r="25" spans="1:14" x14ac:dyDescent="0.2">
      <c r="A25" s="4">
        <v>45066</v>
      </c>
      <c r="B25" s="5" t="s">
        <v>88</v>
      </c>
      <c r="C25" s="5" t="s">
        <v>99</v>
      </c>
      <c r="D25" s="5">
        <v>2</v>
      </c>
      <c r="E25" s="4" t="s">
        <v>53</v>
      </c>
      <c r="F25" s="11"/>
      <c r="G25" s="11"/>
      <c r="H25" s="11"/>
      <c r="I25" s="6" t="s">
        <v>100</v>
      </c>
      <c r="J25" s="17" t="str">
        <f t="shared" si="1"/>
        <v>esdg_45066_collet_glue</v>
      </c>
      <c r="K25" s="16" t="str">
        <f t="shared" si="0"/>
        <v>esar_45066_collet_glue</v>
      </c>
      <c r="L25" s="11"/>
    </row>
    <row r="26" spans="1:14" x14ac:dyDescent="0.2">
      <c r="A26" s="4">
        <v>45067</v>
      </c>
      <c r="B26" s="5" t="s">
        <v>88</v>
      </c>
      <c r="C26" s="5" t="s">
        <v>101</v>
      </c>
      <c r="D26" s="5">
        <v>2</v>
      </c>
      <c r="E26" s="4" t="s">
        <v>53</v>
      </c>
      <c r="F26" s="11"/>
      <c r="G26" s="11"/>
      <c r="H26" s="11"/>
      <c r="I26" s="6" t="s">
        <v>102</v>
      </c>
      <c r="J26" s="17" t="str">
        <f t="shared" si="1"/>
        <v>esdg_45067_collet_meat</v>
      </c>
      <c r="K26" s="16" t="str">
        <f t="shared" si="0"/>
        <v>esar_45067_collet_meat</v>
      </c>
      <c r="L26" s="11"/>
    </row>
    <row r="28" spans="1:14" x14ac:dyDescent="0.2">
      <c r="A28" s="4">
        <v>45991</v>
      </c>
      <c r="B28" s="5" t="s">
        <v>103</v>
      </c>
      <c r="C28" s="5" t="s">
        <v>104</v>
      </c>
      <c r="D28" s="5">
        <v>-1</v>
      </c>
      <c r="E28" s="4" t="s">
        <v>53</v>
      </c>
      <c r="F28" s="11"/>
      <c r="G28" s="11"/>
      <c r="H28" s="11"/>
      <c r="I28" s="6" t="s">
        <v>105</v>
      </c>
      <c r="J28" s="4" t="str">
        <f>_xlfn.TEXTJOIN("_",1,"esdg",$A28,$I28)</f>
        <v>esdg_45991_beacon_stele</v>
      </c>
      <c r="K28" s="15" t="str">
        <f>_xlfn.TEXTJOIN("_",1,"esar",$A28,$I28)</f>
        <v>esar_45991_beacon_stele</v>
      </c>
      <c r="L28" s="11"/>
    </row>
    <row r="29" spans="1:14" x14ac:dyDescent="0.2">
      <c r="A29" s="4">
        <v>45992</v>
      </c>
      <c r="B29" s="5" t="s">
        <v>103</v>
      </c>
      <c r="C29" s="5" t="s">
        <v>106</v>
      </c>
      <c r="D29" s="5">
        <v>-1</v>
      </c>
      <c r="E29" s="4" t="s">
        <v>53</v>
      </c>
      <c r="F29" s="11"/>
      <c r="G29" s="11"/>
      <c r="H29" s="11"/>
      <c r="I29" s="6" t="s">
        <v>107</v>
      </c>
      <c r="J29" s="4" t="str">
        <f>_xlfn.TEXTJOIN("_",1,"esdg",$A29,$I29)</f>
        <v>esdg_45992_beacon_camp</v>
      </c>
      <c r="K29" s="17" t="str">
        <f>_xlfn.TEXTJOIN("_",1,"esar",$A29,$I29)</f>
        <v>esar_45992_beacon_camp</v>
      </c>
      <c r="L29" s="11"/>
    </row>
    <row r="33" spans="1:12" x14ac:dyDescent="0.2">
      <c r="A33" s="4">
        <v>451001</v>
      </c>
      <c r="B33" s="5" t="s">
        <v>134</v>
      </c>
      <c r="C33" s="5" t="s">
        <v>143</v>
      </c>
      <c r="D33" s="5">
        <v>1</v>
      </c>
      <c r="E33" s="4" t="s">
        <v>113</v>
      </c>
      <c r="F33" s="11"/>
      <c r="G33" s="11"/>
      <c r="H33" s="11"/>
      <c r="I33" s="18" t="s">
        <v>68</v>
      </c>
      <c r="J33" s="11"/>
      <c r="K33" s="19" t="s">
        <v>114</v>
      </c>
      <c r="L33" s="38" t="s">
        <v>144</v>
      </c>
    </row>
    <row r="34" spans="1:12" x14ac:dyDescent="0.2">
      <c r="A34" s="4">
        <v>451002</v>
      </c>
      <c r="B34" s="5" t="s">
        <v>134</v>
      </c>
      <c r="C34" s="5" t="s">
        <v>141</v>
      </c>
      <c r="D34" s="5">
        <v>2</v>
      </c>
      <c r="E34" s="4" t="s">
        <v>113</v>
      </c>
      <c r="F34" s="11"/>
      <c r="G34" s="11"/>
      <c r="H34" s="11"/>
      <c r="I34" s="18" t="s">
        <v>68</v>
      </c>
      <c r="J34" s="11"/>
      <c r="K34" s="19" t="s">
        <v>114</v>
      </c>
      <c r="L34" s="38" t="s">
        <v>135</v>
      </c>
    </row>
    <row r="35" spans="1:12" x14ac:dyDescent="0.2">
      <c r="A35" s="4">
        <v>451003</v>
      </c>
      <c r="B35" s="5" t="s">
        <v>134</v>
      </c>
      <c r="C35" s="5" t="s">
        <v>142</v>
      </c>
      <c r="D35" s="5">
        <v>3</v>
      </c>
      <c r="E35" s="4" t="s">
        <v>113</v>
      </c>
      <c r="F35" s="11"/>
      <c r="G35" s="11"/>
      <c r="H35" s="11"/>
      <c r="I35" s="18" t="s">
        <v>68</v>
      </c>
      <c r="J35" s="11"/>
      <c r="K35" s="19" t="s">
        <v>114</v>
      </c>
      <c r="L35" s="38" t="s">
        <v>150</v>
      </c>
    </row>
    <row r="36" spans="1:12" x14ac:dyDescent="0.2">
      <c r="A36" s="4">
        <v>451004</v>
      </c>
      <c r="B36" s="5" t="s">
        <v>134</v>
      </c>
      <c r="C36" s="5" t="s">
        <v>142</v>
      </c>
      <c r="D36" s="5">
        <v>4</v>
      </c>
      <c r="E36" s="4" t="s">
        <v>113</v>
      </c>
      <c r="F36" s="11"/>
      <c r="G36" s="11"/>
      <c r="H36" s="11"/>
      <c r="I36" s="18" t="s">
        <v>68</v>
      </c>
      <c r="J36" s="11"/>
      <c r="K36" s="19" t="s">
        <v>114</v>
      </c>
      <c r="L36" s="38" t="s">
        <v>136</v>
      </c>
    </row>
    <row r="38" spans="1:12" x14ac:dyDescent="0.2">
      <c r="A38" s="4">
        <v>452001</v>
      </c>
      <c r="B38" s="5" t="s">
        <v>134</v>
      </c>
      <c r="C38" s="5" t="s">
        <v>139</v>
      </c>
      <c r="D38" s="5">
        <v>1</v>
      </c>
      <c r="E38" s="4" t="s">
        <v>113</v>
      </c>
      <c r="F38" s="11"/>
      <c r="G38" s="11"/>
      <c r="H38" s="11"/>
      <c r="I38" s="18" t="s">
        <v>68</v>
      </c>
      <c r="J38" s="11"/>
      <c r="K38" s="19" t="s">
        <v>114</v>
      </c>
      <c r="L38" s="38" t="s">
        <v>137</v>
      </c>
    </row>
    <row r="39" spans="1:12" x14ac:dyDescent="0.2">
      <c r="A39" s="4">
        <v>452002</v>
      </c>
      <c r="B39" s="5" t="s">
        <v>134</v>
      </c>
      <c r="C39" s="5" t="s">
        <v>140</v>
      </c>
      <c r="D39" s="5">
        <v>2</v>
      </c>
      <c r="E39" s="4" t="s">
        <v>113</v>
      </c>
      <c r="F39" s="11"/>
      <c r="G39" s="11"/>
      <c r="H39" s="11"/>
      <c r="I39" s="18" t="s">
        <v>68</v>
      </c>
      <c r="J39" s="11"/>
      <c r="K39" s="19" t="s">
        <v>114</v>
      </c>
      <c r="L39" s="38" t="s">
        <v>138</v>
      </c>
    </row>
    <row r="42" spans="1:12" x14ac:dyDescent="0.2">
      <c r="A42" s="4">
        <v>453001</v>
      </c>
      <c r="B42" s="5" t="s">
        <v>108</v>
      </c>
      <c r="C42" s="5" t="s">
        <v>109</v>
      </c>
      <c r="D42" s="5">
        <v>1</v>
      </c>
      <c r="E42" s="4" t="s">
        <v>110</v>
      </c>
      <c r="F42" s="4">
        <v>211101</v>
      </c>
      <c r="G42" s="4" t="s">
        <v>111</v>
      </c>
      <c r="H42" s="4" t="s">
        <v>146</v>
      </c>
      <c r="I42" s="18" t="s">
        <v>68</v>
      </c>
      <c r="J42" s="11"/>
      <c r="K42" s="11"/>
      <c r="L42" s="11"/>
    </row>
    <row r="43" spans="1:12" x14ac:dyDescent="0.2">
      <c r="A43" s="4">
        <v>453002</v>
      </c>
      <c r="B43" s="5" t="s">
        <v>108</v>
      </c>
      <c r="C43" s="5" t="s">
        <v>109</v>
      </c>
      <c r="D43" s="5">
        <v>2</v>
      </c>
      <c r="E43" s="4" t="s">
        <v>110</v>
      </c>
      <c r="F43" s="4">
        <v>211102</v>
      </c>
      <c r="G43" s="4" t="s">
        <v>111</v>
      </c>
      <c r="H43" s="4" t="s">
        <v>146</v>
      </c>
      <c r="I43" s="18" t="s">
        <v>68</v>
      </c>
      <c r="J43" s="11"/>
      <c r="K43" s="11"/>
      <c r="L43" s="11"/>
    </row>
    <row r="44" spans="1:12" x14ac:dyDescent="0.2">
      <c r="A44" s="4">
        <v>453003</v>
      </c>
      <c r="B44" s="5" t="s">
        <v>108</v>
      </c>
      <c r="C44" s="5" t="s">
        <v>112</v>
      </c>
      <c r="D44" s="5">
        <v>3</v>
      </c>
      <c r="E44" s="4" t="s">
        <v>110</v>
      </c>
      <c r="F44" s="4">
        <v>211111</v>
      </c>
      <c r="G44" s="4" t="s">
        <v>111</v>
      </c>
      <c r="H44" s="4" t="s">
        <v>146</v>
      </c>
      <c r="I44" s="18" t="s">
        <v>68</v>
      </c>
      <c r="J44" s="11"/>
      <c r="K44" s="11"/>
      <c r="L44" s="11"/>
    </row>
  </sheetData>
  <mergeCells count="1">
    <mergeCell ref="A1:F1"/>
  </mergeCells>
  <phoneticPr fontId="1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tabSelected="1" workbookViewId="0">
      <selection activeCell="O23" sqref="O23"/>
    </sheetView>
  </sheetViews>
  <sheetFormatPr defaultColWidth="12.5" defaultRowHeight="14.25" x14ac:dyDescent="0.2"/>
  <cols>
    <col min="1" max="16384" width="12.5" style="37"/>
  </cols>
  <sheetData>
    <row r="1" spans="1:8" s="35" customFormat="1" x14ac:dyDescent="0.2">
      <c r="A1" s="35" t="s">
        <v>115</v>
      </c>
      <c r="B1" s="35" t="s">
        <v>116</v>
      </c>
      <c r="C1" s="35" t="s">
        <v>117</v>
      </c>
      <c r="D1" s="35" t="s">
        <v>118</v>
      </c>
      <c r="E1" s="35" t="s">
        <v>119</v>
      </c>
      <c r="F1" s="35" t="s">
        <v>120</v>
      </c>
      <c r="G1" s="36"/>
      <c r="H1" s="36"/>
    </row>
    <row r="2" spans="1:8" x14ac:dyDescent="0.2">
      <c r="A2" s="41" t="s">
        <v>121</v>
      </c>
      <c r="B2" s="41"/>
      <c r="C2" s="41" t="s">
        <v>127</v>
      </c>
      <c r="D2" s="41"/>
      <c r="E2" s="41" t="s">
        <v>125</v>
      </c>
      <c r="F2" s="41"/>
    </row>
    <row r="3" spans="1:8" x14ac:dyDescent="0.2">
      <c r="C3" s="41" t="s">
        <v>128</v>
      </c>
      <c r="D3" s="41"/>
    </row>
    <row r="4" spans="1:8" x14ac:dyDescent="0.2">
      <c r="C4" s="41" t="s">
        <v>129</v>
      </c>
      <c r="D4" s="41"/>
    </row>
    <row r="11" spans="1:8" s="35" customFormat="1" x14ac:dyDescent="0.2">
      <c r="A11" s="35" t="s">
        <v>115</v>
      </c>
      <c r="B11" s="35" t="s">
        <v>116</v>
      </c>
      <c r="C11" s="35" t="s">
        <v>117</v>
      </c>
      <c r="D11" s="35" t="s">
        <v>118</v>
      </c>
      <c r="E11" s="35" t="s">
        <v>119</v>
      </c>
      <c r="F11" s="35" t="s">
        <v>120</v>
      </c>
      <c r="G11" s="36"/>
      <c r="H11" s="36"/>
    </row>
    <row r="12" spans="1:8" x14ac:dyDescent="0.2">
      <c r="A12" s="41" t="s">
        <v>122</v>
      </c>
      <c r="B12" s="41"/>
      <c r="C12" s="37" t="s">
        <v>123</v>
      </c>
      <c r="D12" s="37" t="s">
        <v>124</v>
      </c>
      <c r="E12" s="41" t="s">
        <v>125</v>
      </c>
      <c r="F12" s="41"/>
    </row>
    <row r="13" spans="1:8" x14ac:dyDescent="0.2">
      <c r="D13" s="37" t="s">
        <v>126</v>
      </c>
    </row>
    <row r="15" spans="1:8" x14ac:dyDescent="0.2">
      <c r="C15" s="37" t="s">
        <v>130</v>
      </c>
      <c r="D15" s="37" t="s">
        <v>131</v>
      </c>
      <c r="E15" s="41" t="s">
        <v>125</v>
      </c>
      <c r="F15" s="41"/>
    </row>
    <row r="16" spans="1:8" x14ac:dyDescent="0.2">
      <c r="C16" s="37" t="s">
        <v>133</v>
      </c>
    </row>
    <row r="17" spans="3:3" x14ac:dyDescent="0.2">
      <c r="C17" s="37" t="s">
        <v>132</v>
      </c>
    </row>
  </sheetData>
  <mergeCells count="8">
    <mergeCell ref="E15:F15"/>
    <mergeCell ref="A12:B12"/>
    <mergeCell ref="E12:F12"/>
    <mergeCell ref="A2:B2"/>
    <mergeCell ref="C2:D2"/>
    <mergeCell ref="E2:F2"/>
    <mergeCell ref="C3:D3"/>
    <mergeCell ref="C4:D4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plot</vt:lpstr>
      <vt:lpstr>event_site</vt:lpstr>
      <vt:lpstr>-id 配置说明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Wenda Wang</cp:lastModifiedBy>
  <dcterms:created xsi:type="dcterms:W3CDTF">2015-06-05T18:19:00Z</dcterms:created>
  <dcterms:modified xsi:type="dcterms:W3CDTF">2025-09-25T11:02:56Z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3C74A27F2FB748ED9AFFF5EE5A04D3FA</vt:lpwstr>
  </property>
  <property fmtid="{D5CDD505-2E9C-101B-9397-08002B2CF9AE}" pid="3" name="KSOProductBuildVer">
    <vt:lpwstr>2052-12.1.0.21171</vt:lpwstr>
  </property>
</Properties>
</file>